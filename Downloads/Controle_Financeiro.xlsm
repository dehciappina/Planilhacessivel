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drawings/drawing9.xml" ContentType="application/vnd.openxmlformats-officedocument.drawing+xml"/>
  <Override PartName="/xl/activeX/activeX2.xml" ContentType="application/vnd.ms-office.activeX+xml"/>
  <Override PartName="/xl/activeX/activeX2.bin" ContentType="application/vnd.ms-office.activeX"/>
  <Override PartName="/xl/pivotTables/pivotTable2.xml" ContentType="application/vnd.openxmlformats-officedocument.spreadsheetml.pivotTable+xml"/>
  <Override PartName="/xl/drawings/drawing10.xml" ContentType="application/vnd.openxmlformats-officedocument.drawing+xml"/>
  <Override PartName="/xl/pivotTables/pivotTable3.xml" ContentType="application/vnd.openxmlformats-officedocument.spreadsheetml.pivotTable+xml"/>
  <Override PartName="/xl/drawings/drawing11.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2.xml" ContentType="application/vnd.openxmlformats-officedocument.drawing+xml"/>
  <Override PartName="/xl/activeX/activeX3.xml" ContentType="application/vnd.ms-office.activeX+xml"/>
  <Override PartName="/xl/activeX/activeX3.bin" ContentType="application/vnd.ms-office.activeX"/>
  <Override PartName="/xl/pivotTables/pivotTable6.xml" ContentType="application/vnd.openxmlformats-officedocument.spreadsheetml.pivotTable+xml"/>
  <Override PartName="/xl/drawings/drawing13.xml" ContentType="application/vnd.openxmlformats-officedocument.drawing+xml"/>
  <Override PartName="/xl/activeX/activeX4.xml" ContentType="application/vnd.ms-office.activeX+xml"/>
  <Override PartName="/xl/activeX/activeX4.bin" ContentType="application/vnd.ms-office.activeX"/>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4.xml" ContentType="application/vnd.openxmlformats-officedocument.drawing+xml"/>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pivotTables/pivotTable13.xml" ContentType="application/vnd.openxmlformats-officedocument.spreadsheetml.pivotTable+xml"/>
  <Override PartName="/xl/drawings/drawing16.xml" ContentType="application/vnd.openxmlformats-officedocument.drawing+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7.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33840b204f04d48"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EstaPasta_de_trabalho" hidePivotFieldList="1"/>
  <mc:AlternateContent xmlns:mc="http://schemas.openxmlformats.org/markup-compatibility/2006">
    <mc:Choice Requires="x15">
      <x15ac:absPath xmlns:x15ac="http://schemas.microsoft.com/office/spreadsheetml/2010/11/ac" url="C:\Users\regispc\Downloads\"/>
    </mc:Choice>
  </mc:AlternateContent>
  <xr:revisionPtr revIDLastSave="0" documentId="13_ncr:1_{F54B5A5B-432A-4861-95B4-5AC1ADE36CAE}" xr6:coauthVersionLast="31" xr6:coauthVersionMax="31" xr10:uidLastSave="{00000000-0000-0000-0000-000000000000}"/>
  <bookViews>
    <workbookView xWindow="0" yWindow="0" windowWidth="20490" windowHeight="7545" tabRatio="747" xr2:uid="{00000000-000D-0000-FFFF-FFFF00000000}"/>
  </bookViews>
  <sheets>
    <sheet name="MENU" sheetId="6" r:id="rId1"/>
    <sheet name="TITULAR" sheetId="10" state="hidden" r:id="rId2"/>
    <sheet name="CLIENTES E FORNECEDOR" sheetId="19" state="hidden" r:id="rId3"/>
    <sheet name="CENTRO DE CUSTOS" sheetId="5" state="hidden" r:id="rId4"/>
    <sheet name="GRUPO DE CONTAS" sheetId="24" state="hidden" r:id="rId5"/>
    <sheet name="PLANO DE CONTAS" sheetId="2" state="hidden" r:id="rId6"/>
    <sheet name="CONTA CORRENTE" sheetId="7" state="hidden" r:id="rId7"/>
    <sheet name="ITENS DE ESTOQUE" sheetId="20" state="hidden" r:id="rId8"/>
    <sheet name="LANÇAMENTOS" sheetId="1" state="hidden" r:id="rId9"/>
    <sheet name="FLUXO DE CAIXA VERTICAL" sheetId="23" state="hidden" r:id="rId10"/>
    <sheet name="RELATÓRIO FIXO x ESPORÁDICO" sheetId="11" state="hidden" r:id="rId11"/>
    <sheet name="RELATÓRIO POR TITULARES" sheetId="17" state="hidden" r:id="rId12"/>
    <sheet name="CRIAR SEU RELATÓRIO" sheetId="18" state="hidden" r:id="rId13"/>
    <sheet name="FLUXO DE CAIXA HORIZONTAL" sheetId="3" state="hidden" r:id="rId14"/>
    <sheet name="CONTAS PAGAS e RECEBIDAS" sheetId="28" state="hidden" r:id="rId15"/>
    <sheet name="REL. ANÁLISE DE RESULTADOS " sheetId="26" state="hidden" r:id="rId16"/>
    <sheet name="GRÁFICOS" sheetId="8" state="hidden" r:id="rId17"/>
    <sheet name="REL. CONTROLE DE ESTOQUE" sheetId="21" state="hidden" r:id="rId18"/>
    <sheet name="Apoio" sheetId="12" state="hidden" r:id="rId19"/>
  </sheets>
  <functionGroups builtInGroupCount="19"/>
  <definedNames>
    <definedName name="_xlnm._FilterDatabase" localSheetId="3" hidden="1">'CENTRO DE CUSTOS'!$B$2:$C$3</definedName>
    <definedName name="_xlnm._FilterDatabase" localSheetId="2" hidden="1">'CLIENTES E FORNECEDOR'!$B$2:$M$3</definedName>
    <definedName name="_xlnm._FilterDatabase" localSheetId="4" hidden="1">'GRUPO DE CONTAS'!$B$2:$C$3</definedName>
    <definedName name="_xlnm._FilterDatabase" localSheetId="7" hidden="1">'ITENS DE ESTOQUE'!$B$2:$G$3</definedName>
    <definedName name="_xlnm._FilterDatabase" localSheetId="8" hidden="1">LANÇAMENTOS!$A$3:$AJ$46</definedName>
    <definedName name="_xlnm._FilterDatabase" localSheetId="5" hidden="1">'PLANO DE CONTAS'!$B$2:$F$3</definedName>
    <definedName name="_xlnm._FilterDatabase" localSheetId="1" hidden="1">TITULAR!$B$2:$C$3</definedName>
    <definedName name="ApoioFLuxoCaixa">Apoio!$F$10</definedName>
    <definedName name="AreaCCor" localSheetId="4">OFFSET('CONTA CORRENTE'!#REF!,0,2,COUNTA('CONTA CORRENTE'!$C$4:$C$9999),1)</definedName>
    <definedName name="AreaCCor">OFFSET('CONTA CORRENTE'!#REF!,0,2,COUNTA('CONTA CORRENTE'!$C$4:$C$9999),1)</definedName>
    <definedName name="AreaLanctosDesloc">OFFSET(LANÇAMENTOS!$A$3,1,0,COUNTA(LANÇAMENTOS!$B$4:$B$64318),35)</definedName>
    <definedName name="CabecalhoTBFCH">'FLUXO DE CAIXA HORIZONTAL'!$B$11</definedName>
    <definedName name="FimRelAnaliseResultado">'REL. ANÁLISE DE RESULTADOS '!$A$14</definedName>
    <definedName name="FimRelAnResultado">'REL. ANÁLISE DE RESULTADOS '!$F$14</definedName>
    <definedName name="FormulaTDCPCR">'CONTAS PAGAS e RECEBIDAS'!$D$2</definedName>
    <definedName name="FormulaTDFCV">'FLUXO DE CAIXA VERTICAL'!$D$2</definedName>
    <definedName name="InicioFormSFFCH">'FLUXO DE CAIXA HORIZONTAL'!$E$3000</definedName>
    <definedName name="InicioFormSIFCH">'FLUXO DE CAIXA HORIZONTAL'!$E$9</definedName>
    <definedName name="InicioFormulaFCV">'FLUXO DE CAIXA VERTICAL'!$D$11</definedName>
    <definedName name="InicioRelAnaliseResultado">'REL. ANÁLISE DE RESULTADOS '!$A$13</definedName>
    <definedName name="InicioRelAnResultado">'REL. ANÁLISE DE RESULTADOS '!$F$13</definedName>
    <definedName name="InicioTDFCV">'FLUXO DE CAIXA VERTICAL'!$B$6</definedName>
    <definedName name="Realizado_ARealizarFCH">'FLUXO DE CAIXA HORIZONTAL'!$B$8</definedName>
    <definedName name="Realizado_ARealizarFCV">'FLUXO DE CAIXA VERTICAL'!$B$8</definedName>
    <definedName name="rng_DadosCCorrente">'CONTA CORRENTE'!$B$4:$E$4</definedName>
    <definedName name="rng_DadosCentroCustos" localSheetId="4">'CENTRO DE CUSTOS'!$B$4:$C$4</definedName>
    <definedName name="rng_DadosCentroCustos">'CENTRO DE CUSTOS'!$B$4:$C$4</definedName>
    <definedName name="rng_DadosCliFor">'CLIENTES E FORNECEDOR'!$B$4:$M$4</definedName>
    <definedName name="rng_DadosGrupoContas">'GRUPO DE CONTAS'!$B$4:$C$4</definedName>
    <definedName name="rng_DadosInsumos">'ITENS DE ESTOQUE'!$B$4:$G$4</definedName>
    <definedName name="rng_DadosLanctosTD">LANÇAMENTOS!$A$3:$AI$4</definedName>
    <definedName name="rng_DadosPlanoContas">'PLANO DE CONTAS'!$B$4:$F$4</definedName>
    <definedName name="rng_DadosTitular">TITULAR!$B$4:$C$4</definedName>
    <definedName name="rng_NomeCCorrente">'CONTA CORRENTE'!$C$4:$E$4</definedName>
    <definedName name="rng_NomeCentroCustos" localSheetId="4">'CENTRO DE CUSTOS'!$C$4:$C$4</definedName>
    <definedName name="rng_NomeCentroCustos">'CENTRO DE CUSTOS'!$C$4</definedName>
    <definedName name="rng_NomeCliFor">'CLIENTES E FORNECEDOR'!$C$4</definedName>
    <definedName name="rng_NomeGrupoContas">'GRUPO DE CONTAS'!$C$4</definedName>
    <definedName name="rng_NomeInsumos">'ITENS DE ESTOQUE'!$C$4</definedName>
    <definedName name="rng_NomePlanoContas">'PLANO DE CONTAS'!$C$4</definedName>
    <definedName name="rng_NomeTitular">TITULAR!$C$4</definedName>
    <definedName name="rng_NroCCorrente">'CONTA CORRENTE'!$B$4</definedName>
    <definedName name="rng_NroCentroCustos" localSheetId="4">'CENTRO DE CUSTOS'!$B$4:$B$4</definedName>
    <definedName name="rng_NroCentroCustos">'CENTRO DE CUSTOS'!$B$4</definedName>
    <definedName name="rng_NroCliFor">'CLIENTES E FORNECEDOR'!$B$4</definedName>
    <definedName name="rng_NroGrupoContas">'GRUPO DE CONTAS'!$B$4</definedName>
    <definedName name="rng_NroInsumos">'ITENS DE ESTOQUE'!$B$4</definedName>
    <definedName name="rng_NroLancto">LANÇAMENTOS!$A$4</definedName>
    <definedName name="rng_NroPlanoContas">'PLANO DE CONTAS'!$B$4</definedName>
    <definedName name="rng_NroTitular">TITULAR!$B$4</definedName>
    <definedName name="rng_TiposDoctos">Apoio!$B$2:$C$35</definedName>
    <definedName name="SaldoInicialFCH">'FLUXO DE CAIXA HORIZONTAL'!$D$9</definedName>
    <definedName name="SaldoInicialFCV">'FLUXO DE CAIXA VERTICAL'!$D$9</definedName>
    <definedName name="SegmentaçãodeDados_ANO">#N/A</definedName>
    <definedName name="SegmentaçãodeDados_CENTRO_CUSTO">#N/A</definedName>
    <definedName name="SegmentaçãodeDados_CONTA_CORRENTE">#N/A</definedName>
    <definedName name="SegmentaçãodeDados_MÊS">#N/A</definedName>
    <definedName name="SegmentaçãodeDados_REALIZADO___A_REALIZAR">#N/A</definedName>
    <definedName name="SegmentaçãodeDados_REC._DESP.">#N/A</definedName>
    <definedName name="SegmentaçãodeDados_TITULAR">#N/A</definedName>
  </definedNames>
  <calcPr calcId="179017"/>
  <pivotCaches>
    <pivotCache cacheId="91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 i="28" l="1"/>
  <c r="D2" i="28"/>
  <c r="D9" i="3"/>
  <c r="D2" i="23"/>
  <c r="D9" i="23"/>
  <c r="A1" i="26"/>
  <c r="D3000" i="3"/>
  <c r="E9" i="3" l="1"/>
  <c r="F11" i="12"/>
  <c r="F10" i="12"/>
  <c r="E3000" i="3"/>
  <c r="F9" i="3" l="1"/>
  <c r="D10" i="28"/>
  <c r="A1" i="28"/>
  <c r="A1" i="23"/>
  <c r="A1" i="3"/>
  <c r="F3000" i="3"/>
  <c r="G9" i="3" l="1"/>
  <c r="CN1" i="26"/>
  <c r="CM1" i="26"/>
  <c r="CL1" i="26"/>
  <c r="CK1" i="26"/>
  <c r="CJ1" i="26"/>
  <c r="CI1" i="26"/>
  <c r="CH1" i="26"/>
  <c r="CG1" i="26"/>
  <c r="CF1" i="26"/>
  <c r="CE1" i="26"/>
  <c r="CD1" i="26"/>
  <c r="CC1" i="26"/>
  <c r="CB1" i="26"/>
  <c r="CA1" i="26"/>
  <c r="BZ1" i="26"/>
  <c r="BY1" i="26"/>
  <c r="BX1" i="26"/>
  <c r="BW1" i="26"/>
  <c r="BV1" i="26"/>
  <c r="BU1" i="26"/>
  <c r="BT1" i="26"/>
  <c r="BS1" i="26"/>
  <c r="BR1" i="26"/>
  <c r="BQ1" i="26"/>
  <c r="BP1" i="26"/>
  <c r="BO1" i="26"/>
  <c r="BN1" i="26"/>
  <c r="BM1" i="26"/>
  <c r="BL1" i="26"/>
  <c r="BK1" i="26"/>
  <c r="BJ1" i="26"/>
  <c r="BI1" i="26"/>
  <c r="BH1" i="26"/>
  <c r="BG1" i="26"/>
  <c r="BF1" i="26"/>
  <c r="BE1" i="26"/>
  <c r="BD1" i="26"/>
  <c r="BC1" i="26"/>
  <c r="BB1" i="26"/>
  <c r="BA1" i="26"/>
  <c r="AZ1" i="26"/>
  <c r="AY1" i="26"/>
  <c r="AX1" i="26"/>
  <c r="AW1" i="26"/>
  <c r="AV1" i="26"/>
  <c r="AU1" i="26"/>
  <c r="AT1" i="26"/>
  <c r="AS1" i="26"/>
  <c r="AR1" i="26"/>
  <c r="AQ1" i="26"/>
  <c r="AP1" i="26"/>
  <c r="AO1" i="26"/>
  <c r="AN1" i="26"/>
  <c r="AM1" i="26"/>
  <c r="AL1" i="26"/>
  <c r="AK1" i="26"/>
  <c r="AJ1" i="26"/>
  <c r="AI1" i="26"/>
  <c r="AH1" i="26"/>
  <c r="AG1" i="26"/>
  <c r="AF1" i="26"/>
  <c r="AE1" i="26"/>
  <c r="AD1" i="26"/>
  <c r="AC1" i="26"/>
  <c r="AB1" i="26"/>
  <c r="AA1" i="26"/>
  <c r="Z1" i="26"/>
  <c r="Y1" i="26"/>
  <c r="X1" i="26"/>
  <c r="W1" i="26"/>
  <c r="V1" i="26"/>
  <c r="U1" i="26"/>
  <c r="T1" i="26"/>
  <c r="O1" i="26"/>
  <c r="P1" i="26"/>
  <c r="Q1" i="26"/>
  <c r="A13" i="26"/>
  <c r="A14" i="26"/>
  <c r="S1" i="26"/>
  <c r="R1" i="26"/>
  <c r="G3000" i="3"/>
  <c r="L1" i="26"/>
  <c r="G1" i="26"/>
  <c r="I1" i="26"/>
  <c r="J1" i="26"/>
  <c r="K1" i="26"/>
  <c r="M1" i="26"/>
  <c r="H1" i="26"/>
  <c r="N1" i="26"/>
  <c r="F1" i="26"/>
  <c r="C16" i="26"/>
  <c r="C1" i="26"/>
  <c r="E1" i="26"/>
  <c r="D1" i="26"/>
  <c r="H9" i="3" l="1"/>
  <c r="K13" i="26"/>
  <c r="I14" i="26"/>
  <c r="H3000" i="3"/>
  <c r="I9" i="3" l="1"/>
  <c r="D10" i="23"/>
  <c r="D11" i="23" s="1"/>
  <c r="D12" i="23" s="1"/>
  <c r="D13" i="23" s="1"/>
  <c r="D14" i="23" s="1"/>
  <c r="D15" i="23" s="1"/>
  <c r="D16" i="23" s="1"/>
  <c r="D17" i="23" s="1"/>
  <c r="D18" i="23" s="1"/>
  <c r="D19" i="23" s="1"/>
  <c r="D20" i="23" s="1"/>
  <c r="D21" i="23" s="1"/>
  <c r="D22" i="23" s="1"/>
  <c r="D23" i="23" s="1"/>
  <c r="I3000" i="3"/>
  <c r="J9" i="3" l="1"/>
  <c r="AD1" i="1"/>
  <c r="L1" i="1"/>
  <c r="K1" i="1"/>
  <c r="J1" i="1"/>
  <c r="I1" i="1"/>
  <c r="H1" i="1"/>
  <c r="G1" i="1"/>
  <c r="J3000" i="3"/>
  <c r="K9" i="3" l="1"/>
  <c r="K3000" i="3"/>
  <c r="L9" i="3" l="1"/>
  <c r="L3000" i="3"/>
  <c r="M9" i="3" l="1"/>
  <c r="M3000" i="3"/>
  <c r="N9" i="3" l="1"/>
  <c r="N3000" i="3"/>
  <c r="O9" i="3" l="1"/>
  <c r="O3000" i="3"/>
  <c r="P9" i="3" l="1"/>
  <c r="P300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D7" authorId="0" shapeId="0" xr:uid="{00000000-0006-0000-0000-000001000000}">
      <text>
        <r>
          <rPr>
            <b/>
            <sz val="9"/>
            <color indexed="81"/>
            <rFont val="Segoe UI"/>
            <family val="2"/>
          </rPr>
          <t>TITULARES DOS LANÇAMENTOS:</t>
        </r>
        <r>
          <rPr>
            <sz val="9"/>
            <color indexed="81"/>
            <rFont val="Segoe UI"/>
            <family val="2"/>
          </rPr>
          <t xml:space="preserve">
Registra o titular ou titulares dos recebimentos e pagamentos realizados ou a realizar.
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ou mais  empresas. Os lançamentos baixados por titular são observados no Relatório "Relatório por Titular".
</t>
        </r>
      </text>
    </comment>
    <comment ref="G7" authorId="0" shapeId="0" xr:uid="{00000000-0006-0000-0000-000007000000}">
      <text>
        <r>
          <rPr>
            <b/>
            <sz val="9"/>
            <color indexed="81"/>
            <rFont val="Segoe UI"/>
            <family val="2"/>
          </rPr>
          <t xml:space="preserve">TÍTULOS DE LANÇAMENTOS:
</t>
        </r>
        <r>
          <rPr>
            <sz val="9"/>
            <color indexed="81"/>
            <rFont val="Segoe UI"/>
            <family val="2"/>
          </rPr>
          <t xml:space="preserve">
Aba em que são registrados os recebimentos e pagamentos realizados ou a realizar, além das movimentações financeiras (aplicação financeira, etc).
Para compreender os campos de registro do formulário de lançamento dos recebimentos e pagamentos, mantenha o mouse sobre os campos no formulário, aguarde um instante, e surgirá informações resumidas sobre o mesmo.</t>
        </r>
      </text>
    </comment>
    <comment ref="D9" authorId="0" shapeId="0" xr:uid="{00000000-0006-0000-0000-000003000000}">
      <text>
        <r>
          <rPr>
            <b/>
            <sz val="9"/>
            <color indexed="81"/>
            <rFont val="Segoe UI"/>
            <family val="2"/>
          </rPr>
          <t>CENTROS DE CUSTOS:</t>
        </r>
        <r>
          <rPr>
            <sz val="9"/>
            <color indexed="81"/>
            <rFont val="Segoe UI"/>
            <family val="2"/>
          </rPr>
          <t xml:space="preserve">
'Centro de Custos' serve para concentrar os registros de recebimentos e pagamentos dentro de uma mesma unidade de controle. Você pode criar centros de custos para controle de seus gastos pessoais, como: "Moradia",  "Alimentação", "Educação", "Lazer" etc. 
Por exemplo: o centro de custos "Moradia" concentra as despesas com prestações da casa própria ou aluguel, contas de água, luz, telefone, mercado etc, as quais, por sua vez, são definidas através do 'Plano de Contas'.  Assim, ao observar o Relatório de Fluxo de Caixa Horizontal você verá que o valor informado para "Moradia" corresponderá à soma das despesas que você associou a esse Centro de Custos.</t>
        </r>
      </text>
    </comment>
    <comment ref="G9" authorId="0" shapeId="0" xr:uid="{A92A8692-227E-4BD1-B4D0-C5B54F99F40A}">
      <text>
        <r>
          <rPr>
            <b/>
            <sz val="9"/>
            <color indexed="81"/>
            <rFont val="Segoe UI"/>
            <family val="2"/>
          </rPr>
          <t>FLUXOS DE CAIXA:</t>
        </r>
        <r>
          <rPr>
            <sz val="9"/>
            <color indexed="81"/>
            <rFont val="Segoe UI"/>
            <family val="2"/>
          </rPr>
          <t xml:space="preserve">
Abre dois relatórios de fluxo de caixa:
1) Fluxo de Caixa Vertical, que é mais detalhado e com dados diários, indicado para uma v isão de curto prazo e;
2) Fluxo de Caixa Horizontal, que é organizado pelo grupo de contas e plano de contas, com exposição mensal em colunas.</t>
        </r>
      </text>
    </comment>
    <comment ref="D11" authorId="0" shapeId="0" xr:uid="{E3A598CC-0AA3-407F-B800-BFFE3F015928}">
      <text>
        <r>
          <rPr>
            <b/>
            <sz val="9"/>
            <color indexed="81"/>
            <rFont val="Segoe UI"/>
            <family val="2"/>
          </rPr>
          <t>GRUPO DE CONTAS:</t>
        </r>
        <r>
          <rPr>
            <sz val="9"/>
            <color indexed="81"/>
            <rFont val="Segoe UI"/>
            <family val="2"/>
          </rPr>
          <t xml:space="preserve">
Grupo de Contas serve para aglutinar as contas do plano de contas, segundo a sua natureza.
</t>
        </r>
        <r>
          <rPr>
            <u/>
            <sz val="9"/>
            <color indexed="81"/>
            <rFont val="Segoe UI"/>
            <family val="2"/>
          </rPr>
          <t>Exemplos</t>
        </r>
        <r>
          <rPr>
            <sz val="9"/>
            <color indexed="81"/>
            <rFont val="Segoe UI"/>
            <family val="2"/>
          </rPr>
          <t xml:space="preserve">:
Ao cadastrar "Vendas"  e "Serviços Prestados" pelo plano de contas você pode associá-los ao Grupo de Contas "Receitas Operacionais";
Assim como pode associar as contas "Compra de Insumos", "Custos com Pessoal", "Aluguel da Fábrrica" etc, com o Grupo de Contas "Custos Operacionais";
Da mesma forma pode associar "Saldo Inicial", "Aporte de Sócio", "Transferência entre Contas", "Aplicação Financeira" com o Grupo de Contas "Recursos Financeiros".
</t>
        </r>
      </text>
    </comment>
    <comment ref="G11" authorId="0" shapeId="0" xr:uid="{99487BFE-24BC-4C4A-A006-5CDE94DBFBFE}">
      <text>
        <r>
          <rPr>
            <b/>
            <sz val="9"/>
            <color indexed="81"/>
            <rFont val="Segoe UI"/>
            <family val="2"/>
          </rPr>
          <t>ANÁLISE DE RESULTADO</t>
        </r>
        <r>
          <rPr>
            <sz val="9"/>
            <color indexed="81"/>
            <rFont val="Segoe UI"/>
            <family val="2"/>
          </rPr>
          <t xml:space="preserve">
Difere do fluxo de caixa por desconsiderar as movimentações financeiras decorrentes de aportes dos sócios, saldos anteriores etc, ficando restrita às contas de receitas e despesas.</t>
        </r>
      </text>
    </comment>
    <comment ref="D13" authorId="0" shapeId="0" xr:uid="{00000000-0006-0000-0000-000004000000}">
      <text>
        <r>
          <rPr>
            <b/>
            <sz val="9"/>
            <color indexed="81"/>
            <rFont val="Segoe UI"/>
            <family val="2"/>
          </rPr>
          <t>PLANO DE CONTAS:</t>
        </r>
        <r>
          <rPr>
            <sz val="9"/>
            <color indexed="81"/>
            <rFont val="Segoe UI"/>
            <family val="2"/>
          </rPr>
          <t xml:space="preserve">
Plano de Contas reune as contas de receitas, despesas e de movimentação financeira a serem utilizadas no controle financeiro, para identificação dos tipos de recebimentos e pagamentos efetuados ou a efetuar.
</t>
        </r>
        <r>
          <rPr>
            <u/>
            <sz val="9"/>
            <color indexed="81"/>
            <rFont val="Segoe UI"/>
            <family val="2"/>
          </rPr>
          <t>Exemplos de contas de receita</t>
        </r>
        <r>
          <rPr>
            <sz val="9"/>
            <color indexed="81"/>
            <rFont val="Segoe UI"/>
            <family val="2"/>
          </rPr>
          <t xml:space="preserve">:
"Venda", "Receita de Prestação de Serviços", "Receita Financeira", "Outras Receitas".
</t>
        </r>
        <r>
          <rPr>
            <u/>
            <sz val="9"/>
            <color indexed="81"/>
            <rFont val="Segoe UI"/>
            <family val="2"/>
          </rPr>
          <t>Exemplos de contas de despesa:</t>
        </r>
        <r>
          <rPr>
            <sz val="9"/>
            <color indexed="81"/>
            <rFont val="Segoe UI"/>
            <family val="2"/>
          </rPr>
          <t xml:space="preserve">
"Aluguéis", "Conta de Energia", "Tarifas Bancárias", "Impostos", "Outras Despesas".
</t>
        </r>
        <r>
          <rPr>
            <u/>
            <sz val="9"/>
            <color indexed="81"/>
            <rFont val="Segoe UI"/>
            <family val="2"/>
          </rPr>
          <t>Exemplo de contas de movimentação financeira:</t>
        </r>
        <r>
          <rPr>
            <sz val="9"/>
            <color indexed="81"/>
            <rFont val="Segoe UI"/>
            <family val="2"/>
          </rPr>
          <t xml:space="preserve">
"Transferência entre Contas", "Aplicação Financeira", "Aporte de Inverstidores'.
</t>
        </r>
      </text>
    </comment>
    <comment ref="G13" authorId="0" shapeId="0" xr:uid="{49073D19-77DE-4FE1-A31D-7757C9E69B1C}">
      <text>
        <r>
          <rPr>
            <b/>
            <sz val="9"/>
            <color indexed="81"/>
            <rFont val="Segoe UI"/>
            <family val="2"/>
          </rPr>
          <t>GRÁFICOS</t>
        </r>
        <r>
          <rPr>
            <sz val="9"/>
            <color indexed="81"/>
            <rFont val="Segoe UI"/>
            <family val="2"/>
          </rPr>
          <t xml:space="preserve">
Apresenta diversos gráficos sobre os registros financeiros.</t>
        </r>
      </text>
    </comment>
    <comment ref="D15" authorId="0" shapeId="0" xr:uid="{00000000-0006-0000-0000-000002000000}">
      <text>
        <r>
          <rPr>
            <b/>
            <sz val="9"/>
            <color indexed="81"/>
            <rFont val="Segoe UI"/>
            <family val="2"/>
          </rPr>
          <t>CLIENTES E FORNECEDORES:</t>
        </r>
        <r>
          <rPr>
            <sz val="9"/>
            <color indexed="81"/>
            <rFont val="Segoe UI"/>
            <family val="2"/>
          </rPr>
          <t xml:space="preserve">
Serve para cadastrar as pessoas físicas e jurídicas com as quais o titular ou titulares mantêm operações de recebimentos, pagamentos e movimentações financeiras.
</t>
        </r>
      </text>
    </comment>
    <comment ref="G15" authorId="0" shapeId="0" xr:uid="{A4C54CD6-1FD4-400B-B832-2088A377BEC2}">
      <text>
        <r>
          <rPr>
            <b/>
            <sz val="9"/>
            <color indexed="81"/>
            <rFont val="Segoe UI"/>
            <family val="2"/>
          </rPr>
          <t>CONTROLE DE ESTOQUE</t>
        </r>
        <r>
          <rPr>
            <sz val="9"/>
            <color indexed="81"/>
            <rFont val="Segoe UI"/>
            <family val="2"/>
          </rPr>
          <t xml:space="preserve">
Abre um relatório demonstrando as movimentações de compras e vendas de itens de estoque.</t>
        </r>
      </text>
    </comment>
    <comment ref="D17" authorId="0" shapeId="0" xr:uid="{00000000-0006-0000-0000-000005000000}">
      <text>
        <r>
          <rPr>
            <b/>
            <sz val="9"/>
            <color indexed="81"/>
            <rFont val="Segoe UI"/>
            <family val="2"/>
          </rPr>
          <t>CONTAS CORRENTES:</t>
        </r>
        <r>
          <rPr>
            <sz val="9"/>
            <color indexed="81"/>
            <rFont val="Segoe UI"/>
            <family val="2"/>
          </rPr>
          <t xml:space="preserve">
Em "Conta Corrente" você pode cadastrar uma ou mais contas bancárias, além da conta Caixa, podendo gerar relatórios individualizados ou pelo somatório das mesmas.
</t>
        </r>
        <r>
          <rPr>
            <u/>
            <sz val="9"/>
            <color indexed="81"/>
            <rFont val="Segoe UI"/>
            <family val="2"/>
          </rPr>
          <t>Exemplos de cadastramento de contas correntes</t>
        </r>
        <r>
          <rPr>
            <sz val="9"/>
            <color indexed="81"/>
            <rFont val="Segoe UI"/>
            <family val="2"/>
          </rPr>
          <t>:
. Caixa
. Banco X / Ag. 001 - C/C 11.222-4
. Banco Y / Ag. 444 - C/C 65432</t>
        </r>
      </text>
    </comment>
    <comment ref="G17" authorId="0" shapeId="0" xr:uid="{A95E5C01-172D-4D0B-835F-2EDF10F92710}">
      <text>
        <r>
          <rPr>
            <b/>
            <sz val="9"/>
            <color indexed="81"/>
            <rFont val="Segoe UI"/>
            <family val="2"/>
          </rPr>
          <t>OUTROS RELATÓRIOS</t>
        </r>
        <r>
          <rPr>
            <sz val="9"/>
            <color indexed="81"/>
            <rFont val="Segoe UI"/>
            <family val="2"/>
          </rPr>
          <t xml:space="preserve">
Apresenta relatório dos registros financeiros por titular e por tipo de receita e despesa (Fixo ou Esporádico).</t>
        </r>
      </text>
    </comment>
    <comment ref="D19" authorId="0" shapeId="0" xr:uid="{00000000-0006-0000-0000-000006000000}">
      <text>
        <r>
          <rPr>
            <b/>
            <sz val="9"/>
            <color indexed="81"/>
            <rFont val="Segoe UI"/>
            <family val="2"/>
          </rPr>
          <t>ITENS DE ESTOQUE:</t>
        </r>
        <r>
          <rPr>
            <sz val="9"/>
            <color indexed="81"/>
            <rFont val="Segoe UI"/>
            <family val="2"/>
          </rPr>
          <t xml:space="preserve">
Em "Itens de Estoque" você pode cadastrar os materiais, produtos e mercadorias que compõem seu estoque, para controle de entrada e saída e de saldo dos mesmos.
Quando você registrar um título com plano de contas definido para controle de estoque, obrigatoriamente os campos de registro de movimentação de estoque deverão ser preenchidos. Você pode acompanhar os efeitos de tais registros através do Relatório "CONTROLE DE ESTOQUE".</t>
        </r>
      </text>
    </comment>
    <comment ref="G19" authorId="0" shapeId="0" xr:uid="{EFB0CBAB-53C6-40C2-8A47-231BD1C2D884}">
      <text>
        <r>
          <rPr>
            <b/>
            <sz val="9"/>
            <color indexed="81"/>
            <rFont val="Segoe UI"/>
            <family val="2"/>
          </rPr>
          <t xml:space="preserve">CRIAR SEU RELATÓRIO
</t>
        </r>
        <r>
          <rPr>
            <sz val="9"/>
            <color indexed="81"/>
            <rFont val="Segoe UI"/>
            <family val="2"/>
          </rPr>
          <t>Espaço para que você possa criar o seu relatório através de tabela dinâmica.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I13" authorId="0" shapeId="0" xr:uid="{747CA3A2-01DC-468A-9731-4820F2BFD24C}">
      <text>
        <r>
          <rPr>
            <sz val="9"/>
            <color indexed="81"/>
            <rFont val="Segoe UI"/>
            <family val="2"/>
          </rPr>
          <t>T.M.A. = Taxa Mínima de Atratividade
Representa a taxa mensal de desconto aplicada para o cálculo do Valor Presente Líquido - VPL.
VPL positivo significa que o ganho com negócio é maior que aquele obtido com o reajuste dos valores pela taxa de referência (T.M.A.).</t>
        </r>
      </text>
    </comment>
    <comment ref="K13" authorId="0" shapeId="0" xr:uid="{795BD060-97B3-431B-A6E9-A4472CAC8BCB}">
      <text>
        <r>
          <rPr>
            <sz val="9"/>
            <color indexed="81"/>
            <rFont val="Segoe UI"/>
            <family val="2"/>
          </rPr>
          <t>TIR = Taxa Interna de Retonro
A função TIR só trás resultado confiável quando tratar-se de fluxo de caixa regular, ou seja, que evolua de saldo negativo para o positivo.
Fluxo de caixa irregular é aquele em que ocorre oscilação no resultado de cada período analisado, entre positivo e negativo.
Na situação em que o saldo começa e permanece positivo a TIR apresenta erro, já que não consegue comparar investimento e retorno.</t>
        </r>
      </text>
    </comment>
    <comment ref="I14" authorId="0" shapeId="0" xr:uid="{91134935-EA25-45C1-80E7-F33E6FB32895}">
      <text>
        <r>
          <rPr>
            <sz val="9"/>
            <color indexed="81"/>
            <rFont val="Segoe UI"/>
            <family val="2"/>
          </rPr>
          <t>Valor positivo indica que o negócio é melhor que aquele cujo ganho se baseia no T.M.A.</t>
        </r>
      </text>
    </comment>
  </commentList>
</comments>
</file>

<file path=xl/sharedStrings.xml><?xml version="1.0" encoding="utf-8"?>
<sst xmlns="http://schemas.openxmlformats.org/spreadsheetml/2006/main" count="386" uniqueCount="175">
  <si>
    <t>PLANO DE CONTAS</t>
  </si>
  <si>
    <t>ANO</t>
  </si>
  <si>
    <t>Total Geral</t>
  </si>
  <si>
    <t>DESCRIÇÃO</t>
  </si>
  <si>
    <t>Nº</t>
  </si>
  <si>
    <t>REC./DESP.</t>
  </si>
  <si>
    <t>CENTRO DE CUSTOS</t>
  </si>
  <si>
    <t>CONTA CORRENTE</t>
  </si>
  <si>
    <t>?</t>
  </si>
  <si>
    <t>Não Avisar</t>
  </si>
  <si>
    <t>(Tudo)</t>
  </si>
  <si>
    <t>PERÍODO</t>
  </si>
  <si>
    <t xml:space="preserve">MÊS </t>
  </si>
  <si>
    <t xml:space="preserve">ANO: </t>
  </si>
  <si>
    <t>TITULAR DO LANÇAMENTO</t>
  </si>
  <si>
    <t>DATA VENCTO.</t>
  </si>
  <si>
    <t>DATA REALIZ.</t>
  </si>
  <si>
    <t>TITULAR</t>
  </si>
  <si>
    <t>CENTRO CUSTO</t>
  </si>
  <si>
    <t>MÊS</t>
  </si>
  <si>
    <t>TIPO REGISTRO</t>
  </si>
  <si>
    <t>TIPO REC./DESP.</t>
  </si>
  <si>
    <t>FK_TIT</t>
  </si>
  <si>
    <t>FK_CC</t>
  </si>
  <si>
    <t>FK_PC</t>
  </si>
  <si>
    <t>FK_CCor</t>
  </si>
  <si>
    <t>M</t>
  </si>
  <si>
    <t>Nº Cópias</t>
  </si>
  <si>
    <t>1</t>
  </si>
  <si>
    <t/>
  </si>
  <si>
    <t>Ano:</t>
  </si>
  <si>
    <t>CLIENTE e/ou FORNECEDOR</t>
  </si>
  <si>
    <t>CPF/CNPJ</t>
  </si>
  <si>
    <t>ENDEREÇO</t>
  </si>
  <si>
    <t>TELEFONE</t>
  </si>
  <si>
    <t>CELULAR</t>
  </si>
  <si>
    <t>CONTATO</t>
  </si>
  <si>
    <t>E-MAIL</t>
  </si>
  <si>
    <t>OUTROS DADOS</t>
  </si>
  <si>
    <t>OBSERVAÇÕES</t>
  </si>
  <si>
    <t>PF/PJ</t>
  </si>
  <si>
    <t>CLIENTE OU FORNECEDOR</t>
  </si>
  <si>
    <t>RG/INSCR. EST.</t>
  </si>
  <si>
    <t>FK_CF</t>
  </si>
  <si>
    <t>PERÍODO:</t>
  </si>
  <si>
    <t xml:space="preserve">PERÍODO: </t>
  </si>
  <si>
    <t>TIPO</t>
  </si>
  <si>
    <t>DATA EMISSÃO</t>
  </si>
  <si>
    <t>DATA VENCTO. AJUSTADO</t>
  </si>
  <si>
    <t>DATA CONCILIAÇÃO</t>
  </si>
  <si>
    <t>DOCUMENTO</t>
  </si>
  <si>
    <t>OBS. INTERNA</t>
  </si>
  <si>
    <t>TIPO DE DOCTO.</t>
  </si>
  <si>
    <t>VALOR</t>
  </si>
  <si>
    <t>DATA LANÇ.</t>
  </si>
  <si>
    <t>NF</t>
  </si>
  <si>
    <t>NOVO/EDITAR</t>
  </si>
  <si>
    <t>TIPOS DE DOCUMENTOS</t>
  </si>
  <si>
    <t>NOTA FISCAL</t>
  </si>
  <si>
    <t>DANFE</t>
  </si>
  <si>
    <t>RECIBO</t>
  </si>
  <si>
    <t>REC</t>
  </si>
  <si>
    <t>TRAN</t>
  </si>
  <si>
    <t>AV</t>
  </si>
  <si>
    <t>AVISO DE LANÇAMENTO</t>
  </si>
  <si>
    <t>AJ</t>
  </si>
  <si>
    <t>AJUSTE DE LANÇAMENTO</t>
  </si>
  <si>
    <t>FAT</t>
  </si>
  <si>
    <t>FATURA</t>
  </si>
  <si>
    <t>Soma de VALOR</t>
  </si>
  <si>
    <t>CONTA DE ESTOQUE</t>
  </si>
  <si>
    <t>UNIDADE</t>
  </si>
  <si>
    <t>OBSERVAÇÃO</t>
  </si>
  <si>
    <t>MARCA</t>
  </si>
  <si>
    <t>FABRICANTE</t>
  </si>
  <si>
    <t>NOME DO INSUMO</t>
  </si>
  <si>
    <t>UNID.</t>
  </si>
  <si>
    <t>FK_INSUMO</t>
  </si>
  <si>
    <t>FK_CliFor</t>
  </si>
  <si>
    <t>VALOR INSUMO</t>
  </si>
  <si>
    <t>VENCTO. ORIGINAL</t>
  </si>
  <si>
    <t>VENCTO. AJUSTADO</t>
  </si>
  <si>
    <t>QUANT. INSUMO</t>
  </si>
  <si>
    <t>PRV</t>
  </si>
  <si>
    <t>MÊS COMPET.</t>
  </si>
  <si>
    <t>COMPETÊNCIA</t>
  </si>
  <si>
    <t>Nº LANÇ.</t>
  </si>
  <si>
    <t>DOCUMENTO DE VENDA</t>
  </si>
  <si>
    <t>TRANSFERÊNCIA FINANCEIRA</t>
  </si>
  <si>
    <t>NOTA DE DÉBITO</t>
  </si>
  <si>
    <t>ND</t>
  </si>
  <si>
    <t>PREVISÃO DE RECEBIMENTO OU PAGAMENTO</t>
  </si>
  <si>
    <t>CONTRATO</t>
  </si>
  <si>
    <t>CT</t>
  </si>
  <si>
    <t>NOME DO TIPO DE DOCTO.</t>
  </si>
  <si>
    <t>PLANO DE CONTAS DE ESTOQUE</t>
  </si>
  <si>
    <t>Total QDE.</t>
  </si>
  <si>
    <t>QDE.</t>
  </si>
  <si>
    <t>Total ACUM.</t>
  </si>
  <si>
    <t>ACUM.</t>
  </si>
  <si>
    <t>DATA</t>
  </si>
  <si>
    <t>DESCRIÇÃO DO MATERIAL/PRODUTO</t>
  </si>
  <si>
    <t xml:space="preserve">Valor </t>
  </si>
  <si>
    <t xml:space="preserve">VALOR </t>
  </si>
  <si>
    <t xml:space="preserve">Mês </t>
  </si>
  <si>
    <t>SALDO CONCILIADO</t>
  </si>
  <si>
    <t>OPTCRÉDITO/OPTDÉBITO</t>
  </si>
  <si>
    <t>DATA REFERÊNCIA</t>
  </si>
  <si>
    <t>NOME DO INSUMO:</t>
  </si>
  <si>
    <t>EMPRESA A</t>
  </si>
  <si>
    <t>GRUPO DE CONTAS</t>
  </si>
  <si>
    <t>GRUPO</t>
  </si>
  <si>
    <t>FK_GC</t>
  </si>
  <si>
    <t>FKGC</t>
  </si>
  <si>
    <t>CONTROLE ESTOQUE</t>
  </si>
  <si>
    <t>NOME</t>
  </si>
  <si>
    <t>TIPO DE CONTA</t>
  </si>
  <si>
    <t>Não</t>
  </si>
  <si>
    <t>PKGC</t>
  </si>
  <si>
    <t>Resultado</t>
  </si>
  <si>
    <t>REC/DESP/MOV. FIN.</t>
  </si>
  <si>
    <t>SALDO INICIAL =&gt;&gt;</t>
  </si>
  <si>
    <t>REALIZADO / A REALIZAR</t>
  </si>
  <si>
    <t>SALDO FINAL =&gt;&gt;</t>
  </si>
  <si>
    <t>ANÁLISE DE RESULTADO - REG. CX - MÊS</t>
  </si>
  <si>
    <t>ANÁLISE DE RESULTADO - REG. CX - ACUM.</t>
  </si>
  <si>
    <t>PERÍODO DO RELATÓRIO</t>
  </si>
  <si>
    <t>de</t>
  </si>
  <si>
    <t>até</t>
  </si>
  <si>
    <t>VALOR PRESENTE LÍQUIDO</t>
  </si>
  <si>
    <t xml:space="preserve">T.M.A. </t>
  </si>
  <si>
    <t xml:space="preserve">VPL </t>
  </si>
  <si>
    <t>Período:</t>
  </si>
  <si>
    <t>TIR</t>
  </si>
  <si>
    <t>FK_ESTOQUE</t>
  </si>
  <si>
    <t>FK_GRUPO CONTAS</t>
  </si>
  <si>
    <t>C</t>
  </si>
  <si>
    <t>MOVIMENTAÇÃO FINANCEIRA</t>
  </si>
  <si>
    <t>FIXA</t>
  </si>
  <si>
    <t>A REALIZAR</t>
  </si>
  <si>
    <t xml:space="preserve">Total Valor </t>
  </si>
  <si>
    <t>Total Saldo</t>
  </si>
  <si>
    <t>CONTROLE FINANCEIRO / ANÁLISE DE NEGÓCIO / FLUXO DE CAIXA</t>
  </si>
  <si>
    <t>2</t>
  </si>
  <si>
    <t>-</t>
  </si>
  <si>
    <t>Saldo</t>
  </si>
  <si>
    <t>REALIZADO</t>
  </si>
  <si>
    <t>EDITAR LANÇAMENTO</t>
  </si>
  <si>
    <t>3</t>
  </si>
  <si>
    <t>APORTE DE SÓCIOS</t>
  </si>
  <si>
    <t>SALDO INICIAL</t>
  </si>
  <si>
    <t>CAIXA</t>
  </si>
  <si>
    <t>Despesa</t>
  </si>
  <si>
    <t>COMPRA DE PRODUTOS</t>
  </si>
  <si>
    <t>ADMNISTRATIVO</t>
  </si>
  <si>
    <t>07/04/2018</t>
  </si>
  <si>
    <t>008</t>
  </si>
  <si>
    <t>15/01/2018</t>
  </si>
  <si>
    <t>45.000,00</t>
  </si>
  <si>
    <t>01/2018</t>
  </si>
  <si>
    <t>FORNECEDOR ABC</t>
  </si>
  <si>
    <t>4</t>
  </si>
  <si>
    <t>OPERACIONAL</t>
  </si>
  <si>
    <t>DESPESAS OPERACIONAIS</t>
  </si>
  <si>
    <t>DESPESA</t>
  </si>
  <si>
    <t>6</t>
  </si>
  <si>
    <t>ALUGUEL DE GALPÃO</t>
  </si>
  <si>
    <t>CUSTOS COM PESSOAL</t>
  </si>
  <si>
    <t>VENDA</t>
  </si>
  <si>
    <t>RECEITAS OPERACIONAIS</t>
  </si>
  <si>
    <t>RECEITA</t>
  </si>
  <si>
    <t>(Vários itens)</t>
  </si>
  <si>
    <t>SAÍDA</t>
  </si>
  <si>
    <t>ENTRADA</t>
  </si>
  <si>
    <t>PRODUTO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</si>
</sst>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R$&quot;* #,##0.00_-;\-&quot;R$&quot;* #,##0.00_-;_-&quot;R$&quot;* &quot;-&quot;??_-;_-@_-"/>
    <numFmt numFmtId="43" formatCode="_-* #,##0.00_-;\-* #,##0.00_-;_-* &quot;-&quot;??_-;_-@_-"/>
    <numFmt numFmtId="164" formatCode="_(* #,##0.00_);_(* \(#,##0.00\);_(* &quot;-&quot;??_);_(@_)"/>
    <numFmt numFmtId="165" formatCode="dd/mm/yy;@"/>
    <numFmt numFmtId="166" formatCode="#,##0.00_ ;[Red]\-#,##0.00\ "/>
    <numFmt numFmtId="167" formatCode="[$-416]mmm\-yy;@"/>
    <numFmt numFmtId="168" formatCode="000"/>
    <numFmt numFmtId="169" formatCode="0.0%"/>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0"/>
      <name val="Calibri"/>
      <family val="2"/>
      <scheme val="minor"/>
    </font>
    <font>
      <sz val="9"/>
      <color indexed="81"/>
      <name val="Segoe UI"/>
      <family val="2"/>
    </font>
    <font>
      <u/>
      <sz val="9"/>
      <color indexed="81"/>
      <name val="Segoe UI"/>
      <family val="2"/>
    </font>
    <font>
      <i/>
      <u/>
      <sz val="8"/>
      <color theme="0"/>
      <name val="Tahoma"/>
      <family val="2"/>
    </font>
    <font>
      <sz val="9"/>
      <color rgb="FF001BA0"/>
      <name val="Arial"/>
      <family val="2"/>
    </font>
    <font>
      <sz val="8"/>
      <color theme="1"/>
      <name val="Calibri"/>
      <family val="2"/>
      <scheme val="minor"/>
    </font>
    <font>
      <u/>
      <sz val="11"/>
      <color theme="1"/>
      <name val="Calibri"/>
      <family val="2"/>
      <scheme val="minor"/>
    </font>
    <font>
      <b/>
      <sz val="11"/>
      <color theme="0"/>
      <name val="Calibri"/>
      <family val="2"/>
      <scheme val="minor"/>
    </font>
    <font>
      <sz val="11"/>
      <color theme="8" tint="-0.249977111117893"/>
      <name val="Calibri"/>
      <family val="2"/>
      <scheme val="minor"/>
    </font>
    <font>
      <b/>
      <sz val="9"/>
      <color indexed="81"/>
      <name val="Segoe UI"/>
      <family val="2"/>
    </font>
    <font>
      <b/>
      <sz val="14"/>
      <color theme="8" tint="-0.249977111117893"/>
      <name val="Calibri"/>
      <family val="2"/>
      <scheme val="minor"/>
    </font>
    <font>
      <sz val="11"/>
      <color rgb="FF0070C0"/>
      <name val="Calibri"/>
      <family val="2"/>
      <scheme val="minor"/>
    </font>
    <font>
      <u/>
      <sz val="8"/>
      <color theme="1"/>
      <name val="Calibri"/>
      <family val="2"/>
      <scheme val="minor"/>
    </font>
    <font>
      <sz val="9"/>
      <color theme="0"/>
      <name val="Calibri"/>
      <family val="2"/>
      <scheme val="minor"/>
    </font>
    <font>
      <sz val="9"/>
      <color theme="1"/>
      <name val="Calibri"/>
      <family val="2"/>
      <scheme val="minor"/>
    </font>
    <font>
      <b/>
      <sz val="9"/>
      <color theme="1"/>
      <name val="Calibri"/>
      <family val="2"/>
      <scheme val="minor"/>
    </font>
    <font>
      <u/>
      <sz val="9"/>
      <color theme="1"/>
      <name val="Calibri"/>
      <family val="2"/>
      <scheme val="minor"/>
    </font>
    <font>
      <i/>
      <sz val="9"/>
      <color theme="0" tint="-0.499984740745262"/>
      <name val="Calibri"/>
      <family val="2"/>
      <scheme val="minor"/>
    </font>
    <font>
      <b/>
      <sz val="16"/>
      <color theme="0"/>
      <name val="Calibri"/>
      <family val="2"/>
      <scheme val="minor"/>
    </font>
    <font>
      <b/>
      <sz val="11"/>
      <color rgb="FFC00000"/>
      <name val="Calibri"/>
      <family val="2"/>
      <scheme val="minor"/>
    </font>
  </fonts>
  <fills count="16">
    <fill>
      <patternFill patternType="none"/>
    </fill>
    <fill>
      <patternFill patternType="gray125"/>
    </fill>
    <fill>
      <gradientFill degree="270">
        <stop position="0">
          <color theme="0"/>
        </stop>
        <stop position="1">
          <color theme="9" tint="-0.25098422193060094"/>
        </stop>
      </gradientFill>
    </fill>
    <fill>
      <gradientFill degree="270">
        <stop position="0">
          <color theme="0"/>
        </stop>
        <stop position="1">
          <color theme="7" tint="-0.25098422193060094"/>
        </stop>
      </gradientFill>
    </fill>
    <fill>
      <gradientFill degree="270">
        <stop position="0">
          <color theme="0"/>
        </stop>
        <stop position="1">
          <color rgb="FF66FF33"/>
        </stop>
      </gradientFill>
    </fill>
    <fill>
      <gradientFill degree="270">
        <stop position="0">
          <color theme="0"/>
        </stop>
        <stop position="1">
          <color theme="1" tint="0.49803155613879818"/>
        </stop>
      </gradientFill>
    </fill>
    <fill>
      <patternFill patternType="solid">
        <fgColor rgb="FF0070C0"/>
        <bgColor indexed="64"/>
      </patternFill>
    </fill>
    <fill>
      <gradientFill degree="270">
        <stop position="0">
          <color theme="0"/>
        </stop>
        <stop position="1">
          <color rgb="FFFFFF66"/>
        </stop>
      </gradientFill>
    </fill>
    <fill>
      <gradientFill degree="270">
        <stop position="0">
          <color theme="0"/>
        </stop>
        <stop position="1">
          <color theme="2" tint="-0.74901577806939912"/>
        </stop>
      </gradientFill>
    </fill>
    <fill>
      <gradientFill degree="270">
        <stop position="0">
          <color theme="0"/>
        </stop>
        <stop position="1">
          <color theme="4" tint="0.40000610370189521"/>
        </stop>
      </gradientFill>
    </fill>
    <fill>
      <gradientFill degree="270">
        <stop position="0">
          <color theme="0"/>
        </stop>
        <stop position="1">
          <color theme="9" tint="-0.49803155613879818"/>
        </stop>
      </gradientFill>
    </fill>
    <fill>
      <patternFill patternType="solid">
        <fgColor theme="0" tint="-0.14999847407452621"/>
        <bgColor indexed="64"/>
      </patternFill>
    </fill>
    <fill>
      <gradientFill degree="90">
        <stop position="0">
          <color theme="0"/>
        </stop>
        <stop position="1">
          <color theme="5" tint="0.40000610370189521"/>
        </stop>
      </gradientFill>
    </fill>
    <fill>
      <gradientFill degree="90">
        <stop position="0">
          <color theme="0"/>
        </stop>
        <stop position="0.5">
          <color theme="2" tint="-0.25098422193060094"/>
        </stop>
        <stop position="1">
          <color theme="0"/>
        </stop>
      </gradientFill>
    </fill>
    <fill>
      <gradientFill degree="90">
        <stop position="0">
          <color theme="0"/>
        </stop>
        <stop position="1">
          <color theme="4" tint="0.59999389629810485"/>
        </stop>
      </gradientFill>
    </fill>
    <fill>
      <gradientFill type="path" left="0.5" right="0.5" top="0.5" bottom="0.5">
        <stop position="0">
          <color theme="0"/>
        </stop>
        <stop position="1">
          <color theme="7" tint="-0.25098422193060094"/>
        </stop>
      </gradientFill>
    </fill>
  </fills>
  <borders count="17">
    <border>
      <left/>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theme="0" tint="-0.34998626667073579"/>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44" fontId="1" fillId="0" borderId="0" applyFont="0" applyFill="0" applyBorder="0" applyAlignment="0" applyProtection="0"/>
  </cellStyleXfs>
  <cellXfs count="132">
    <xf numFmtId="0" fontId="0" fillId="0" borderId="0" xfId="0"/>
    <xf numFmtId="166" fontId="0" fillId="0" borderId="0" xfId="0" applyNumberFormat="1"/>
    <xf numFmtId="0" fontId="0" fillId="0" borderId="0" xfId="0" pivotButton="1"/>
    <xf numFmtId="0" fontId="0" fillId="0" borderId="0" xfId="0" applyAlignment="1">
      <alignment horizontal="left"/>
    </xf>
    <xf numFmtId="0" fontId="4" fillId="0" borderId="0" xfId="0" applyFont="1" applyAlignment="1">
      <alignment vertical="center"/>
    </xf>
    <xf numFmtId="0" fontId="4" fillId="0" borderId="0" xfId="0" applyFont="1"/>
    <xf numFmtId="0" fontId="4" fillId="0" borderId="0" xfId="0" applyFont="1" applyAlignment="1">
      <alignment horizontal="center"/>
    </xf>
    <xf numFmtId="164" fontId="2" fillId="0" borderId="0" xfId="1" applyFont="1" applyBorder="1" applyAlignment="1">
      <alignment vertical="top" wrapText="1"/>
    </xf>
    <xf numFmtId="0" fontId="5" fillId="0" borderId="0" xfId="0" applyFont="1"/>
    <xf numFmtId="0" fontId="9" fillId="0" borderId="0" xfId="0" applyFont="1"/>
    <xf numFmtId="0" fontId="10" fillId="0" borderId="0" xfId="0" applyFont="1"/>
    <xf numFmtId="0" fontId="10" fillId="0" borderId="0" xfId="0" pivotButton="1" applyFont="1"/>
    <xf numFmtId="0" fontId="10" fillId="0" borderId="0" xfId="0" applyFont="1" applyAlignment="1">
      <alignment horizontal="left"/>
    </xf>
    <xf numFmtId="166" fontId="10" fillId="0" borderId="0" xfId="0" applyNumberFormat="1" applyFont="1"/>
    <xf numFmtId="0" fontId="3" fillId="3" borderId="1" xfId="0" applyFont="1" applyFill="1" applyBorder="1" applyAlignment="1">
      <alignment horizontal="center" vertical="top"/>
    </xf>
    <xf numFmtId="0" fontId="10" fillId="0" borderId="0" xfId="0" applyFont="1" applyAlignment="1">
      <alignment horizontal="center"/>
    </xf>
    <xf numFmtId="0" fontId="3" fillId="5" borderId="1" xfId="0" applyFont="1" applyFill="1" applyBorder="1" applyAlignment="1">
      <alignment horizontal="center" vertical="center"/>
    </xf>
    <xf numFmtId="0" fontId="11" fillId="0" borderId="0" xfId="0" pivotButton="1" applyFont="1"/>
    <xf numFmtId="0" fontId="10" fillId="0" borderId="0" xfId="0" pivotButton="1" applyFont="1" applyAlignment="1">
      <alignment horizontal="center"/>
    </xf>
    <xf numFmtId="0" fontId="4" fillId="0" borderId="0" xfId="0" applyFont="1" applyFill="1"/>
    <xf numFmtId="0" fontId="13" fillId="0" borderId="0" xfId="0" applyFont="1" applyFill="1"/>
    <xf numFmtId="164" fontId="8" fillId="0" borderId="0" xfId="1" applyFont="1" applyFill="1" applyAlignment="1">
      <alignment horizontal="right"/>
    </xf>
    <xf numFmtId="0" fontId="15" fillId="0" borderId="0" xfId="0" applyFont="1" applyFill="1" applyAlignment="1">
      <alignment horizontal="center"/>
    </xf>
    <xf numFmtId="0" fontId="3" fillId="7" borderId="1" xfId="0" applyNumberFormat="1" applyFont="1" applyFill="1" applyBorder="1" applyAlignment="1">
      <alignment horizontal="center" vertical="top"/>
    </xf>
    <xf numFmtId="0" fontId="1" fillId="0" borderId="0" xfId="1" applyNumberFormat="1" applyFont="1" applyAlignment="1">
      <alignment horizontal="left" vertical="center"/>
    </xf>
    <xf numFmtId="0" fontId="0" fillId="0" borderId="0" xfId="0" pivotButton="1" applyFont="1"/>
    <xf numFmtId="0" fontId="2" fillId="0" borderId="0" xfId="0" applyFont="1" applyAlignment="1">
      <alignment horizontal="left" indent="1"/>
    </xf>
    <xf numFmtId="0" fontId="0" fillId="0" borderId="0" xfId="0" applyFont="1"/>
    <xf numFmtId="0" fontId="0" fillId="0" borderId="0" xfId="0" pivotButton="1" applyFont="1" applyAlignment="1">
      <alignment horizontal="right"/>
    </xf>
    <xf numFmtId="167" fontId="0" fillId="0" borderId="0" xfId="0" applyNumberFormat="1" applyFont="1" applyAlignment="1">
      <alignment horizontal="center"/>
    </xf>
    <xf numFmtId="0" fontId="2" fillId="0" borderId="0" xfId="0" applyFont="1" applyAlignment="1">
      <alignment horizontal="left"/>
    </xf>
    <xf numFmtId="166" fontId="0" fillId="0" borderId="0" xfId="0" applyNumberFormat="1" applyFont="1"/>
    <xf numFmtId="0" fontId="2" fillId="0" borderId="0" xfId="0" applyFont="1" applyAlignment="1">
      <alignment horizontal="left" indent="2"/>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12" fillId="8" borderId="1" xfId="0" applyFont="1" applyFill="1" applyBorder="1" applyAlignment="1">
      <alignment horizontal="center" vertical="top"/>
    </xf>
    <xf numFmtId="0" fontId="3" fillId="9" borderId="1" xfId="0" applyFont="1" applyFill="1" applyBorder="1" applyAlignment="1">
      <alignment horizontal="center" vertical="center"/>
    </xf>
    <xf numFmtId="0" fontId="10" fillId="0" borderId="0" xfId="0" quotePrefix="1" applyFont="1"/>
    <xf numFmtId="0" fontId="4" fillId="0" borderId="0" xfId="1" applyNumberFormat="1" applyFont="1" applyAlignment="1">
      <alignment horizontal="left" vertical="center"/>
    </xf>
    <xf numFmtId="164" fontId="1" fillId="0" borderId="0" xfId="1" applyFont="1" applyAlignment="1">
      <alignment horizontal="left" vertical="center"/>
    </xf>
    <xf numFmtId="0" fontId="16" fillId="0" borderId="0" xfId="0" applyFont="1"/>
    <xf numFmtId="0" fontId="16" fillId="0" borderId="0" xfId="0" applyFont="1" applyAlignment="1">
      <alignment horizontal="left"/>
    </xf>
    <xf numFmtId="168" fontId="12" fillId="10" borderId="2" xfId="1" applyNumberFormat="1" applyFont="1" applyFill="1" applyBorder="1" applyAlignment="1">
      <alignment horizontal="center" vertical="top" wrapText="1"/>
    </xf>
    <xf numFmtId="0" fontId="12" fillId="10" borderId="2" xfId="1" applyNumberFormat="1" applyFont="1" applyFill="1" applyBorder="1" applyAlignment="1">
      <alignment horizontal="center" vertical="top" wrapText="1"/>
    </xf>
    <xf numFmtId="166" fontId="12" fillId="10" borderId="2" xfId="2" applyNumberFormat="1" applyFont="1" applyFill="1" applyBorder="1" applyAlignment="1">
      <alignment horizontal="center" vertical="top" wrapText="1"/>
    </xf>
    <xf numFmtId="167" fontId="12" fillId="10" borderId="2" xfId="1" applyNumberFormat="1" applyFont="1" applyFill="1" applyBorder="1" applyAlignment="1">
      <alignment horizontal="center" vertical="top" wrapText="1"/>
    </xf>
    <xf numFmtId="165" fontId="12" fillId="10" borderId="2" xfId="1" applyNumberFormat="1" applyFont="1" applyFill="1" applyBorder="1" applyAlignment="1">
      <alignment horizontal="center" vertical="top" wrapText="1"/>
    </xf>
    <xf numFmtId="0" fontId="12" fillId="2" borderId="1" xfId="0" applyFont="1" applyFill="1" applyBorder="1" applyAlignment="1">
      <alignment horizontal="center" vertical="top"/>
    </xf>
    <xf numFmtId="0" fontId="4" fillId="0" borderId="0" xfId="0" applyFont="1" applyAlignment="1">
      <alignment horizontal="left"/>
    </xf>
    <xf numFmtId="164" fontId="12" fillId="10" borderId="2" xfId="1" applyFont="1" applyFill="1" applyBorder="1" applyAlignment="1">
      <alignment horizontal="center" vertical="top" wrapText="1"/>
    </xf>
    <xf numFmtId="0" fontId="11" fillId="0" borderId="0" xfId="0" applyFont="1"/>
    <xf numFmtId="0" fontId="0" fillId="0" borderId="0" xfId="0" applyFont="1" applyAlignment="1">
      <alignment horizontal="center"/>
    </xf>
    <xf numFmtId="0" fontId="0" fillId="0" borderId="0" xfId="0" applyFont="1" applyAlignment="1">
      <alignment horizontal="left" indent="3"/>
    </xf>
    <xf numFmtId="166" fontId="0" fillId="0" borderId="0" xfId="1" applyNumberFormat="1" applyFont="1"/>
    <xf numFmtId="167" fontId="0" fillId="0" borderId="0" xfId="0" applyNumberFormat="1" applyFont="1"/>
    <xf numFmtId="0" fontId="0" fillId="0" borderId="0" xfId="0" pivotButton="1" applyAlignment="1">
      <alignment vertical="center"/>
    </xf>
    <xf numFmtId="0" fontId="0" fillId="0" borderId="0" xfId="0" applyAlignment="1">
      <alignment horizontal="center" vertical="center"/>
    </xf>
    <xf numFmtId="166" fontId="0" fillId="0" borderId="0" xfId="1" applyNumberFormat="1" applyFont="1" applyAlignment="1">
      <alignment vertical="center"/>
    </xf>
    <xf numFmtId="0" fontId="0" fillId="0" borderId="0" xfId="0" applyAlignment="1">
      <alignment vertical="center"/>
    </xf>
    <xf numFmtId="0" fontId="17" fillId="0" borderId="0" xfId="0" pivotButton="1" applyFont="1"/>
    <xf numFmtId="0" fontId="3" fillId="4" borderId="3" xfId="0" applyFont="1" applyFill="1" applyBorder="1" applyAlignment="1">
      <alignment horizontal="center" vertical="center"/>
    </xf>
    <xf numFmtId="164" fontId="4" fillId="0" borderId="0" xfId="1" applyFont="1"/>
    <xf numFmtId="165" fontId="0" fillId="0" borderId="0" xfId="0" applyNumberFormat="1" applyFont="1" applyAlignment="1">
      <alignment horizontal="left"/>
    </xf>
    <xf numFmtId="0" fontId="3" fillId="12" borderId="1" xfId="0" applyFont="1" applyFill="1" applyBorder="1" applyAlignment="1">
      <alignment horizontal="center" vertical="top"/>
    </xf>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Fill="1" applyBorder="1"/>
    <xf numFmtId="167" fontId="0" fillId="0" borderId="0" xfId="0" applyNumberFormat="1" applyAlignment="1">
      <alignment horizontal="left"/>
    </xf>
    <xf numFmtId="164" fontId="0" fillId="0" borderId="0" xfId="1" applyFont="1"/>
    <xf numFmtId="0" fontId="2" fillId="13" borderId="0" xfId="0" applyFont="1" applyFill="1" applyAlignment="1">
      <alignment horizontal="right" vertical="center"/>
    </xf>
    <xf numFmtId="166" fontId="2" fillId="13" borderId="0" xfId="1" applyNumberFormat="1" applyFont="1" applyFill="1" applyAlignment="1">
      <alignment vertical="center"/>
    </xf>
    <xf numFmtId="167" fontId="0" fillId="0" borderId="0" xfId="0" applyNumberFormat="1" applyAlignment="1">
      <alignment horizontal="left" indent="1"/>
    </xf>
    <xf numFmtId="0" fontId="0" fillId="0" borderId="0" xfId="0" applyAlignment="1">
      <alignment horizontal="center"/>
    </xf>
    <xf numFmtId="167" fontId="0" fillId="0" borderId="0" xfId="0" applyNumberFormat="1" applyAlignment="1">
      <alignment horizontal="center"/>
    </xf>
    <xf numFmtId="164" fontId="3" fillId="0" borderId="0" xfId="1" applyFont="1" applyAlignment="1">
      <alignment horizontal="right" vertical="center"/>
    </xf>
    <xf numFmtId="164" fontId="3" fillId="0" borderId="0" xfId="1" applyFont="1" applyAlignment="1">
      <alignment vertical="center"/>
    </xf>
    <xf numFmtId="164" fontId="3" fillId="0" borderId="0" xfId="1" applyFont="1" applyFill="1" applyAlignment="1">
      <alignment horizontal="right" vertical="center"/>
    </xf>
    <xf numFmtId="164" fontId="3" fillId="0" borderId="0" xfId="1" applyFont="1" applyFill="1" applyAlignment="1">
      <alignment vertical="center"/>
    </xf>
    <xf numFmtId="0" fontId="18" fillId="0" borderId="0" xfId="0" applyFont="1"/>
    <xf numFmtId="164" fontId="18" fillId="0" borderId="0" xfId="1" applyFont="1"/>
    <xf numFmtId="0" fontId="19" fillId="0" borderId="0" xfId="0" applyFont="1"/>
    <xf numFmtId="0" fontId="19" fillId="0" borderId="0" xfId="0" pivotButton="1" applyFont="1"/>
    <xf numFmtId="14" fontId="18" fillId="0" borderId="0" xfId="0" applyNumberFormat="1" applyFont="1" applyFill="1" applyBorder="1" applyAlignment="1">
      <alignment horizontal="left"/>
    </xf>
    <xf numFmtId="0" fontId="19" fillId="0" borderId="10" xfId="0" applyFont="1" applyBorder="1" applyAlignment="1">
      <alignment horizontal="center"/>
    </xf>
    <xf numFmtId="167" fontId="20" fillId="14" borderId="3" xfId="0" applyNumberFormat="1" applyFont="1" applyFill="1" applyBorder="1" applyAlignment="1">
      <alignment horizontal="center" vertical="center"/>
    </xf>
    <xf numFmtId="0" fontId="19" fillId="0" borderId="14" xfId="0" applyFont="1" applyBorder="1" applyAlignment="1">
      <alignment horizontal="center"/>
    </xf>
    <xf numFmtId="169" fontId="19" fillId="14" borderId="15" xfId="0" applyNumberFormat="1" applyFont="1" applyFill="1" applyBorder="1" applyAlignment="1">
      <alignment horizontal="center"/>
    </xf>
    <xf numFmtId="14" fontId="19" fillId="0" borderId="0" xfId="0" applyNumberFormat="1" applyFont="1"/>
    <xf numFmtId="0" fontId="19" fillId="0" borderId="3" xfId="0" applyFont="1" applyBorder="1" applyAlignment="1">
      <alignment horizontal="center"/>
    </xf>
    <xf numFmtId="0" fontId="20" fillId="0" borderId="11" xfId="0" applyFont="1" applyBorder="1" applyAlignment="1">
      <alignment horizontal="center"/>
    </xf>
    <xf numFmtId="43" fontId="20" fillId="15" borderId="16" xfId="0" applyNumberFormat="1" applyFont="1" applyFill="1" applyBorder="1"/>
    <xf numFmtId="0" fontId="21" fillId="0" borderId="0" xfId="0" applyFont="1"/>
    <xf numFmtId="0" fontId="19" fillId="0" borderId="0" xfId="0" pivotButton="1" applyFont="1" applyAlignment="1">
      <alignment horizontal="left"/>
    </xf>
    <xf numFmtId="167" fontId="19" fillId="0" borderId="0" xfId="0" applyNumberFormat="1" applyFont="1" applyAlignment="1">
      <alignment horizontal="center"/>
    </xf>
    <xf numFmtId="0" fontId="19" fillId="0" borderId="0" xfId="0" applyFont="1" applyAlignment="1">
      <alignment horizontal="center"/>
    </xf>
    <xf numFmtId="0" fontId="19" fillId="0" borderId="0" xfId="0" applyFont="1" applyAlignment="1">
      <alignment horizontal="left"/>
    </xf>
    <xf numFmtId="166" fontId="19" fillId="0" borderId="0" xfId="0" applyNumberFormat="1" applyFont="1"/>
    <xf numFmtId="166" fontId="22" fillId="0" borderId="0" xfId="0" applyNumberFormat="1" applyFont="1"/>
    <xf numFmtId="167" fontId="19" fillId="0" borderId="0" xfId="0" applyNumberFormat="1" applyFont="1" applyAlignment="1">
      <alignment horizontal="left"/>
    </xf>
    <xf numFmtId="168" fontId="1" fillId="0" borderId="0" xfId="1" applyNumberFormat="1" applyFont="1" applyAlignment="1">
      <alignment horizontal="center" vertical="center"/>
    </xf>
    <xf numFmtId="165" fontId="1" fillId="0" borderId="0" xfId="1" applyNumberFormat="1" applyFont="1" applyAlignment="1">
      <alignment horizontal="center" vertical="center"/>
    </xf>
    <xf numFmtId="166" fontId="1" fillId="0" borderId="0" xfId="2" applyNumberFormat="1" applyFont="1" applyAlignment="1">
      <alignment vertical="center"/>
    </xf>
    <xf numFmtId="0" fontId="5" fillId="0" borderId="0" xfId="1" applyNumberFormat="1" applyFont="1" applyFill="1" applyAlignment="1">
      <alignment horizontal="left" vertical="center"/>
    </xf>
    <xf numFmtId="0" fontId="5" fillId="0" borderId="0" xfId="1" applyNumberFormat="1" applyFont="1" applyFill="1" applyAlignment="1">
      <alignment vertical="center"/>
    </xf>
    <xf numFmtId="166" fontId="5" fillId="0" borderId="0" xfId="2" applyNumberFormat="1" applyFont="1" applyFill="1" applyAlignment="1">
      <alignment vertical="center"/>
    </xf>
    <xf numFmtId="0" fontId="5" fillId="0" borderId="0" xfId="1" applyNumberFormat="1" applyFont="1" applyFill="1" applyAlignment="1">
      <alignment horizontal="center" vertical="center"/>
    </xf>
    <xf numFmtId="0" fontId="4" fillId="0" borderId="0" xfId="1" applyNumberFormat="1" applyFont="1" applyAlignment="1">
      <alignment vertical="center"/>
    </xf>
    <xf numFmtId="0" fontId="1" fillId="0" borderId="0" xfId="1" applyNumberFormat="1" applyFont="1" applyAlignment="1">
      <alignment horizontal="center" vertical="center"/>
    </xf>
    <xf numFmtId="167" fontId="1" fillId="0" borderId="0" xfId="1" applyNumberFormat="1" applyFont="1" applyAlignment="1">
      <alignment horizontal="center" vertical="center"/>
    </xf>
    <xf numFmtId="164" fontId="1" fillId="0" borderId="0" xfId="1" applyFont="1" applyAlignment="1">
      <alignment horizontal="center" vertical="center"/>
    </xf>
    <xf numFmtId="167" fontId="1" fillId="0" borderId="0" xfId="1" applyNumberFormat="1" applyFont="1" applyAlignment="1">
      <alignment horizontal="left" vertical="center"/>
    </xf>
    <xf numFmtId="164" fontId="1" fillId="0" borderId="0" xfId="1" applyFont="1" applyAlignment="1">
      <alignment vertical="center"/>
    </xf>
    <xf numFmtId="0" fontId="1" fillId="0" borderId="0" xfId="1" applyNumberFormat="1" applyFont="1" applyAlignment="1">
      <alignment vertical="center"/>
    </xf>
    <xf numFmtId="0" fontId="20" fillId="0" borderId="3" xfId="0" applyFont="1" applyBorder="1" applyAlignment="1">
      <alignment horizontal="center"/>
    </xf>
    <xf numFmtId="0" fontId="19" fillId="0" borderId="0" xfId="0" applyFont="1" applyAlignment="1">
      <alignment horizontal="left" indent="3"/>
    </xf>
    <xf numFmtId="0" fontId="22" fillId="0" borderId="0" xfId="0" applyFont="1" applyAlignment="1">
      <alignment horizontal="left" indent="3"/>
    </xf>
    <xf numFmtId="169" fontId="20" fillId="15" borderId="3" xfId="0" applyNumberFormat="1" applyFont="1" applyFill="1" applyBorder="1" applyAlignment="1">
      <alignment horizontal="center"/>
    </xf>
    <xf numFmtId="0" fontId="0" fillId="0" borderId="0" xfId="0" applyFill="1"/>
    <xf numFmtId="0" fontId="2" fillId="0" borderId="0" xfId="0" applyFont="1" applyFill="1" applyAlignment="1">
      <alignment horizontal="right" vertical="center"/>
    </xf>
    <xf numFmtId="166" fontId="2" fillId="0" borderId="0" xfId="1" applyNumberFormat="1" applyFont="1" applyFill="1" applyAlignment="1">
      <alignment vertical="center"/>
    </xf>
    <xf numFmtId="0" fontId="23" fillId="6" borderId="0" xfId="0" applyFont="1" applyFill="1" applyAlignment="1">
      <alignment horizontal="center" vertical="center"/>
    </xf>
    <xf numFmtId="0" fontId="20" fillId="0" borderId="3" xfId="0" applyFont="1" applyBorder="1" applyAlignment="1">
      <alignment horizontal="center"/>
    </xf>
    <xf numFmtId="0" fontId="20" fillId="0" borderId="12" xfId="0" applyFont="1" applyBorder="1" applyAlignment="1">
      <alignment horizontal="center"/>
    </xf>
    <xf numFmtId="0" fontId="20" fillId="0" borderId="13" xfId="0" applyFont="1" applyBorder="1" applyAlignment="1">
      <alignment horizontal="center"/>
    </xf>
    <xf numFmtId="0" fontId="2" fillId="11" borderId="0" xfId="0" applyFont="1" applyFill="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166" fontId="2" fillId="0" borderId="0" xfId="0" applyNumberFormat="1" applyFont="1" applyAlignment="1">
      <alignment horizontal="center"/>
    </xf>
    <xf numFmtId="0" fontId="24" fillId="0" borderId="0" xfId="0" applyFont="1" applyAlignment="1">
      <alignment horizontal="center"/>
    </xf>
  </cellXfs>
  <cellStyles count="3">
    <cellStyle name="Moeda" xfId="2" builtinId="4"/>
    <cellStyle name="Normal" xfId="0" builtinId="0"/>
    <cellStyle name="Vírgula" xfId="1" builtinId="3"/>
  </cellStyles>
  <dxfs count="355">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numFmt numFmtId="166" formatCode="#,##0.00_ ;[Red]\-#,##0.00\ "/>
    </dxf>
    <dxf>
      <font>
        <u/>
      </font>
    </dxf>
    <dxf>
      <numFmt numFmtId="166" formatCode="#,##0.00_ ;[Red]\-#,##0.00\ "/>
    </dxf>
    <dxf>
      <font>
        <u/>
      </font>
    </dxf>
    <dxf>
      <numFmt numFmtId="166" formatCode="#,##0.00_ ;[Red]\-#,##0.00\ "/>
    </dxf>
    <dxf>
      <alignment horizontal="center"/>
    </dxf>
    <dxf>
      <numFmt numFmtId="166" formatCode="#,##0.00_ ;[Red]\-#,##0.00\ "/>
    </dxf>
    <dxf>
      <font>
        <sz val="11"/>
      </font>
    </dxf>
    <dxf>
      <alignment horizontal="right" readingOrder="0"/>
    </dxf>
    <dxf>
      <font>
        <sz val="8"/>
      </font>
    </dxf>
    <dxf>
      <font>
        <u/>
      </font>
    </dxf>
    <dxf>
      <font>
        <sz val="8"/>
      </font>
    </dxf>
    <dxf>
      <font>
        <sz val="8"/>
      </font>
    </dxf>
    <dxf>
      <font>
        <sz val="8"/>
      </font>
    </dxf>
    <dxf>
      <font>
        <sz val="8"/>
      </font>
    </dxf>
    <dxf>
      <font>
        <sz val="8"/>
      </font>
    </dxf>
    <dxf>
      <font>
        <sz val="8"/>
      </font>
    </dxf>
    <dxf>
      <font>
        <sz val="8"/>
      </font>
    </dxf>
    <dxf>
      <numFmt numFmtId="166" formatCode="#,##0.00_ ;[Red]\-#,##0.00\ "/>
    </dxf>
    <dxf>
      <font>
        <sz val="8"/>
      </font>
    </dxf>
    <dxf>
      <numFmt numFmtId="166" formatCode="#,##0.00_ ;[Red]\-#,##0.00\ "/>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font>
        <sz val="8"/>
      </font>
    </dxf>
    <dxf>
      <font>
        <sz val="8"/>
      </font>
    </dxf>
    <dxf>
      <font>
        <sz val="8"/>
      </font>
    </dxf>
    <dxf>
      <font>
        <sz val="8"/>
      </font>
    </dxf>
    <dxf>
      <font>
        <sz val="8"/>
      </font>
    </dxf>
    <dxf>
      <font>
        <sz val="8"/>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horizontal="left"/>
    </dxf>
    <dxf>
      <font>
        <sz val="8"/>
      </font>
    </dxf>
    <dxf>
      <font>
        <sz val="8"/>
      </font>
    </dxf>
    <dxf>
      <alignment horizontal="center"/>
    </dxf>
    <dxf>
      <alignment horizontal="center"/>
    </dxf>
    <dxf>
      <alignment horizontal="center"/>
    </dxf>
    <dxf>
      <font>
        <color theme="0" tint="-0.499984740745262"/>
      </font>
    </dxf>
    <dxf>
      <font>
        <i/>
      </font>
    </dxf>
    <dxf>
      <numFmt numFmtId="166" formatCode="#,##0.00_ ;[Red]\-#,##0.00\ "/>
    </dxf>
    <dxf>
      <numFmt numFmtId="166" formatCode="#,##0.00_ ;[Red]\-#,##0.00\ "/>
    </dxf>
    <dxf>
      <font>
        <u/>
      </font>
    </dxf>
    <dxf>
      <font>
        <sz val="9"/>
      </font>
    </dxf>
    <dxf>
      <font>
        <sz val="9"/>
      </font>
    </dxf>
    <dxf>
      <font>
        <sz val="9"/>
      </font>
    </dxf>
    <dxf>
      <font>
        <sz val="9"/>
      </font>
    </dxf>
    <dxf>
      <font>
        <sz val="9"/>
      </font>
    </dxf>
    <dxf>
      <font>
        <sz val="9"/>
      </font>
    </dxf>
    <dxf>
      <numFmt numFmtId="166" formatCode="#,##0.00_ ;[Red]\-#,##0.00\ "/>
    </dxf>
    <dxf>
      <font>
        <u/>
      </font>
    </dxf>
    <dxf>
      <alignment vertical="center"/>
    </dxf>
    <dxf>
      <alignment vertical="center"/>
    </dxf>
    <dxf>
      <alignment horizontal="center"/>
    </dxf>
    <dxf>
      <alignment horizontal="center"/>
    </dxf>
    <dxf>
      <alignment horizontal="center"/>
    </dxf>
    <dxf>
      <numFmt numFmtId="166" formatCode="#,##0.00_ ;[Red]\-#,##0.00\ "/>
    </dxf>
    <dxf>
      <font>
        <u/>
      </font>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numFmt numFmtId="166" formatCode="#,##0.00_ ;[Red]\-#,##0.00\ "/>
    </dxf>
    <dxf>
      <alignment horizontal="center"/>
    </dxf>
    <dxf>
      <alignment horizontal="right"/>
    </dxf>
    <dxf>
      <alignment horizontal="center"/>
    </dxf>
    <dxf>
      <alignment horizontal="center"/>
    </dxf>
    <dxf>
      <alignment horizontal="center"/>
    </dxf>
    <dxf>
      <font>
        <u/>
      </font>
    </dxf>
    <dxf>
      <font>
        <sz val="8"/>
      </font>
    </dxf>
    <dxf>
      <font>
        <sz val="8"/>
      </font>
    </dxf>
    <dxf>
      <font>
        <sz val="8"/>
      </font>
    </dxf>
    <dxf>
      <font>
        <sz val="8"/>
      </font>
    </dxf>
    <dxf>
      <font>
        <sz val="8"/>
      </font>
    </dxf>
    <dxf>
      <font>
        <sz val="8"/>
      </font>
    </dxf>
    <dxf>
      <font>
        <sz val="8"/>
      </font>
    </dxf>
    <dxf>
      <numFmt numFmtId="166" formatCode="#,##0.00_ ;[Red]\-#,##0.00\ "/>
    </dxf>
    <dxf>
      <font>
        <sz val="11"/>
      </font>
    </dxf>
    <dxf>
      <alignment horizontal="right" readingOrder="0"/>
    </dxf>
    <dxf>
      <font>
        <sz val="8"/>
      </font>
    </dxf>
    <dxf>
      <alignment horizontal="center" readingOrder="0"/>
    </dxf>
    <dxf>
      <font>
        <u/>
      </font>
    </dxf>
    <dxf>
      <font>
        <sz val="8"/>
      </font>
    </dxf>
    <dxf>
      <font>
        <sz val="8"/>
      </font>
    </dxf>
    <dxf>
      <font>
        <sz val="8"/>
      </font>
    </dxf>
    <dxf>
      <font>
        <sz val="8"/>
      </font>
    </dxf>
    <dxf>
      <font>
        <sz val="8"/>
      </font>
    </dxf>
    <dxf>
      <font>
        <sz val="8"/>
      </font>
    </dxf>
    <dxf>
      <font>
        <sz val="8"/>
      </font>
    </dxf>
    <dxf>
      <numFmt numFmtId="166" formatCode="#,##0.00_ ;[Red]\-#,##0.00\ "/>
    </dxf>
    <dxf>
      <font>
        <sz val="11"/>
      </font>
    </dxf>
    <dxf>
      <alignment horizontal="right" readingOrder="0"/>
    </dxf>
    <dxf>
      <font>
        <sz val="8"/>
      </font>
    </dxf>
    <dxf>
      <alignment horizontal="center" readingOrder="0"/>
    </dxf>
    <dxf>
      <font>
        <u/>
      </font>
    </dxf>
    <dxf>
      <alignment horizontal="center"/>
    </dxf>
    <dxf>
      <font>
        <b/>
      </font>
    </dxf>
    <dxf>
      <font>
        <sz val="8"/>
      </font>
    </dxf>
    <dxf>
      <alignment vertical="center"/>
    </dxf>
    <dxf>
      <alignment vertical="center"/>
    </dxf>
    <dxf>
      <alignment horizontal="center"/>
    </dxf>
    <dxf>
      <border>
        <left style="thin">
          <color auto="1"/>
        </left>
        <right style="thin">
          <color auto="1"/>
        </right>
        <top style="thin">
          <color auto="1"/>
        </top>
        <bottom style="thin">
          <color auto="1"/>
        </bottom>
      </bord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MySqlDefault" pivot="0" table="0" count="0" xr9:uid="{00000000-0011-0000-FFFF-FFFF00000000}"/>
  </tableStyles>
  <colors>
    <mruColors>
      <color rgb="FFFFFF66"/>
      <color rgb="FF388A8C"/>
      <color rgb="FF990033"/>
      <color rgb="FFCC3300"/>
      <color rgb="FF48AFB2"/>
      <color rgb="FFC1D02E"/>
      <color rgb="FF759F79"/>
      <color rgb="FF3260F2"/>
      <color rgb="FFCFD24A"/>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microsoft.com/office/2007/relationships/slicerCache" Target="slicerCaches/slicerCache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pivotSource>
    <c:name>[Controle_Financeiro.xlsm]Apoio!Tabela dinâmica2</c:name>
    <c:fmtId val="4"/>
  </c:pivotSource>
  <c:chart>
    <c:title>
      <c:tx>
        <c:rich>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r>
              <a:rPr lang="en-US"/>
              <a:t>ANÁLISE DE RESULTADO MENSAL - REGIME DE CAIXA</a:t>
            </a:r>
          </a:p>
        </c:rich>
      </c:tx>
      <c:layout>
        <c:manualLayout>
          <c:xMode val="edge"/>
          <c:yMode val="edge"/>
          <c:x val="0.32089115511490379"/>
          <c:y val="1.3888888888888888E-2"/>
        </c:manualLayout>
      </c:layout>
      <c:overlay val="0"/>
      <c:spPr>
        <a:noFill/>
        <a:ln>
          <a:noFill/>
        </a:ln>
        <a:effectLst/>
      </c:spPr>
      <c:txPr>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endParaRPr lang="pt-BR"/>
        </a:p>
      </c:txPr>
    </c:title>
    <c:autoTitleDeleted val="0"/>
    <c:pivotFmts>
      <c:pivotFmt>
        <c:idx val="0"/>
      </c:pivotFmt>
      <c:pivotFmt>
        <c:idx val="1"/>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745703114853073E-2"/>
          <c:y val="0.58542869641294837"/>
          <c:w val="0.97250859377029386"/>
          <c:h val="0.16181758530183726"/>
        </c:manualLayout>
      </c:layout>
      <c:lineChart>
        <c:grouping val="standard"/>
        <c:varyColors val="0"/>
        <c:ser>
          <c:idx val="0"/>
          <c:order val="0"/>
          <c:tx>
            <c:strRef>
              <c:f>Apoio!$G$89</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Apoio!$F$90:$F$102</c:f>
              <c:strCache>
                <c:ptCount val="12"/>
                <c:pt idx="0">
                  <c:v>jan-18</c:v>
                </c:pt>
                <c:pt idx="1">
                  <c:v>fev-18</c:v>
                </c:pt>
                <c:pt idx="2">
                  <c:v>mar-18</c:v>
                </c:pt>
                <c:pt idx="3">
                  <c:v>abr-18</c:v>
                </c:pt>
                <c:pt idx="4">
                  <c:v>mai-18</c:v>
                </c:pt>
                <c:pt idx="5">
                  <c:v>jun-18</c:v>
                </c:pt>
                <c:pt idx="6">
                  <c:v>jul-18</c:v>
                </c:pt>
                <c:pt idx="7">
                  <c:v>ago-18</c:v>
                </c:pt>
                <c:pt idx="8">
                  <c:v>set-18</c:v>
                </c:pt>
                <c:pt idx="9">
                  <c:v>out-18</c:v>
                </c:pt>
                <c:pt idx="10">
                  <c:v>nov-18</c:v>
                </c:pt>
                <c:pt idx="11">
                  <c:v>dez-18</c:v>
                </c:pt>
              </c:strCache>
            </c:strRef>
          </c:cat>
          <c:val>
            <c:numRef>
              <c:f>Apoio!$G$90:$G$102</c:f>
              <c:numCache>
                <c:formatCode>#,##0.00_ ;[Red]\-#,##0.00\ </c:formatCode>
                <c:ptCount val="12"/>
                <c:pt idx="0">
                  <c:v>25000</c:v>
                </c:pt>
                <c:pt idx="1">
                  <c:v>25000</c:v>
                </c:pt>
                <c:pt idx="2">
                  <c:v>25000</c:v>
                </c:pt>
                <c:pt idx="3">
                  <c:v>25000</c:v>
                </c:pt>
                <c:pt idx="4">
                  <c:v>25000</c:v>
                </c:pt>
                <c:pt idx="5">
                  <c:v>25000</c:v>
                </c:pt>
                <c:pt idx="6">
                  <c:v>25000</c:v>
                </c:pt>
                <c:pt idx="7">
                  <c:v>25000</c:v>
                </c:pt>
                <c:pt idx="8">
                  <c:v>25000</c:v>
                </c:pt>
                <c:pt idx="9">
                  <c:v>25000</c:v>
                </c:pt>
                <c:pt idx="10">
                  <c:v>25000</c:v>
                </c:pt>
                <c:pt idx="11">
                  <c:v>25000</c:v>
                </c:pt>
              </c:numCache>
            </c:numRef>
          </c:val>
          <c:smooth val="0"/>
          <c:extLst>
            <c:ext xmlns:c16="http://schemas.microsoft.com/office/drawing/2014/chart" uri="{C3380CC4-5D6E-409C-BE32-E72D297353CC}">
              <c16:uniqueId val="{00000000-A84C-49AD-8DF1-BB73D9C55CB4}"/>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97945944"/>
        <c:axId val="597946600"/>
      </c:lineChart>
      <c:catAx>
        <c:axId val="5979459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pt-BR"/>
          </a:p>
        </c:txPr>
        <c:crossAx val="597946600"/>
        <c:crosses val="autoZero"/>
        <c:auto val="1"/>
        <c:lblAlgn val="ctr"/>
        <c:lblOffset val="100"/>
        <c:noMultiLvlLbl val="0"/>
      </c:catAx>
      <c:valAx>
        <c:axId val="597946600"/>
        <c:scaling>
          <c:orientation val="minMax"/>
        </c:scaling>
        <c:delete val="1"/>
        <c:axPos val="l"/>
        <c:numFmt formatCode="#,##0.00_ ;[Red]\-#,##0.00\ " sourceLinked="1"/>
        <c:majorTickMark val="none"/>
        <c:minorTickMark val="none"/>
        <c:tickLblPos val="nextTo"/>
        <c:crossAx val="597945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lt1">
          <a:lumMod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pivotSource>
    <c:name>[Controle_Financeiro.xlsm]Apoio!Tabela dinâmica3</c:name>
    <c:fmtId val="8"/>
  </c:pivotSource>
  <c:chart>
    <c:title>
      <c:tx>
        <c:rich>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r>
              <a:rPr lang="en-US"/>
              <a:t>ANÁLISE DE RESULTADO ACUMULADO - REGIME DE CAIXA</a:t>
            </a:r>
          </a:p>
        </c:rich>
      </c:tx>
      <c:overlay val="0"/>
      <c:spPr>
        <a:noFill/>
        <a:ln>
          <a:noFill/>
        </a:ln>
        <a:effectLst/>
      </c:spPr>
      <c:txPr>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endParaRPr lang="pt-BR"/>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301128165733504E-2"/>
          <c:y val="0.32314153038562482"/>
          <c:w val="0.97294027270981376"/>
          <c:h val="0.59993539269129825"/>
        </c:manualLayout>
      </c:layout>
      <c:lineChart>
        <c:grouping val="standard"/>
        <c:varyColors val="0"/>
        <c:ser>
          <c:idx val="0"/>
          <c:order val="0"/>
          <c:tx>
            <c:strRef>
              <c:f>Apoio!$J$89</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Apoio!$I$90:$I$102</c:f>
              <c:strCache>
                <c:ptCount val="12"/>
                <c:pt idx="0">
                  <c:v>jan-18</c:v>
                </c:pt>
                <c:pt idx="1">
                  <c:v>fev-18</c:v>
                </c:pt>
                <c:pt idx="2">
                  <c:v>mar-18</c:v>
                </c:pt>
                <c:pt idx="3">
                  <c:v>abr-18</c:v>
                </c:pt>
                <c:pt idx="4">
                  <c:v>mai-18</c:v>
                </c:pt>
                <c:pt idx="5">
                  <c:v>jun-18</c:v>
                </c:pt>
                <c:pt idx="6">
                  <c:v>jul-18</c:v>
                </c:pt>
                <c:pt idx="7">
                  <c:v>ago-18</c:v>
                </c:pt>
                <c:pt idx="8">
                  <c:v>set-18</c:v>
                </c:pt>
                <c:pt idx="9">
                  <c:v>out-18</c:v>
                </c:pt>
                <c:pt idx="10">
                  <c:v>nov-18</c:v>
                </c:pt>
                <c:pt idx="11">
                  <c:v>dez-18</c:v>
                </c:pt>
              </c:strCache>
            </c:strRef>
          </c:cat>
          <c:val>
            <c:numRef>
              <c:f>Apoio!$J$90:$J$102</c:f>
              <c:numCache>
                <c:formatCode>#,##0.00_ ;[Red]\-#,##0.00\ </c:formatCode>
                <c:ptCount val="12"/>
                <c:pt idx="0">
                  <c:v>25000</c:v>
                </c:pt>
                <c:pt idx="1">
                  <c:v>50000</c:v>
                </c:pt>
                <c:pt idx="2">
                  <c:v>75000</c:v>
                </c:pt>
                <c:pt idx="3">
                  <c:v>100000</c:v>
                </c:pt>
                <c:pt idx="4">
                  <c:v>125000</c:v>
                </c:pt>
                <c:pt idx="5">
                  <c:v>150000</c:v>
                </c:pt>
                <c:pt idx="6">
                  <c:v>175000</c:v>
                </c:pt>
                <c:pt idx="7">
                  <c:v>200000</c:v>
                </c:pt>
                <c:pt idx="8">
                  <c:v>225000</c:v>
                </c:pt>
                <c:pt idx="9">
                  <c:v>250000</c:v>
                </c:pt>
                <c:pt idx="10">
                  <c:v>275000</c:v>
                </c:pt>
                <c:pt idx="11">
                  <c:v>300000</c:v>
                </c:pt>
              </c:numCache>
            </c:numRef>
          </c:val>
          <c:smooth val="0"/>
          <c:extLst>
            <c:ext xmlns:c16="http://schemas.microsoft.com/office/drawing/2014/chart" uri="{C3380CC4-5D6E-409C-BE32-E72D297353CC}">
              <c16:uniqueId val="{00000000-5B4D-4CCC-974D-66ECF6E6C822}"/>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50552792"/>
        <c:axId val="550547872"/>
      </c:lineChart>
      <c:catAx>
        <c:axId val="55055279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pt-BR"/>
          </a:p>
        </c:txPr>
        <c:crossAx val="550547872"/>
        <c:crosses val="autoZero"/>
        <c:auto val="1"/>
        <c:lblAlgn val="ctr"/>
        <c:lblOffset val="100"/>
        <c:noMultiLvlLbl val="0"/>
      </c:catAx>
      <c:valAx>
        <c:axId val="550547872"/>
        <c:scaling>
          <c:orientation val="minMax"/>
        </c:scaling>
        <c:delete val="1"/>
        <c:axPos val="l"/>
        <c:numFmt formatCode="#,##0.00_ ;[Red]\-#,##0.00\ " sourceLinked="1"/>
        <c:majorTickMark val="none"/>
        <c:minorTickMark val="none"/>
        <c:tickLblPos val="nextTo"/>
        <c:crossAx val="550552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[Controle_Financeiro.xlsm]GRÁFICOS!Relatorio</c:name>
    <c:fmtId val="0"/>
  </c:pivotSource>
  <c:chart>
    <c:autoTitleDeleted val="1"/>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spPr>
          <a:gradFill>
            <a:gsLst>
              <a:gs pos="10000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0"/>
          <c:showCatName val="1"/>
          <c:showSerName val="0"/>
          <c:showPercent val="1"/>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pivotFmt>
      <c:pivotFmt>
        <c:idx val="6"/>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path path="circle">
              <a:fillToRect l="100000" b="100000"/>
            </a:path>
            <a:tileRect t="-100000" r="-100000"/>
          </a:gradFill>
          <a:ln>
            <a:noFill/>
          </a:ln>
          <a:effectLst/>
          <a:scene3d>
            <a:camera prst="orthographicFront"/>
            <a:lightRig rig="threePt" dir="t"/>
          </a:scene3d>
          <a:sp3d/>
        </c:spPr>
      </c:pivotFmt>
      <c:pivotFmt>
        <c:idx val="7"/>
        <c:spP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noFill/>
          </a:ln>
          <a:effectLst/>
          <a:sp3d/>
        </c:spPr>
      </c:pivotFmt>
      <c:pivotFmt>
        <c:idx val="8"/>
        <c:spPr>
          <a:gradFill flip="none" rotWithShape="1">
            <a:gsLst>
              <a:gs pos="0">
                <a:srgbClr val="FFF200"/>
              </a:gs>
              <a:gs pos="45000">
                <a:srgbClr val="FF7A00"/>
              </a:gs>
              <a:gs pos="70000">
                <a:srgbClr val="FF0300"/>
              </a:gs>
              <a:gs pos="100000">
                <a:srgbClr val="4D0808"/>
              </a:gs>
            </a:gsLst>
            <a:lin ang="8100000" scaled="1"/>
            <a:tileRect/>
          </a:gradFill>
        </c:spPr>
      </c:pivotFmt>
      <c:pivotFmt>
        <c:idx val="9"/>
        <c:spPr>
          <a:gradFill flip="none" rotWithShape="1">
            <a:gsLst>
              <a:gs pos="0">
                <a:srgbClr val="5E9EFF"/>
              </a:gs>
              <a:gs pos="39999">
                <a:srgbClr val="85C2FF"/>
              </a:gs>
              <a:gs pos="70000">
                <a:srgbClr val="C4D6EB"/>
              </a:gs>
              <a:gs pos="100000">
                <a:srgbClr val="FFEBFA"/>
              </a:gs>
            </a:gsLst>
            <a:lin ang="8100000" scaled="1"/>
            <a:tileRect/>
          </a:gradFill>
        </c:spPr>
      </c:pivotFmt>
      <c:pivotFmt>
        <c:idx val="10"/>
        <c:spPr>
          <a:gradFill flip="none" rotWithShape="1">
            <a:gsLst>
              <a:gs pos="100000">
                <a:schemeClr val="accent1">
                  <a:tint val="66000"/>
                  <a:satMod val="160000"/>
                  <a:lumMod val="58000"/>
                </a:schemeClr>
              </a:gs>
              <a:gs pos="12917">
                <a:schemeClr val="accent1">
                  <a:tint val="44500"/>
                  <a:satMod val="160000"/>
                </a:schemeClr>
              </a:gs>
              <a:gs pos="84587">
                <a:srgbClr val="3780DC"/>
              </a:gs>
              <a:gs pos="71244">
                <a:srgbClr val="5694E2"/>
              </a:gs>
              <a:gs pos="58324">
                <a:srgbClr val="74A7E8"/>
              </a:gs>
              <a:gs pos="46225">
                <a:srgbClr val="90B9EE"/>
              </a:gs>
              <a:gs pos="25000">
                <a:schemeClr val="accent1">
                  <a:tint val="44500"/>
                  <a:satMod val="160000"/>
                </a:schemeClr>
              </a:gs>
              <a:gs pos="100000">
                <a:schemeClr val="accent1">
                  <a:tint val="23500"/>
                  <a:satMod val="160000"/>
                </a:schemeClr>
              </a:gs>
            </a:gsLst>
            <a:lin ang="2700000" scaled="1"/>
            <a:tileRect/>
          </a:gradFill>
        </c:spPr>
      </c:pivotFmt>
      <c:pivotFmt>
        <c:idx val="11"/>
        <c:spPr>
          <a:gradFill>
            <a:gsLst>
              <a:gs pos="100000">
                <a:srgbClr val="FFF200"/>
              </a:gs>
              <a:gs pos="45000">
                <a:srgbClr val="FF7A00"/>
              </a:gs>
              <a:gs pos="70000">
                <a:srgbClr val="FF0300"/>
              </a:gs>
              <a:gs pos="100000">
                <a:srgbClr val="4D0808"/>
              </a:gs>
            </a:gsLst>
            <a:lin ang="5400000" scaled="0"/>
          </a:gradFill>
        </c:spPr>
      </c:pivotFmt>
      <c:pivotFmt>
        <c:idx val="12"/>
        <c:spPr>
          <a:gradFill flip="none" rotWithShape="1">
            <a:gsLst>
              <a:gs pos="0">
                <a:srgbClr val="FFF200"/>
              </a:gs>
              <a:gs pos="100000">
                <a:srgbClr val="FF7A00"/>
              </a:gs>
              <a:gs pos="85000">
                <a:srgbClr val="FF0300"/>
              </a:gs>
              <a:gs pos="100000">
                <a:srgbClr val="4D0808"/>
              </a:gs>
            </a:gsLst>
            <a:lin ang="2700000" scaled="1"/>
            <a:tileRect/>
          </a:gradFill>
        </c:spPr>
      </c:pivotFmt>
      <c:pivotFmt>
        <c:idx val="13"/>
        <c:marker>
          <c:symbol val="none"/>
        </c:marker>
      </c:pivotFmt>
      <c:pivotFmt>
        <c:idx val="14"/>
        <c:marker>
          <c:symbol val="none"/>
        </c:marker>
        <c:dLbl>
          <c:idx val="0"/>
          <c:numFmt formatCode="0.00%" sourceLinked="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extLst>
            <c:ext xmlns:c15="http://schemas.microsoft.com/office/drawing/2012/chart" uri="{CE6537A1-D6FC-4f65-9D91-7224C49458BB}"/>
          </c:extLst>
        </c:dLbl>
      </c:pivotFmt>
      <c:pivotFmt>
        <c:idx val="15"/>
      </c:pivotFmt>
      <c:pivotFmt>
        <c:idx val="16"/>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c:spPr>
      </c:pivotFmt>
      <c:pivotFmt>
        <c:idx val="17"/>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c:spPr>
      </c:pivotFmt>
    </c:pivotFmts>
    <c:view3D>
      <c:rotX val="30"/>
      <c:rotY val="18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
          <c:w val="1"/>
          <c:h val="1"/>
        </c:manualLayout>
      </c:layout>
      <c:pie3DChart>
        <c:varyColors val="1"/>
        <c:ser>
          <c:idx val="0"/>
          <c:order val="0"/>
          <c:tx>
            <c:strRef>
              <c:f>GRÁFICOS!$C$8</c:f>
              <c:strCache>
                <c:ptCount val="1"/>
                <c:pt idx="0">
                  <c:v>Total</c:v>
                </c:pt>
              </c:strCache>
            </c:strRef>
          </c:tx>
          <c:dPt>
            <c:idx val="1"/>
            <c:bubble3D val="0"/>
            <c:extLst>
              <c:ext xmlns:c16="http://schemas.microsoft.com/office/drawing/2014/chart" uri="{C3380CC4-5D6E-409C-BE32-E72D297353CC}">
                <c16:uniqueId val="{00000000-4BA8-4210-A8CD-C93CDC3BE6AA}"/>
              </c:ext>
            </c:extLst>
          </c:dPt>
          <c:dLbls>
            <c:numFmt formatCode="0.00%" sourceLinked="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GRÁFICOS!$B$9:$B$11</c:f>
              <c:strCache>
                <c:ptCount val="2"/>
                <c:pt idx="0">
                  <c:v>RECEITA</c:v>
                </c:pt>
                <c:pt idx="1">
                  <c:v>DESPESA</c:v>
                </c:pt>
              </c:strCache>
            </c:strRef>
          </c:cat>
          <c:val>
            <c:numRef>
              <c:f>GRÁFICOS!$C$9:$C$11</c:f>
              <c:numCache>
                <c:formatCode>#,##0.00_ ;[Red]\-#,##0.00\ </c:formatCode>
                <c:ptCount val="2"/>
                <c:pt idx="0">
                  <c:v>1080000</c:v>
                </c:pt>
                <c:pt idx="1">
                  <c:v>-780000</c:v>
                </c:pt>
              </c:numCache>
            </c:numRef>
          </c:val>
          <c:extLst>
            <c:ext xmlns:c16="http://schemas.microsoft.com/office/drawing/2014/chart" uri="{C3380CC4-5D6E-409C-BE32-E72D297353CC}">
              <c16:uniqueId val="{00000002-AC4F-4500-BF2E-630FD9BF7BCA}"/>
            </c:ext>
          </c:extLst>
        </c:ser>
        <c:dLbls>
          <c:showLegendKey val="0"/>
          <c:showVal val="0"/>
          <c:showCatName val="0"/>
          <c:showSerName val="0"/>
          <c:showPercent val="0"/>
          <c:showBubbleSize val="0"/>
          <c:showLeaderLines val="1"/>
        </c:dLbls>
      </c:pie3DChart>
      <c:spPr>
        <a:noFill/>
        <a:ln>
          <a:noFill/>
        </a:ln>
        <a:effectLst/>
      </c:spPr>
    </c:plotArea>
    <c:legend>
      <c:legendPos val="t"/>
      <c:overlay val="0"/>
      <c:txPr>
        <a:bodyPr/>
        <a:lstStyle/>
        <a:p>
          <a:pPr>
            <a:defRPr sz="1200"/>
          </a:pPr>
          <a:endParaRPr lang="pt-BR"/>
        </a:p>
      </c:txPr>
    </c:legend>
    <c:plotVisOnly val="1"/>
    <c:dispBlanksAs val="zero"/>
    <c:showDLblsOverMax val="0"/>
  </c:chart>
  <c:spPr>
    <a:solidFill>
      <a:schemeClr val="bg1"/>
    </a:solidFill>
    <a:ln w="9525" cap="flat" cmpd="sng" algn="ctr">
      <a:solidFill>
        <a:schemeClr val="tx1">
          <a:lumMod val="50000"/>
          <a:lumOff val="50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[Controle_Financeiro.xlsm]GRÁFICOS!Tabela dinâmica2</c:name>
    <c:fmtId val="1"/>
  </c:pivotSource>
  <c:chart>
    <c:title>
      <c:tx>
        <c:rich>
          <a:bodyPr rot="0" spcFirstLastPara="1" vertOverflow="ellipsis" vert="horz" wrap="square" anchor="ctr" anchorCtr="1"/>
          <a:lstStyle/>
          <a:p>
            <a:pPr>
              <a:defRPr sz="14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a:t>TIPOS DE RECEITAS</a:t>
            </a:r>
          </a:p>
        </c:rich>
      </c:tx>
      <c:overlay val="0"/>
      <c:spPr>
        <a:noFill/>
        <a:ln>
          <a:noFill/>
        </a:ln>
        <a:effectLst/>
      </c:sp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solidFill>
            <a:schemeClr val="bg1"/>
          </a:solidFill>
          <a:scene3d>
            <a:camera prst="orthographicFront"/>
            <a:lightRig rig="threePt" dir="t"/>
          </a:scene3d>
          <a:sp3d>
            <a:bevelT/>
          </a:sp3d>
        </c:spPr>
        <c:marker>
          <c:symbol val="none"/>
        </c:marke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pivotFmt>
      <c:pivotFmt>
        <c:idx val="1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pivotFmt>
      <c:pivotFmt>
        <c:idx val="1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a:bevelT/>
          </a:sp3d>
        </c:spPr>
      </c:pivotFmt>
      <c:pivotFmt>
        <c:idx val="13"/>
        <c:marker>
          <c:symbol val="none"/>
        </c:marker>
        <c:dLbl>
          <c:idx val="0"/>
          <c:numFmt formatCode="#,##0.00_ ;[Red]\-#,##0.00\ " sourceLinked="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numFmt formatCode="#,##0.00_ ;[Red]\-#,##0.00\ " sourceLinked="0"/>
          <c:spPr>
            <a:noFill/>
            <a:ln>
              <a:noFill/>
            </a:ln>
            <a:effectLst/>
          </c:spPr>
          <c:txPr>
            <a:bodyPr wrap="square" lIns="38100" tIns="19050" rIns="38100" bIns="19050" anchor="ctr">
              <a:spAutoFit/>
            </a:bodyPr>
            <a:lstStyle/>
            <a:p>
              <a:pPr>
                <a:defRPr>
                  <a:solidFill>
                    <a:schemeClr val="accent5">
                      <a:lumMod val="50000"/>
                    </a:schemeClr>
                  </a:solidFill>
                </a:defRPr>
              </a:pPr>
              <a:endParaRPr lang="pt-BR"/>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GRÁFICOS!$AE$5</c:f>
              <c:strCache>
                <c:ptCount val="1"/>
                <c:pt idx="0">
                  <c:v>Total</c:v>
                </c:pt>
              </c:strCache>
            </c:strRef>
          </c:tx>
          <c:invertIfNegative val="0"/>
          <c:dLbls>
            <c:numFmt formatCode="#,##0.00_ ;[Red]\-#,##0.00\ " sourceLinked="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GRÁFICOS!$AD$6:$AD$7</c:f>
              <c:strCache>
                <c:ptCount val="1"/>
                <c:pt idx="0">
                  <c:v>VENDA</c:v>
                </c:pt>
              </c:strCache>
            </c:strRef>
          </c:cat>
          <c:val>
            <c:numRef>
              <c:f>GRÁFICOS!$AE$6:$AE$7</c:f>
              <c:numCache>
                <c:formatCode>#,##0.00_ ;[Red]\-#,##0.00\ </c:formatCode>
                <c:ptCount val="1"/>
                <c:pt idx="0">
                  <c:v>1080000</c:v>
                </c:pt>
              </c:numCache>
            </c:numRef>
          </c:val>
          <c:extLst>
            <c:ext xmlns:c16="http://schemas.microsoft.com/office/drawing/2014/chart" uri="{C3380CC4-5D6E-409C-BE32-E72D297353CC}">
              <c16:uniqueId val="{00000007-96C3-4415-A070-8AA5829B4A2E}"/>
            </c:ext>
          </c:extLst>
        </c:ser>
        <c:dLbls>
          <c:showLegendKey val="0"/>
          <c:showVal val="0"/>
          <c:showCatName val="0"/>
          <c:showSerName val="0"/>
          <c:showPercent val="0"/>
          <c:showBubbleSize val="0"/>
        </c:dLbls>
        <c:gapWidth val="100"/>
        <c:overlap val="-24"/>
        <c:axId val="200000640"/>
        <c:axId val="200002176"/>
      </c:barChart>
      <c:catAx>
        <c:axId val="2000006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pt-BR"/>
          </a:p>
        </c:txPr>
        <c:crossAx val="200002176"/>
        <c:crosses val="autoZero"/>
        <c:auto val="1"/>
        <c:lblAlgn val="ctr"/>
        <c:lblOffset val="100"/>
        <c:noMultiLvlLbl val="0"/>
      </c:catAx>
      <c:valAx>
        <c:axId val="2000021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mn-lt"/>
                <a:ea typeface="+mn-ea"/>
                <a:cs typeface="+mn-cs"/>
              </a:defRPr>
            </a:pPr>
            <a:endParaRPr lang="pt-BR"/>
          </a:p>
        </c:txPr>
        <c:crossAx val="200000640"/>
        <c:crosses val="autoZero"/>
        <c:crossBetween val="between"/>
      </c:valAx>
      <c:spPr>
        <a:noFill/>
        <a:ln>
          <a:noFill/>
        </a:ln>
        <a:effectLst/>
      </c:spPr>
    </c:plotArea>
    <c:plotVisOnly val="1"/>
    <c:dispBlanksAs val="gap"/>
    <c:showDLblsOverMax val="0"/>
  </c:chart>
  <c:spPr>
    <a:gradFill flip="none" rotWithShape="1">
      <a:gsLst>
        <a:gs pos="0">
          <a:srgbClr val="03D4A8"/>
        </a:gs>
        <a:gs pos="0">
          <a:srgbClr val="21D6E0"/>
        </a:gs>
        <a:gs pos="43000">
          <a:srgbClr val="0087E6"/>
        </a:gs>
        <a:gs pos="100000">
          <a:srgbClr val="005CBF"/>
        </a:gs>
      </a:gsLst>
      <a:lin ang="5400000" scaled="0"/>
      <a:tileRect/>
    </a:gradFill>
    <a:ln>
      <a:noFill/>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pivotSource>
    <c:name>[Controle_Financeiro.xlsm]GRÁFICOS!Tabela dinâmica3</c:name>
    <c:fmtId val="2"/>
  </c:pivotSource>
  <c:chart>
    <c:title>
      <c:tx>
        <c:rich>
          <a:bodyPr rot="0" spcFirstLastPara="1" vertOverflow="ellipsis" vert="horz" wrap="square" anchor="ctr" anchorCtr="1"/>
          <a:lstStyle/>
          <a:p>
            <a:pPr>
              <a:defRPr sz="1400" b="1" i="0" u="none" strike="noStrike" kern="1200" baseline="0">
                <a:solidFill>
                  <a:srgbClr val="FF0000"/>
                </a:solidFill>
                <a:latin typeface="+mn-lt"/>
                <a:ea typeface="+mn-ea"/>
                <a:cs typeface="+mn-cs"/>
              </a:defRPr>
            </a:pPr>
            <a:r>
              <a:rPr lang="en-US" sz="1400">
                <a:solidFill>
                  <a:srgbClr val="FF0000"/>
                </a:solidFill>
              </a:rPr>
              <a:t>TIPOS DE DESPESAS</a:t>
            </a:r>
          </a:p>
        </c:rich>
      </c:tx>
      <c:layout>
        <c:manualLayout>
          <c:xMode val="edge"/>
          <c:yMode val="edge"/>
          <c:x val="0.37615579012375777"/>
          <c:y val="3.7691401648998819E-2"/>
        </c:manualLayout>
      </c:layout>
      <c:overlay val="0"/>
      <c:spPr>
        <a:noFill/>
        <a:ln>
          <a:noFill/>
        </a:ln>
        <a:effectLst/>
      </c:spPr>
      <c:txPr>
        <a:bodyPr rot="0" spcFirstLastPara="1" vertOverflow="ellipsis" vert="horz" wrap="square" anchor="ctr" anchorCtr="1"/>
        <a:lstStyle/>
        <a:p>
          <a:pPr>
            <a:defRPr sz="1400" b="1" i="0" u="none" strike="noStrike" kern="1200" baseline="0">
              <a:solidFill>
                <a:srgbClr val="FF0000"/>
              </a:solidFill>
              <a:latin typeface="+mn-lt"/>
              <a:ea typeface="+mn-ea"/>
              <a:cs typeface="+mn-cs"/>
            </a:defRPr>
          </a:pPr>
          <a:endParaRPr lang="pt-BR"/>
        </a:p>
      </c:txPr>
    </c:title>
    <c:autoTitleDeleted val="0"/>
    <c:pivotFmts>
      <c:pivotFmt>
        <c:idx val="0"/>
      </c:pivotFmt>
      <c:pivotFmt>
        <c:idx val="1"/>
        <c:spPr>
          <a:solidFill>
            <a:schemeClr val="accent2">
              <a:alpha val="85000"/>
            </a:schemeClr>
          </a:solidFill>
          <a:ln w="9525" cap="flat" cmpd="sng" algn="ctr">
            <a:solidFill>
              <a:schemeClr val="lt1">
                <a:alpha val="50000"/>
              </a:schemeClr>
            </a:solidFill>
            <a:round/>
          </a:ln>
          <a:effectLst/>
        </c:spPr>
        <c:marker>
          <c:symbol val="none"/>
        </c:marker>
        <c:dLbl>
          <c:idx val="0"/>
          <c:numFmt formatCode="#,##0.00_ ;[Red]\-#,##0.00\ "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GRÁFICOS!$J$27</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0.00_ ;[Red]\-#,##0.00\ "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GRÁFICOS!$I$28:$I$31</c:f>
              <c:strCache>
                <c:ptCount val="3"/>
                <c:pt idx="0">
                  <c:v>COMPRA DE PRODUTOS</c:v>
                </c:pt>
                <c:pt idx="1">
                  <c:v>CUSTOS COM PESSOAL</c:v>
                </c:pt>
                <c:pt idx="2">
                  <c:v>ALUGUEL DE GALPÃO</c:v>
                </c:pt>
              </c:strCache>
            </c:strRef>
          </c:cat>
          <c:val>
            <c:numRef>
              <c:f>GRÁFICOS!$J$28:$J$31</c:f>
              <c:numCache>
                <c:formatCode>#,##0.00_ ;[Red]\-#,##0.00\ </c:formatCode>
                <c:ptCount val="3"/>
                <c:pt idx="0">
                  <c:v>-540000</c:v>
                </c:pt>
                <c:pt idx="1">
                  <c:v>-180000</c:v>
                </c:pt>
                <c:pt idx="2">
                  <c:v>-60000</c:v>
                </c:pt>
              </c:numCache>
            </c:numRef>
          </c:val>
          <c:extLst>
            <c:ext xmlns:c16="http://schemas.microsoft.com/office/drawing/2014/chart" uri="{C3380CC4-5D6E-409C-BE32-E72D297353CC}">
              <c16:uniqueId val="{00000000-C99F-4F1D-A31B-7C6A3C6384F6}"/>
            </c:ext>
          </c:extLst>
        </c:ser>
        <c:dLbls>
          <c:dLblPos val="inEnd"/>
          <c:showLegendKey val="0"/>
          <c:showVal val="1"/>
          <c:showCatName val="0"/>
          <c:showSerName val="0"/>
          <c:showPercent val="0"/>
          <c:showBubbleSize val="0"/>
        </c:dLbls>
        <c:gapWidth val="65"/>
        <c:axId val="201423872"/>
        <c:axId val="201429760"/>
      </c:barChart>
      <c:catAx>
        <c:axId val="201423872"/>
        <c:scaling>
          <c:orientation val="minMax"/>
        </c:scaling>
        <c:delete val="0"/>
        <c:axPos val="t"/>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201429760"/>
        <c:crosses val="autoZero"/>
        <c:auto val="1"/>
        <c:lblAlgn val="ctr"/>
        <c:lblOffset val="100"/>
        <c:noMultiLvlLbl val="0"/>
      </c:catAx>
      <c:valAx>
        <c:axId val="201429760"/>
        <c:scaling>
          <c:orientation val="maxMin"/>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_ ;[Red]\-#,##0.00\ " sourceLinked="1"/>
        <c:majorTickMark val="none"/>
        <c:minorTickMark val="none"/>
        <c:tickLblPos val="nextTo"/>
        <c:crossAx val="20142387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[Controle_Financeiro.xlsm]GRÁFICOS!Tabela dinâmica4</c:name>
    <c:fmtId val="1"/>
  </c:pivotSource>
  <c:chart>
    <c:title>
      <c:tx>
        <c:rich>
          <a:bodyPr/>
          <a:lstStyle/>
          <a:p>
            <a:pPr>
              <a:defRPr sz="1200">
                <a:solidFill>
                  <a:srgbClr val="990033"/>
                </a:solidFill>
              </a:defRPr>
            </a:pPr>
            <a:r>
              <a:rPr lang="en-US" sz="1200">
                <a:solidFill>
                  <a:srgbClr val="990033"/>
                </a:solidFill>
              </a:rPr>
              <a:t>PARTICIPAÇÃO</a:t>
            </a:r>
            <a:r>
              <a:rPr lang="en-US" sz="1200" baseline="0">
                <a:solidFill>
                  <a:srgbClr val="990033"/>
                </a:solidFill>
              </a:rPr>
              <a:t> POR TITULAR</a:t>
            </a:r>
            <a:endParaRPr lang="en-US" sz="1200">
              <a:solidFill>
                <a:srgbClr val="990033"/>
              </a:solidFill>
            </a:endParaRPr>
          </a:p>
        </c:rich>
      </c:tx>
      <c:overlay val="0"/>
    </c:title>
    <c:autoTitleDeleted val="0"/>
    <c:pivotFmts>
      <c:pivotFmt>
        <c:idx val="0"/>
        <c:spPr>
          <a:gradFill flip="none" rotWithShape="1">
            <a:gsLst>
              <a:gs pos="0">
                <a:schemeClr val="tx2">
                  <a:lumMod val="75000"/>
                </a:schemeClr>
              </a:gs>
              <a:gs pos="64999">
                <a:srgbClr val="F0EBD5"/>
              </a:gs>
              <a:gs pos="100000">
                <a:srgbClr val="D1C39F"/>
              </a:gs>
            </a:gsLst>
            <a:lin ang="10800000" scaled="1"/>
            <a:tileRect/>
          </a:gradFill>
        </c:spPr>
        <c:marker>
          <c:symbol val="none"/>
        </c:marker>
        <c:dLbl>
          <c:idx val="0"/>
          <c:spPr/>
          <c:txPr>
            <a:bodyPr/>
            <a:lstStyle/>
            <a:p>
              <a:pPr>
                <a:defRPr b="1">
                  <a:solidFill>
                    <a:srgbClr val="990033"/>
                  </a:solidFill>
                </a:defRPr>
              </a:pPr>
              <a:endParaRPr lang="pt-BR"/>
            </a:p>
          </c:txPr>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marker>
          <c:symbol val="none"/>
        </c:marker>
        <c:dLbl>
          <c:idx val="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extLst>
            <c:ext xmlns:c15="http://schemas.microsoft.com/office/drawing/2012/chart" uri="{CE6537A1-D6FC-4f65-9D91-7224C49458BB}"/>
          </c:extLst>
        </c:dLbl>
      </c:pivotFmt>
    </c:pivotFmts>
    <c:view3D>
      <c:rotX val="30"/>
      <c:rotY val="180"/>
      <c:rAngAx val="0"/>
    </c:view3D>
    <c:floor>
      <c:thickness val="0"/>
    </c:floor>
    <c:sideWall>
      <c:thickness val="0"/>
    </c:sideWall>
    <c:backWall>
      <c:thickness val="0"/>
    </c:backWall>
    <c:plotArea>
      <c:layout/>
      <c:pie3DChart>
        <c:varyColors val="1"/>
        <c:ser>
          <c:idx val="0"/>
          <c:order val="0"/>
          <c:tx>
            <c:strRef>
              <c:f>GRÁFICOS!$C$23</c:f>
              <c:strCache>
                <c:ptCount val="1"/>
                <c:pt idx="0">
                  <c:v>Total</c:v>
                </c:pt>
              </c:strCache>
            </c:strRef>
          </c:tx>
          <c:dLbls>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GRÁFICOS!$B$24:$B$25</c:f>
              <c:strCache>
                <c:ptCount val="1"/>
                <c:pt idx="0">
                  <c:v>EMPRESA A</c:v>
                </c:pt>
              </c:strCache>
            </c:strRef>
          </c:cat>
          <c:val>
            <c:numRef>
              <c:f>GRÁFICOS!$C$24:$C$25</c:f>
              <c:numCache>
                <c:formatCode>#,##0.00_ ;[Red]\-#,##0.00\ </c:formatCode>
                <c:ptCount val="1"/>
                <c:pt idx="0">
                  <c:v>110000</c:v>
                </c:pt>
              </c:numCache>
            </c:numRef>
          </c:val>
          <c:extLst>
            <c:ext xmlns:c16="http://schemas.microsoft.com/office/drawing/2014/chart" uri="{C3380CC4-5D6E-409C-BE32-E72D297353CC}">
              <c16:uniqueId val="{00000000-4A20-4F6B-9EC3-9D3DDD1379AC}"/>
            </c:ext>
          </c:extLst>
        </c:ser>
        <c:dLbls>
          <c:showLegendKey val="0"/>
          <c:showVal val="0"/>
          <c:showCatName val="0"/>
          <c:showSerName val="0"/>
          <c:showPercent val="0"/>
          <c:showBubbleSize val="0"/>
          <c:showLeaderLines val="1"/>
        </c:dLbls>
      </c:pie3DChart>
    </c:plotArea>
    <c:legend>
      <c:legendPos val="b"/>
      <c:overlay val="0"/>
    </c:legend>
    <c:plotVisOnly val="1"/>
    <c:dispBlanksAs val="zero"/>
    <c:showDLblsOverMax val="0"/>
  </c:chart>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0</xdr:rowOff>
    </xdr:from>
    <xdr:to>
      <xdr:col>6</xdr:col>
      <xdr:colOff>0</xdr:colOff>
      <xdr:row>6</xdr:row>
      <xdr:rowOff>222998</xdr:rowOff>
    </xdr:to>
    <xdr:sp macro="[0]!Ir_Registros" textlink="">
      <xdr:nvSpPr>
        <xdr:cNvPr id="2" name="CaixaDeTexto 1">
          <a:extLst>
            <a:ext uri="{FF2B5EF4-FFF2-40B4-BE49-F238E27FC236}">
              <a16:creationId xmlns:a16="http://schemas.microsoft.com/office/drawing/2014/main" id="{00000000-0008-0000-0000-000002000000}"/>
            </a:ext>
          </a:extLst>
        </xdr:cNvPr>
        <xdr:cNvSpPr txBox="1"/>
      </xdr:nvSpPr>
      <xdr:spPr>
        <a:xfrm>
          <a:off x="212912" y="3104029"/>
          <a:ext cx="2711823" cy="222998"/>
        </a:xfrm>
        <a:prstGeom prst="rect">
          <a:avLst/>
        </a:prstGeom>
        <a:solidFill>
          <a:schemeClr val="accent1">
            <a:lumMod val="7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TÍTULOS DE LANÇAMENTOS</a:t>
          </a:r>
        </a:p>
      </xdr:txBody>
    </xdr:sp>
    <xdr:clientData/>
  </xdr:twoCellAnchor>
  <xdr:twoCellAnchor>
    <xdr:from>
      <xdr:col>5</xdr:col>
      <xdr:colOff>1627094</xdr:colOff>
      <xdr:row>25</xdr:row>
      <xdr:rowOff>15325</xdr:rowOff>
    </xdr:from>
    <xdr:to>
      <xdr:col>5</xdr:col>
      <xdr:colOff>2700617</xdr:colOff>
      <xdr:row>26</xdr:row>
      <xdr:rowOff>73400</xdr:rowOff>
    </xdr:to>
    <xdr:sp macro="[0]!LimparRegistros" textlink="">
      <xdr:nvSpPr>
        <xdr:cNvPr id="13" name="CaixaDeTexto 12">
          <a:extLst>
            <a:ext uri="{FF2B5EF4-FFF2-40B4-BE49-F238E27FC236}">
              <a16:creationId xmlns:a16="http://schemas.microsoft.com/office/drawing/2014/main" id="{00000000-0008-0000-0000-00000D000000}"/>
            </a:ext>
          </a:extLst>
        </xdr:cNvPr>
        <xdr:cNvSpPr txBox="1"/>
      </xdr:nvSpPr>
      <xdr:spPr>
        <a:xfrm>
          <a:off x="4988859" y="4295972"/>
          <a:ext cx="1073523" cy="248575"/>
        </a:xfrm>
        <a:prstGeom prst="rect">
          <a:avLst/>
        </a:prstGeom>
        <a:solidFill>
          <a:schemeClr val="tx1">
            <a:lumMod val="95000"/>
            <a:lumOff val="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a:solidFill>
                <a:srgbClr val="FFFF66"/>
              </a:solidFill>
            </a:rPr>
            <a:t>LIMPAR CADASTROS</a:t>
          </a:r>
        </a:p>
      </xdr:txBody>
    </xdr:sp>
    <xdr:clientData/>
  </xdr:twoCellAnchor>
  <xdr:twoCellAnchor editAs="absolute">
    <xdr:from>
      <xdr:col>7</xdr:col>
      <xdr:colOff>313765</xdr:colOff>
      <xdr:row>0</xdr:row>
      <xdr:rowOff>160806</xdr:rowOff>
    </xdr:from>
    <xdr:to>
      <xdr:col>21</xdr:col>
      <xdr:colOff>11206</xdr:colOff>
      <xdr:row>32</xdr:row>
      <xdr:rowOff>179294</xdr:rowOff>
    </xdr:to>
    <xdr:sp macro="" textlink="">
      <xdr:nvSpPr>
        <xdr:cNvPr id="18" name="ShpDicas">
          <a:extLst>
            <a:ext uri="{FF2B5EF4-FFF2-40B4-BE49-F238E27FC236}">
              <a16:creationId xmlns:a16="http://schemas.microsoft.com/office/drawing/2014/main" id="{00000000-0008-0000-0000-000012000000}"/>
            </a:ext>
          </a:extLst>
        </xdr:cNvPr>
        <xdr:cNvSpPr/>
      </xdr:nvSpPr>
      <xdr:spPr>
        <a:xfrm>
          <a:off x="6712324" y="160806"/>
          <a:ext cx="8169088" cy="5632635"/>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050" b="1" u="sng" baseline="0">
              <a:solidFill>
                <a:srgbClr val="C00000"/>
              </a:solidFill>
              <a:effectLst/>
              <a:latin typeface="+mn-lt"/>
              <a:ea typeface="+mn-ea"/>
              <a:cs typeface="+mn-cs"/>
            </a:rPr>
            <a:t>DICAS GERAIS</a:t>
          </a: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b="1" u="sng" baseline="0">
            <a:solidFill>
              <a:srgbClr val="C00000"/>
            </a:solidFill>
            <a:effectLst/>
            <a:latin typeface="+mn-lt"/>
            <a:ea typeface="+mn-ea"/>
            <a:cs typeface="+mn-cs"/>
          </a:endParaRPr>
        </a:p>
        <a:p>
          <a:pPr algn="ctr" eaLnBrk="1" fontAlgn="auto" latinLnBrk="0" hangingPunct="1"/>
          <a:r>
            <a:rPr lang="pt-BR" sz="1100" b="1" baseline="0">
              <a:solidFill>
                <a:schemeClr val="tx2">
                  <a:lumMod val="50000"/>
                </a:schemeClr>
              </a:solidFill>
              <a:effectLst/>
              <a:latin typeface="+mn-lt"/>
              <a:ea typeface="+mn-ea"/>
              <a:cs typeface="+mn-cs"/>
            </a:rPr>
            <a:t>✧</a:t>
          </a:r>
          <a:r>
            <a:rPr lang="pt-BR" sz="1100" b="1" baseline="0">
              <a:solidFill>
                <a:srgbClr val="C00000"/>
              </a:solidFill>
              <a:effectLst/>
              <a:latin typeface="+mn-lt"/>
              <a:ea typeface="+mn-ea"/>
              <a:cs typeface="+mn-cs"/>
            </a:rPr>
            <a:t> </a:t>
          </a:r>
          <a:r>
            <a:rPr lang="pt-BR" sz="1100" baseline="0">
              <a:solidFill>
                <a:schemeClr val="accent2">
                  <a:lumMod val="50000"/>
                </a:schemeClr>
              </a:solidFill>
              <a:effectLst/>
              <a:latin typeface="+mn-lt"/>
              <a:ea typeface="+mn-ea"/>
              <a:cs typeface="+mn-cs"/>
            </a:rPr>
            <a:t>Utilize  o menu "PROGRAMA FINANCEIRO", localizado na parte superior direita deste arquivo em MS Excel, para navegar por este aplicativo;</a:t>
          </a:r>
          <a:endParaRPr lang="pt-BR">
            <a:solidFill>
              <a:schemeClr val="accent2">
                <a:lumMod val="50000"/>
              </a:schemeClr>
            </a:solidFill>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u="sng" baseline="0">
            <a:solidFill>
              <a:schemeClr val="accent2">
                <a:lumMod val="50000"/>
              </a:schemeClr>
            </a:solidFill>
            <a:effectLst/>
            <a:latin typeface="+mn-lt"/>
            <a:ea typeface="+mn-ea"/>
            <a:cs typeface="+mn-cs"/>
          </a:endParaRPr>
        </a:p>
        <a:p>
          <a:pPr algn="ctr" eaLnBrk="1" fontAlgn="auto" latinLnBrk="0" hangingPunct="1"/>
          <a:r>
            <a:rPr lang="pt-BR" sz="1050" b="1" baseline="0">
              <a:solidFill>
                <a:srgbClr val="002060"/>
              </a:solidFill>
              <a:effectLst/>
              <a:latin typeface="+mn-lt"/>
              <a:ea typeface="+mn-ea"/>
              <a:cs typeface="+mn-cs"/>
            </a:rPr>
            <a:t>✧ </a:t>
          </a:r>
          <a:r>
            <a:rPr lang="pt-BR" sz="1050" baseline="0">
              <a:solidFill>
                <a:schemeClr val="accent2">
                  <a:lumMod val="50000"/>
                </a:schemeClr>
              </a:solidFill>
              <a:effectLst/>
              <a:latin typeface="+mn-lt"/>
              <a:ea typeface="+mn-ea"/>
              <a:cs typeface="+mn-cs"/>
            </a:rPr>
            <a:t>No menu ao lado, ao pousar o mouse sobre as interrogações, </a:t>
          </a:r>
          <a:r>
            <a:rPr lang="pt-BR" sz="1050" baseline="0">
              <a:ln w="0">
                <a:noFill/>
              </a:ln>
              <a:solidFill>
                <a:schemeClr val="accent2">
                  <a:lumMod val="50000"/>
                </a:schemeClr>
              </a:solidFill>
              <a:latin typeface="+mn-lt"/>
              <a:ea typeface="+mn-ea"/>
              <a:cs typeface="+mn-cs"/>
            </a:rPr>
            <a:t>você</a:t>
          </a:r>
          <a:r>
            <a:rPr lang="pt-BR" sz="1050" baseline="0">
              <a:solidFill>
                <a:schemeClr val="accent2">
                  <a:lumMod val="50000"/>
                </a:schemeClr>
              </a:solidFill>
              <a:effectLst/>
              <a:latin typeface="+mn-lt"/>
              <a:ea typeface="+mn-ea"/>
              <a:cs typeface="+mn-cs"/>
            </a:rPr>
            <a:t> obterá informações sobre a utilidade e/ou forma de uso de cada um dos itens de lançamentos (cadastros) adotados neste aplicativo. O correto entendimento da utilização desses itens, em particular do CENTRO DE CUSTOS e do PLANO DE CONTAS FINANCEIRO, por serem muito confundidos um com o outro,  é imprescindível para se obter relatórios claros e precisos;</a:t>
          </a:r>
          <a:endParaRPr lang="pt-BR" sz="1050" u="sng" baseline="0">
            <a:solidFill>
              <a:schemeClr val="accent2">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u="sng" baseline="0">
            <a:solidFill>
              <a:schemeClr val="accent2">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pt-BR" sz="1050" b="1" baseline="0">
              <a:solidFill>
                <a:srgbClr val="002060"/>
              </a:solidFill>
              <a:effectLst/>
              <a:latin typeface="+mn-lt"/>
              <a:ea typeface="+mn-ea"/>
              <a:cs typeface="+mn-cs"/>
            </a:rPr>
            <a:t>✧</a:t>
          </a:r>
          <a:r>
            <a:rPr lang="pt-BR" sz="1050" b="1" baseline="0">
              <a:solidFill>
                <a:schemeClr val="lt1"/>
              </a:solidFill>
              <a:effectLst/>
              <a:latin typeface="+mn-lt"/>
              <a:ea typeface="+mn-ea"/>
              <a:cs typeface="+mn-cs"/>
            </a:rPr>
            <a:t> </a:t>
          </a:r>
          <a:r>
            <a:rPr lang="pt-BR" sz="1050" u="none" baseline="0">
              <a:ln>
                <a:noFill/>
              </a:ln>
              <a:solidFill>
                <a:schemeClr val="accent2">
                  <a:lumMod val="50000"/>
                </a:schemeClr>
              </a:solidFill>
              <a:effectLst/>
              <a:latin typeface="+mn-lt"/>
              <a:ea typeface="+mn-ea"/>
              <a:cs typeface="+mn-cs"/>
            </a:rPr>
            <a:t>C</a:t>
          </a:r>
          <a:r>
            <a:rPr lang="pt-BR" sz="1050">
              <a:ln w="0">
                <a:noFill/>
              </a:ln>
              <a:solidFill>
                <a:schemeClr val="accent2">
                  <a:lumMod val="50000"/>
                </a:schemeClr>
              </a:solidFill>
              <a:latin typeface="+mn-lt"/>
            </a:rPr>
            <a:t>om um </a:t>
          </a:r>
          <a:r>
            <a:rPr lang="pt-BR" sz="1050" b="1">
              <a:ln w="0">
                <a:noFill/>
              </a:ln>
              <a:solidFill>
                <a:schemeClr val="accent2">
                  <a:lumMod val="50000"/>
                </a:schemeClr>
              </a:solidFill>
              <a:latin typeface="+mn-lt"/>
            </a:rPr>
            <a:t>duplo clique </a:t>
          </a:r>
          <a:r>
            <a:rPr lang="pt-BR" sz="1050">
              <a:ln w="0">
                <a:noFill/>
              </a:ln>
              <a:solidFill>
                <a:schemeClr val="accent2">
                  <a:lumMod val="50000"/>
                </a:schemeClr>
              </a:solidFill>
              <a:latin typeface="+mn-lt"/>
            </a:rPr>
            <a:t>na linha de um registro escolhido</a:t>
          </a:r>
          <a:r>
            <a:rPr lang="pt-BR" sz="1050" baseline="0">
              <a:ln w="0">
                <a:noFill/>
              </a:ln>
              <a:solidFill>
                <a:schemeClr val="accent2">
                  <a:lumMod val="50000"/>
                </a:schemeClr>
              </a:solidFill>
              <a:latin typeface="+mn-lt"/>
            </a:rPr>
            <a:t> nas abas 'LANÇAMENTOS', 'TITULAR', 'CENTRO DE CUSTOS', 'PLANO DE CONTAS', 'CLIENTES E FORNCEDORES', 'CONTAS CORRENTES' ou  'MATERIAIS DE ESTOQUE',</a:t>
          </a:r>
          <a:r>
            <a:rPr lang="pt-BR" sz="1050">
              <a:ln w="0">
                <a:noFill/>
              </a:ln>
              <a:solidFill>
                <a:schemeClr val="accent2">
                  <a:lumMod val="50000"/>
                </a:schemeClr>
              </a:solidFill>
              <a:latin typeface="+mn-lt"/>
            </a:rPr>
            <a:t> você abre o formulário com os respectivos dados daquela</a:t>
          </a:r>
          <a:r>
            <a:rPr lang="pt-BR" sz="1050" baseline="0">
              <a:ln w="0">
                <a:noFill/>
              </a:ln>
              <a:solidFill>
                <a:schemeClr val="accent2">
                  <a:lumMod val="50000"/>
                </a:schemeClr>
              </a:solidFill>
              <a:latin typeface="+mn-lt"/>
            </a:rPr>
            <a:t> linha</a:t>
          </a:r>
          <a:r>
            <a:rPr lang="pt-BR" sz="1050">
              <a:ln w="0">
                <a:noFill/>
              </a:ln>
              <a:solidFill>
                <a:schemeClr val="accent2">
                  <a:lumMod val="50000"/>
                </a:schemeClr>
              </a:solidFill>
              <a:latin typeface="+mn-lt"/>
            </a:rPr>
            <a:t> e pode alterá-los ou excluí-los;</a:t>
          </a:r>
          <a:endParaRPr lang="pt-BR" sz="1050">
            <a:ln w="0">
              <a:noFill/>
            </a:ln>
            <a:solidFill>
              <a:schemeClr val="accent2">
                <a:lumMod val="50000"/>
              </a:schemeClr>
            </a:solidFill>
          </a:endParaRPr>
        </a:p>
        <a:p>
          <a:pPr algn="ctr"/>
          <a:endParaRPr lang="pt-BR" sz="1050">
            <a:ln w="0">
              <a:noFill/>
            </a:ln>
            <a:solidFill>
              <a:schemeClr val="accent2">
                <a:lumMod val="50000"/>
              </a:schemeClr>
            </a:solidFill>
          </a:endParaRPr>
        </a:p>
        <a:p>
          <a:pPr algn="ctr"/>
          <a:r>
            <a:rPr lang="pt-BR" sz="1050" b="1" baseline="0">
              <a:solidFill>
                <a:srgbClr val="002060"/>
              </a:solidFill>
              <a:effectLst/>
              <a:latin typeface="+mn-lt"/>
              <a:ea typeface="+mn-ea"/>
              <a:cs typeface="+mn-cs"/>
            </a:rPr>
            <a:t>✧</a:t>
          </a:r>
          <a:r>
            <a:rPr lang="pt-BR" sz="1050" b="1" baseline="0">
              <a:solidFill>
                <a:schemeClr val="lt1"/>
              </a:solidFill>
              <a:effectLst/>
              <a:latin typeface="+mn-lt"/>
              <a:ea typeface="+mn-ea"/>
              <a:cs typeface="+mn-cs"/>
            </a:rPr>
            <a:t> </a:t>
          </a:r>
          <a:r>
            <a:rPr lang="pt-BR" sz="1050">
              <a:ln w="0">
                <a:noFill/>
              </a:ln>
              <a:solidFill>
                <a:schemeClr val="accent2">
                  <a:lumMod val="50000"/>
                </a:schemeClr>
              </a:solidFill>
            </a:rPr>
            <a:t>Pousando o mouse sobre campos </a:t>
          </a:r>
          <a:r>
            <a:rPr lang="pt-BR" sz="1050" baseline="0">
              <a:ln w="0">
                <a:noFill/>
              </a:ln>
              <a:solidFill>
                <a:schemeClr val="accent2">
                  <a:lumMod val="50000"/>
                </a:schemeClr>
              </a:solidFill>
            </a:rPr>
            <a:t>do formulário de lançamentos você terá informações sobre a finalidade de cada um deles;</a:t>
          </a:r>
        </a:p>
        <a:p>
          <a:pPr algn="ctr"/>
          <a:endParaRPr lang="pt-BR" sz="1050">
            <a:solidFill>
              <a:srgbClr val="CC3300"/>
            </a:solidFill>
            <a:effectLst/>
          </a:endParaRPr>
        </a:p>
        <a:p>
          <a:pPr algn="ctr"/>
          <a:r>
            <a:rPr lang="pt-BR" sz="1050" b="1" baseline="0">
              <a:solidFill>
                <a:srgbClr val="002060"/>
              </a:solidFill>
              <a:effectLst/>
              <a:latin typeface="+mn-lt"/>
              <a:ea typeface="+mn-ea"/>
              <a:cs typeface="+mn-cs"/>
            </a:rPr>
            <a:t>✧</a:t>
          </a:r>
          <a:r>
            <a:rPr lang="pt-BR" sz="1050" b="1" baseline="0">
              <a:solidFill>
                <a:srgbClr val="CC3300"/>
              </a:solidFill>
              <a:effectLst/>
              <a:latin typeface="+mn-lt"/>
              <a:ea typeface="+mn-ea"/>
              <a:cs typeface="+mn-cs"/>
            </a:rPr>
            <a:t> </a:t>
          </a:r>
          <a:r>
            <a:rPr lang="pt-BR" sz="1050">
              <a:solidFill>
                <a:schemeClr val="accent2">
                  <a:lumMod val="50000"/>
                </a:schemeClr>
              </a:solidFill>
              <a:effectLst/>
              <a:latin typeface="+mn-lt"/>
              <a:ea typeface="+mn-ea"/>
              <a:cs typeface="+mn-cs"/>
            </a:rPr>
            <a:t>Clicando nos botões com</a:t>
          </a:r>
          <a:r>
            <a:rPr lang="pt-BR" sz="1050" baseline="0">
              <a:solidFill>
                <a:schemeClr val="accent2">
                  <a:lumMod val="50000"/>
                </a:schemeClr>
              </a:solidFill>
              <a:effectLst/>
              <a:latin typeface="+mn-lt"/>
              <a:ea typeface="+mn-ea"/>
              <a:cs typeface="+mn-cs"/>
            </a:rPr>
            <a:t> sinal de mais (+) no formulário de lançamentos, que ficam a esquerda dos campos 'Conta Corrente', 'Nome do Titular', 'Cliente ou Fornecedor', 'Centro de Custos' e 'Plano de Contas', você é direcionado para a respectiva planilha de cadastro e, após o cadastramento, retorna automaticamente para o formulário de lançamentos;</a:t>
          </a:r>
        </a:p>
        <a:p>
          <a:pPr algn="ctr"/>
          <a:endParaRPr lang="pt-BR" sz="1050" baseline="0">
            <a:ln w="0">
              <a:noFill/>
            </a:ln>
            <a:solidFill>
              <a:schemeClr val="accent2">
                <a:lumMod val="50000"/>
              </a:schemeClr>
            </a:solidFill>
            <a:effectLst/>
            <a:latin typeface="+mn-lt"/>
            <a:ea typeface="+mn-ea"/>
            <a:cs typeface="+mn-cs"/>
          </a:endParaRPr>
        </a:p>
        <a:p>
          <a:pPr algn="ctr"/>
          <a:r>
            <a:rPr lang="pt-BR" sz="1050" b="1" baseline="0">
              <a:solidFill>
                <a:srgbClr val="002060"/>
              </a:solidFill>
              <a:effectLst/>
              <a:latin typeface="+mn-lt"/>
              <a:ea typeface="+mn-ea"/>
              <a:cs typeface="+mn-cs"/>
            </a:rPr>
            <a:t>✧</a:t>
          </a:r>
          <a:r>
            <a:rPr lang="pt-BR" sz="1050" b="1" baseline="0">
              <a:solidFill>
                <a:schemeClr val="lt1"/>
              </a:solidFill>
              <a:effectLst/>
              <a:latin typeface="+mn-lt"/>
              <a:ea typeface="+mn-ea"/>
              <a:cs typeface="+mn-cs"/>
            </a:rPr>
            <a:t>  </a:t>
          </a:r>
          <a:r>
            <a:rPr lang="pt-BR" sz="1050" baseline="0">
              <a:ln w="0">
                <a:noFill/>
              </a:ln>
              <a:solidFill>
                <a:schemeClr val="accent2">
                  <a:lumMod val="50000"/>
                </a:schemeClr>
              </a:solidFill>
              <a:effectLst/>
              <a:latin typeface="+mn-lt"/>
              <a:ea typeface="+mn-ea"/>
              <a:cs typeface="+mn-cs"/>
            </a:rPr>
            <a:t>Para excluir os lançamentos já efetuados basta clicar em EXCLUIR LANÇAMENTO' na seção 'LANÇAMENTOS' do Menu 'PROGRAMA FINANCEIRO'. Agora, se quiser limpar todos os registros realizados e começar tudo de novo, clique no botão 'LIMPAR CADASTROS', localizado na parte inferior da aba 'MENU';</a:t>
          </a:r>
        </a:p>
        <a:p>
          <a:pPr algn="ctr"/>
          <a:endParaRPr lang="pt-BR" sz="1050" baseline="0">
            <a:ln w="0">
              <a:noFill/>
            </a:ln>
            <a:solidFill>
              <a:schemeClr val="accent2">
                <a:lumMod val="50000"/>
              </a:schemeClr>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pt-BR" sz="1050" b="1" baseline="0">
              <a:solidFill>
                <a:srgbClr val="002060"/>
              </a:solidFill>
              <a:effectLst/>
              <a:latin typeface="+mn-lt"/>
              <a:ea typeface="+mn-ea"/>
              <a:cs typeface="+mn-cs"/>
            </a:rPr>
            <a:t>✧</a:t>
          </a:r>
          <a:r>
            <a:rPr lang="pt-BR" sz="1400" b="1" baseline="0">
              <a:solidFill>
                <a:schemeClr val="lt1"/>
              </a:solidFill>
              <a:effectLst/>
              <a:latin typeface="+mn-lt"/>
              <a:ea typeface="+mn-ea"/>
              <a:cs typeface="+mn-cs"/>
            </a:rPr>
            <a:t> </a:t>
          </a:r>
          <a:r>
            <a:rPr lang="pt-BR" sz="1050" b="1" baseline="0">
              <a:solidFill>
                <a:schemeClr val="lt1"/>
              </a:solidFill>
              <a:effectLst/>
              <a:latin typeface="+mn-lt"/>
              <a:ea typeface="+mn-ea"/>
              <a:cs typeface="+mn-cs"/>
            </a:rPr>
            <a:t> </a:t>
          </a:r>
          <a:r>
            <a:rPr lang="pt-BR" sz="1050" baseline="0">
              <a:solidFill>
                <a:schemeClr val="accent2">
                  <a:lumMod val="50000"/>
                </a:schemeClr>
              </a:solidFill>
              <a:effectLst/>
              <a:latin typeface="+mn-lt"/>
              <a:ea typeface="+mn-ea"/>
              <a:cs typeface="+mn-cs"/>
            </a:rPr>
            <a:t>Este sistema oferece também uma forma simplificada de controle de estoque de materiais e produtos. Para utilizá-lo basta cadastrar os materiais/produtos a serem controlados e associar contas do plano financeiro ao controle estoque;</a:t>
          </a:r>
          <a:endParaRPr lang="pt-BR" sz="1050" baseline="0">
            <a:ln w="0">
              <a:noFill/>
            </a:ln>
            <a:solidFill>
              <a:schemeClr val="accent2">
                <a:lumMod val="50000"/>
              </a:schemeClr>
            </a:solidFill>
          </a:endParaRPr>
        </a:p>
        <a:p>
          <a:pPr algn="ctr"/>
          <a:endParaRPr lang="pt-BR" sz="1050" baseline="0">
            <a:ln w="0">
              <a:noFill/>
            </a:ln>
            <a:solidFill>
              <a:schemeClr val="accent2">
                <a:lumMod val="50000"/>
              </a:schemeClr>
            </a:solidFill>
          </a:endParaRPr>
        </a:p>
        <a:p>
          <a:pPr algn="ctr"/>
          <a:r>
            <a:rPr lang="pt-BR" sz="1050" b="1" baseline="0">
              <a:solidFill>
                <a:srgbClr val="002060"/>
              </a:solidFill>
              <a:effectLst/>
              <a:latin typeface="+mn-lt"/>
              <a:ea typeface="+mn-ea"/>
              <a:cs typeface="+mn-cs"/>
            </a:rPr>
            <a:t>✧ </a:t>
          </a:r>
          <a:r>
            <a:rPr lang="pt-BR" sz="1050" baseline="0">
              <a:ln w="0">
                <a:noFill/>
              </a:ln>
              <a:solidFill>
                <a:schemeClr val="accent2">
                  <a:lumMod val="50000"/>
                </a:schemeClr>
              </a:solidFill>
            </a:rPr>
            <a:t>Se você já estiver craque com o uso deste programa, pode ocultar este e os demais quadros de dicas com um simples clique na caixinha 'Dicas e observações', localizada nesta aba 'MENU'.</a:t>
          </a:r>
          <a:endParaRPr lang="pt-BR" sz="1050">
            <a:ln w="0">
              <a:noFill/>
            </a:ln>
            <a:solidFill>
              <a:schemeClr val="accent2">
                <a:lumMod val="50000"/>
              </a:schemeClr>
            </a:solidFill>
          </a:endParaRPr>
        </a:p>
      </xdr:txBody>
    </xdr:sp>
    <xdr:clientData/>
  </xdr:twoCellAnchor>
  <xdr:twoCellAnchor>
    <xdr:from>
      <xdr:col>2</xdr:col>
      <xdr:colOff>0</xdr:colOff>
      <xdr:row>6</xdr:row>
      <xdr:rowOff>6</xdr:rowOff>
    </xdr:from>
    <xdr:to>
      <xdr:col>3</xdr:col>
      <xdr:colOff>0</xdr:colOff>
      <xdr:row>7</xdr:row>
      <xdr:rowOff>5</xdr:rowOff>
    </xdr:to>
    <xdr:sp macro="[0]!Ir_Titular" textlink="">
      <xdr:nvSpPr>
        <xdr:cNvPr id="16" name="CaixaDeTexto 15">
          <a:extLst>
            <a:ext uri="{FF2B5EF4-FFF2-40B4-BE49-F238E27FC236}">
              <a16:creationId xmlns:a16="http://schemas.microsoft.com/office/drawing/2014/main" id="{00000000-0008-0000-0000-000010000000}"/>
            </a:ext>
          </a:extLst>
        </xdr:cNvPr>
        <xdr:cNvSpPr txBox="1"/>
      </xdr:nvSpPr>
      <xdr:spPr>
        <a:xfrm>
          <a:off x="212912" y="1008535"/>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TITULARES DOS</a:t>
          </a:r>
          <a:r>
            <a:rPr lang="pt-BR" sz="1100" b="1" baseline="0"/>
            <a:t> LANÇAMENTOS</a:t>
          </a:r>
          <a:endParaRPr lang="pt-BR" sz="1100" b="1"/>
        </a:p>
      </xdr:txBody>
    </xdr:sp>
    <xdr:clientData/>
  </xdr:twoCellAnchor>
  <xdr:twoCellAnchor>
    <xdr:from>
      <xdr:col>2</xdr:col>
      <xdr:colOff>0</xdr:colOff>
      <xdr:row>8</xdr:row>
      <xdr:rowOff>4</xdr:rowOff>
    </xdr:from>
    <xdr:to>
      <xdr:col>3</xdr:col>
      <xdr:colOff>0</xdr:colOff>
      <xdr:row>9</xdr:row>
      <xdr:rowOff>4</xdr:rowOff>
    </xdr:to>
    <xdr:sp macro="[0]!Ir_CCustos" textlink="">
      <xdr:nvSpPr>
        <xdr:cNvPr id="17" name="CaixaDeTexto 16">
          <a:extLst>
            <a:ext uri="{FF2B5EF4-FFF2-40B4-BE49-F238E27FC236}">
              <a16:creationId xmlns:a16="http://schemas.microsoft.com/office/drawing/2014/main" id="{00000000-0008-0000-0000-000011000000}"/>
            </a:ext>
          </a:extLst>
        </xdr:cNvPr>
        <xdr:cNvSpPr txBox="1"/>
      </xdr:nvSpPr>
      <xdr:spPr>
        <a:xfrm>
          <a:off x="212912" y="1703298"/>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CENTROS DE CUSTOS</a:t>
          </a:r>
        </a:p>
      </xdr:txBody>
    </xdr:sp>
    <xdr:clientData/>
  </xdr:twoCellAnchor>
  <xdr:twoCellAnchor>
    <xdr:from>
      <xdr:col>2</xdr:col>
      <xdr:colOff>-1</xdr:colOff>
      <xdr:row>12</xdr:row>
      <xdr:rowOff>564</xdr:rowOff>
    </xdr:from>
    <xdr:to>
      <xdr:col>2</xdr:col>
      <xdr:colOff>2711822</xdr:colOff>
      <xdr:row>13</xdr:row>
      <xdr:rowOff>0</xdr:rowOff>
    </xdr:to>
    <xdr:sp macro="[0]!Ir_PlanoContas" textlink="">
      <xdr:nvSpPr>
        <xdr:cNvPr id="19" name="CaixaDeTexto 18">
          <a:extLst>
            <a:ext uri="{FF2B5EF4-FFF2-40B4-BE49-F238E27FC236}">
              <a16:creationId xmlns:a16="http://schemas.microsoft.com/office/drawing/2014/main" id="{00000000-0008-0000-0000-000013000000}"/>
            </a:ext>
          </a:extLst>
        </xdr:cNvPr>
        <xdr:cNvSpPr txBox="1"/>
      </xdr:nvSpPr>
      <xdr:spPr>
        <a:xfrm>
          <a:off x="324970" y="2051240"/>
          <a:ext cx="2711823" cy="223554"/>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PLANO</a:t>
          </a:r>
          <a:r>
            <a:rPr lang="pt-BR" sz="1100" b="1" baseline="0"/>
            <a:t> DE CONTAS</a:t>
          </a:r>
          <a:endParaRPr lang="pt-BR" sz="1100" b="1"/>
        </a:p>
      </xdr:txBody>
    </xdr:sp>
    <xdr:clientData/>
  </xdr:twoCellAnchor>
  <xdr:twoCellAnchor>
    <xdr:from>
      <xdr:col>2</xdr:col>
      <xdr:colOff>0</xdr:colOff>
      <xdr:row>16</xdr:row>
      <xdr:rowOff>563</xdr:rowOff>
    </xdr:from>
    <xdr:to>
      <xdr:col>3</xdr:col>
      <xdr:colOff>0</xdr:colOff>
      <xdr:row>17</xdr:row>
      <xdr:rowOff>4486</xdr:rowOff>
    </xdr:to>
    <xdr:sp macro="[0]!Ir_ContaCorrente" textlink="">
      <xdr:nvSpPr>
        <xdr:cNvPr id="20" name="CaixaDeTexto 19">
          <a:extLst>
            <a:ext uri="{FF2B5EF4-FFF2-40B4-BE49-F238E27FC236}">
              <a16:creationId xmlns:a16="http://schemas.microsoft.com/office/drawing/2014/main" id="{00000000-0008-0000-0000-000014000000}"/>
            </a:ext>
          </a:extLst>
        </xdr:cNvPr>
        <xdr:cNvSpPr txBox="1"/>
      </xdr:nvSpPr>
      <xdr:spPr>
        <a:xfrm>
          <a:off x="212912" y="2398622"/>
          <a:ext cx="2711823" cy="228040"/>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CONTAS CORRENTES</a:t>
          </a:r>
        </a:p>
      </xdr:txBody>
    </xdr:sp>
    <xdr:clientData/>
  </xdr:twoCellAnchor>
  <xdr:twoCellAnchor>
    <xdr:from>
      <xdr:col>5</xdr:col>
      <xdr:colOff>0</xdr:colOff>
      <xdr:row>8</xdr:row>
      <xdr:rowOff>0</xdr:rowOff>
    </xdr:from>
    <xdr:to>
      <xdr:col>6</xdr:col>
      <xdr:colOff>0</xdr:colOff>
      <xdr:row>9</xdr:row>
      <xdr:rowOff>0</xdr:rowOff>
    </xdr:to>
    <xdr:sp macro="[0]!Ir_FluxoDeCaixa" textlink="">
      <xdr:nvSpPr>
        <xdr:cNvPr id="21" name="CaixaDeTexto 20">
          <a:extLst>
            <a:ext uri="{FF2B5EF4-FFF2-40B4-BE49-F238E27FC236}">
              <a16:creationId xmlns:a16="http://schemas.microsoft.com/office/drawing/2014/main" id="{00000000-0008-0000-0000-000015000000}"/>
            </a:ext>
          </a:extLst>
        </xdr:cNvPr>
        <xdr:cNvSpPr txBox="1"/>
      </xdr:nvSpPr>
      <xdr:spPr>
        <a:xfrm>
          <a:off x="3361765" y="1355912"/>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FLUXOS DE CAIXA</a:t>
          </a:r>
        </a:p>
      </xdr:txBody>
    </xdr:sp>
    <xdr:clientData/>
  </xdr:twoCellAnchor>
  <xdr:twoCellAnchor>
    <xdr:from>
      <xdr:col>5</xdr:col>
      <xdr:colOff>0</xdr:colOff>
      <xdr:row>10</xdr:row>
      <xdr:rowOff>0</xdr:rowOff>
    </xdr:from>
    <xdr:to>
      <xdr:col>6</xdr:col>
      <xdr:colOff>0</xdr:colOff>
      <xdr:row>10</xdr:row>
      <xdr:rowOff>224117</xdr:rowOff>
    </xdr:to>
    <xdr:sp macro="[0]!Ir_RelatorioAnaliseResultado" textlink="">
      <xdr:nvSpPr>
        <xdr:cNvPr id="22" name="CaixaDeTexto 21">
          <a:extLst>
            <a:ext uri="{FF2B5EF4-FFF2-40B4-BE49-F238E27FC236}">
              <a16:creationId xmlns:a16="http://schemas.microsoft.com/office/drawing/2014/main" id="{00000000-0008-0000-0000-000016000000}"/>
            </a:ext>
          </a:extLst>
        </xdr:cNvPr>
        <xdr:cNvSpPr txBox="1"/>
      </xdr:nvSpPr>
      <xdr:spPr>
        <a:xfrm>
          <a:off x="3361765" y="1703294"/>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ANÁLISE DE RESULTADO</a:t>
          </a:r>
          <a:endParaRPr lang="pt-BR" sz="1100" b="1"/>
        </a:p>
      </xdr:txBody>
    </xdr:sp>
    <xdr:clientData/>
  </xdr:twoCellAnchor>
  <xdr:twoCellAnchor>
    <xdr:from>
      <xdr:col>5</xdr:col>
      <xdr:colOff>0</xdr:colOff>
      <xdr:row>16</xdr:row>
      <xdr:rowOff>0</xdr:rowOff>
    </xdr:from>
    <xdr:to>
      <xdr:col>6</xdr:col>
      <xdr:colOff>0</xdr:colOff>
      <xdr:row>16</xdr:row>
      <xdr:rowOff>224118</xdr:rowOff>
    </xdr:to>
    <xdr:sp macro="[0]!Ir_RelatorioOutros" textlink="">
      <xdr:nvSpPr>
        <xdr:cNvPr id="23" name="CaixaDeTexto 22">
          <a:extLst>
            <a:ext uri="{FF2B5EF4-FFF2-40B4-BE49-F238E27FC236}">
              <a16:creationId xmlns:a16="http://schemas.microsoft.com/office/drawing/2014/main" id="{00000000-0008-0000-0000-000017000000}"/>
            </a:ext>
          </a:extLst>
        </xdr:cNvPr>
        <xdr:cNvSpPr txBox="1"/>
      </xdr:nvSpPr>
      <xdr:spPr>
        <a:xfrm>
          <a:off x="3361765" y="2745441"/>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OUTROS</a:t>
          </a:r>
          <a:r>
            <a:rPr lang="pt-BR" sz="1100" b="1" baseline="0"/>
            <a:t> RELATÓRIOS</a:t>
          </a:r>
          <a:endParaRPr lang="pt-BR" sz="1100" b="1"/>
        </a:p>
      </xdr:txBody>
    </xdr:sp>
    <xdr:clientData/>
  </xdr:twoCellAnchor>
  <xdr:twoCellAnchor>
    <xdr:from>
      <xdr:col>5</xdr:col>
      <xdr:colOff>0</xdr:colOff>
      <xdr:row>12</xdr:row>
      <xdr:rowOff>1</xdr:rowOff>
    </xdr:from>
    <xdr:to>
      <xdr:col>6</xdr:col>
      <xdr:colOff>0</xdr:colOff>
      <xdr:row>13</xdr:row>
      <xdr:rowOff>0</xdr:rowOff>
    </xdr:to>
    <xdr:sp macro="[0]!Ir_Gráficos" textlink="">
      <xdr:nvSpPr>
        <xdr:cNvPr id="24" name="CaixaDeTexto 23">
          <a:extLst>
            <a:ext uri="{FF2B5EF4-FFF2-40B4-BE49-F238E27FC236}">
              <a16:creationId xmlns:a16="http://schemas.microsoft.com/office/drawing/2014/main" id="{00000000-0008-0000-0000-000018000000}"/>
            </a:ext>
          </a:extLst>
        </xdr:cNvPr>
        <xdr:cNvSpPr txBox="1"/>
      </xdr:nvSpPr>
      <xdr:spPr>
        <a:xfrm>
          <a:off x="3361765" y="2050677"/>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GRÁFICOS</a:t>
          </a:r>
        </a:p>
      </xdr:txBody>
    </xdr:sp>
    <xdr:clientData/>
  </xdr:twoCellAnchor>
  <xdr:twoCellAnchor>
    <xdr:from>
      <xdr:col>5</xdr:col>
      <xdr:colOff>0</xdr:colOff>
      <xdr:row>17</xdr:row>
      <xdr:rowOff>112058</xdr:rowOff>
    </xdr:from>
    <xdr:to>
      <xdr:col>6</xdr:col>
      <xdr:colOff>0</xdr:colOff>
      <xdr:row>18</xdr:row>
      <xdr:rowOff>217394</xdr:rowOff>
    </xdr:to>
    <xdr:sp macro="[0]!Ir_CriarRelatorio" textlink="">
      <xdr:nvSpPr>
        <xdr:cNvPr id="25" name="CaixaDeTexto 24">
          <a:extLst>
            <a:ext uri="{FF2B5EF4-FFF2-40B4-BE49-F238E27FC236}">
              <a16:creationId xmlns:a16="http://schemas.microsoft.com/office/drawing/2014/main" id="{00000000-0008-0000-0000-000019000000}"/>
            </a:ext>
          </a:extLst>
        </xdr:cNvPr>
        <xdr:cNvSpPr txBox="1"/>
      </xdr:nvSpPr>
      <xdr:spPr>
        <a:xfrm>
          <a:off x="3361765" y="3092823"/>
          <a:ext cx="2711823" cy="228600"/>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CRIAR SEU RELATÓRIO</a:t>
          </a:r>
        </a:p>
      </xdr:txBody>
    </xdr:sp>
    <xdr:clientData/>
  </xdr:twoCellAnchor>
  <xdr:twoCellAnchor>
    <xdr:from>
      <xdr:col>2</xdr:col>
      <xdr:colOff>0</xdr:colOff>
      <xdr:row>14</xdr:row>
      <xdr:rowOff>4</xdr:rowOff>
    </xdr:from>
    <xdr:to>
      <xdr:col>3</xdr:col>
      <xdr:colOff>0</xdr:colOff>
      <xdr:row>15</xdr:row>
      <xdr:rowOff>9530</xdr:rowOff>
    </xdr:to>
    <xdr:sp macro="[0]!Ir_CliFor" textlink="">
      <xdr:nvSpPr>
        <xdr:cNvPr id="15" name="CaixaDeTexto 14">
          <a:extLst>
            <a:ext uri="{FF2B5EF4-FFF2-40B4-BE49-F238E27FC236}">
              <a16:creationId xmlns:a16="http://schemas.microsoft.com/office/drawing/2014/main" id="{00000000-0008-0000-0000-00000F000000}"/>
            </a:ext>
          </a:extLst>
        </xdr:cNvPr>
        <xdr:cNvSpPr txBox="1"/>
      </xdr:nvSpPr>
      <xdr:spPr>
        <a:xfrm>
          <a:off x="212912" y="1355916"/>
          <a:ext cx="2711823" cy="233643"/>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CLIENTES E FORNECEDORES</a:t>
          </a:r>
        </a:p>
      </xdr:txBody>
    </xdr:sp>
    <xdr:clientData/>
  </xdr:twoCellAnchor>
  <mc:AlternateContent xmlns:mc="http://schemas.openxmlformats.org/markup-compatibility/2006">
    <mc:Choice xmlns:a14="http://schemas.microsoft.com/office/drawing/2010/main" Requires="a14">
      <xdr:twoCellAnchor editAs="absolute">
        <xdr:from>
          <xdr:col>5</xdr:col>
          <xdr:colOff>1543050</xdr:colOff>
          <xdr:row>3</xdr:row>
          <xdr:rowOff>57150</xdr:rowOff>
        </xdr:from>
        <xdr:to>
          <xdr:col>6</xdr:col>
          <xdr:colOff>38100</xdr:colOff>
          <xdr:row>4</xdr:row>
          <xdr:rowOff>133350</xdr:rowOff>
        </xdr:to>
        <xdr:sp macro="" textlink="">
          <xdr:nvSpPr>
            <xdr:cNvPr id="1030" name="ChBoxDica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18</xdr:row>
      <xdr:rowOff>11770</xdr:rowOff>
    </xdr:from>
    <xdr:to>
      <xdr:col>3</xdr:col>
      <xdr:colOff>0</xdr:colOff>
      <xdr:row>19</xdr:row>
      <xdr:rowOff>4485</xdr:rowOff>
    </xdr:to>
    <xdr:sp macro="[0]!Ir_Insumos" textlink="">
      <xdr:nvSpPr>
        <xdr:cNvPr id="26" name="CaixaDeTexto 25">
          <a:extLst>
            <a:ext uri="{FF2B5EF4-FFF2-40B4-BE49-F238E27FC236}">
              <a16:creationId xmlns:a16="http://schemas.microsoft.com/office/drawing/2014/main" id="{00000000-0008-0000-0000-00001A000000}"/>
            </a:ext>
          </a:extLst>
        </xdr:cNvPr>
        <xdr:cNvSpPr txBox="1"/>
      </xdr:nvSpPr>
      <xdr:spPr>
        <a:xfrm>
          <a:off x="212912" y="2757211"/>
          <a:ext cx="2711823" cy="228039"/>
        </a:xfrm>
        <a:prstGeom prst="rect">
          <a:avLst/>
        </a:prstGeom>
        <a:solidFill>
          <a:schemeClr val="accent3">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ITENS DE ESTOQUE</a:t>
          </a:r>
          <a:endParaRPr lang="pt-BR" sz="1100" b="1"/>
        </a:p>
      </xdr:txBody>
    </xdr:sp>
    <xdr:clientData/>
  </xdr:twoCellAnchor>
  <xdr:twoCellAnchor>
    <xdr:from>
      <xdr:col>5</xdr:col>
      <xdr:colOff>0</xdr:colOff>
      <xdr:row>13</xdr:row>
      <xdr:rowOff>123264</xdr:rowOff>
    </xdr:from>
    <xdr:to>
      <xdr:col>6</xdr:col>
      <xdr:colOff>0</xdr:colOff>
      <xdr:row>15</xdr:row>
      <xdr:rowOff>0</xdr:rowOff>
    </xdr:to>
    <xdr:sp macro="[0]!Ir_ControleEstoque" textlink="">
      <xdr:nvSpPr>
        <xdr:cNvPr id="27" name="CaixaDeTexto 26">
          <a:extLst>
            <a:ext uri="{FF2B5EF4-FFF2-40B4-BE49-F238E27FC236}">
              <a16:creationId xmlns:a16="http://schemas.microsoft.com/office/drawing/2014/main" id="{00000000-0008-0000-0000-00001B000000}"/>
            </a:ext>
          </a:extLst>
        </xdr:cNvPr>
        <xdr:cNvSpPr txBox="1"/>
      </xdr:nvSpPr>
      <xdr:spPr>
        <a:xfrm>
          <a:off x="3361765" y="2398058"/>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CONTROLE</a:t>
          </a:r>
          <a:r>
            <a:rPr lang="pt-BR" sz="1100" b="1" baseline="0"/>
            <a:t> DE ESTOQUE</a:t>
          </a:r>
          <a:endParaRPr lang="pt-BR" sz="1100" b="1"/>
        </a:p>
      </xdr:txBody>
    </xdr:sp>
    <xdr:clientData/>
  </xdr:twoCellAnchor>
  <xdr:twoCellAnchor>
    <xdr:from>
      <xdr:col>5</xdr:col>
      <xdr:colOff>1638300</xdr:colOff>
      <xdr:row>21</xdr:row>
      <xdr:rowOff>89646</xdr:rowOff>
    </xdr:from>
    <xdr:to>
      <xdr:col>6</xdr:col>
      <xdr:colOff>0</xdr:colOff>
      <xdr:row>23</xdr:row>
      <xdr:rowOff>24457</xdr:rowOff>
    </xdr:to>
    <xdr:sp macro="[0]!Ocultar_Plan" textlink="">
      <xdr:nvSpPr>
        <xdr:cNvPr id="28" name="CaixaDeTexto 27">
          <a:extLst>
            <a:ext uri="{FF2B5EF4-FFF2-40B4-BE49-F238E27FC236}">
              <a16:creationId xmlns:a16="http://schemas.microsoft.com/office/drawing/2014/main" id="{00000000-0008-0000-0000-00001C000000}"/>
            </a:ext>
          </a:extLst>
        </xdr:cNvPr>
        <xdr:cNvSpPr txBox="1"/>
      </xdr:nvSpPr>
      <xdr:spPr>
        <a:xfrm>
          <a:off x="5000065" y="3742764"/>
          <a:ext cx="1073523" cy="248575"/>
        </a:xfrm>
        <a:prstGeom prst="rect">
          <a:avLst/>
        </a:prstGeom>
        <a:solidFill>
          <a:schemeClr val="accent6">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solidFill>
                <a:schemeClr val="tx1"/>
              </a:solidFill>
            </a:rPr>
            <a:t>OCULTAR ABAS</a:t>
          </a:r>
        </a:p>
      </xdr:txBody>
    </xdr:sp>
    <xdr:clientData/>
  </xdr:twoCellAnchor>
  <xdr:twoCellAnchor>
    <xdr:from>
      <xdr:col>2</xdr:col>
      <xdr:colOff>-1</xdr:colOff>
      <xdr:row>10</xdr:row>
      <xdr:rowOff>564</xdr:rowOff>
    </xdr:from>
    <xdr:to>
      <xdr:col>2</xdr:col>
      <xdr:colOff>2711822</xdr:colOff>
      <xdr:row>11</xdr:row>
      <xdr:rowOff>0</xdr:rowOff>
    </xdr:to>
    <xdr:sp macro="[0]!Ir_GrupoContas" textlink="">
      <xdr:nvSpPr>
        <xdr:cNvPr id="29" name="CaixaDeTexto 28">
          <a:extLst>
            <a:ext uri="{FF2B5EF4-FFF2-40B4-BE49-F238E27FC236}">
              <a16:creationId xmlns:a16="http://schemas.microsoft.com/office/drawing/2014/main" id="{00000000-0008-0000-0000-00001D000000}"/>
            </a:ext>
          </a:extLst>
        </xdr:cNvPr>
        <xdr:cNvSpPr txBox="1"/>
      </xdr:nvSpPr>
      <xdr:spPr>
        <a:xfrm>
          <a:off x="324970" y="1703858"/>
          <a:ext cx="2711823" cy="223554"/>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GRUPOS</a:t>
          </a:r>
          <a:r>
            <a:rPr lang="pt-BR" sz="1100" b="1" baseline="0"/>
            <a:t> DE CONTAS</a:t>
          </a:r>
          <a:endParaRPr lang="pt-BR"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10</xdr:col>
      <xdr:colOff>66675</xdr:colOff>
      <xdr:row>3</xdr:row>
      <xdr:rowOff>76200</xdr:rowOff>
    </xdr:from>
    <xdr:to>
      <xdr:col>17</xdr:col>
      <xdr:colOff>457200</xdr:colOff>
      <xdr:row>19</xdr:row>
      <xdr:rowOff>9525</xdr:rowOff>
    </xdr:to>
    <xdr:sp macro="" textlink="">
      <xdr:nvSpPr>
        <xdr:cNvPr id="6" name="ShpDicas">
          <a:extLst>
            <a:ext uri="{FF2B5EF4-FFF2-40B4-BE49-F238E27FC236}">
              <a16:creationId xmlns:a16="http://schemas.microsoft.com/office/drawing/2014/main" id="{00000000-0008-0000-0100-000006000000}"/>
            </a:ext>
          </a:extLst>
        </xdr:cNvPr>
        <xdr:cNvSpPr/>
      </xdr:nvSpPr>
      <xdr:spPr>
        <a:xfrm>
          <a:off x="7124700" y="514350"/>
          <a:ext cx="4657725" cy="2981325"/>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Registra o titular ou titulares dos recebimentos e pagamentos realizados ou a realizar.</a:t>
          </a:r>
        </a:p>
        <a:p>
          <a:pPr algn="l"/>
          <a:endParaRPr lang="pt-BR" sz="1100">
            <a:solidFill>
              <a:schemeClr val="accent2">
                <a:lumMod val="50000"/>
              </a:schemeClr>
            </a:solidFill>
            <a:effectLst/>
            <a:latin typeface="+mn-lt"/>
            <a:ea typeface="+mn-ea"/>
            <a:cs typeface="+mn-cs"/>
          </a:endParaRPr>
        </a:p>
        <a:p>
          <a:pPr algn="l"/>
          <a:r>
            <a:rPr lang="pt-BR" sz="1100">
              <a:solidFill>
                <a:schemeClr val="accent2">
                  <a:lumMod val="50000"/>
                </a:schemeClr>
              </a:solidFill>
              <a:effectLst/>
              <a:latin typeface="+mn-lt"/>
              <a:ea typeface="+mn-ea"/>
              <a:cs typeface="+mn-cs"/>
            </a:rPr>
            <a:t>Imagine que João e Maria queiram, no mesmo controle financeiro, separar os recebimentos e pagamentos atribuídos a cada um deles. Nesse caso, basta que registre um titular como "João" e outro como "Maria" e associe os lançamentos a esses nomes. O resultado dos lançamentos por titular são observados no Relatório "Resultado por Titular".</a:t>
          </a:r>
        </a:p>
        <a:p>
          <a:pPr algn="l"/>
          <a:endParaRPr lang="pt-BR" sz="1100">
            <a:solidFill>
              <a:schemeClr val="accent2">
                <a:lumMod val="50000"/>
              </a:schemeClr>
            </a:solidFill>
            <a:effectLst/>
            <a:latin typeface="+mn-lt"/>
            <a:ea typeface="+mn-ea"/>
            <a:cs typeface="+mn-cs"/>
          </a:endParaRPr>
        </a:p>
        <a:p>
          <a:pPr algn="l"/>
          <a:r>
            <a:rPr lang="pt-BR" sz="1100">
              <a:solidFill>
                <a:schemeClr val="accent2">
                  <a:lumMod val="50000"/>
                </a:schemeClr>
              </a:solidFill>
              <a:effectLst/>
              <a:latin typeface="+mn-lt"/>
              <a:ea typeface="+mn-ea"/>
              <a:cs typeface="+mn-cs"/>
            </a:rPr>
            <a:t>Caso</a:t>
          </a:r>
          <a:r>
            <a:rPr lang="pt-BR" sz="1100" baseline="0">
              <a:solidFill>
                <a:schemeClr val="accent2">
                  <a:lumMod val="50000"/>
                </a:schemeClr>
              </a:solidFill>
              <a:effectLst/>
              <a:latin typeface="+mn-lt"/>
              <a:ea typeface="+mn-ea"/>
              <a:cs typeface="+mn-cs"/>
            </a:rPr>
            <a:t> você não precise controlar suas finanças através de mais de um Titular, cadastre apenas um nome e ele aparecerá automaticamente no campo respectivo do formulário de lançamentos, simplificando o processo de lançamento dos recebimentos, pagamentos e movimentações financeiras.</a:t>
          </a:r>
          <a:endParaRPr lang="pt-BR">
            <a:solidFill>
              <a:schemeClr val="accent2">
                <a:lumMod val="50000"/>
              </a:schemeClr>
            </a:solidFill>
            <a:effectLst/>
          </a:endParaRPr>
        </a:p>
      </xdr:txBody>
    </xdr:sp>
    <xdr:clientData/>
  </xdr:twoCellAnchor>
  <xdr:twoCellAnchor>
    <xdr:from>
      <xdr:col>3</xdr:col>
      <xdr:colOff>76200</xdr:colOff>
      <xdr:row>1</xdr:row>
      <xdr:rowOff>28575</xdr:rowOff>
    </xdr:from>
    <xdr:to>
      <xdr:col>4</xdr:col>
      <xdr:colOff>47625</xdr:colOff>
      <xdr:row>1</xdr:row>
      <xdr:rowOff>285750</xdr:rowOff>
    </xdr:to>
    <xdr:sp macro="[0]!ChamarFormCadTitular" textlink="">
      <xdr:nvSpPr>
        <xdr:cNvPr id="2" name="CaixaDeTexto 1">
          <a:extLst>
            <a:ext uri="{FF2B5EF4-FFF2-40B4-BE49-F238E27FC236}">
              <a16:creationId xmlns:a16="http://schemas.microsoft.com/office/drawing/2014/main" id="{00000000-0008-0000-0100-000002000000}"/>
            </a:ext>
          </a:extLst>
        </xdr:cNvPr>
        <xdr:cNvSpPr txBox="1"/>
      </xdr:nvSpPr>
      <xdr:spPr>
        <a:xfrm>
          <a:off x="2867025" y="76200"/>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1097056</xdr:colOff>
      <xdr:row>1</xdr:row>
      <xdr:rowOff>187139</xdr:rowOff>
    </xdr:from>
    <xdr:to>
      <xdr:col>2</xdr:col>
      <xdr:colOff>1592356</xdr:colOff>
      <xdr:row>1</xdr:row>
      <xdr:rowOff>368114</xdr:rowOff>
    </xdr:to>
    <xdr:sp macro="[0]!ChamarFormCadCliFor" textlink="">
      <xdr:nvSpPr>
        <xdr:cNvPr id="3" name="CaixaDeTexto 2">
          <a:extLst>
            <a:ext uri="{FF2B5EF4-FFF2-40B4-BE49-F238E27FC236}">
              <a16:creationId xmlns:a16="http://schemas.microsoft.com/office/drawing/2014/main" id="{00000000-0008-0000-0200-000003000000}"/>
            </a:ext>
          </a:extLst>
        </xdr:cNvPr>
        <xdr:cNvSpPr txBox="1"/>
      </xdr:nvSpPr>
      <xdr:spPr>
        <a:xfrm>
          <a:off x="1601321" y="220757"/>
          <a:ext cx="495300" cy="1809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t>NOVO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342900</xdr:colOff>
      <xdr:row>3</xdr:row>
      <xdr:rowOff>133347</xdr:rowOff>
    </xdr:from>
    <xdr:to>
      <xdr:col>17</xdr:col>
      <xdr:colOff>326336</xdr:colOff>
      <xdr:row>24</xdr:row>
      <xdr:rowOff>38100</xdr:rowOff>
    </xdr:to>
    <xdr:sp macro="" textlink="">
      <xdr:nvSpPr>
        <xdr:cNvPr id="9" name="ShpDicas">
          <a:extLst>
            <a:ext uri="{FF2B5EF4-FFF2-40B4-BE49-F238E27FC236}">
              <a16:creationId xmlns:a16="http://schemas.microsoft.com/office/drawing/2014/main" id="{00000000-0008-0000-0300-000009000000}"/>
            </a:ext>
          </a:extLst>
        </xdr:cNvPr>
        <xdr:cNvSpPr/>
      </xdr:nvSpPr>
      <xdr:spPr>
        <a:xfrm>
          <a:off x="8724900" y="542922"/>
          <a:ext cx="3031436" cy="3905253"/>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2">
                  <a:lumMod val="50000"/>
                </a:schemeClr>
              </a:solidFill>
              <a:effectLst/>
              <a:latin typeface="+mn-lt"/>
              <a:ea typeface="+mn-ea"/>
              <a:cs typeface="+mn-cs"/>
            </a:rPr>
            <a:t>'Centro de Custos' serve para concentrar os registros de recebimentos e pagamentos dentro de uma mesma unidade de controle.</a:t>
          </a:r>
        </a:p>
        <a:p>
          <a:endParaRPr lang="pt-BR" sz="1100">
            <a:solidFill>
              <a:schemeClr val="accent2">
                <a:lumMod val="50000"/>
              </a:schemeClr>
            </a:solidFill>
            <a:effectLst/>
            <a:latin typeface="+mn-lt"/>
            <a:ea typeface="+mn-ea"/>
            <a:cs typeface="+mn-cs"/>
          </a:endParaRPr>
        </a:p>
        <a:p>
          <a:r>
            <a:rPr lang="pt-BR" sz="1100">
              <a:solidFill>
                <a:schemeClr val="accent2">
                  <a:lumMod val="50000"/>
                </a:schemeClr>
              </a:solidFill>
              <a:effectLst/>
              <a:latin typeface="+mn-lt"/>
              <a:ea typeface="+mn-ea"/>
              <a:cs typeface="+mn-cs"/>
            </a:rPr>
            <a:t>Você pode criar centros de custos para controle de seus gastos pessoais, como: "Moradia",  "Alimentação", "Educação", "Lazer" etc.</a:t>
          </a:r>
        </a:p>
        <a:p>
          <a:r>
            <a:rPr lang="pt-BR" sz="1100">
              <a:solidFill>
                <a:schemeClr val="accent2">
                  <a:lumMod val="50000"/>
                </a:schemeClr>
              </a:solidFill>
              <a:effectLst/>
              <a:latin typeface="+mn-lt"/>
              <a:ea typeface="+mn-ea"/>
              <a:cs typeface="+mn-cs"/>
            </a:rPr>
            <a:t> </a:t>
          </a:r>
          <a:endParaRPr lang="pt-BR" sz="900">
            <a:solidFill>
              <a:schemeClr val="accent2">
                <a:lumMod val="50000"/>
              </a:schemeClr>
            </a:solidFill>
            <a:effectLst/>
          </a:endParaRPr>
        </a:p>
        <a:p>
          <a:r>
            <a:rPr lang="pt-BR" sz="1100">
              <a:solidFill>
                <a:schemeClr val="accent2">
                  <a:lumMod val="50000"/>
                </a:schemeClr>
              </a:solidFill>
              <a:effectLst/>
              <a:latin typeface="+mn-lt"/>
              <a:ea typeface="+mn-ea"/>
              <a:cs typeface="+mn-cs"/>
            </a:rPr>
            <a:t>Por exemplo: o centro de custos "Moradia" concentra as despesas com prestações da casa própria ou aluguel, contas de água, luz, telefone, mercado etc, as quais, por sua vez, são definidas através do 'Plano de Contas'. </a:t>
          </a:r>
        </a:p>
        <a:p>
          <a:endParaRPr lang="pt-BR" sz="1100">
            <a:solidFill>
              <a:schemeClr val="accent2">
                <a:lumMod val="50000"/>
              </a:schemeClr>
            </a:solidFill>
            <a:effectLst/>
            <a:latin typeface="+mn-lt"/>
            <a:ea typeface="+mn-ea"/>
            <a:cs typeface="+mn-cs"/>
          </a:endParaRPr>
        </a:p>
        <a:p>
          <a:r>
            <a:rPr lang="pt-BR" sz="1100">
              <a:solidFill>
                <a:schemeClr val="accent2">
                  <a:lumMod val="50000"/>
                </a:schemeClr>
              </a:solidFill>
              <a:effectLst/>
              <a:latin typeface="+mn-lt"/>
              <a:ea typeface="+mn-ea"/>
              <a:cs typeface="+mn-cs"/>
            </a:rPr>
            <a:t>Assim, ao selecionar o Relatório por Centros de Custos você verá que o valor informado para "Moradia" corresponderá à soma das despesas que você associou a esse centro de custos.</a:t>
          </a:r>
          <a:endParaRPr lang="pt-BR" sz="900">
            <a:solidFill>
              <a:schemeClr val="accent2">
                <a:lumMod val="50000"/>
              </a:schemeClr>
            </a:solidFill>
            <a:effectLst/>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CadCCustos" textlink="">
      <xdr:nvSpPr>
        <xdr:cNvPr id="3" name="CaixaDeTexto 2">
          <a:extLst>
            <a:ext uri="{FF2B5EF4-FFF2-40B4-BE49-F238E27FC236}">
              <a16:creationId xmlns:a16="http://schemas.microsoft.com/office/drawing/2014/main" id="{00000000-0008-0000-03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7</xdr:col>
      <xdr:colOff>495299</xdr:colOff>
      <xdr:row>3</xdr:row>
      <xdr:rowOff>66675</xdr:rowOff>
    </xdr:from>
    <xdr:to>
      <xdr:col>14</xdr:col>
      <xdr:colOff>285750</xdr:colOff>
      <xdr:row>24</xdr:row>
      <xdr:rowOff>47624</xdr:rowOff>
    </xdr:to>
    <xdr:sp macro="" textlink="">
      <xdr:nvSpPr>
        <xdr:cNvPr id="2" name="ShpDicas">
          <a:extLst>
            <a:ext uri="{FF2B5EF4-FFF2-40B4-BE49-F238E27FC236}">
              <a16:creationId xmlns:a16="http://schemas.microsoft.com/office/drawing/2014/main" id="{00000000-0008-0000-0400-000002000000}"/>
            </a:ext>
          </a:extLst>
        </xdr:cNvPr>
        <xdr:cNvSpPr/>
      </xdr:nvSpPr>
      <xdr:spPr>
        <a:xfrm>
          <a:off x="5829299" y="476250"/>
          <a:ext cx="4057651" cy="3981449"/>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2">
                  <a:lumMod val="50000"/>
                </a:schemeClr>
              </a:solidFill>
              <a:effectLst/>
              <a:latin typeface="+mn-lt"/>
              <a:ea typeface="+mn-ea"/>
              <a:cs typeface="+mn-cs"/>
            </a:rPr>
            <a:t>Grupo de Contas' serve para aglutinar as contas do plano de contas dentro de uma mesma unidade de controle,</a:t>
          </a:r>
          <a:r>
            <a:rPr lang="pt-BR" sz="1100" baseline="0">
              <a:solidFill>
                <a:schemeClr val="accent2">
                  <a:lumMod val="50000"/>
                </a:schemeClr>
              </a:solidFill>
              <a:effectLst/>
              <a:latin typeface="+mn-lt"/>
              <a:ea typeface="+mn-ea"/>
              <a:cs typeface="+mn-cs"/>
            </a:rPr>
            <a:t> segunda a sua natureza.</a:t>
          </a:r>
          <a:endParaRPr lang="pt-BR" sz="1100">
            <a:solidFill>
              <a:schemeClr val="accent2">
                <a:lumMod val="50000"/>
              </a:schemeClr>
            </a:solidFill>
            <a:effectLst/>
            <a:latin typeface="+mn-lt"/>
            <a:ea typeface="+mn-ea"/>
            <a:cs typeface="+mn-cs"/>
          </a:endParaRPr>
        </a:p>
        <a:p>
          <a:r>
            <a:rPr lang="pt-BR" sz="1100">
              <a:solidFill>
                <a:schemeClr val="accent2">
                  <a:lumMod val="50000"/>
                </a:schemeClr>
              </a:solidFill>
              <a:effectLst/>
              <a:latin typeface="+mn-lt"/>
              <a:ea typeface="+mn-ea"/>
              <a:cs typeface="+mn-cs"/>
            </a:rPr>
            <a:t> </a:t>
          </a:r>
          <a:endParaRPr lang="pt-BR" sz="900">
            <a:solidFill>
              <a:schemeClr val="accent2">
                <a:lumMod val="50000"/>
              </a:schemeClr>
            </a:solidFill>
            <a:effectLst/>
          </a:endParaRPr>
        </a:p>
        <a:p>
          <a:r>
            <a:rPr lang="pt-BR" sz="1100">
              <a:solidFill>
                <a:schemeClr val="accent2">
                  <a:lumMod val="50000"/>
                </a:schemeClr>
              </a:solidFill>
              <a:effectLst/>
              <a:latin typeface="+mn-lt"/>
              <a:ea typeface="+mn-ea"/>
              <a:cs typeface="+mn-cs"/>
            </a:rPr>
            <a:t>Você pode,</a:t>
          </a:r>
          <a:r>
            <a:rPr lang="pt-BR" sz="1100" baseline="0">
              <a:solidFill>
                <a:schemeClr val="accent2">
                  <a:lumMod val="50000"/>
                </a:schemeClr>
              </a:solidFill>
              <a:effectLst/>
              <a:latin typeface="+mn-lt"/>
              <a:ea typeface="+mn-ea"/>
              <a:cs typeface="+mn-cs"/>
            </a:rPr>
            <a:t> por exemplo, criar um Grupo de Contas chamado "DESPESAS COM PESSOAL" para concentrar as contas</a:t>
          </a:r>
          <a:r>
            <a:rPr lang="pt-BR" sz="1100">
              <a:solidFill>
                <a:schemeClr val="accent2">
                  <a:lumMod val="50000"/>
                </a:schemeClr>
              </a:solidFill>
              <a:effectLst/>
              <a:latin typeface="+mn-lt"/>
              <a:ea typeface="+mn-ea"/>
              <a:cs typeface="+mn-cs"/>
            </a:rPr>
            <a:t> de 'SALÁRIOS', 'FÉRIAS', '13º</a:t>
          </a:r>
          <a:r>
            <a:rPr lang="pt-BR" sz="1100" baseline="0">
              <a:solidFill>
                <a:schemeClr val="accent2">
                  <a:lumMod val="50000"/>
                </a:schemeClr>
              </a:solidFill>
              <a:effectLst/>
              <a:latin typeface="+mn-lt"/>
              <a:ea typeface="+mn-ea"/>
              <a:cs typeface="+mn-cs"/>
            </a:rPr>
            <a:t> SALÁRIO', 'GRATIFICAÇÕES' etc. que, por sua vez, são criadas pelo Plano de Contas.</a:t>
          </a:r>
        </a:p>
        <a:p>
          <a:endParaRPr lang="pt-BR" sz="1100" baseline="0">
            <a:solidFill>
              <a:schemeClr val="accent2">
                <a:lumMod val="50000"/>
              </a:schemeClr>
            </a:solidFill>
            <a:effectLst/>
            <a:latin typeface="+mn-lt"/>
            <a:ea typeface="+mn-ea"/>
            <a:cs typeface="+mn-cs"/>
          </a:endParaRPr>
        </a:p>
        <a:p>
          <a:r>
            <a:rPr lang="pt-BR" sz="1100" baseline="0">
              <a:solidFill>
                <a:schemeClr val="accent2">
                  <a:lumMod val="50000"/>
                </a:schemeClr>
              </a:solidFill>
              <a:effectLst/>
              <a:latin typeface="+mn-lt"/>
              <a:ea typeface="+mn-ea"/>
              <a:cs typeface="+mn-cs"/>
            </a:rPr>
            <a:t>Ouro exemplo é o Grupo de Contas "RECEITAS OPERACIONAIS", que pode concentra as contas de VENDA DE PRODUTOS', PRESTAÇÃO DE SERVIÇOS' etc.</a:t>
          </a:r>
        </a:p>
        <a:p>
          <a:endParaRPr lang="pt-BR" sz="1100" baseline="0">
            <a:solidFill>
              <a:schemeClr val="accent2">
                <a:lumMod val="50000"/>
              </a:schemeClr>
            </a:solidFill>
            <a:effectLst/>
            <a:latin typeface="+mn-lt"/>
            <a:ea typeface="+mn-ea"/>
            <a:cs typeface="+mn-cs"/>
          </a:endParaRPr>
        </a:p>
        <a:p>
          <a:r>
            <a:rPr lang="pt-BR" sz="1100" baseline="0">
              <a:solidFill>
                <a:schemeClr val="accent2">
                  <a:lumMod val="50000"/>
                </a:schemeClr>
              </a:solidFill>
              <a:effectLst/>
              <a:latin typeface="+mn-lt"/>
              <a:ea typeface="+mn-ea"/>
              <a:cs typeface="+mn-cs"/>
            </a:rPr>
            <a:t>Assim como o Grupo de Contas "DESPESAS OPERACIONAIS" pode aglutinar as contas COMPRA DE PRODUTOS PARA REVENDA', 'COMPRA DE INSUMOS', CUSTOS COM PESSOAL', 'ALUGUEL DA FÁBRICA' etc.</a:t>
          </a:r>
          <a:endParaRPr lang="pt-BR" sz="1100">
            <a:solidFill>
              <a:schemeClr val="accent2">
                <a:lumMod val="50000"/>
              </a:schemeClr>
            </a:solidFill>
            <a:effectLst/>
            <a:latin typeface="+mn-lt"/>
            <a:ea typeface="+mn-ea"/>
            <a:cs typeface="+mn-cs"/>
          </a:endParaRPr>
        </a:p>
        <a:p>
          <a:endParaRPr lang="pt-BR" sz="1100">
            <a:solidFill>
              <a:schemeClr val="accent2">
                <a:lumMod val="50000"/>
              </a:schemeClr>
            </a:solidFill>
            <a:effectLst/>
            <a:latin typeface="+mn-lt"/>
            <a:ea typeface="+mn-ea"/>
            <a:cs typeface="+mn-cs"/>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GrupoContas" textlink="">
      <xdr:nvSpPr>
        <xdr:cNvPr id="3" name="CaixaDeTexto 2">
          <a:extLst>
            <a:ext uri="{FF2B5EF4-FFF2-40B4-BE49-F238E27FC236}">
              <a16:creationId xmlns:a16="http://schemas.microsoft.com/office/drawing/2014/main" id="{00000000-0008-0000-04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266699</xdr:colOff>
      <xdr:row>3</xdr:row>
      <xdr:rowOff>133350</xdr:rowOff>
    </xdr:from>
    <xdr:to>
      <xdr:col>14</xdr:col>
      <xdr:colOff>561974</xdr:colOff>
      <xdr:row>22</xdr:row>
      <xdr:rowOff>95249</xdr:rowOff>
    </xdr:to>
    <xdr:sp macro="" textlink="">
      <xdr:nvSpPr>
        <xdr:cNvPr id="8" name="ShpDicas">
          <a:extLst>
            <a:ext uri="{FF2B5EF4-FFF2-40B4-BE49-F238E27FC236}">
              <a16:creationId xmlns:a16="http://schemas.microsoft.com/office/drawing/2014/main" id="{00000000-0008-0000-0500-000008000000}"/>
            </a:ext>
          </a:extLst>
        </xdr:cNvPr>
        <xdr:cNvSpPr/>
      </xdr:nvSpPr>
      <xdr:spPr>
        <a:xfrm>
          <a:off x="8772524" y="514350"/>
          <a:ext cx="3952875" cy="3581399"/>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O</a:t>
          </a:r>
          <a:r>
            <a:rPr lang="pt-BR" sz="1100" baseline="0">
              <a:solidFill>
                <a:schemeClr val="accent2">
                  <a:lumMod val="50000"/>
                </a:schemeClr>
              </a:solidFill>
              <a:effectLst/>
              <a:latin typeface="+mn-lt"/>
              <a:ea typeface="+mn-ea"/>
              <a:cs typeface="+mn-cs"/>
            </a:rPr>
            <a:t> '</a:t>
          </a:r>
          <a:r>
            <a:rPr lang="pt-BR" sz="1100">
              <a:solidFill>
                <a:schemeClr val="accent2">
                  <a:lumMod val="50000"/>
                </a:schemeClr>
              </a:solidFill>
              <a:effectLst/>
              <a:latin typeface="+mn-lt"/>
              <a:ea typeface="+mn-ea"/>
              <a:cs typeface="+mn-cs"/>
            </a:rPr>
            <a:t>Plano de Contas' reune as contas de receitas,</a:t>
          </a:r>
          <a:r>
            <a:rPr lang="pt-BR" sz="1100" baseline="0">
              <a:solidFill>
                <a:schemeClr val="accent2">
                  <a:lumMod val="50000"/>
                </a:schemeClr>
              </a:solidFill>
              <a:effectLst/>
              <a:latin typeface="+mn-lt"/>
              <a:ea typeface="+mn-ea"/>
              <a:cs typeface="+mn-cs"/>
            </a:rPr>
            <a:t> de</a:t>
          </a:r>
          <a:r>
            <a:rPr lang="pt-BR" sz="1100">
              <a:solidFill>
                <a:schemeClr val="accent2">
                  <a:lumMod val="50000"/>
                </a:schemeClr>
              </a:solidFill>
              <a:effectLst/>
              <a:latin typeface="+mn-lt"/>
              <a:ea typeface="+mn-ea"/>
              <a:cs typeface="+mn-cs"/>
            </a:rPr>
            <a:t> despesas  e as</a:t>
          </a:r>
          <a:r>
            <a:rPr lang="pt-BR" sz="1100" baseline="0">
              <a:solidFill>
                <a:schemeClr val="accent2">
                  <a:lumMod val="50000"/>
                </a:schemeClr>
              </a:solidFill>
              <a:effectLst/>
              <a:latin typeface="+mn-lt"/>
              <a:ea typeface="+mn-ea"/>
              <a:cs typeface="+mn-cs"/>
            </a:rPr>
            <a:t> de movimentação financeira (saldo inicial, transferências entre contas correntes etc), </a:t>
          </a:r>
          <a:r>
            <a:rPr lang="pt-BR" sz="1100">
              <a:solidFill>
                <a:schemeClr val="accent2">
                  <a:lumMod val="50000"/>
                </a:schemeClr>
              </a:solidFill>
              <a:effectLst/>
              <a:latin typeface="+mn-lt"/>
              <a:ea typeface="+mn-ea"/>
              <a:cs typeface="+mn-cs"/>
            </a:rPr>
            <a:t>a serem utilizadas no controle financeiro, para identificação dos tipos de recebimentos e pagamentos efetuados ou a efetuar, e nos</a:t>
          </a:r>
          <a:r>
            <a:rPr lang="pt-BR" sz="1100" baseline="0">
              <a:solidFill>
                <a:schemeClr val="accent2">
                  <a:lumMod val="50000"/>
                </a:schemeClr>
              </a:solidFill>
              <a:effectLst/>
              <a:latin typeface="+mn-lt"/>
              <a:ea typeface="+mn-ea"/>
              <a:cs typeface="+mn-cs"/>
            </a:rPr>
            <a:t> fluxos de caixa</a:t>
          </a:r>
          <a:r>
            <a:rPr lang="pt-BR" sz="1100">
              <a:solidFill>
                <a:schemeClr val="accent2">
                  <a:lumMod val="50000"/>
                </a:schemeClr>
              </a:solidFill>
              <a:effectLst/>
              <a:latin typeface="+mn-lt"/>
              <a:ea typeface="+mn-ea"/>
              <a:cs typeface="+mn-cs"/>
            </a:rPr>
            <a:t>.</a:t>
          </a:r>
        </a:p>
        <a:p>
          <a:endParaRPr lang="pt-BR">
            <a:solidFill>
              <a:schemeClr val="accent2">
                <a:lumMod val="50000"/>
              </a:schemeClr>
            </a:solidFill>
            <a:effectLst/>
          </a:endParaRPr>
        </a:p>
        <a:p>
          <a:r>
            <a:rPr lang="pt-BR" sz="1100" u="sng">
              <a:solidFill>
                <a:schemeClr val="accent2">
                  <a:lumMod val="50000"/>
                </a:schemeClr>
              </a:solidFill>
              <a:effectLst/>
              <a:latin typeface="+mn-lt"/>
              <a:ea typeface="+mn-ea"/>
              <a:cs typeface="+mn-cs"/>
            </a:rPr>
            <a:t>Exemplo de contas de receita:</a:t>
          </a:r>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"Receita de Prestação de Serviços", "Receita Financeira", "Outras Receitas"</a:t>
          </a:r>
        </a:p>
        <a:p>
          <a:endParaRPr lang="pt-BR">
            <a:solidFill>
              <a:schemeClr val="accent2">
                <a:lumMod val="50000"/>
              </a:schemeClr>
            </a:solidFill>
            <a:effectLst/>
          </a:endParaRPr>
        </a:p>
        <a:p>
          <a:r>
            <a:rPr lang="pt-BR" sz="1100" u="sng">
              <a:solidFill>
                <a:schemeClr val="accent2">
                  <a:lumMod val="50000"/>
                </a:schemeClr>
              </a:solidFill>
              <a:effectLst/>
              <a:latin typeface="+mn-lt"/>
              <a:ea typeface="+mn-ea"/>
              <a:cs typeface="+mn-cs"/>
            </a:rPr>
            <a:t>Exemplo de contas de despesa:</a:t>
          </a:r>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"Aluguéis", "Conta de Energia", "Tarifas Bancárias", "Impostos", "Outras Despesas"</a:t>
          </a:r>
        </a:p>
        <a:p>
          <a:endParaRPr lang="pt-BR" sz="1100">
            <a:solidFill>
              <a:schemeClr val="accent2">
                <a:lumMod val="50000"/>
              </a:schemeClr>
            </a:solidFill>
            <a:effectLst/>
            <a:latin typeface="+mn-lt"/>
            <a:ea typeface="+mn-ea"/>
            <a:cs typeface="+mn-cs"/>
          </a:endParaRPr>
        </a:p>
        <a:p>
          <a:r>
            <a:rPr lang="pt-BR" sz="1100" u="sng">
              <a:solidFill>
                <a:schemeClr val="accent2">
                  <a:lumMod val="50000"/>
                </a:schemeClr>
              </a:solidFill>
              <a:effectLst/>
              <a:latin typeface="+mn-lt"/>
              <a:ea typeface="+mn-ea"/>
              <a:cs typeface="+mn-cs"/>
            </a:rPr>
            <a:t>Exemplo de contas de movimentação financeira:</a:t>
          </a:r>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"Transferência entre Contas", "Aplicação Financeira", "Resgate de Aplicação</a:t>
          </a:r>
          <a:r>
            <a:rPr lang="pt-BR" sz="1100" baseline="0">
              <a:solidFill>
                <a:schemeClr val="accent2">
                  <a:lumMod val="50000"/>
                </a:schemeClr>
              </a:solidFill>
              <a:effectLst/>
              <a:latin typeface="+mn-lt"/>
              <a:ea typeface="+mn-ea"/>
              <a:cs typeface="+mn-cs"/>
            </a:rPr>
            <a:t> Financeira</a:t>
          </a:r>
          <a:r>
            <a:rPr lang="pt-BR" sz="1100">
              <a:solidFill>
                <a:schemeClr val="accent2">
                  <a:lumMod val="50000"/>
                </a:schemeClr>
              </a:solidFill>
              <a:effectLst/>
              <a:latin typeface="+mn-lt"/>
              <a:ea typeface="+mn-ea"/>
              <a:cs typeface="+mn-cs"/>
            </a:rPr>
            <a:t>"</a:t>
          </a:r>
          <a:endParaRPr lang="pt-BR">
            <a:solidFill>
              <a:schemeClr val="accent2">
                <a:lumMod val="50000"/>
              </a:schemeClr>
            </a:solidFill>
            <a:effectLst/>
          </a:endParaRPr>
        </a:p>
        <a:p>
          <a:endParaRPr lang="pt-BR">
            <a:solidFill>
              <a:schemeClr val="accent2">
                <a:lumMod val="50000"/>
              </a:schemeClr>
            </a:solidFill>
            <a:effectLst/>
          </a:endParaRPr>
        </a:p>
      </xdr:txBody>
    </xdr:sp>
    <xdr:clientData/>
  </xdr:twoCellAnchor>
  <xdr:twoCellAnchor>
    <xdr:from>
      <xdr:col>7</xdr:col>
      <xdr:colOff>47625</xdr:colOff>
      <xdr:row>1</xdr:row>
      <xdr:rowOff>66675</xdr:rowOff>
    </xdr:from>
    <xdr:to>
      <xdr:col>8</xdr:col>
      <xdr:colOff>0</xdr:colOff>
      <xdr:row>1</xdr:row>
      <xdr:rowOff>276225</xdr:rowOff>
    </xdr:to>
    <xdr:sp macro="[0]!ChamarFormCadPlanoContas" textlink="">
      <xdr:nvSpPr>
        <xdr:cNvPr id="3" name="CaixaDeTexto 2">
          <a:extLst>
            <a:ext uri="{FF2B5EF4-FFF2-40B4-BE49-F238E27FC236}">
              <a16:creationId xmlns:a16="http://schemas.microsoft.com/office/drawing/2014/main" id="{00000000-0008-0000-0500-000003000000}"/>
            </a:ext>
          </a:extLst>
        </xdr:cNvPr>
        <xdr:cNvSpPr txBox="1"/>
      </xdr:nvSpPr>
      <xdr:spPr>
        <a:xfrm>
          <a:off x="8410575" y="114300"/>
          <a:ext cx="561975" cy="209550"/>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476250</xdr:colOff>
      <xdr:row>3</xdr:row>
      <xdr:rowOff>95251</xdr:rowOff>
    </xdr:from>
    <xdr:to>
      <xdr:col>13</xdr:col>
      <xdr:colOff>495300</xdr:colOff>
      <xdr:row>11</xdr:row>
      <xdr:rowOff>152400</xdr:rowOff>
    </xdr:to>
    <xdr:sp macro="" textlink="">
      <xdr:nvSpPr>
        <xdr:cNvPr id="6" name="ShpDicas">
          <a:extLst>
            <a:ext uri="{FF2B5EF4-FFF2-40B4-BE49-F238E27FC236}">
              <a16:creationId xmlns:a16="http://schemas.microsoft.com/office/drawing/2014/main" id="{00000000-0008-0000-0600-000006000000}"/>
            </a:ext>
          </a:extLst>
        </xdr:cNvPr>
        <xdr:cNvSpPr/>
      </xdr:nvSpPr>
      <xdr:spPr>
        <a:xfrm>
          <a:off x="8010525" y="523876"/>
          <a:ext cx="3067050" cy="1581149"/>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Caso</a:t>
          </a:r>
          <a:r>
            <a:rPr lang="pt-BR" sz="1100" baseline="0">
              <a:solidFill>
                <a:schemeClr val="accent2">
                  <a:lumMod val="50000"/>
                </a:schemeClr>
              </a:solidFill>
              <a:effectLst/>
              <a:latin typeface="+mn-lt"/>
              <a:ea typeface="+mn-ea"/>
              <a:cs typeface="+mn-cs"/>
            </a:rPr>
            <a:t> você não precise controlar suas finanças através de contas correntes, cadastre apenas uma conta corrente aleatória, tipo: 'CAIXA'.</a:t>
          </a:r>
        </a:p>
        <a:p>
          <a:pPr algn="l"/>
          <a:endParaRPr lang="pt-BR" sz="1100" baseline="0">
            <a:solidFill>
              <a:schemeClr val="accent2">
                <a:lumMod val="50000"/>
              </a:schemeClr>
            </a:solidFill>
            <a:effectLst/>
            <a:latin typeface="+mn-lt"/>
            <a:ea typeface="+mn-ea"/>
            <a:cs typeface="+mn-cs"/>
          </a:endParaRPr>
        </a:p>
        <a:p>
          <a:pPr algn="l"/>
          <a:r>
            <a:rPr lang="pt-BR" sz="1100" baseline="0">
              <a:solidFill>
                <a:schemeClr val="accent2">
                  <a:lumMod val="50000"/>
                </a:schemeClr>
              </a:solidFill>
              <a:effectLst/>
              <a:latin typeface="+mn-lt"/>
              <a:ea typeface="+mn-ea"/>
              <a:cs typeface="+mn-cs"/>
            </a:rPr>
            <a:t>Sendo uma única conta corrente cadastrada,  ela aparecerá automaticamente no campo respectivo do formulário de lançamentos...</a:t>
          </a:r>
          <a:endParaRPr lang="pt-BR">
            <a:solidFill>
              <a:schemeClr val="accent2">
                <a:lumMod val="50000"/>
              </a:schemeClr>
            </a:solidFill>
            <a:effectLst/>
          </a:endParaRPr>
        </a:p>
      </xdr:txBody>
    </xdr:sp>
    <xdr:clientData/>
  </xdr:twoCellAnchor>
  <xdr:twoCellAnchor>
    <xdr:from>
      <xdr:col>6</xdr:col>
      <xdr:colOff>171450</xdr:colOff>
      <xdr:row>1</xdr:row>
      <xdr:rowOff>47625</xdr:rowOff>
    </xdr:from>
    <xdr:to>
      <xdr:col>7</xdr:col>
      <xdr:colOff>142875</xdr:colOff>
      <xdr:row>1</xdr:row>
      <xdr:rowOff>304800</xdr:rowOff>
    </xdr:to>
    <xdr:sp macro="[0]!ChamarFormCadContaCorrente" textlink="">
      <xdr:nvSpPr>
        <xdr:cNvPr id="4" name="CaixaDeTexto 3">
          <a:extLst>
            <a:ext uri="{FF2B5EF4-FFF2-40B4-BE49-F238E27FC236}">
              <a16:creationId xmlns:a16="http://schemas.microsoft.com/office/drawing/2014/main" id="{00000000-0008-0000-0600-000004000000}"/>
            </a:ext>
          </a:extLst>
        </xdr:cNvPr>
        <xdr:cNvSpPr txBox="1"/>
      </xdr:nvSpPr>
      <xdr:spPr>
        <a:xfrm>
          <a:off x="5400675" y="8572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333375</xdr:colOff>
      <xdr:row>3</xdr:row>
      <xdr:rowOff>57151</xdr:rowOff>
    </xdr:from>
    <xdr:to>
      <xdr:col>13</xdr:col>
      <xdr:colOff>200025</xdr:colOff>
      <xdr:row>17</xdr:row>
      <xdr:rowOff>57151</xdr:rowOff>
    </xdr:to>
    <xdr:sp macro="" textlink="">
      <xdr:nvSpPr>
        <xdr:cNvPr id="2" name="ShpDicas">
          <a:extLst>
            <a:ext uri="{FF2B5EF4-FFF2-40B4-BE49-F238E27FC236}">
              <a16:creationId xmlns:a16="http://schemas.microsoft.com/office/drawing/2014/main" id="{00000000-0008-0000-0700-000002000000}"/>
            </a:ext>
          </a:extLst>
        </xdr:cNvPr>
        <xdr:cNvSpPr/>
      </xdr:nvSpPr>
      <xdr:spPr>
        <a:xfrm>
          <a:off x="9134475" y="457201"/>
          <a:ext cx="3524250" cy="266700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Cadastro</a:t>
          </a:r>
          <a:r>
            <a:rPr lang="pt-BR" sz="1100" baseline="0">
              <a:solidFill>
                <a:schemeClr val="accent2">
                  <a:lumMod val="50000"/>
                </a:schemeClr>
              </a:solidFill>
              <a:effectLst/>
              <a:latin typeface="+mn-lt"/>
              <a:ea typeface="+mn-ea"/>
              <a:cs typeface="+mn-cs"/>
            </a:rPr>
            <a:t> dos produtos adquiridos ou produzidos, para controle de saldo em estoque através do registros das compras e vendas (títulos de  lançamento)</a:t>
          </a:r>
          <a:r>
            <a:rPr lang="pt-BR" sz="1100">
              <a:solidFill>
                <a:schemeClr val="accent2">
                  <a:lumMod val="50000"/>
                </a:schemeClr>
              </a:solidFill>
              <a:effectLst/>
              <a:latin typeface="+mn-lt"/>
              <a:ea typeface="+mn-ea"/>
              <a:cs typeface="+mn-cs"/>
            </a:rPr>
            <a:t>.</a:t>
          </a:r>
        </a:p>
        <a:p>
          <a:endParaRPr lang="pt-BR" baseline="0">
            <a:solidFill>
              <a:schemeClr val="accent2">
                <a:lumMod val="50000"/>
              </a:schemeClr>
            </a:solidFill>
            <a:effectLst/>
          </a:endParaRPr>
        </a:p>
        <a:p>
          <a:r>
            <a:rPr lang="pt-BR" baseline="0">
              <a:solidFill>
                <a:schemeClr val="accent2">
                  <a:lumMod val="50000"/>
                </a:schemeClr>
              </a:solidFill>
              <a:effectLst/>
            </a:rPr>
            <a:t>Os campos "Unidade', 'Marca', 'Fabricante' e 'Observação' não são de preenchimento obrigatório.</a:t>
          </a:r>
        </a:p>
        <a:p>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Mediante ativação do botão</a:t>
          </a:r>
          <a:r>
            <a:rPr lang="pt-BR" sz="1100" baseline="0">
              <a:solidFill>
                <a:schemeClr val="accent2">
                  <a:lumMod val="50000"/>
                </a:schemeClr>
              </a:solidFill>
              <a:effectLst/>
              <a:latin typeface="+mn-lt"/>
              <a:ea typeface="+mn-ea"/>
              <a:cs typeface="+mn-cs"/>
            </a:rPr>
            <a:t> 'Conta Associada ao Controle de Estoque', do formulário de Plano de Contas, você estará definindo as contas que terão controle de entrada e saída de materiais ou produtos, para a formação do saldo em estoque.</a:t>
          </a:r>
          <a:endParaRPr lang="pt-BR">
            <a:solidFill>
              <a:schemeClr val="accent2">
                <a:lumMod val="50000"/>
              </a:schemeClr>
            </a:solidFill>
            <a:effectLst/>
          </a:endParaRPr>
        </a:p>
        <a:p>
          <a:endParaRPr lang="pt-BR" baseline="0">
            <a:solidFill>
              <a:schemeClr val="accent2">
                <a:lumMod val="50000"/>
              </a:schemeClr>
            </a:solidFill>
            <a:effectLst/>
          </a:endParaRPr>
        </a:p>
      </xdr:txBody>
    </xdr:sp>
    <xdr:clientData/>
  </xdr:twoCellAnchor>
  <xdr:twoCellAnchor>
    <xdr:from>
      <xdr:col>7</xdr:col>
      <xdr:colOff>95251</xdr:colOff>
      <xdr:row>1</xdr:row>
      <xdr:rowOff>66675</xdr:rowOff>
    </xdr:from>
    <xdr:to>
      <xdr:col>8</xdr:col>
      <xdr:colOff>1</xdr:colOff>
      <xdr:row>1</xdr:row>
      <xdr:rowOff>266700</xdr:rowOff>
    </xdr:to>
    <xdr:sp macro="[0]!ChamarFormCadInsumos" textlink="">
      <xdr:nvSpPr>
        <xdr:cNvPr id="3" name="CaixaDeTexto 2">
          <a:extLst>
            <a:ext uri="{FF2B5EF4-FFF2-40B4-BE49-F238E27FC236}">
              <a16:creationId xmlns:a16="http://schemas.microsoft.com/office/drawing/2014/main" id="{00000000-0008-0000-0700-000003000000}"/>
            </a:ext>
          </a:extLst>
        </xdr:cNvPr>
        <xdr:cNvSpPr txBox="1"/>
      </xdr:nvSpPr>
      <xdr:spPr>
        <a:xfrm>
          <a:off x="8896351" y="114300"/>
          <a:ext cx="514350" cy="2000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NOVO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9</xdr:row>
      <xdr:rowOff>0</xdr:rowOff>
    </xdr:from>
    <xdr:to>
      <xdr:col>4</xdr:col>
      <xdr:colOff>9525</xdr:colOff>
      <xdr:row>10</xdr:row>
      <xdr:rowOff>0</xdr:rowOff>
    </xdr:to>
    <xdr:sp macro="" textlink="">
      <xdr:nvSpPr>
        <xdr:cNvPr id="2" name="CaixaDeTexto 1">
          <a:extLst>
            <a:ext uri="{FF2B5EF4-FFF2-40B4-BE49-F238E27FC236}">
              <a16:creationId xmlns:a16="http://schemas.microsoft.com/office/drawing/2014/main" id="{00000000-0008-0000-0900-000002000000}"/>
            </a:ext>
          </a:extLst>
        </xdr:cNvPr>
        <xdr:cNvSpPr txBox="1"/>
      </xdr:nvSpPr>
      <xdr:spPr>
        <a:xfrm>
          <a:off x="3933825" y="1143000"/>
          <a:ext cx="647700" cy="19050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47625</xdr:rowOff>
        </xdr:from>
        <xdr:to>
          <xdr:col>1</xdr:col>
          <xdr:colOff>762000</xdr:colOff>
          <xdr:row>9</xdr:row>
          <xdr:rowOff>209550</xdr:rowOff>
        </xdr:to>
        <xdr:sp macro="" textlink="">
          <xdr:nvSpPr>
            <xdr:cNvPr id="10242" name="ScrollBar1"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38100</xdr:colOff>
      <xdr:row>0</xdr:row>
      <xdr:rowOff>38100</xdr:rowOff>
    </xdr:from>
    <xdr:to>
      <xdr:col>4</xdr:col>
      <xdr:colOff>133350</xdr:colOff>
      <xdr:row>2</xdr:row>
      <xdr:rowOff>31241</xdr:rowOff>
    </xdr:to>
    <xdr:sp macro="" textlink="">
      <xdr:nvSpPr>
        <xdr:cNvPr id="5" name="Retângulo 4">
          <a:extLst>
            <a:ext uri="{FF2B5EF4-FFF2-40B4-BE49-F238E27FC236}">
              <a16:creationId xmlns:a16="http://schemas.microsoft.com/office/drawing/2014/main" id="{00000000-0008-0000-0900-000005000000}"/>
            </a:ext>
          </a:extLst>
        </xdr:cNvPr>
        <xdr:cNvSpPr/>
      </xdr:nvSpPr>
      <xdr:spPr>
        <a:xfrm>
          <a:off x="38100" y="38100"/>
          <a:ext cx="3857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 VERTICAL</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12027</xdr:colOff>
      <xdr:row>0</xdr:row>
      <xdr:rowOff>0</xdr:rowOff>
    </xdr:from>
    <xdr:to>
      <xdr:col>6</xdr:col>
      <xdr:colOff>62116</xdr:colOff>
      <xdr:row>2</xdr:row>
      <xdr:rowOff>54321</xdr:rowOff>
    </xdr:to>
    <xdr:sp macro="" textlink="">
      <xdr:nvSpPr>
        <xdr:cNvPr id="2" name="Retângulo 1">
          <a:extLst>
            <a:ext uri="{FF2B5EF4-FFF2-40B4-BE49-F238E27FC236}">
              <a16:creationId xmlns:a16="http://schemas.microsoft.com/office/drawing/2014/main" id="{00000000-0008-0000-0A00-000002000000}"/>
            </a:ext>
          </a:extLst>
        </xdr:cNvPr>
        <xdr:cNvSpPr/>
      </xdr:nvSpPr>
      <xdr:spPr>
        <a:xfrm>
          <a:off x="12027" y="0"/>
          <a:ext cx="5231689" cy="311496"/>
        </a:xfrm>
        <a:prstGeom prst="rect">
          <a:avLst/>
        </a:prstGeom>
        <a:noFill/>
      </xdr:spPr>
      <xdr:txBody>
        <a:bodyPr wrap="non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400" b="1" cap="none" spc="0">
              <a:ln w="50800">
                <a:solidFill>
                  <a:schemeClr val="accent2">
                    <a:lumMod val="60000"/>
                    <a:lumOff val="40000"/>
                  </a:schemeClr>
                </a:solidFill>
              </a:ln>
              <a:solidFill>
                <a:schemeClr val="bg1">
                  <a:shade val="50000"/>
                </a:schemeClr>
              </a:solidFill>
              <a:effectLst/>
            </a:rPr>
            <a:t>RELATÓRIO POR TIPO DE </a:t>
          </a:r>
          <a:r>
            <a:rPr lang="pt-BR" sz="1400" b="1" cap="none" spc="0" baseline="0">
              <a:ln w="50800">
                <a:solidFill>
                  <a:schemeClr val="accent2">
                    <a:lumMod val="60000"/>
                    <a:lumOff val="40000"/>
                  </a:schemeClr>
                </a:solidFill>
              </a:ln>
              <a:solidFill>
                <a:schemeClr val="bg1">
                  <a:shade val="50000"/>
                </a:schemeClr>
              </a:solidFill>
              <a:effectLst/>
            </a:rPr>
            <a:t> LANÇAMENTOS </a:t>
          </a:r>
          <a:r>
            <a:rPr lang="pt-BR" sz="1400" b="1" cap="none" spc="0">
              <a:ln w="50800">
                <a:solidFill>
                  <a:schemeClr val="accent2">
                    <a:lumMod val="60000"/>
                    <a:lumOff val="40000"/>
                  </a:schemeClr>
                </a:solidFill>
              </a:ln>
              <a:solidFill>
                <a:schemeClr val="bg1">
                  <a:shade val="50000"/>
                </a:schemeClr>
              </a:solidFill>
              <a:effectLst/>
            </a:rPr>
            <a:t>- FIXOS OU ESPORÁDICOS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495299</xdr:colOff>
      <xdr:row>2</xdr:row>
      <xdr:rowOff>85611</xdr:rowOff>
    </xdr:to>
    <xdr:sp macro="" textlink="">
      <xdr:nvSpPr>
        <xdr:cNvPr id="2" name="Retângulo 1">
          <a:extLst>
            <a:ext uri="{FF2B5EF4-FFF2-40B4-BE49-F238E27FC236}">
              <a16:creationId xmlns:a16="http://schemas.microsoft.com/office/drawing/2014/main" id="{00000000-0008-0000-0B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RELATÓRIO POR</a:t>
          </a:r>
          <a:r>
            <a:rPr lang="pt-BR" sz="1600" b="1" cap="none" spc="0" baseline="0">
              <a:ln w="50800">
                <a:solidFill>
                  <a:schemeClr val="accent1">
                    <a:lumMod val="75000"/>
                  </a:schemeClr>
                </a:solidFill>
              </a:ln>
              <a:solidFill>
                <a:schemeClr val="bg1">
                  <a:shade val="50000"/>
                </a:schemeClr>
              </a:solidFill>
              <a:effectLst/>
            </a:rPr>
            <a:t> TITULAR</a:t>
          </a:r>
          <a:endParaRPr lang="pt-BR" sz="1600" b="1" cap="none" spc="0">
            <a:ln w="50800">
              <a:solidFill>
                <a:schemeClr val="accent1">
                  <a:lumMod val="75000"/>
                </a:schemeClr>
              </a:solidFill>
            </a:ln>
            <a:solidFill>
              <a:schemeClr val="bg1">
                <a:shade val="50000"/>
              </a:schemeClr>
            </a:solidFill>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0</xdr:row>
      <xdr:rowOff>0</xdr:rowOff>
    </xdr:from>
    <xdr:to>
      <xdr:col>3</xdr:col>
      <xdr:colOff>95250</xdr:colOff>
      <xdr:row>2</xdr:row>
      <xdr:rowOff>116966</xdr:rowOff>
    </xdr:to>
    <xdr:sp macro="" textlink="">
      <xdr:nvSpPr>
        <xdr:cNvPr id="3" name="Retângulo 2">
          <a:extLst>
            <a:ext uri="{FF2B5EF4-FFF2-40B4-BE49-F238E27FC236}">
              <a16:creationId xmlns:a16="http://schemas.microsoft.com/office/drawing/2014/main" id="{00000000-0008-0000-0D00-000003000000}"/>
            </a:ext>
          </a:extLst>
        </xdr:cNvPr>
        <xdr:cNvSpPr/>
      </xdr:nvSpPr>
      <xdr:spPr>
        <a:xfrm>
          <a:off x="85725" y="0"/>
          <a:ext cx="3476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a:t>
          </a:r>
          <a:r>
            <a:rPr lang="pt-BR" sz="1800" b="1" cap="none" spc="0" baseline="0">
              <a:ln w="50800">
                <a:solidFill>
                  <a:schemeClr val="accent5">
                    <a:lumMod val="60000"/>
                    <a:lumOff val="40000"/>
                  </a:schemeClr>
                </a:solidFill>
              </a:ln>
              <a:solidFill>
                <a:schemeClr val="bg1">
                  <a:shade val="50000"/>
                </a:schemeClr>
              </a:solidFill>
              <a:effectLst/>
            </a:rPr>
            <a:t> HORIZONTAL</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9</xdr:row>
          <xdr:rowOff>28575</xdr:rowOff>
        </xdr:from>
        <xdr:to>
          <xdr:col>1</xdr:col>
          <xdr:colOff>781050</xdr:colOff>
          <xdr:row>10</xdr:row>
          <xdr:rowOff>0</xdr:rowOff>
        </xdr:to>
        <xdr:sp macro="" textlink="">
          <xdr:nvSpPr>
            <xdr:cNvPr id="14337" name="ScrollBar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xdr:col>
      <xdr:colOff>0</xdr:colOff>
      <xdr:row>9</xdr:row>
      <xdr:rowOff>0</xdr:rowOff>
    </xdr:from>
    <xdr:to>
      <xdr:col>4</xdr:col>
      <xdr:colOff>9525</xdr:colOff>
      <xdr:row>10</xdr:row>
      <xdr:rowOff>0</xdr:rowOff>
    </xdr:to>
    <xdr:sp macro="" textlink="">
      <xdr:nvSpPr>
        <xdr:cNvPr id="2" name="CaixaDeTexto 1">
          <a:extLst>
            <a:ext uri="{FF2B5EF4-FFF2-40B4-BE49-F238E27FC236}">
              <a16:creationId xmlns:a16="http://schemas.microsoft.com/office/drawing/2014/main" id="{00000000-0008-0000-0E00-000002000000}"/>
            </a:ext>
          </a:extLst>
        </xdr:cNvPr>
        <xdr:cNvSpPr txBox="1"/>
      </xdr:nvSpPr>
      <xdr:spPr>
        <a:xfrm>
          <a:off x="2886075" y="1400175"/>
          <a:ext cx="885825" cy="2476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47625</xdr:rowOff>
        </xdr:from>
        <xdr:to>
          <xdr:col>1</xdr:col>
          <xdr:colOff>762000</xdr:colOff>
          <xdr:row>9</xdr:row>
          <xdr:rowOff>209550</xdr:rowOff>
        </xdr:to>
        <xdr:sp macro="" textlink="">
          <xdr:nvSpPr>
            <xdr:cNvPr id="21505" name="ScrollBar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38100</xdr:colOff>
      <xdr:row>0</xdr:row>
      <xdr:rowOff>38100</xdr:rowOff>
    </xdr:from>
    <xdr:to>
      <xdr:col>3</xdr:col>
      <xdr:colOff>685800</xdr:colOff>
      <xdr:row>2</xdr:row>
      <xdr:rowOff>31241</xdr:rowOff>
    </xdr:to>
    <xdr:sp macro="" textlink="">
      <xdr:nvSpPr>
        <xdr:cNvPr id="4" name="Retângulo 3">
          <a:extLst>
            <a:ext uri="{FF2B5EF4-FFF2-40B4-BE49-F238E27FC236}">
              <a16:creationId xmlns:a16="http://schemas.microsoft.com/office/drawing/2014/main" id="{00000000-0008-0000-0E00-000004000000}"/>
            </a:ext>
          </a:extLst>
        </xdr:cNvPr>
        <xdr:cNvSpPr/>
      </xdr:nvSpPr>
      <xdr:spPr>
        <a:xfrm>
          <a:off x="38100" y="38100"/>
          <a:ext cx="32480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CONTAS PAGAS E RECEBIDAS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10</xdr:col>
      <xdr:colOff>0</xdr:colOff>
      <xdr:row>28</xdr:row>
      <xdr:rowOff>0</xdr:rowOff>
    </xdr:from>
    <xdr:to>
      <xdr:col>10</xdr:col>
      <xdr:colOff>304800</xdr:colOff>
      <xdr:row>32</xdr:row>
      <xdr:rowOff>76200</xdr:rowOff>
    </xdr:to>
    <xdr:sp macro="" textlink="">
      <xdr:nvSpPr>
        <xdr:cNvPr id="2" name="AutoShape 1" descr="Resultado de imagem para ícones de lançamentos">
          <a:extLst>
            <a:ext uri="{FF2B5EF4-FFF2-40B4-BE49-F238E27FC236}">
              <a16:creationId xmlns:a16="http://schemas.microsoft.com/office/drawing/2014/main" id="{00000000-0008-0000-0F00-000002000000}"/>
            </a:ext>
          </a:extLst>
        </xdr:cNvPr>
        <xdr:cNvSpPr>
          <a:spLocks noChangeAspect="1" noChangeArrowheads="1"/>
        </xdr:cNvSpPr>
      </xdr:nvSpPr>
      <xdr:spPr bwMode="auto">
        <a:xfrm>
          <a:off x="8353425" y="3552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28575</xdr:colOff>
          <xdr:row>16</xdr:row>
          <xdr:rowOff>19050</xdr:rowOff>
        </xdr:from>
        <xdr:to>
          <xdr:col>1</xdr:col>
          <xdr:colOff>685800</xdr:colOff>
          <xdr:row>17</xdr:row>
          <xdr:rowOff>9525</xdr:rowOff>
        </xdr:to>
        <xdr:sp macro="" textlink="">
          <xdr:nvSpPr>
            <xdr:cNvPr id="15361" name="ScrollBar1" hidden="1">
              <a:extLst>
                <a:ext uri="{63B3BB69-23CF-44E3-9099-C40C66FF867C}">
                  <a14:compatExt spid="_x0000_s15361"/>
                </a:ext>
                <a:ext uri="{FF2B5EF4-FFF2-40B4-BE49-F238E27FC236}">
                  <a16:creationId xmlns:a16="http://schemas.microsoft.com/office/drawing/2014/main" id="{00000000-0008-0000-0F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85724</xdr:colOff>
      <xdr:row>1</xdr:row>
      <xdr:rowOff>38100</xdr:rowOff>
    </xdr:from>
    <xdr:to>
      <xdr:col>15</xdr:col>
      <xdr:colOff>28521</xdr:colOff>
      <xdr:row>5</xdr:row>
      <xdr:rowOff>142875</xdr:rowOff>
    </xdr:to>
    <xdr:graphicFrame macro="">
      <xdr:nvGraphicFramePr>
        <xdr:cNvPr id="9" name="Gráfico 8">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9526</xdr:rowOff>
    </xdr:from>
    <xdr:to>
      <xdr:col>15</xdr:col>
      <xdr:colOff>19050</xdr:colOff>
      <xdr:row>10</xdr:row>
      <xdr:rowOff>123826</xdr:rowOff>
    </xdr:to>
    <xdr:graphicFrame macro="">
      <xdr:nvGraphicFramePr>
        <xdr:cNvPr id="10" name="Gráfico 9">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xdr:colOff>
      <xdr:row>14</xdr:row>
      <xdr:rowOff>19048</xdr:rowOff>
    </xdr:from>
    <xdr:to>
      <xdr:col>6</xdr:col>
      <xdr:colOff>0</xdr:colOff>
      <xdr:row>15</xdr:row>
      <xdr:rowOff>47624</xdr:rowOff>
    </xdr:to>
    <xdr:sp macro="[0]!PeriodoRelResultado" textlink="">
      <xdr:nvSpPr>
        <xdr:cNvPr id="3" name="CaixaDeTexto 2">
          <a:extLst>
            <a:ext uri="{FF2B5EF4-FFF2-40B4-BE49-F238E27FC236}">
              <a16:creationId xmlns:a16="http://schemas.microsoft.com/office/drawing/2014/main" id="{00000000-0008-0000-0F00-000003000000}"/>
            </a:ext>
          </a:extLst>
        </xdr:cNvPr>
        <xdr:cNvSpPr txBox="1"/>
      </xdr:nvSpPr>
      <xdr:spPr>
        <a:xfrm>
          <a:off x="2533650" y="2771773"/>
          <a:ext cx="1323975" cy="171451"/>
        </a:xfrm>
        <a:prstGeom prst="rect">
          <a:avLst/>
        </a:prstGeom>
        <a:solidFill>
          <a:schemeClr val="accent6">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baseline="0"/>
            <a:t>ATUALIZAR PERÍODO</a:t>
          </a:r>
          <a:endParaRPr lang="pt-BR" sz="8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500064</xdr:colOff>
      <xdr:row>17</xdr:row>
      <xdr:rowOff>95250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15</xdr:col>
      <xdr:colOff>0</xdr:colOff>
      <xdr:row>18</xdr:row>
      <xdr:rowOff>0</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19</xdr:row>
      <xdr:rowOff>0</xdr:rowOff>
    </xdr:from>
    <xdr:to>
      <xdr:col>15</xdr:col>
      <xdr:colOff>0</xdr:colOff>
      <xdr:row>38</xdr:row>
      <xdr:rowOff>0</xdr:rowOff>
    </xdr:to>
    <xdr:graphicFrame macro="">
      <xdr:nvGraphicFramePr>
        <xdr:cNvPr id="2" name="Gráfico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19</xdr:row>
      <xdr:rowOff>0</xdr:rowOff>
    </xdr:from>
    <xdr:to>
      <xdr:col>5</xdr:col>
      <xdr:colOff>514350</xdr:colOff>
      <xdr:row>38</xdr:row>
      <xdr:rowOff>0</xdr:rowOff>
    </xdr:to>
    <xdr:graphicFrame macro="">
      <xdr:nvGraphicFramePr>
        <xdr:cNvPr id="3" name="Gráfico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114299</xdr:colOff>
      <xdr:row>2</xdr:row>
      <xdr:rowOff>85611</xdr:rowOff>
    </xdr:to>
    <xdr:sp macro="" textlink="">
      <xdr:nvSpPr>
        <xdr:cNvPr id="2" name="Retângulo 1">
          <a:extLst>
            <a:ext uri="{FF2B5EF4-FFF2-40B4-BE49-F238E27FC236}">
              <a16:creationId xmlns:a16="http://schemas.microsoft.com/office/drawing/2014/main" id="{00000000-0008-0000-11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CONTROLE DE ESTOQUE</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533400</xdr:colOff>
      <xdr:row>91</xdr:row>
      <xdr:rowOff>38100</xdr:rowOff>
    </xdr:from>
    <xdr:to>
      <xdr:col>4</xdr:col>
      <xdr:colOff>190500</xdr:colOff>
      <xdr:row>95</xdr:row>
      <xdr:rowOff>161925</xdr:rowOff>
    </xdr:to>
    <mc:AlternateContent xmlns:mc="http://schemas.openxmlformats.org/markup-compatibility/2006" xmlns:a14="http://schemas.microsoft.com/office/drawing/2010/main">
      <mc:Choice Requires="a14">
        <xdr:graphicFrame macro="">
          <xdr:nvGraphicFramePr>
            <xdr:cNvPr id="5" name="CONTA CORRENTE 1">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microsoft.com/office/drawing/2010/slicer">
              <sle:slicer xmlns:sle="http://schemas.microsoft.com/office/drawing/2010/slicer" name="CONTA CORRENTE 1"/>
            </a:graphicData>
          </a:graphic>
        </xdr:graphicFrame>
      </mc:Choice>
      <mc:Fallback xmlns="">
        <xdr:sp macro="" textlink="">
          <xdr:nvSpPr>
            <xdr:cNvPr id="0" name=""/>
            <xdr:cNvSpPr>
              <a:spLocks noTextEdit="1"/>
            </xdr:cNvSpPr>
          </xdr:nvSpPr>
          <xdr:spPr>
            <a:xfrm>
              <a:off x="6600825" y="17383125"/>
              <a:ext cx="1828800" cy="8858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552450</xdr:colOff>
      <xdr:row>81</xdr:row>
      <xdr:rowOff>57150</xdr:rowOff>
    </xdr:from>
    <xdr:to>
      <xdr:col>4</xdr:col>
      <xdr:colOff>209550</xdr:colOff>
      <xdr:row>85</xdr:row>
      <xdr:rowOff>104775</xdr:rowOff>
    </xdr:to>
    <mc:AlternateContent xmlns:mc="http://schemas.openxmlformats.org/markup-compatibility/2006" xmlns:a14="http://schemas.microsoft.com/office/drawing/2010/main">
      <mc:Choice Requires="a14">
        <xdr:graphicFrame macro="">
          <xdr:nvGraphicFramePr>
            <xdr:cNvPr id="6" name="TITULAR">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microsoft.com/office/drawing/2010/slicer">
              <sle:slicer xmlns:sle="http://schemas.microsoft.com/office/drawing/2010/slicer" name="TITULAR"/>
            </a:graphicData>
          </a:graphic>
        </xdr:graphicFrame>
      </mc:Choice>
      <mc:Fallback xmlns="">
        <xdr:sp macro="" textlink="">
          <xdr:nvSpPr>
            <xdr:cNvPr id="0" name=""/>
            <xdr:cNvSpPr>
              <a:spLocks noTextEdit="1"/>
            </xdr:cNvSpPr>
          </xdr:nvSpPr>
          <xdr:spPr>
            <a:xfrm>
              <a:off x="6619875" y="15497175"/>
              <a:ext cx="1828800" cy="8096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85</xdr:row>
      <xdr:rowOff>180976</xdr:rowOff>
    </xdr:from>
    <xdr:to>
      <xdr:col>4</xdr:col>
      <xdr:colOff>190500</xdr:colOff>
      <xdr:row>90</xdr:row>
      <xdr:rowOff>104776</xdr:rowOff>
    </xdr:to>
    <mc:AlternateContent xmlns:mc="http://schemas.openxmlformats.org/markup-compatibility/2006" xmlns:a14="http://schemas.microsoft.com/office/drawing/2010/main">
      <mc:Choice Requires="a14">
        <xdr:graphicFrame macro="">
          <xdr:nvGraphicFramePr>
            <xdr:cNvPr id="7" name="CENTRO CUSTO">
              <a:extLst>
                <a:ext uri="{FF2B5EF4-FFF2-40B4-BE49-F238E27FC236}">
                  <a16:creationId xmlns:a16="http://schemas.microsoft.com/office/drawing/2014/main" id="{00000000-0008-0000-1200-000007000000}"/>
                </a:ext>
              </a:extLst>
            </xdr:cNvPr>
            <xdr:cNvGraphicFramePr/>
          </xdr:nvGraphicFramePr>
          <xdr:xfrm>
            <a:off x="0" y="0"/>
            <a:ext cx="0" cy="0"/>
          </xdr:xfrm>
          <a:graphic>
            <a:graphicData uri="http://schemas.microsoft.com/office/drawing/2010/slicer">
              <sle:slicer xmlns:sle="http://schemas.microsoft.com/office/drawing/2010/slicer" name="CENTRO CUSTO"/>
            </a:graphicData>
          </a:graphic>
        </xdr:graphicFrame>
      </mc:Choice>
      <mc:Fallback xmlns="">
        <xdr:sp macro="" textlink="">
          <xdr:nvSpPr>
            <xdr:cNvPr id="0" name=""/>
            <xdr:cNvSpPr>
              <a:spLocks noTextEdit="1"/>
            </xdr:cNvSpPr>
          </xdr:nvSpPr>
          <xdr:spPr>
            <a:xfrm>
              <a:off x="6600825" y="16383001"/>
              <a:ext cx="1828800" cy="876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101</xdr:row>
      <xdr:rowOff>57150</xdr:rowOff>
    </xdr:from>
    <xdr:to>
      <xdr:col>4</xdr:col>
      <xdr:colOff>190500</xdr:colOff>
      <xdr:row>105</xdr:row>
      <xdr:rowOff>123825</xdr:rowOff>
    </xdr:to>
    <mc:AlternateContent xmlns:mc="http://schemas.openxmlformats.org/markup-compatibility/2006" xmlns:a14="http://schemas.microsoft.com/office/drawing/2010/main">
      <mc:Choice Requires="a14">
        <xdr:graphicFrame macro="">
          <xdr:nvGraphicFramePr>
            <xdr:cNvPr id="8" name="ANO">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6600825" y="19307175"/>
              <a:ext cx="1828800" cy="8286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523875</xdr:colOff>
      <xdr:row>96</xdr:row>
      <xdr:rowOff>57150</xdr:rowOff>
    </xdr:from>
    <xdr:to>
      <xdr:col>4</xdr:col>
      <xdr:colOff>180975</xdr:colOff>
      <xdr:row>101</xdr:row>
      <xdr:rowOff>9525</xdr:rowOff>
    </xdr:to>
    <mc:AlternateContent xmlns:mc="http://schemas.openxmlformats.org/markup-compatibility/2006" xmlns:a14="http://schemas.microsoft.com/office/drawing/2010/main">
      <mc:Choice Requires="a14">
        <xdr:graphicFrame macro="">
          <xdr:nvGraphicFramePr>
            <xdr:cNvPr id="9" name="REALIZADO / A REALIZAR">
              <a:extLst>
                <a:ext uri="{FF2B5EF4-FFF2-40B4-BE49-F238E27FC236}">
                  <a16:creationId xmlns:a16="http://schemas.microsoft.com/office/drawing/2014/main" id="{00000000-0008-0000-1200-000009000000}"/>
                </a:ext>
              </a:extLst>
            </xdr:cNvPr>
            <xdr:cNvGraphicFramePr/>
          </xdr:nvGraphicFramePr>
          <xdr:xfrm>
            <a:off x="0" y="0"/>
            <a:ext cx="0" cy="0"/>
          </xdr:xfrm>
          <a:graphic>
            <a:graphicData uri="http://schemas.microsoft.com/office/drawing/2010/slicer">
              <sle:slicer xmlns:sle="http://schemas.microsoft.com/office/drawing/2010/slicer" name="REALIZADO / A REALIZAR"/>
            </a:graphicData>
          </a:graphic>
        </xdr:graphicFrame>
      </mc:Choice>
      <mc:Fallback xmlns="">
        <xdr:sp macro="" textlink="">
          <xdr:nvSpPr>
            <xdr:cNvPr id="0" name=""/>
            <xdr:cNvSpPr>
              <a:spLocks noTextEdit="1"/>
            </xdr:cNvSpPr>
          </xdr:nvSpPr>
          <xdr:spPr>
            <a:xfrm>
              <a:off x="6591300" y="1835467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542925</xdr:colOff>
      <xdr:row>105</xdr:row>
      <xdr:rowOff>180975</xdr:rowOff>
    </xdr:from>
    <xdr:to>
      <xdr:col>4</xdr:col>
      <xdr:colOff>200025</xdr:colOff>
      <xdr:row>110</xdr:row>
      <xdr:rowOff>85725</xdr:rowOff>
    </xdr:to>
    <mc:AlternateContent xmlns:mc="http://schemas.openxmlformats.org/markup-compatibility/2006" xmlns:a14="http://schemas.microsoft.com/office/drawing/2010/main">
      <mc:Choice Requires="a14">
        <xdr:graphicFrame macro="">
          <xdr:nvGraphicFramePr>
            <xdr:cNvPr id="10" name="MÊS">
              <a:extLst>
                <a:ext uri="{FF2B5EF4-FFF2-40B4-BE49-F238E27FC236}">
                  <a16:creationId xmlns:a16="http://schemas.microsoft.com/office/drawing/2014/main" id="{00000000-0008-0000-1200-00000A000000}"/>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6610350" y="20193000"/>
              <a:ext cx="1828800" cy="8572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xdr:col>
      <xdr:colOff>1590675</xdr:colOff>
      <xdr:row>81</xdr:row>
      <xdr:rowOff>95250</xdr:rowOff>
    </xdr:from>
    <xdr:to>
      <xdr:col>3</xdr:col>
      <xdr:colOff>419100</xdr:colOff>
      <xdr:row>87</xdr:row>
      <xdr:rowOff>85725</xdr:rowOff>
    </xdr:to>
    <mc:AlternateContent xmlns:mc="http://schemas.openxmlformats.org/markup-compatibility/2006" xmlns:a14="http://schemas.microsoft.com/office/drawing/2010/main">
      <mc:Choice Requires="a14">
        <xdr:graphicFrame macro="">
          <xdr:nvGraphicFramePr>
            <xdr:cNvPr id="11" name="REC./DESP.">
              <a:extLst>
                <a:ext uri="{FF2B5EF4-FFF2-40B4-BE49-F238E27FC236}">
                  <a16:creationId xmlns:a16="http://schemas.microsoft.com/office/drawing/2014/main" id="{00000000-0008-0000-1200-00000B000000}"/>
                </a:ext>
              </a:extLst>
            </xdr:cNvPr>
            <xdr:cNvGraphicFramePr/>
          </xdr:nvGraphicFramePr>
          <xdr:xfrm>
            <a:off x="0" y="0"/>
            <a:ext cx="0" cy="0"/>
          </xdr:xfrm>
          <a:graphic>
            <a:graphicData uri="http://schemas.microsoft.com/office/drawing/2010/slicer">
              <sle:slicer xmlns:sle="http://schemas.microsoft.com/office/drawing/2010/slicer" name="REC./DESP."/>
            </a:graphicData>
          </a:graphic>
        </xdr:graphicFrame>
      </mc:Choice>
      <mc:Fallback xmlns="">
        <xdr:sp macro="" textlink="">
          <xdr:nvSpPr>
            <xdr:cNvPr id="0" name=""/>
            <xdr:cNvSpPr>
              <a:spLocks noTextEdit="1"/>
            </xdr:cNvSpPr>
          </xdr:nvSpPr>
          <xdr:spPr>
            <a:xfrm>
              <a:off x="4657725" y="15535275"/>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gis Marinho" refreshedDate="43197.393139004627" missingItemsLimit="0" createdVersion="6" refreshedVersion="6" minRefreshableVersion="3" recordCount="67" xr:uid="{00000000-000A-0000-FFFF-FFFF00000000}">
  <cacheSource type="worksheet">
    <worksheetSource name="rng_DadosLanctosTD"/>
  </cacheSource>
  <cacheFields count="38">
    <cacheField name="Nº LANÇ." numFmtId="168">
      <sharedItems containsSemiMixedTypes="0" containsString="0" containsNumber="1" containsInteger="1" minValue="1" maxValue="67" count="67">
        <n v="1"/>
        <n v="44"/>
        <n v="56"/>
        <n v="8"/>
        <n v="20"/>
        <n v="32"/>
        <n v="9"/>
        <n v="21"/>
        <n v="33"/>
        <n v="45"/>
        <n v="57"/>
        <n v="2"/>
        <n v="5"/>
        <n v="10"/>
        <n v="22"/>
        <n v="34"/>
        <n v="46"/>
        <n v="58"/>
        <n v="3"/>
        <n v="6"/>
        <n v="11"/>
        <n v="23"/>
        <n v="35"/>
        <n v="47"/>
        <n v="59"/>
        <n v="4"/>
        <n v="7"/>
        <n v="12"/>
        <n v="24"/>
        <n v="36"/>
        <n v="48"/>
        <n v="60"/>
        <n v="13"/>
        <n v="25"/>
        <n v="37"/>
        <n v="49"/>
        <n v="61"/>
        <n v="14"/>
        <n v="26"/>
        <n v="38"/>
        <n v="50"/>
        <n v="62"/>
        <n v="15"/>
        <n v="27"/>
        <n v="39"/>
        <n v="51"/>
        <n v="63"/>
        <n v="16"/>
        <n v="28"/>
        <n v="40"/>
        <n v="52"/>
        <n v="64"/>
        <n v="17"/>
        <n v="29"/>
        <n v="41"/>
        <n v="53"/>
        <n v="65"/>
        <n v="18"/>
        <n v="30"/>
        <n v="42"/>
        <n v="54"/>
        <n v="66"/>
        <n v="19"/>
        <n v="31"/>
        <n v="43"/>
        <n v="55"/>
        <n v="67"/>
      </sharedItems>
    </cacheField>
    <cacheField name="DATA EMISSÃO" numFmtId="165">
      <sharedItems containsSemiMixedTypes="0" containsNonDate="0" containsDate="1" containsString="0" minDate="2018-04-07T00:00:00" maxDate="2018-04-08T00:00:00" count="1">
        <d v="2018-04-07T00:00:00"/>
      </sharedItems>
    </cacheField>
    <cacheField name="VENCTO. ORIGINAL" numFmtId="165">
      <sharedItems containsSemiMixedTypes="0" containsNonDate="0" containsDate="1" containsString="0" minDate="2018-01-02T00:00:00" maxDate="2018-12-16T00:00:00"/>
    </cacheField>
    <cacheField name="VENCTO. AJUSTADO" numFmtId="165">
      <sharedItems containsSemiMixedTypes="0" containsNonDate="0" containsDate="1" containsString="0" minDate="2018-01-02T00:00:00" maxDate="2018-12-16T00:00:00" count="16">
        <d v="2018-01-02T00:00:00"/>
        <d v="2018-01-15T00:00:00"/>
        <d v="2018-02-15T00:00:00"/>
        <d v="2018-03-01T00:00:00"/>
        <d v="2018-03-15T00:00:00"/>
        <d v="2018-04-01T00:00:00"/>
        <d v="2018-04-15T00:00:00"/>
        <d v="2018-05-01T00:00:00"/>
        <d v="2018-05-15T00:00:00"/>
        <d v="2018-06-15T00:00:00"/>
        <d v="2018-07-15T00:00:00"/>
        <d v="2018-08-15T00:00:00"/>
        <d v="2018-09-15T00:00:00"/>
        <d v="2018-10-15T00:00:00"/>
        <d v="2018-11-15T00:00:00"/>
        <d v="2018-12-15T00:00:00"/>
      </sharedItems>
    </cacheField>
    <cacheField name="DATA REALIZ." numFmtId="165">
      <sharedItems containsNonDate="0" containsDate="1" containsString="0" containsBlank="1" minDate="2018-01-02T00:00:00" maxDate="2018-01-16T00:00:00" count="3">
        <d v="2018-01-02T00:00:00"/>
        <d v="2018-01-15T00:00:00"/>
        <m/>
      </sharedItems>
    </cacheField>
    <cacheField name="VALOR" numFmtId="166">
      <sharedItems containsSemiMixedTypes="0" containsString="0" containsNumber="1" containsInteger="1" minValue="-45000" maxValue="60000"/>
    </cacheField>
    <cacheField name="CONTA CORRENTE" numFmtId="0">
      <sharedItems count="1">
        <s v="CAIXA"/>
      </sharedItems>
    </cacheField>
    <cacheField name="TITULAR" numFmtId="0">
      <sharedItems count="1">
        <s v="EMPRESA A"/>
      </sharedItems>
    </cacheField>
    <cacheField name="CLIENTE OU FORNECEDOR" numFmtId="0">
      <sharedItems count="8">
        <s v="EMPRESA A"/>
        <s v="CLIENTES"/>
        <s v="CLIENTES 2"/>
        <s v="FORNECEDOR ABC"/>
        <s v="FUNCIONÁRIOS"/>
        <s v="ADMINISTRADORA DE IMÓVEIS"/>
        <s v="SÓCIO 1"/>
        <s v="SÓCIO 2"/>
      </sharedItems>
    </cacheField>
    <cacheField name="PLANO DE CONTAS" numFmtId="164">
      <sharedItems count="6">
        <s v="SALDO INICIAL"/>
        <s v="VENDA"/>
        <s v="COMPRA DE PRODUTOS"/>
        <s v="CUSTOS COM PESSOAL"/>
        <s v="ALUGUEL DE GALPÃO"/>
        <s v="APORTE DE SÓCIOS"/>
      </sharedItems>
    </cacheField>
    <cacheField name="CENTRO CUSTO" numFmtId="0">
      <sharedItems count="2">
        <s v="ADMNISTRATIVO"/>
        <s v="OPERACIONAL"/>
      </sharedItems>
    </cacheField>
    <cacheField name="REC./DESP." numFmtId="0">
      <sharedItems count="3">
        <s v="MOVIMENTAÇÃO FINANCEIRA"/>
        <s v="RECEITA"/>
        <s v="DESPESA"/>
      </sharedItems>
    </cacheField>
    <cacheField name="TIPO DE DOCTO." numFmtId="0">
      <sharedItems/>
    </cacheField>
    <cacheField name="DOCUMENTO" numFmtId="0">
      <sharedItems/>
    </cacheField>
    <cacheField name="DESCRIÇÃO" numFmtId="0">
      <sharedItems count="1">
        <s v="-"/>
      </sharedItems>
    </cacheField>
    <cacheField name="OBS. INTERNA" numFmtId="0">
      <sharedItems/>
    </cacheField>
    <cacheField name="DATA CONCILIAÇÃO" numFmtId="0">
      <sharedItems containsNonDate="0" containsString="0" containsBlank="1"/>
    </cacheField>
    <cacheField name="MÊS" numFmtId="167">
      <sharedItems containsSemiMixedTypes="0" containsNonDate="0" containsDate="1" containsString="0" minDate="2018-01-31T00:00:00" maxDate="2019-01-01T00:00:00" count="12">
        <d v="2018-01-31T00:00:00"/>
        <d v="2018-02-28T00:00:00"/>
        <d v="2018-03-31T00:00:00"/>
        <d v="2018-04-30T00:00:00"/>
        <d v="2018-05-31T00:00:00"/>
        <d v="2018-06-30T00:00:00"/>
        <d v="2018-07-31T00:00:00"/>
        <d v="2018-08-31T00:00:00"/>
        <d v="2018-09-30T00:00:00"/>
        <d v="2018-10-31T00:00:00"/>
        <d v="2018-11-30T00:00:00"/>
        <d v="2018-12-31T00:00:00"/>
      </sharedItems>
    </cacheField>
    <cacheField name="ANO" numFmtId="0">
      <sharedItems containsSemiMixedTypes="0" containsString="0" containsNumber="1" containsInteger="1" minValue="2018" maxValue="2018" count="1">
        <n v="2018"/>
      </sharedItems>
    </cacheField>
    <cacheField name="TIPO REGISTRO" numFmtId="0">
      <sharedItems/>
    </cacheField>
    <cacheField name="REALIZADO / A REALIZAR" numFmtId="0">
      <sharedItems count="2">
        <s v="REALIZADO"/>
        <s v="A REALIZAR"/>
      </sharedItems>
    </cacheField>
    <cacheField name="TIPO REC./DESP." numFmtId="0">
      <sharedItems count="1">
        <s v="FIXA"/>
      </sharedItems>
    </cacheField>
    <cacheField name="NOME DO INSUMO" numFmtId="0">
      <sharedItems count="2">
        <s v=""/>
        <s v="PRODUTO A"/>
      </sharedItems>
    </cacheField>
    <cacheField name="UNID." numFmtId="0">
      <sharedItems/>
    </cacheField>
    <cacheField name="VALOR INSUMO" numFmtId="164">
      <sharedItems containsString="0" containsBlank="1" containsNumber="1" containsInteger="1" minValue="-45000" maxValue="45000"/>
    </cacheField>
    <cacheField name="QUANT. INSUMO" numFmtId="164">
      <sharedItems containsString="0" containsBlank="1" containsNumber="1" containsInteger="1" minValue="-4000" maxValue="4500"/>
    </cacheField>
    <cacheField name="DATA LANÇ." numFmtId="165">
      <sharedItems containsSemiMixedTypes="0" containsNonDate="0" containsDate="1" containsString="0" minDate="2018-04-07T00:00:00" maxDate="2018-04-08T00:00:00"/>
    </cacheField>
    <cacheField name="M" numFmtId="0">
      <sharedItems containsSemiMixedTypes="0" containsString="0" containsNumber="1" containsInteger="1" minValue="1" maxValue="12"/>
    </cacheField>
    <cacheField name="MÊS COMPET." numFmtId="167">
      <sharedItems containsSemiMixedTypes="0" containsNonDate="0" containsDate="1" containsString="0" minDate="2018-01-01T00:00:00" maxDate="2018-12-02T00:00:00"/>
    </cacheField>
    <cacheField name="GRUPO DE CONTAS" numFmtId="167">
      <sharedItems count="3">
        <s v="RECURSOS FINANCEIROS"/>
        <s v="RECEITAS OPERACIONAIS"/>
        <s v="DESPESAS OPERACIONAIS"/>
      </sharedItems>
    </cacheField>
    <cacheField name="FK_TIT" numFmtId="0">
      <sharedItems containsSemiMixedTypes="0" containsString="0" containsNumber="1" containsInteger="1" minValue="1" maxValue="1"/>
    </cacheField>
    <cacheField name="FK_CC" numFmtId="0">
      <sharedItems containsSemiMixedTypes="0" containsString="0" containsNumber="1" containsInteger="1" minValue="1" maxValue="2"/>
    </cacheField>
    <cacheField name="FK_PC" numFmtId="0">
      <sharedItems containsSemiMixedTypes="0" containsString="0" containsNumber="1" containsInteger="1" minValue="1" maxValue="6"/>
    </cacheField>
    <cacheField name="FK_CCor" numFmtId="0">
      <sharedItems containsSemiMixedTypes="0" containsString="0" containsNumber="1" containsInteger="1" minValue="1" maxValue="1"/>
    </cacheField>
    <cacheField name="FK_CliFor" numFmtId="0">
      <sharedItems containsSemiMixedTypes="0" containsString="0" containsNumber="1" containsInteger="1" minValue="1" maxValue="8"/>
    </cacheField>
    <cacheField name="FK_INSUMO" numFmtId="0">
      <sharedItems containsString="0" containsBlank="1" containsNumber="1" containsInteger="1" minValue="1" maxValue="1"/>
    </cacheField>
    <cacheField name="FK_GC" numFmtId="0">
      <sharedItems containsSemiMixedTypes="0" containsString="0" containsNumber="1" containsInteger="1" minValue="1" maxValue="3"/>
    </cacheField>
    <cacheField name="DATA REFERÊNCIA" numFmtId="165">
      <sharedItems/>
    </cacheField>
  </cacheFields>
  <extLst>
    <ext xmlns:x14="http://schemas.microsoft.com/office/spreadsheetml/2009/9/main" uri="{725AE2AE-9491-48be-B2B4-4EB974FC3084}">
      <x14:pivotCacheDefinition pivotCacheId="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058678-C4F2-4F51-9B8E-D6B362E7460A}" name="Relatorio"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10:C24" firstHeaderRow="1" firstDataRow="1" firstDataCol="1" rowPageCount="4" colPageCount="1"/>
  <pivotFields count="38">
    <pivotField axis="axisRow" numFmtId="168" showAll="0" defaultSubtotal="0">
      <items count="67">
        <item x="0"/>
        <item x="11"/>
        <item x="18"/>
        <item x="25"/>
        <item x="12"/>
        <item x="19"/>
        <item x="26"/>
        <item x="3"/>
        <item x="6"/>
        <item x="13"/>
        <item x="20"/>
        <item x="27"/>
        <item x="32"/>
        <item x="37"/>
        <item x="42"/>
        <item x="47"/>
        <item x="52"/>
        <item x="57"/>
        <item x="62"/>
        <item x="4"/>
        <item x="7"/>
        <item x="14"/>
        <item x="21"/>
        <item x="28"/>
        <item x="33"/>
        <item x="38"/>
        <item x="43"/>
        <item x="48"/>
        <item x="53"/>
        <item x="58"/>
        <item x="63"/>
        <item x="5"/>
        <item x="8"/>
        <item x="15"/>
        <item x="22"/>
        <item x="29"/>
        <item x="34"/>
        <item x="39"/>
        <item x="44"/>
        <item x="49"/>
        <item x="54"/>
        <item x="59"/>
        <item x="64"/>
        <item x="1"/>
        <item x="9"/>
        <item x="16"/>
        <item x="23"/>
        <item x="30"/>
        <item x="35"/>
        <item x="40"/>
        <item x="45"/>
        <item x="50"/>
        <item x="55"/>
        <item x="60"/>
        <item x="65"/>
        <item x="2"/>
        <item x="10"/>
        <item x="17"/>
        <item x="24"/>
        <item x="31"/>
        <item x="36"/>
        <item x="41"/>
        <item x="46"/>
        <item x="51"/>
        <item x="56"/>
        <item x="61"/>
        <item x="66"/>
      </items>
    </pivotField>
    <pivotField numFmtId="165" showAll="0"/>
    <pivotField numFmtId="165" showAll="0"/>
    <pivotField axis="axisRow" numFmtId="165" showAll="0" sortType="ascending" defaultSubtotal="0">
      <items count="16">
        <item sd="0" x="0"/>
        <item sd="0" x="1"/>
        <item sd="0" x="2"/>
        <item sd="0" x="3"/>
        <item sd="0" x="4"/>
        <item sd="0" x="5"/>
        <item sd="0" x="6"/>
        <item sd="0" x="7"/>
        <item sd="0" x="8"/>
        <item sd="0" x="9"/>
        <item sd="0" x="10"/>
        <item sd="0" x="11"/>
        <item sd="0" x="12"/>
        <item sd="0" x="13"/>
        <item sd="0" x="14"/>
        <item sd="0" x="15"/>
      </items>
    </pivotField>
    <pivotField showAll="0"/>
    <pivotField dataField="1" numFmtId="166" showAll="0"/>
    <pivotField axis="axisPage" showAll="0">
      <items count="2">
        <item x="0"/>
        <item t="default"/>
      </items>
    </pivotField>
    <pivotField axis="axisPage" showAll="0">
      <items count="2">
        <item x="0"/>
        <item t="default"/>
      </items>
    </pivotField>
    <pivotField axis="axisRow" showAll="0" defaultSubtotal="0">
      <items count="8">
        <item sd="0" x="0"/>
        <item sd="0" x="6"/>
        <item sd="0" x="7"/>
        <item sd="0" x="3"/>
        <item sd="0" x="4"/>
        <item sd="0" x="5"/>
        <item sd="0" x="1"/>
        <item sd="0" x="2"/>
      </items>
    </pivotField>
    <pivotField axis="axisRow" showAll="0" defaultSubtotal="0">
      <items count="6">
        <item sd="0" x="0"/>
        <item sd="0" x="5"/>
        <item sd="0" x="2"/>
        <item sd="0" x="3"/>
        <item sd="0" x="4"/>
        <item sd="0" x="1"/>
      </items>
    </pivotField>
    <pivotField axis="axisPage" showAll="0">
      <items count="3">
        <item x="0"/>
        <item x="1"/>
        <item t="default"/>
      </items>
    </pivotField>
    <pivotField showAll="0"/>
    <pivotField showAll="0"/>
    <pivotField showAll="0"/>
    <pivotField axis="axisRow" showAll="0" defaultSubtotal="0">
      <items count="1">
        <item sd="0" x="0"/>
      </items>
    </pivotField>
    <pivotField showAll="0"/>
    <pivotField showAll="0"/>
    <pivotField axis="axisRow" numFmtId="167" showAll="0" sortType="ascending" defaultSubtotal="0">
      <items count="12">
        <item sd="0" x="0"/>
        <item sd="0" x="1"/>
        <item sd="0" x="2"/>
        <item sd="0" x="3"/>
        <item sd="0" x="4"/>
        <item sd="0" x="5"/>
        <item sd="0" x="6"/>
        <item sd="0" x="7"/>
        <item sd="0" x="8"/>
        <item sd="0" x="9"/>
        <item sd="0" x="10"/>
        <item sd="0" x="11"/>
      </items>
    </pivotField>
    <pivotField axis="axisRow" showAll="0" sortType="ascending" defaultSubtotal="0">
      <items count="1">
        <item x="0"/>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Fields count="7">
    <field x="18"/>
    <field x="17"/>
    <field x="3"/>
    <field x="9"/>
    <field x="8"/>
    <field x="14"/>
    <field x="0"/>
  </rowFields>
  <rowItems count="14">
    <i>
      <x/>
    </i>
    <i r="1">
      <x/>
    </i>
    <i r="1">
      <x v="1"/>
    </i>
    <i r="1">
      <x v="2"/>
    </i>
    <i r="1">
      <x v="3"/>
    </i>
    <i r="1">
      <x v="4"/>
    </i>
    <i r="1">
      <x v="5"/>
    </i>
    <i r="1">
      <x v="6"/>
    </i>
    <i r="1">
      <x v="7"/>
    </i>
    <i r="1">
      <x v="8"/>
    </i>
    <i r="1">
      <x v="9"/>
    </i>
    <i r="1">
      <x v="10"/>
    </i>
    <i r="1">
      <x v="11"/>
    </i>
    <i t="grand">
      <x/>
    </i>
  </rowItems>
  <colItems count="1">
    <i/>
  </colItems>
  <pageFields count="4">
    <pageField fld="7" hier="-1"/>
    <pageField fld="10" hier="-1"/>
    <pageField fld="6" hier="-1"/>
    <pageField fld="20" item="1" hier="-1"/>
  </pageFields>
  <dataFields count="1">
    <dataField name="VALOR " fld="5" baseField="0" baseItem="0" numFmtId="166"/>
  </dataFields>
  <formats count="3">
    <format dxfId="244">
      <pivotArea dataOnly="0" labelOnly="1" outline="0" axis="axisValues" fieldPosition="0"/>
    </format>
    <format dxfId="243">
      <pivotArea field="18" type="button" dataOnly="0" labelOnly="1" outline="0" axis="axisRow" fieldPosition="0"/>
    </format>
    <format dxfId="242">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Relatorio"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MÊS " colHeaderCaption="PERÍODO: ">
  <location ref="B6:O19"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7">
        <item x="0"/>
        <item x="5"/>
        <item x="2"/>
        <item x="3"/>
        <item x="4"/>
        <item x="1"/>
        <item t="default"/>
      </items>
    </pivotField>
    <pivotField showAll="0"/>
    <pivotField axis="axisRow" showAll="0">
      <items count="4">
        <item x="0"/>
        <item x="2"/>
        <item x="1"/>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2">
        <item x="0"/>
        <item x="1"/>
        <item x="2"/>
        <item x="3"/>
        <item x="4"/>
        <item x="5"/>
        <item x="6"/>
        <item x="7"/>
        <item x="8"/>
        <item x="9"/>
        <item x="10"/>
        <item x="11"/>
      </items>
    </pivotField>
    <pivotField name="ANO: " axis="axisPage" showAll="0" defaultSubtotal="0">
      <items count="1">
        <item x="0"/>
      </items>
    </pivotField>
    <pivotField showAll="0" defaultSubtotal="0"/>
    <pivotField showAll="0"/>
    <pivotField axis="axisRow" showAll="0" insertBlankRow="1">
      <items count="2">
        <item x="0"/>
        <item t="default"/>
      </items>
    </pivotField>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21"/>
    <field x="11"/>
    <field x="9"/>
  </rowFields>
  <rowItems count="12">
    <i>
      <x/>
    </i>
    <i r="1">
      <x/>
    </i>
    <i r="2">
      <x/>
    </i>
    <i r="2">
      <x v="1"/>
    </i>
    <i r="1">
      <x v="1"/>
    </i>
    <i r="2">
      <x v="2"/>
    </i>
    <i r="2">
      <x v="3"/>
    </i>
    <i r="2">
      <x v="4"/>
    </i>
    <i r="1">
      <x v="2"/>
    </i>
    <i r="2">
      <x v="5"/>
    </i>
    <i t="blank">
      <x/>
    </i>
    <i t="grand">
      <x/>
    </i>
  </rowItems>
  <colFields count="1">
    <field x="17"/>
  </colFields>
  <colItems count="13">
    <i>
      <x/>
    </i>
    <i>
      <x v="1"/>
    </i>
    <i>
      <x v="2"/>
    </i>
    <i>
      <x v="3"/>
    </i>
    <i>
      <x v="4"/>
    </i>
    <i>
      <x v="5"/>
    </i>
    <i>
      <x v="6"/>
    </i>
    <i>
      <x v="7"/>
    </i>
    <i>
      <x v="8"/>
    </i>
    <i>
      <x v="9"/>
    </i>
    <i>
      <x v="10"/>
    </i>
    <i>
      <x v="11"/>
    </i>
    <i t="grand">
      <x/>
    </i>
  </colItems>
  <pageFields count="1">
    <pageField fld="18" hier="-1"/>
  </pageFields>
  <dataFields count="1">
    <dataField name="Soma de VALOR" fld="5" baseField="0" baseItem="0" numFmtId="166"/>
  </dataFields>
  <formats count="9">
    <format dxfId="241">
      <pivotArea type="all" dataOnly="0" outline="0" fieldPosition="0"/>
    </format>
    <format dxfId="240">
      <pivotArea dataOnly="0" labelOnly="1" outline="0" fieldPosition="0">
        <references count="1">
          <reference field="21" count="0"/>
        </references>
      </pivotArea>
    </format>
    <format dxfId="239">
      <pivotArea dataOnly="0" labelOnly="1" grandCol="1" outline="0" fieldPosition="0"/>
    </format>
    <format dxfId="238">
      <pivotArea type="origin" dataOnly="0" labelOnly="1" outline="0" fieldPosition="0"/>
    </format>
    <format dxfId="237">
      <pivotArea dataOnly="0" labelOnly="1" fieldPosition="0">
        <references count="1">
          <reference field="17" count="0"/>
        </references>
      </pivotArea>
    </format>
    <format dxfId="236">
      <pivotArea type="all" dataOnly="0" outline="0" fieldPosition="0"/>
    </format>
    <format dxfId="235">
      <pivotArea field="18" type="button" dataOnly="0" labelOnly="1" outline="0" axis="axisPage" fieldPosition="0"/>
    </format>
    <format dxfId="234">
      <pivotArea type="all" dataOnly="0" outline="0" fieldPosition="0"/>
    </format>
    <format dxfId="233">
      <pivotArea outline="0" fieldPosition="0">
        <references count="1">
          <reference field="4294967294" count="1">
            <x v="0"/>
          </reference>
        </references>
      </pivotArea>
    </format>
  </formats>
  <pivotTableStyleInfo name="PivotStyleMedium3"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Relatorio"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ESCRIÇÃO" colHeaderCaption="PERÍODO:">
  <location ref="B6:O22"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Row" showAll="0" insertBlankRow="1" sortType="ascending">
      <items count="2">
        <item x="0"/>
        <item t="default"/>
      </items>
    </pivotField>
    <pivotField showAll="0" defaultSubtotal="0"/>
    <pivotField axis="axisRow" showAll="0" sortType="ascending">
      <items count="7">
        <item x="0"/>
        <item x="5"/>
        <item x="2"/>
        <item x="3"/>
        <item x="4"/>
        <item x="1"/>
        <item t="default"/>
      </items>
      <autoSortScope>
        <pivotArea dataOnly="0" outline="0" fieldPosition="0">
          <references count="1">
            <reference field="4294967294" count="1" selected="0">
              <x v="0"/>
            </reference>
          </references>
        </pivotArea>
      </autoSortScope>
    </pivotField>
    <pivotField axis="axisRow" showAll="0" sortType="ascending">
      <items count="3">
        <item x="0"/>
        <item x="1"/>
        <item t="default" sd="0"/>
      </items>
      <autoSortScope>
        <pivotArea dataOnly="0" outline="0" fieldPosition="0">
          <references count="1">
            <reference field="4294967294" count="1" selected="0">
              <x v="0"/>
            </reference>
          </references>
        </pivotArea>
      </autoSortScope>
    </pivotField>
    <pivotField axis="axisRow" showAll="0" sortType="ascending">
      <items count="4">
        <item x="0"/>
        <item x="2"/>
        <item x="1"/>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2">
        <item x="0"/>
        <item x="1"/>
        <item x="2"/>
        <item x="3"/>
        <item x="4"/>
        <item x="5"/>
        <item x="6"/>
        <item x="7"/>
        <item x="8"/>
        <item x="9"/>
        <item x="10"/>
        <item x="11"/>
      </items>
    </pivotField>
    <pivotField name="ANO: " axis="axisPage" showAll="0" defaultSubtotal="0">
      <items count="1">
        <item x="0"/>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4">
    <field x="7"/>
    <field x="11"/>
    <field x="10"/>
    <field x="9"/>
  </rowFields>
  <rowItems count="15">
    <i>
      <x/>
    </i>
    <i r="1">
      <x v="1"/>
    </i>
    <i r="2">
      <x v="1"/>
    </i>
    <i r="3">
      <x v="2"/>
    </i>
    <i r="3">
      <x v="3"/>
    </i>
    <i r="3">
      <x v="4"/>
    </i>
    <i r="1">
      <x/>
    </i>
    <i r="2">
      <x/>
    </i>
    <i r="3">
      <x/>
    </i>
    <i r="3">
      <x v="1"/>
    </i>
    <i r="1">
      <x v="2"/>
    </i>
    <i r="2">
      <x v="1"/>
    </i>
    <i r="3">
      <x v="5"/>
    </i>
    <i t="blank">
      <x/>
    </i>
    <i t="grand">
      <x/>
    </i>
  </rowItems>
  <colFields count="1">
    <field x="17"/>
  </colFields>
  <colItems count="13">
    <i>
      <x/>
    </i>
    <i>
      <x v="1"/>
    </i>
    <i>
      <x v="2"/>
    </i>
    <i>
      <x v="3"/>
    </i>
    <i>
      <x v="4"/>
    </i>
    <i>
      <x v="5"/>
    </i>
    <i>
      <x v="6"/>
    </i>
    <i>
      <x v="7"/>
    </i>
    <i>
      <x v="8"/>
    </i>
    <i>
      <x v="9"/>
    </i>
    <i>
      <x v="10"/>
    </i>
    <i>
      <x v="11"/>
    </i>
    <i t="grand">
      <x/>
    </i>
  </colItems>
  <pageFields count="1">
    <pageField fld="18" hier="-1"/>
  </pageFields>
  <dataFields count="1">
    <dataField name="Soma de VALOR" fld="5" baseField="0" baseItem="0" numFmtId="166"/>
  </dataFields>
  <formats count="13">
    <format dxfId="232">
      <pivotArea type="all" dataOnly="0" outline="0" fieldPosition="0"/>
    </format>
    <format dxfId="231">
      <pivotArea outline="0" collapsedLevelsAreSubtotals="1" fieldPosition="0"/>
    </format>
    <format dxfId="230">
      <pivotArea field="10" type="button" dataOnly="0" labelOnly="1" outline="0" axis="axisRow" fieldPosition="2"/>
    </format>
    <format dxfId="229">
      <pivotArea dataOnly="0" labelOnly="1" outline="0" axis="axisValues" fieldPosition="0"/>
    </format>
    <format dxfId="228">
      <pivotArea dataOnly="0" labelOnly="1" grandRow="1" outline="0" fieldPosition="0"/>
    </format>
    <format dxfId="227">
      <pivotArea dataOnly="0" labelOnly="1" outline="0" axis="axisValues" fieldPosition="0"/>
    </format>
    <format dxfId="226">
      <pivotArea type="all" dataOnly="0" outline="0" fieldPosition="0"/>
    </format>
    <format dxfId="225">
      <pivotArea type="origin" dataOnly="0" labelOnly="1" outline="0" fieldPosition="0"/>
    </format>
    <format dxfId="224">
      <pivotArea dataOnly="0" labelOnly="1" fieldPosition="0">
        <references count="1">
          <reference field="17" count="0"/>
        </references>
      </pivotArea>
    </format>
    <format dxfId="223">
      <pivotArea type="all" dataOnly="0" outline="0" fieldPosition="0"/>
    </format>
    <format dxfId="222">
      <pivotArea field="18" type="button" dataOnly="0" labelOnly="1" outline="0" axis="axisPage" fieldPosition="0"/>
    </format>
    <format dxfId="221">
      <pivotArea type="all" dataOnly="0" outline="0" fieldPosition="0"/>
    </format>
    <format dxfId="220">
      <pivotArea outline="0" fieldPosition="0">
        <references count="1">
          <reference field="4294967294" count="1">
            <x v="0"/>
          </reference>
        </references>
      </pivotArea>
    </format>
  </formats>
  <pivotTableStyleInfo name="PivotStyleMedium2"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Relatorio"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Mês " colHeaderCaption="Ano:">
  <location ref="B6:D11"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insertBlankRow="1">
      <items count="2">
        <item x="0"/>
        <item t="default"/>
      </items>
    </pivotField>
    <pivotField showAll="0" defaultSubtotal="0"/>
    <pivotField showAll="0"/>
    <pivotField showAll="0">
      <items count="3">
        <item x="0"/>
        <item x="1"/>
        <item t="default"/>
      </items>
    </pivotField>
    <pivotField axis="axisRow" showAll="0" insertBlankRow="1">
      <items count="4">
        <item x="0"/>
        <item x="2"/>
        <item x="1"/>
        <item t="default"/>
      </items>
    </pivotField>
    <pivotField showAll="0" defaultSubtotal="0"/>
    <pivotField showAll="0" defaultSubtotal="0"/>
    <pivotField showAll="0" defaultSubtotal="0"/>
    <pivotField showAll="0" defaultSubtotal="0"/>
    <pivotField showAll="0" defaultSubtotal="0"/>
    <pivotField numFmtId="167" showAll="0" sortType="ascending" defaultSubtotal="0"/>
    <pivotField axis="axisCol" showAll="0" defaultSubtotal="0">
      <items count="1">
        <item x="0"/>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4">
    <i>
      <x/>
    </i>
    <i>
      <x v="1"/>
    </i>
    <i>
      <x v="2"/>
    </i>
    <i t="grand">
      <x/>
    </i>
  </rowItems>
  <colFields count="1">
    <field x="18"/>
  </colFields>
  <colItems count="2">
    <i>
      <x/>
    </i>
    <i t="grand">
      <x/>
    </i>
  </colItems>
  <pageFields count="1">
    <pageField fld="7" hier="-1"/>
  </pageFields>
  <dataFields count="1">
    <dataField name="Soma de VALOR" fld="5" baseField="0" baseItem="0" numFmtId="166"/>
  </dataFields>
  <formats count="14">
    <format dxfId="219">
      <pivotArea type="all" dataOnly="0" outline="0" fieldPosition="0"/>
    </format>
    <format dxfId="218">
      <pivotArea outline="0" collapsedLevelsAreSubtotals="1" fieldPosition="0"/>
    </format>
    <format dxfId="217">
      <pivotArea field="10" type="button" dataOnly="0" labelOnly="1" outline="0"/>
    </format>
    <format dxfId="216">
      <pivotArea dataOnly="0" labelOnly="1" outline="0" axis="axisValues" fieldPosition="0"/>
    </format>
    <format dxfId="215">
      <pivotArea dataOnly="0" labelOnly="1" grandRow="1" outline="0" fieldPosition="0"/>
    </format>
    <format dxfId="214">
      <pivotArea dataOnly="0" labelOnly="1" outline="0" axis="axisValues" fieldPosition="0"/>
    </format>
    <format dxfId="213">
      <pivotArea type="all" dataOnly="0" outline="0" fieldPosition="0"/>
    </format>
    <format dxfId="212">
      <pivotArea type="origin" dataOnly="0" labelOnly="1" outline="0" fieldPosition="0"/>
    </format>
    <format dxfId="211">
      <pivotArea dataOnly="0" labelOnly="1" outline="0" axis="axisValues" fieldPosition="0"/>
    </format>
    <format dxfId="210">
      <pivotArea dataOnly="0" labelOnly="1" outline="0" axis="axisValues" fieldPosition="0"/>
    </format>
    <format dxfId="209">
      <pivotArea dataOnly="0" labelOnly="1" fieldPosition="0">
        <references count="1">
          <reference field="18" count="0"/>
        </references>
      </pivotArea>
    </format>
    <format dxfId="208">
      <pivotArea field="18" type="button" dataOnly="0" labelOnly="1" outline="0" axis="axisCol" fieldPosition="0"/>
    </format>
    <format dxfId="207">
      <pivotArea field="18" type="button" dataOnly="0" labelOnly="1" outline="0" axis="axisCol" fieldPosition="0"/>
    </format>
    <format dxfId="206">
      <pivotArea outline="0" fieldPosition="0">
        <references count="1">
          <reference field="4294967294" count="1">
            <x v="0"/>
          </reference>
        </references>
      </pivotArea>
    </format>
  </formats>
  <pivotTableStyleInfo name="PivotStyleMedium5"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Relatorio" cacheId="914"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REC/DESP/MOV. FIN." colHeaderCaption="PERÍODO">
  <location ref="B10:P18" firstHeaderRow="1" firstDataRow="2" firstDataCol="2"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axis="axisRow" showAll="0">
      <items count="7">
        <item x="0"/>
        <item x="5"/>
        <item x="2"/>
        <item x="3"/>
        <item x="4"/>
        <item x="1"/>
        <item t="default" sd="0"/>
      </items>
    </pivotField>
    <pivotField axis="axisPage" showAll="0" defaultSubtotal="0">
      <items count="2">
        <item x="0"/>
        <item x="1"/>
      </items>
    </pivotField>
    <pivotField axis="axisRow" outline="0" showAll="0" insertBlankRow="1">
      <items count="4">
        <item sd="0" x="1"/>
        <item sd="0" x="2"/>
        <item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3">
        <item x="0"/>
        <item x="1"/>
        <item x="2"/>
        <item x="3"/>
        <item x="4"/>
        <item x="5"/>
        <item x="6"/>
        <item x="7"/>
        <item x="8"/>
        <item x="9"/>
        <item x="10"/>
        <item x="11"/>
        <item t="default"/>
      </items>
    </pivotField>
    <pivotField showAll="0" defaultSubtotal="0"/>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1"/>
        <item sd="0" x="0"/>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3">
    <field x="11"/>
    <field x="29"/>
    <field x="9"/>
  </rowFields>
  <rowItems count="7">
    <i>
      <x/>
    </i>
    <i t="blank">
      <x/>
    </i>
    <i>
      <x v="1"/>
    </i>
    <i t="blank">
      <x v="1"/>
    </i>
    <i>
      <x v="2"/>
    </i>
    <i t="blank">
      <x v="2"/>
    </i>
    <i t="grand">
      <x/>
    </i>
  </rowItems>
  <colFields count="1">
    <field x="17"/>
  </colFields>
  <colItems count="13">
    <i>
      <x/>
    </i>
    <i>
      <x v="1"/>
    </i>
    <i>
      <x v="2"/>
    </i>
    <i>
      <x v="3"/>
    </i>
    <i>
      <x v="4"/>
    </i>
    <i>
      <x v="5"/>
    </i>
    <i>
      <x v="6"/>
    </i>
    <i>
      <x v="7"/>
    </i>
    <i>
      <x v="8"/>
    </i>
    <i>
      <x v="9"/>
    </i>
    <i>
      <x v="10"/>
    </i>
    <i>
      <x v="11"/>
    </i>
    <i t="grand">
      <x/>
    </i>
  </colItems>
  <pageFields count="4">
    <pageField fld="7" hier="-1"/>
    <pageField fld="10" hier="-1"/>
    <pageField fld="6" hier="-1"/>
    <pageField fld="20" item="1" hier="-1"/>
  </pageFields>
  <dataFields count="1">
    <dataField name="Valor " fld="5" baseField="0" baseItem="0" numFmtId="166"/>
  </dataFields>
  <formats count="4">
    <format dxfId="204">
      <pivotArea type="origin" dataOnly="0" labelOnly="1" outline="0" fieldPosition="0"/>
    </format>
    <format dxfId="203">
      <pivotArea outline="0" fieldPosition="0">
        <references count="1">
          <reference field="4294967294" count="1">
            <x v="0"/>
          </reference>
        </references>
      </pivotArea>
    </format>
    <format dxfId="202">
      <pivotArea dataOnly="0" labelOnly="1" fieldPosition="0">
        <references count="1">
          <reference field="17" count="0"/>
        </references>
      </pivotArea>
    </format>
    <format dxfId="201">
      <pivotArea dataOnly="0" labelOnly="1" grandCol="1" outline="0"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37FD725-3769-4BC9-9918-5951F9939579}" name="Relatorio"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10:C12" firstHeaderRow="1" firstDataRow="1" firstDataCol="1" rowPageCount="4" colPageCount="1"/>
  <pivotFields count="38">
    <pivotField axis="axisRow" numFmtId="168" showAll="0" defaultSubtotal="0">
      <items count="67">
        <item x="0"/>
        <item x="11"/>
        <item x="18"/>
        <item x="25"/>
        <item x="12"/>
        <item x="19"/>
        <item x="26"/>
        <item x="3"/>
        <item x="6"/>
        <item x="13"/>
        <item x="20"/>
        <item x="27"/>
        <item x="32"/>
        <item x="37"/>
        <item x="42"/>
        <item x="47"/>
        <item x="52"/>
        <item x="57"/>
        <item x="62"/>
        <item x="4"/>
        <item x="7"/>
        <item x="14"/>
        <item x="21"/>
        <item x="28"/>
        <item x="33"/>
        <item x="38"/>
        <item x="43"/>
        <item x="48"/>
        <item x="53"/>
        <item x="58"/>
        <item x="63"/>
        <item x="5"/>
        <item x="8"/>
        <item x="15"/>
        <item x="22"/>
        <item x="29"/>
        <item x="34"/>
        <item x="39"/>
        <item x="44"/>
        <item x="49"/>
        <item x="54"/>
        <item x="59"/>
        <item x="64"/>
        <item x="1"/>
        <item x="9"/>
        <item x="16"/>
        <item x="23"/>
        <item x="30"/>
        <item x="35"/>
        <item x="40"/>
        <item x="45"/>
        <item x="50"/>
        <item x="55"/>
        <item x="60"/>
        <item x="65"/>
        <item x="2"/>
        <item x="10"/>
        <item x="17"/>
        <item x="24"/>
        <item x="31"/>
        <item x="36"/>
        <item x="41"/>
        <item x="46"/>
        <item x="51"/>
        <item x="56"/>
        <item x="61"/>
        <item x="66"/>
      </items>
    </pivotField>
    <pivotField numFmtId="165" showAll="0"/>
    <pivotField numFmtId="165" showAll="0"/>
    <pivotField numFmtId="165" showAll="0" sortType="ascending" defaultSubtotal="0"/>
    <pivotField axis="axisRow" showAll="0" defaultSubtotal="0">
      <items count="3">
        <item sd="0" x="0"/>
        <item sd="0" x="2"/>
        <item sd="0" x="1"/>
      </items>
    </pivotField>
    <pivotField dataField="1" numFmtId="166" showAll="0"/>
    <pivotField axis="axisPage" showAll="0">
      <items count="2">
        <item x="0"/>
        <item t="default"/>
      </items>
    </pivotField>
    <pivotField axis="axisPage" showAll="0">
      <items count="2">
        <item x="0"/>
        <item t="default"/>
      </items>
    </pivotField>
    <pivotField axis="axisRow" showAll="0" defaultSubtotal="0">
      <items count="8">
        <item sd="0" x="0"/>
        <item sd="0" x="6"/>
        <item sd="0" x="7"/>
        <item sd="0" x="3"/>
        <item sd="0" x="4"/>
        <item sd="0" x="5"/>
        <item sd="0" x="1"/>
        <item sd="0" x="2"/>
      </items>
    </pivotField>
    <pivotField axis="axisRow" showAll="0" defaultSubtotal="0">
      <items count="6">
        <item sd="0" x="0"/>
        <item sd="0" x="5"/>
        <item sd="0" x="2"/>
        <item sd="0" x="3"/>
        <item sd="0" x="4"/>
        <item sd="0" x="1"/>
      </items>
    </pivotField>
    <pivotField axis="axisPage" showAll="0">
      <items count="3">
        <item x="0"/>
        <item x="1"/>
        <item t="default"/>
      </items>
    </pivotField>
    <pivotField showAll="0"/>
    <pivotField showAll="0"/>
    <pivotField showAll="0"/>
    <pivotField axis="axisRow" showAll="0" defaultSubtotal="0">
      <items count="1">
        <item sd="0" x="0"/>
      </items>
    </pivotField>
    <pivotField showAll="0"/>
    <pivotField showAll="0"/>
    <pivotField axis="axisRow" numFmtId="167" showAll="0" sortType="ascending" defaultSubtotal="0">
      <items count="12">
        <item sd="0" x="0"/>
        <item sd="0" x="1"/>
        <item sd="0" x="2"/>
        <item sd="0" x="3"/>
        <item sd="0" x="4"/>
        <item sd="0" x="5"/>
        <item sd="0" x="6"/>
        <item sd="0" x="7"/>
        <item sd="0" x="8"/>
        <item sd="0" x="9"/>
        <item sd="0" x="10"/>
        <item sd="0" x="11"/>
      </items>
    </pivotField>
    <pivotField axis="axisRow" showAll="0" sortType="ascending" defaultSubtotal="0">
      <items count="1">
        <item sd="0" x="0"/>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Fields count="7">
    <field x="18"/>
    <field x="17"/>
    <field x="4"/>
    <field x="9"/>
    <field x="8"/>
    <field x="14"/>
    <field x="0"/>
  </rowFields>
  <rowItems count="2">
    <i>
      <x/>
    </i>
    <i t="grand">
      <x/>
    </i>
  </rowItems>
  <colItems count="1">
    <i/>
  </colItems>
  <pageFields count="4">
    <pageField fld="7" hier="-1"/>
    <pageField fld="10" hier="-1"/>
    <pageField fld="6" hier="-1"/>
    <pageField fld="20" item="0" hier="-1"/>
  </pageFields>
  <dataFields count="1">
    <dataField name="VALOR " fld="5" baseField="0" baseItem="0" numFmtId="166"/>
  </dataFields>
  <formats count="3">
    <format dxfId="200">
      <pivotArea dataOnly="0" labelOnly="1" outline="0" axis="axisValues" fieldPosition="0"/>
    </format>
    <format dxfId="199">
      <pivotArea field="18" type="button" dataOnly="0" labelOnly="1" outline="0" axis="axisRow" fieldPosition="0"/>
    </format>
    <format dxfId="198">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EA49A7-C66A-4BC4-933A-F139EB43052B}" name="Relatorio" cacheId="914"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2" rowHeaderCaption="DESCRIÇÃO" colHeaderCaption="Período:">
  <location ref="B17:O28" firstHeaderRow="1" firstDataRow="2" firstDataCol="1"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items count="1">
        <item x="0"/>
      </items>
    </pivotField>
    <pivotField axis="axisPage" showAll="0" defaultSubtotal="0">
      <items count="1">
        <item x="0"/>
      </items>
    </pivotField>
    <pivotField showAll="0" defaultSubtotal="0"/>
    <pivotField axis="axisRow" showAll="0">
      <items count="7">
        <item x="0"/>
        <item x="5"/>
        <item x="2"/>
        <item x="3"/>
        <item x="4"/>
        <item x="1"/>
        <item t="default"/>
      </items>
    </pivotField>
    <pivotField axis="axisPage" showAll="0" defaultSubtotal="0">
      <items count="2">
        <item x="0"/>
        <item x="1"/>
      </items>
    </pivotField>
    <pivotField axis="axisRow" showAll="0" insertBlankRow="1">
      <items count="4">
        <item h="1" sd="0" x="0"/>
        <item sd="0" x="1"/>
        <item sd="0" x="2"/>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3">
        <item x="0"/>
        <item x="1"/>
        <item x="2"/>
        <item x="3"/>
        <item x="4"/>
        <item x="5"/>
        <item x="6"/>
        <item x="7"/>
        <item x="8"/>
        <item x="9"/>
        <item x="10"/>
        <item x="11"/>
        <item t="default"/>
      </items>
    </pivotField>
    <pivotField axis="axisPage" showAll="0" defaultSubtotal="0">
      <items count="1">
        <item x="0"/>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1"/>
        <item sd="0" x="0"/>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4">
    <field x="11"/>
    <field x="29"/>
    <field x="9"/>
    <field x="-2"/>
  </rowFields>
  <rowItems count="10">
    <i>
      <x v="1"/>
    </i>
    <i r="3">
      <x/>
    </i>
    <i r="3" i="1">
      <x v="1"/>
    </i>
    <i t="blank">
      <x v="1"/>
    </i>
    <i>
      <x v="2"/>
    </i>
    <i r="3">
      <x/>
    </i>
    <i r="3" i="1">
      <x v="1"/>
    </i>
    <i t="blank">
      <x v="2"/>
    </i>
    <i t="grand">
      <x/>
    </i>
    <i t="grand" i="1">
      <x/>
    </i>
  </rowItems>
  <colFields count="1">
    <field x="17"/>
  </colFields>
  <colItems count="13">
    <i>
      <x/>
    </i>
    <i>
      <x v="1"/>
    </i>
    <i>
      <x v="2"/>
    </i>
    <i>
      <x v="3"/>
    </i>
    <i>
      <x v="4"/>
    </i>
    <i>
      <x v="5"/>
    </i>
    <i>
      <x v="6"/>
    </i>
    <i>
      <x v="7"/>
    </i>
    <i>
      <x v="8"/>
    </i>
    <i>
      <x v="9"/>
    </i>
    <i>
      <x v="10"/>
    </i>
    <i>
      <x v="11"/>
    </i>
    <i t="grand">
      <x/>
    </i>
  </colItems>
  <pageFields count="4">
    <pageField fld="7" hier="-1"/>
    <pageField fld="10" hier="-1"/>
    <pageField fld="20" hier="-1"/>
    <pageField fld="18" hier="-1"/>
  </pageFields>
  <dataFields count="2">
    <dataField name="Valor " fld="5" baseField="0" baseItem="0" numFmtId="166"/>
    <dataField name="Saldo" fld="5" showDataAs="runTotal" baseField="17" baseItem="0" numFmtId="166"/>
  </dataFields>
  <formats count="22">
    <format dxfId="189">
      <pivotArea type="origin" dataOnly="0" labelOnly="1" outline="0" fieldPosition="0"/>
    </format>
    <format dxfId="188">
      <pivotArea outline="0" fieldPosition="0">
        <references count="1">
          <reference field="4294967294" count="1">
            <x v="0"/>
          </reference>
        </references>
      </pivotArea>
    </format>
    <format dxfId="187">
      <pivotArea outline="0" fieldPosition="0">
        <references count="1">
          <reference field="4294967294" count="1">
            <x v="1"/>
          </reference>
        </references>
      </pivotArea>
    </format>
    <format dxfId="186">
      <pivotArea dataOnly="0" outline="0" fieldPosition="0">
        <references count="1">
          <reference field="4294967294" count="1">
            <x v="1"/>
          </reference>
        </references>
      </pivotArea>
    </format>
    <format dxfId="185">
      <pivotArea dataOnly="0" outline="0" fieldPosition="0">
        <references count="1">
          <reference field="4294967294" count="1">
            <x v="1"/>
          </reference>
        </references>
      </pivotArea>
    </format>
    <format dxfId="184">
      <pivotArea field="11" type="button" dataOnly="0" labelOnly="1" outline="0" axis="axisRow" fieldPosition="0"/>
    </format>
    <format dxfId="183">
      <pivotArea dataOnly="0" labelOnly="1" fieldPosition="0">
        <references count="1">
          <reference field="17" count="0"/>
        </references>
      </pivotArea>
    </format>
    <format dxfId="182">
      <pivotArea dataOnly="0" labelOnly="1" grandCol="1" outline="0" fieldPosition="0"/>
    </format>
    <format dxfId="181">
      <pivotArea type="all" dataOnly="0" outline="0" fieldPosition="0"/>
    </format>
    <format dxfId="180">
      <pivotArea field="11" type="button" dataOnly="0" labelOnly="1" outline="0" axis="axisRow" fieldPosition="0"/>
    </format>
    <format dxfId="179">
      <pivotArea field="11" type="button" dataOnly="0" labelOnly="1" outline="0" axis="axisRow" fieldPosition="0"/>
    </format>
    <format dxfId="178">
      <pivotArea type="all" dataOnly="0" outline="0" fieldPosition="0"/>
    </format>
    <format dxfId="177">
      <pivotArea outline="0" collapsedLevelsAreSubtotals="1" fieldPosition="0"/>
    </format>
    <format dxfId="176">
      <pivotArea type="origin" dataOnly="0" labelOnly="1" outline="0" fieldPosition="0"/>
    </format>
    <format dxfId="175">
      <pivotArea field="17" type="button" dataOnly="0" labelOnly="1" outline="0" axis="axisCol" fieldPosition="0"/>
    </format>
    <format dxfId="174">
      <pivotArea type="topRight" dataOnly="0" labelOnly="1" outline="0" fieldPosition="0"/>
    </format>
    <format dxfId="173">
      <pivotArea field="11" type="button" dataOnly="0" labelOnly="1" outline="0" axis="axisRow" fieldPosition="0"/>
    </format>
    <format dxfId="172">
      <pivotArea dataOnly="0" labelOnly="1" fieldPosition="0">
        <references count="1">
          <reference field="11" count="0"/>
        </references>
      </pivotArea>
    </format>
    <format dxfId="171">
      <pivotArea field="11" dataOnly="0" labelOnly="1" grandRow="1" outline="0" axis="axisRow" fieldPosition="0">
        <references count="1">
          <reference field="4294967294" count="1" selected="0">
            <x v="0"/>
          </reference>
        </references>
      </pivotArea>
    </format>
    <format dxfId="170">
      <pivotArea field="11" dataOnly="0" labelOnly="1" grandRow="1" outline="0" axis="axisRow" fieldPosition="0">
        <references count="1">
          <reference field="4294967294" count="1" selected="0">
            <x v="1"/>
          </reference>
        </references>
      </pivotArea>
    </format>
    <format dxfId="169">
      <pivotArea dataOnly="0" labelOnly="1" fieldPosition="0">
        <references count="1">
          <reference field="17" count="0"/>
        </references>
      </pivotArea>
    </format>
    <format dxfId="168">
      <pivotArea dataOnly="0" labelOnly="1" grandCol="1" outline="0" fieldPosition="0"/>
    </format>
  </formats>
  <pivotTableStyleInfo name="PivotStyleMedium2" showRowHeaders="1" showColHeaders="1" showRowStripes="0" showColStripes="1" showLastColumn="1"/>
  <filters count="1">
    <filter fld="17" type="dateBetween" evalOrder="-1" id="2">
      <autoFilter ref="A1">
        <filterColumn colId="0">
          <customFilters and="1">
            <customFilter operator="greaterThanOrEqual" val="43101"/>
            <customFilter operator="lessThanOrEqual" val="43465"/>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F2C7C27-B138-4459-A558-BAC1DD329048}" name="Tabela dinâmica1"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DESCRIÇÃO" colHeaderCaption="PERÍODO">
  <location ref="B50:C63" firstHeaderRow="1" firstDataRow="1" firstDataCol="1"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items count="1">
        <item x="0"/>
      </items>
    </pivotField>
    <pivotField axis="axisPage" showAll="0" defaultSubtotal="0">
      <items count="1">
        <item x="0"/>
      </items>
    </pivotField>
    <pivotField showAll="0" defaultSubtotal="0"/>
    <pivotField showAll="0"/>
    <pivotField axis="axisPage" showAll="0" defaultSubtotal="0">
      <items count="2">
        <item x="0"/>
        <item x="1"/>
      </items>
    </pivotField>
    <pivotField axis="axisPage" multipleItemSelectionAllowed="1" showAll="0" insertBlankRow="1">
      <items count="4">
        <item h="1" x="0"/>
        <item x="2"/>
        <item x="1"/>
        <item t="default" sd="0"/>
      </items>
    </pivotField>
    <pivotField showAll="0" defaultSubtotal="0"/>
    <pivotField showAll="0" defaultSubtotal="0"/>
    <pivotField showAll="0" defaultSubtotal="0"/>
    <pivotField showAll="0" defaultSubtotal="0"/>
    <pivotField showAll="0" defaultSubtotal="0"/>
    <pivotField axis="axisRow" numFmtId="167" showAll="0" sortType="ascending">
      <items count="13">
        <item x="0"/>
        <item x="1"/>
        <item x="2"/>
        <item x="3"/>
        <item x="4"/>
        <item x="5"/>
        <item x="6"/>
        <item x="7"/>
        <item x="8"/>
        <item x="9"/>
        <item x="10"/>
        <item x="11"/>
        <item t="default"/>
      </items>
    </pivotField>
    <pivotField axis="axisPage" showAll="0" defaultSubtotal="0">
      <items count="1">
        <item x="0"/>
      </items>
    </pivotField>
    <pivotField showAll="0" defaultSubtotal="0"/>
    <pivotField showAll="0">
      <items count="3">
        <item x="1"/>
        <item x="0"/>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i>
    <i>
      <x v="1"/>
    </i>
    <i>
      <x v="2"/>
    </i>
    <i>
      <x v="3"/>
    </i>
    <i>
      <x v="4"/>
    </i>
    <i>
      <x v="5"/>
    </i>
    <i>
      <x v="6"/>
    </i>
    <i>
      <x v="7"/>
    </i>
    <i>
      <x v="8"/>
    </i>
    <i>
      <x v="9"/>
    </i>
    <i>
      <x v="10"/>
    </i>
    <i>
      <x v="11"/>
    </i>
    <i t="grand">
      <x/>
    </i>
  </rowItems>
  <colItems count="1">
    <i/>
  </colItems>
  <pageFields count="4">
    <pageField fld="7" hier="-1"/>
    <pageField fld="10" hier="-1"/>
    <pageField fld="18" hier="-1"/>
    <pageField fld="11" hier="-1"/>
  </pageFields>
  <dataFields count="1">
    <dataField name="Resultado" fld="5" baseField="0" baseItem="2" numFmtId="166"/>
  </dataFields>
  <formats count="8">
    <format dxfId="197">
      <pivotArea type="origin" dataOnly="0" labelOnly="1" outline="0" fieldPosition="0"/>
    </format>
    <format dxfId="196">
      <pivotArea outline="0" fieldPosition="0">
        <references count="1">
          <reference field="4294967294" count="1">
            <x v="0"/>
          </reference>
        </references>
      </pivotArea>
    </format>
    <format dxfId="195">
      <pivotArea type="all" dataOnly="0" outline="0" fieldPosition="0"/>
    </format>
    <format dxfId="194">
      <pivotArea outline="0" collapsedLevelsAreSubtotals="1" fieldPosition="0"/>
    </format>
    <format dxfId="193">
      <pivotArea field="17" type="button" dataOnly="0" labelOnly="1" outline="0" axis="axisRow" fieldPosition="0"/>
    </format>
    <format dxfId="192">
      <pivotArea dataOnly="0" labelOnly="1" fieldPosition="0">
        <references count="1">
          <reference field="17" count="0"/>
        </references>
      </pivotArea>
    </format>
    <format dxfId="191">
      <pivotArea dataOnly="0" labelOnly="1" grandRow="1" outline="0" fieldPosition="0"/>
    </format>
    <format dxfId="190">
      <pivotArea dataOnly="0" labelOnly="1" outline="0" axis="axisValues"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Relatorio" cacheId="914"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rowHeaderCaption="DESCRIÇÃO" colHeaderCaption="C. CUSTOS">
  <location ref="B8:C11" firstHeaderRow="1" firstDataRow="1" firstDataCol="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showAll="0"/>
    <pivotField axis="axisRow" showAll="0" defaultSubtotal="0">
      <items count="3">
        <item h="1" x="0"/>
        <item x="1"/>
        <item x="2"/>
      </items>
    </pivotField>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3">
    <i>
      <x v="1"/>
    </i>
    <i>
      <x v="2"/>
    </i>
    <i t="grand">
      <x/>
    </i>
  </rowItems>
  <colItems count="1">
    <i/>
  </colItems>
  <dataFields count="1">
    <dataField name="Soma de VALOR" fld="5" baseField="0" baseItem="0" numFmtId="166"/>
  </dataFields>
  <formats count="2">
    <format dxfId="149">
      <pivotArea type="all" dataOnly="0" outline="0" fieldPosition="0"/>
    </format>
    <format dxfId="148">
      <pivotArea outline="0" fieldPosition="0">
        <references count="1">
          <reference field="4294967294" count="1">
            <x v="0"/>
          </reference>
        </references>
      </pivotArea>
    </format>
  </formats>
  <chartFormats count="1">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a dinâmica4" cacheId="914"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B23:C25" firstHeaderRow="1" firstDataRow="1"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Row" showAll="0" defaultSubtotal="0">
      <items count="1">
        <item x="0"/>
      </items>
    </pivotField>
    <pivotField showAll="0" defaultSubtotal="0"/>
    <pivotField showAll="0"/>
    <pivotField showAll="0"/>
    <pivotField multipleItemSelectionAllowed="1" showAll="0" defaultSubtotal="0"/>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7"/>
  </rowFields>
  <rowItems count="2">
    <i>
      <x/>
    </i>
    <i t="grand">
      <x/>
    </i>
  </rowItems>
  <colItems count="1">
    <i/>
  </colItems>
  <pageFields count="1">
    <pageField fld="20" item="0" hier="-1"/>
  </pageFields>
  <dataFields count="1">
    <dataField name="Soma de VALOR" fld="5" baseField="0" baseItem="0" numFmtId="166"/>
  </dataFields>
  <formats count="2">
    <format dxfId="151">
      <pivotArea type="all" dataOnly="0" outline="0" fieldPosition="0"/>
    </format>
    <format dxfId="150">
      <pivotArea outline="0" fieldPosition="0">
        <references count="1">
          <reference field="4294967294" count="1">
            <x v="0"/>
          </reference>
        </references>
      </pivotArea>
    </format>
  </format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Tabela dinâmica2" cacheId="914"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AD5:AE7" firstHeaderRow="1" firstDataRow="1"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7">
        <item x="0"/>
        <item x="5"/>
        <item x="2"/>
        <item x="3"/>
        <item x="4"/>
        <item x="1"/>
        <item t="default"/>
      </items>
    </pivotField>
    <pivotField showAll="0">
      <items count="3">
        <item x="0"/>
        <item x="1"/>
        <item t="default"/>
      </items>
    </pivotField>
    <pivotField axis="axisPage" showAll="0" defaultSubtotal="0">
      <items count="3">
        <item x="0"/>
        <item x="2"/>
        <item x="1"/>
      </items>
    </pivotField>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5"/>
    </i>
    <i t="grand">
      <x/>
    </i>
  </rowItems>
  <colItems count="1">
    <i/>
  </colItems>
  <pageFields count="1">
    <pageField fld="11" item="2" hier="-1"/>
  </pageFields>
  <dataFields count="1">
    <dataField name="Soma de VALOR" fld="5" baseField="0" baseItem="0" numFmtId="166"/>
  </dataFields>
  <formats count="8">
    <format dxfId="159">
      <pivotArea type="all" dataOnly="0" outline="0" fieldPosition="0"/>
    </format>
    <format dxfId="158">
      <pivotArea outline="0" collapsedLevelsAreSubtotals="1" fieldPosition="0"/>
    </format>
    <format dxfId="157">
      <pivotArea field="10" type="button" dataOnly="0" labelOnly="1" outline="0"/>
    </format>
    <format dxfId="156">
      <pivotArea dataOnly="0" labelOnly="1" outline="0" axis="axisValues" fieldPosition="0"/>
    </format>
    <format dxfId="155">
      <pivotArea dataOnly="0" labelOnly="1" grandRow="1" outline="0" fieldPosition="0"/>
    </format>
    <format dxfId="154">
      <pivotArea dataOnly="0" labelOnly="1" outline="0" axis="axisValues" fieldPosition="0"/>
    </format>
    <format dxfId="153">
      <pivotArea type="all" dataOnly="0" outline="0" fieldPosition="0"/>
    </format>
    <format dxfId="152">
      <pivotArea outline="0" fieldPosition="0">
        <references count="1">
          <reference field="4294967294" count="1">
            <x v="0"/>
          </reference>
        </references>
      </pivotArea>
    </format>
  </formats>
  <chartFormats count="1">
    <chartFormat chart="1" format="13" series="1">
      <pivotArea type="data" outline="0" fieldPosition="0">
        <references count="1">
          <reference field="4294967294" count="1" selected="0">
            <x v="0"/>
          </reference>
        </references>
      </pivotArea>
    </chartFormat>
  </chartFormats>
  <pivotTableStyleInfo name="PivotStyleLight23"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a dinâmica3" cacheId="914"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I27:J31" firstHeaderRow="1" firstDataRow="1"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7">
        <item x="0"/>
        <item x="5"/>
        <item x="2"/>
        <item x="3"/>
        <item x="4"/>
        <item x="1"/>
        <item t="default"/>
      </items>
    </pivotField>
    <pivotField showAll="0">
      <items count="3">
        <item x="0"/>
        <item x="1"/>
        <item t="default"/>
      </items>
    </pivotField>
    <pivotField axis="axisPage" showAll="0" defaultSubtotal="0">
      <items count="3">
        <item x="0"/>
        <item x="2"/>
        <item x="1"/>
      </items>
    </pivotField>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4">
    <i>
      <x v="2"/>
    </i>
    <i>
      <x v="3"/>
    </i>
    <i>
      <x v="4"/>
    </i>
    <i t="grand">
      <x/>
    </i>
  </rowItems>
  <colItems count="1">
    <i/>
  </colItems>
  <pageFields count="1">
    <pageField fld="11" item="1" hier="-1"/>
  </pageFields>
  <dataFields count="1">
    <dataField name="Soma de VALOR" fld="5" baseField="0" baseItem="0" numFmtId="166"/>
  </dataFields>
  <formats count="8">
    <format dxfId="167">
      <pivotArea type="all" dataOnly="0" outline="0" fieldPosition="0"/>
    </format>
    <format dxfId="166">
      <pivotArea outline="0" collapsedLevelsAreSubtotals="1" fieldPosition="0"/>
    </format>
    <format dxfId="165">
      <pivotArea field="10" type="button" dataOnly="0" labelOnly="1" outline="0"/>
    </format>
    <format dxfId="164">
      <pivotArea dataOnly="0" labelOnly="1" outline="0" axis="axisValues" fieldPosition="0"/>
    </format>
    <format dxfId="163">
      <pivotArea dataOnly="0" labelOnly="1" grandRow="1" outline="0" fieldPosition="0"/>
    </format>
    <format dxfId="162">
      <pivotArea dataOnly="0" labelOnly="1" outline="0" axis="axisValues" fieldPosition="0"/>
    </format>
    <format dxfId="161">
      <pivotArea type="all" dataOnly="0" outline="0" fieldPosition="0"/>
    </format>
    <format dxfId="160">
      <pivotArea outline="0" fieldPosition="0">
        <references count="1">
          <reference field="4294967294" count="1">
            <x v="0"/>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2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Relatorio"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ATA" colHeaderCaption="PERÍODO:">
  <location ref="B7:J11" firstHeaderRow="1" firstDataRow="3" firstDataCol="1" rowPageCount="1" colPageCount="1"/>
  <pivotFields count="38">
    <pivotField numFmtId="168" subtotalTop="0" showAll="0"/>
    <pivotField axis="axisRow" numFmtId="165" subtotalTop="0" showAll="0" sortType="ascending">
      <items count="2">
        <item x="0"/>
        <item t="default"/>
      </items>
    </pivotField>
    <pivotField numFmtId="165" subtotalTop="0" showAll="0"/>
    <pivotField numFmtId="165" subtotalTop="0" showAll="0"/>
    <pivotField subtotalTop="0" showAll="0" sortType="ascending" defaultSubtotal="0"/>
    <pivotField numFmtId="166" subtotalTop="0" showAll="0"/>
    <pivotField subtotalTop="0" showAll="0"/>
    <pivotField subtotalTop="0" showAll="0" insertBlankRow="1" sortType="ascending"/>
    <pivotField subtotalTop="0" showAll="0"/>
    <pivotField subtotalTop="0" showAll="0"/>
    <pivotField subtotalTop="0" showAll="0">
      <items count="3">
        <item x="0"/>
        <item x="1"/>
        <item t="default"/>
      </items>
    </pivotField>
    <pivotField axis="axisCol" subtotalTop="0" showAll="0">
      <items count="4">
        <item x="0"/>
        <item n="ENTRADA" x="2"/>
        <item n="SAÍDA" x="1"/>
        <item t="default"/>
      </items>
    </pivotField>
    <pivotField subtotalTop="0" showAll="0"/>
    <pivotField subtotalTop="0" showAll="0"/>
    <pivotField subtotalTop="0" showAll="0"/>
    <pivotField subtotalTop="0" showAll="0"/>
    <pivotField subtotalTop="0" showAll="0"/>
    <pivotField numFmtId="167" subtotalTop="0" showAll="0" sortType="ascending"/>
    <pivotField name="ANO: " subtotalTop="0" showAll="0">
      <items count="2">
        <item x="0"/>
        <item t="default"/>
      </items>
    </pivotField>
    <pivotField subtotalTop="0" showAll="0"/>
    <pivotField subtotalTop="0" showAll="0"/>
    <pivotField subtotalTop="0" showAll="0"/>
    <pivotField name="NOME DO INSUMO:" axis="axisPage" outline="0" subtotalTop="0" showAll="0">
      <items count="3">
        <item x="0"/>
        <item x="1"/>
        <item t="default"/>
      </items>
    </pivotField>
    <pivotField subtotalTop="0" showAll="0"/>
    <pivotField numFmtId="164" subtotalTop="0" showAll="0"/>
    <pivotField dataField="1" numFmtId="164" subtotalTop="0" showAll="0"/>
    <pivotField subtotalTop="0" showAll="0"/>
    <pivotField subtotalTop="0" showAll="0"/>
    <pivotField numFmtId="167"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1"/>
  </rowFields>
  <rowItems count="2">
    <i>
      <x/>
    </i>
    <i t="grand">
      <x/>
    </i>
  </rowItems>
  <colFields count="2">
    <field x="11"/>
    <field x="-2"/>
  </colFields>
  <colItems count="8">
    <i>
      <x/>
      <x/>
    </i>
    <i r="1" i="1">
      <x v="1"/>
    </i>
    <i>
      <x v="1"/>
      <x/>
    </i>
    <i r="1" i="1">
      <x v="1"/>
    </i>
    <i>
      <x v="2"/>
      <x/>
    </i>
    <i r="1" i="1">
      <x v="1"/>
    </i>
    <i t="grand">
      <x/>
    </i>
    <i t="grand" i="1">
      <x/>
    </i>
  </colItems>
  <pageFields count="1">
    <pageField fld="22" hier="-1"/>
  </pageFields>
  <dataFields count="2">
    <dataField name="QDE." fld="25" baseField="0" baseItem="0" numFmtId="166"/>
    <dataField name="ACUM." fld="25" showDataAs="runTotal" baseField="1" baseItem="0" numFmtId="166"/>
  </dataFields>
  <formats count="14">
    <format dxfId="147">
      <pivotArea type="all" dataOnly="0" outline="0" fieldPosition="0"/>
    </format>
    <format dxfId="146">
      <pivotArea outline="0" collapsedLevelsAreSubtotals="1" fieldPosition="0"/>
    </format>
    <format dxfId="145">
      <pivotArea field="10" type="button" dataOnly="0" labelOnly="1" outline="0"/>
    </format>
    <format dxfId="144">
      <pivotArea dataOnly="0" labelOnly="1" outline="0" axis="axisValues" fieldPosition="0"/>
    </format>
    <format dxfId="143">
      <pivotArea dataOnly="0" labelOnly="1" grandRow="1" outline="0" fieldPosition="0"/>
    </format>
    <format dxfId="142">
      <pivotArea dataOnly="0" labelOnly="1" outline="0" axis="axisValues" fieldPosition="0"/>
    </format>
    <format dxfId="141">
      <pivotArea type="all" dataOnly="0" outline="0" fieldPosition="0"/>
    </format>
    <format dxfId="140">
      <pivotArea type="origin" dataOnly="0" labelOnly="1" outline="0" fieldPosition="0"/>
    </format>
    <format dxfId="139">
      <pivotArea type="all" dataOnly="0" outline="0" fieldPosition="0"/>
    </format>
    <format dxfId="138">
      <pivotArea field="18" type="button" dataOnly="0" labelOnly="1" outline="0"/>
    </format>
    <format dxfId="137">
      <pivotArea type="all" dataOnly="0" outline="0" fieldPosition="0"/>
    </format>
    <format dxfId="136">
      <pivotArea outline="0" fieldPosition="0">
        <references count="1">
          <reference field="4294967294" count="1">
            <x v="0"/>
          </reference>
        </references>
      </pivotArea>
    </format>
    <format dxfId="135">
      <pivotArea dataOnly="0" labelOnly="1" fieldPosition="0">
        <references count="1">
          <reference field="11" count="0"/>
        </references>
      </pivotArea>
    </format>
    <format dxfId="134">
      <pivotArea outline="0" fieldPosition="0">
        <references count="1">
          <reference field="4294967294" count="1">
            <x v="1"/>
          </reference>
        </references>
      </pivotArea>
    </format>
  </formats>
  <pivotTableStyleInfo name="PivotStyleMedium7" showRowHeaders="1" showColHeaders="1" showRowStripes="1" showColStripes="1" showLastColumn="1"/>
  <extLst>
    <ext xmlns:xpdl="http://schemas.microsoft.com/office/spreadsheetml/2016/pivotdefaultlayout" uri="{747A6164-185A-40DC-8AA5-F01512510D54}">
      <xpdl:pivotTableDefinition16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8D9D133-144B-45ED-8C2A-777C020DE3DF}" name="Tabela dinâmica3" cacheId="91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1" rowHeaderCaption="REC/DESP/MOV. FIN." colHeaderCaption="PERÍODO">
  <location ref="I89:J102"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2">
        <item x="0"/>
        <item x="1"/>
      </items>
    </pivotField>
    <pivotField axis="axisPage" outline="0" multipleItemSelectionAllowed="1" showAll="0" insertBlankRow="1">
      <items count="4">
        <item h="1" x="0"/>
        <item x="2"/>
        <item x="1"/>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3">
        <item x="0"/>
        <item x="1"/>
        <item x="2"/>
        <item x="3"/>
        <item x="4"/>
        <item x="5"/>
        <item x="6"/>
        <item x="7"/>
        <item x="8"/>
        <item x="9"/>
        <item x="10"/>
        <item x="11"/>
        <item t="default"/>
      </items>
    </pivotField>
    <pivotField axis="axisPage" showAll="0" defaultSubtotal="0">
      <items count="1">
        <item x="0"/>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i>
    <i>
      <x v="1"/>
    </i>
    <i>
      <x v="2"/>
    </i>
    <i>
      <x v="3"/>
    </i>
    <i>
      <x v="4"/>
    </i>
    <i>
      <x v="5"/>
    </i>
    <i>
      <x v="6"/>
    </i>
    <i>
      <x v="7"/>
    </i>
    <i>
      <x v="8"/>
    </i>
    <i>
      <x v="9"/>
    </i>
    <i>
      <x v="10"/>
    </i>
    <i>
      <x v="11"/>
    </i>
    <i t="grand">
      <x/>
    </i>
  </rowItems>
  <colItems count="1">
    <i/>
  </colItems>
  <pageFields count="6">
    <pageField fld="7" hier="-1"/>
    <pageField fld="10" hier="-1"/>
    <pageField fld="6" hier="-1"/>
    <pageField fld="20" hier="-1"/>
    <pageField fld="18" hier="-1"/>
    <pageField fld="11" hier="-1"/>
  </pageFields>
  <dataFields count="1">
    <dataField name="Soma de VALOR" fld="5" showDataAs="runTotal" baseField="17" baseItem="0" numFmtId="166"/>
  </dataFields>
  <formats count="2">
    <format dxfId="131">
      <pivotArea type="origin" dataOnly="0" labelOnly="1" outline="0" fieldPosition="0"/>
    </format>
    <format dxfId="130">
      <pivotArea outline="0" fieldPosition="0">
        <references count="1">
          <reference field="4294967294" count="1">
            <x v="0"/>
          </reference>
        </references>
      </pivotArea>
    </format>
  </formats>
  <chartFormats count="1">
    <chartFormat chart="8"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7" type="dateBetween" evalOrder="-1" id="2">
      <autoFilter ref="A1">
        <filterColumn colId="0">
          <customFilters and="1">
            <customFilter operator="greaterThanOrEqual" val="43101"/>
            <customFilter operator="lessThanOrEqual" val="43465"/>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92CC24A-BAAB-429A-A2C5-FF6D0DCC7310}" name="Tabela dinâmica2" cacheId="914"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7" rowHeaderCaption="REC/DESP/MOV. FIN." colHeaderCaption="PERÍODO">
  <location ref="F89:G102"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2">
        <item x="0"/>
        <item x="1"/>
      </items>
    </pivotField>
    <pivotField axis="axisPage" outline="0" multipleItemSelectionAllowed="1" showAll="0" insertBlankRow="1">
      <items count="4">
        <item h="1" x="0"/>
        <item x="2"/>
        <item x="1"/>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3">
        <item x="0"/>
        <item x="1"/>
        <item x="2"/>
        <item x="3"/>
        <item x="4"/>
        <item x="5"/>
        <item x="6"/>
        <item x="7"/>
        <item x="8"/>
        <item x="9"/>
        <item x="10"/>
        <item x="11"/>
        <item t="default"/>
      </items>
    </pivotField>
    <pivotField axis="axisPage" showAll="0" defaultSubtotal="0">
      <items count="1">
        <item x="0"/>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i>
    <i>
      <x v="1"/>
    </i>
    <i>
      <x v="2"/>
    </i>
    <i>
      <x v="3"/>
    </i>
    <i>
      <x v="4"/>
    </i>
    <i>
      <x v="5"/>
    </i>
    <i>
      <x v="6"/>
    </i>
    <i>
      <x v="7"/>
    </i>
    <i>
      <x v="8"/>
    </i>
    <i>
      <x v="9"/>
    </i>
    <i>
      <x v="10"/>
    </i>
    <i>
      <x v="11"/>
    </i>
    <i t="grand">
      <x/>
    </i>
  </rowItems>
  <colItems count="1">
    <i/>
  </colItems>
  <pageFields count="6">
    <pageField fld="7" hier="-1"/>
    <pageField fld="10" hier="-1"/>
    <pageField fld="6" hier="-1"/>
    <pageField fld="20" hier="-1"/>
    <pageField fld="18" hier="-1"/>
    <pageField fld="11" hier="-1"/>
  </pageFields>
  <dataFields count="1">
    <dataField name="Valor " fld="5" baseField="0" baseItem="0" numFmtId="166"/>
  </dataFields>
  <formats count="2">
    <format dxfId="133">
      <pivotArea type="origin" dataOnly="0" labelOnly="1" outline="0" fieldPosition="0"/>
    </format>
    <format dxfId="132">
      <pivotArea outline="0" fieldPosition="0">
        <references count="1">
          <reference field="4294967294" count="1">
            <x v="0"/>
          </reference>
        </references>
      </pivotArea>
    </format>
  </formats>
  <chartFormats count="1">
    <chartFormat chart="4"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7" type="dateBetween" evalOrder="-1" id="2">
      <autoFilter ref="A1">
        <filterColumn colId="0">
          <customFilters and="1">
            <customFilter operator="greaterThanOrEqual" val="43101"/>
            <customFilter operator="lessThanOrEqual" val="43465"/>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A_CORRENTE" xr10:uid="{F5BDE062-B143-433C-91D7-9FA922A7AFA4}" sourceName="CONTA CORRENTE">
  <pivotTables>
    <pivotTable tabId="3" name="Relatorio"/>
    <pivotTable tabId="23" name="Relatorio"/>
    <pivotTable tabId="26" name="Relatorio"/>
    <pivotTable tabId="12" name="Tabela dinâmica2"/>
    <pivotTable tabId="12" name="Tabela dinâmica3"/>
    <pivotTable tabId="26" name="Tabela dinâmica1"/>
    <pivotTable tabId="28" name="Relatorio"/>
  </pivotTables>
  <data>
    <tabular pivotCacheId="1">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 xr10:uid="{DCE50C1C-AAD6-4E8B-87D1-861CA9AF6E7D}" sourceName="TITULAR">
  <pivotTables>
    <pivotTable tabId="26" name="Relatorio"/>
    <pivotTable tabId="12" name="Tabela dinâmica2"/>
    <pivotTable tabId="12" name="Tabela dinâmica3"/>
    <pivotTable tabId="3" name="Relatorio"/>
    <pivotTable tabId="23" name="Relatorio"/>
    <pivotTable tabId="26" name="Tabela dinâmica1"/>
    <pivotTable tabId="28" name="Relatorio"/>
  </pivotTables>
  <data>
    <tabular pivotCacheId="1">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 xr10:uid="{1F6FA069-66D0-47AE-A912-574F45440EE6}" sourceName="CENTRO CUSTO">
  <pivotTables>
    <pivotTable tabId="3" name="Relatorio"/>
    <pivotTable tabId="23" name="Relatorio"/>
    <pivotTable tabId="26" name="Relatorio"/>
    <pivotTable tabId="12" name="Tabela dinâmica2"/>
    <pivotTable tabId="12" name="Tabela dinâmica3"/>
    <pivotTable tabId="26" name="Tabela dinâmica1"/>
    <pivotTable tabId="28" name="Relatorio"/>
  </pivotTables>
  <data>
    <tabular pivotCacheId="1">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 xr10:uid="{71348439-CD5B-4E3B-86F0-3782F6611D92}" sourceName="ANO">
  <pivotTables>
    <pivotTable tabId="12" name="Tabela dinâmica2"/>
    <pivotTable tabId="26" name="Relatorio"/>
    <pivotTable tabId="12" name="Tabela dinâmica3"/>
  </pivotTables>
  <data>
    <tabular pivotCacheId="1">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ALIZADO___A_REALIZAR" xr10:uid="{F8FA946E-990D-4BF0-B56F-B627FC83FA21}" sourceName="REALIZADO / A REALIZAR">
  <pivotTables>
    <pivotTable tabId="12" name="Tabela dinâmica2"/>
    <pivotTable tabId="26" name="Relatorio"/>
    <pivotTable tabId="12" name="Tabela dinâmica3"/>
    <pivotTable tabId="26" name="Tabela dinâmica1"/>
  </pivotTables>
  <data>
    <tabular pivotCacheId="1">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22725DCB-DD7F-467B-9883-9F9980F5FF21}" sourceName="MÊS">
  <pivotTables>
    <pivotTable tabId="12" name="Tabela dinâmica2"/>
    <pivotTable tabId="26" name="Relatorio"/>
    <pivotTable tabId="12" name="Tabela dinâmica3"/>
    <pivotTable tabId="26" name="Tabela dinâmica1"/>
  </pivotTables>
  <data>
    <tabular pivotCacheId="1">
      <items count="12">
        <i x="0" s="1"/>
        <i x="1" s="1"/>
        <i x="2" s="1"/>
        <i x="3" s="1"/>
        <i x="4" s="1"/>
        <i x="5" s="1"/>
        <i x="6" s="1"/>
        <i x="7" s="1"/>
        <i x="8" s="1"/>
        <i x="9" s="1"/>
        <i x="10" s="1"/>
        <i x="1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C._DESP." xr10:uid="{CF474F13-898D-4579-AF8F-DD8279921C3B}" sourceName="REC./DESP.">
  <pivotTables>
    <pivotTable tabId="12" name="Tabela dinâmica2"/>
    <pivotTable tabId="12" name="Tabela dinâmica3"/>
    <pivotTable tabId="26" name="Relatorio"/>
    <pivotTable tabId="26" name="Tabela dinâmica1"/>
  </pivotTables>
  <data>
    <tabular pivotCacheId="1">
      <items count="3">
        <i x="2" s="1"/>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1" xr10:uid="{61438206-1703-466D-A904-C00B3D8C83DD}" cache="SegmentaçãodeDados_CONTA_CORRENTE" caption="CONTA CORRENTE" rowHeight="241300"/>
  <slicer name="TITULAR" xr10:uid="{69CCE3C4-B716-4972-B15F-E5716DFFEF74}" cache="SegmentaçãodeDados_TITULAR" caption="TITULAR" rowHeight="241300"/>
  <slicer name="CENTRO CUSTO" xr10:uid="{74B44B82-299A-4C2F-85FA-FB02F79EA22C}" cache="SegmentaçãodeDados_CENTRO_CUSTO" caption="CENTRO CUSTO" rowHeight="241300"/>
  <slicer name="ANO" xr10:uid="{AC39BE15-129A-4197-9A89-21F06CE18AFC}" cache="SegmentaçãodeDados_ANO" caption="ANO" rowHeight="241300"/>
  <slicer name="REALIZADO / A REALIZAR" xr10:uid="{71572890-0491-4AC5-84AD-B730B2180760}" cache="SegmentaçãodeDados_REALIZADO___A_REALIZAR" caption="REALIZADO / A REALIZAR" rowHeight="241300"/>
  <slicer name="MÊS" xr10:uid="{44BF1B80-A944-482D-A3DD-D4936DDFB741}" cache="SegmentaçãodeDados_MÊS" caption="MÊS" rowHeight="241300"/>
  <slicer name="REC./DESP." xr10:uid="{99A02BF1-D688-435C-87B8-F2381A7B8E84}" cache="SegmentaçãodeDados_REC._DESP." caption="REC./DESP."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75000"/>
          </a:schemeClr>
        </a:solidFill>
        <a:ln w="12700" cap="flat" cmpd="sng" algn="ctr">
          <a:solidFill>
            <a:srgbClr val="5B9BD5">
              <a:shade val="50000"/>
            </a:srgbClr>
          </a:solidFill>
          <a:prstDash val="solid"/>
          <a:miter lim="800000"/>
        </a:ln>
        <a:effectLst>
          <a:softEdge rad="12700"/>
        </a:effectLst>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100" b="0" i="0" u="none" strike="noStrike" kern="0" cap="none" spc="0" normalizeH="0" baseline="0" noProof="0">
            <a:ln>
              <a:noFill/>
            </a:ln>
            <a:solidFill>
              <a:sysClr val="window" lastClr="FFFFFF"/>
            </a:solidFill>
            <a:effectLst/>
            <a:uLnTx/>
            <a:uFillTx/>
            <a:latin typeface="Calibri" panose="020F0502020204030204"/>
            <a:ea typeface="+mn-ea"/>
            <a:cs typeface="+mn-cs"/>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openxmlformats.org/officeDocument/2006/relationships/pivotTable" Target="../pivotTables/pivotTable5.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5.bin"/><Relationship Id="rId1" Type="http://schemas.openxmlformats.org/officeDocument/2006/relationships/pivotTable" Target="../pivotTables/pivotTable6.xml"/><Relationship Id="rId6" Type="http://schemas.openxmlformats.org/officeDocument/2006/relationships/image" Target="../media/image3.emf"/><Relationship Id="rId5" Type="http://schemas.openxmlformats.org/officeDocument/2006/relationships/control" Target="../activeX/activeX4.xml"/><Relationship Id="rId4"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16.bin"/><Relationship Id="rId7" Type="http://schemas.openxmlformats.org/officeDocument/2006/relationships/image" Target="../media/image5.emf"/><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control" Target="../activeX/activeX5.xml"/><Relationship Id="rId5" Type="http://schemas.openxmlformats.org/officeDocument/2006/relationships/vmlDrawing" Target="../drawings/vmlDrawing6.vml"/><Relationship Id="rId4"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15.xml"/><Relationship Id="rId5" Type="http://schemas.openxmlformats.org/officeDocument/2006/relationships/printerSettings" Target="../printerSettings/printerSettings17.bin"/><Relationship Id="rId4"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8.bin"/><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ivotTable" Target="../pivotTables/pivotTable15.xml"/><Relationship Id="rId1" Type="http://schemas.openxmlformats.org/officeDocument/2006/relationships/pivotTable" Target="../pivotTables/pivotTable14.xml"/><Relationship Id="rId5" Type="http://schemas.microsoft.com/office/2007/relationships/slicer" Target="../slicers/slicer1.xml"/><Relationship Id="rId4"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tabColor theme="3"/>
  </sheetPr>
  <dimension ref="A1:H38"/>
  <sheetViews>
    <sheetView showGridLines="0" showRowColHeaders="0" tabSelected="1" zoomScale="85" zoomScaleNormal="85" workbookViewId="0">
      <selection activeCell="B2" sqref="B2:G3"/>
    </sheetView>
  </sheetViews>
  <sheetFormatPr defaultRowHeight="15" x14ac:dyDescent="0.25"/>
  <cols>
    <col min="1" max="1" width="1.7109375" customWidth="1"/>
    <col min="2" max="2" width="3.140625" customWidth="1"/>
    <col min="3" max="3" width="40.7109375" customWidth="1"/>
    <col min="4" max="4" width="3.140625" customWidth="1"/>
    <col min="5" max="5" width="3.28515625" customWidth="1"/>
    <col min="6" max="6" width="40.7109375" customWidth="1"/>
    <col min="7" max="7" width="3.140625" customWidth="1"/>
  </cols>
  <sheetData>
    <row r="1" spans="2:8" x14ac:dyDescent="0.25">
      <c r="G1" s="21"/>
    </row>
    <row r="2" spans="2:8" ht="15" customHeight="1" x14ac:dyDescent="0.25">
      <c r="B2" s="123" t="s">
        <v>142</v>
      </c>
      <c r="C2" s="123"/>
      <c r="D2" s="123"/>
      <c r="E2" s="123"/>
      <c r="F2" s="123"/>
      <c r="G2" s="123"/>
    </row>
    <row r="3" spans="2:8" ht="15" customHeight="1" x14ac:dyDescent="0.25">
      <c r="B3" s="123"/>
      <c r="C3" s="123"/>
      <c r="D3" s="123"/>
      <c r="E3" s="123"/>
      <c r="F3" s="123"/>
      <c r="G3" s="123"/>
    </row>
    <row r="6" spans="2:8" ht="4.5" customHeight="1" x14ac:dyDescent="0.25"/>
    <row r="7" spans="2:8" ht="18" customHeight="1" x14ac:dyDescent="0.3">
      <c r="D7" s="22" t="s">
        <v>8</v>
      </c>
      <c r="G7" s="22" t="s">
        <v>8</v>
      </c>
    </row>
    <row r="8" spans="2:8" ht="9.9499999999999993" customHeight="1" x14ac:dyDescent="0.25">
      <c r="D8" s="20"/>
    </row>
    <row r="9" spans="2:8" ht="18" customHeight="1" x14ac:dyDescent="0.3">
      <c r="D9" s="22" t="s">
        <v>8</v>
      </c>
      <c r="G9" s="22" t="s">
        <v>8</v>
      </c>
      <c r="H9" s="27"/>
    </row>
    <row r="10" spans="2:8" ht="9.9499999999999993" customHeight="1" x14ac:dyDescent="0.25"/>
    <row r="11" spans="2:8" ht="18" customHeight="1" x14ac:dyDescent="0.3">
      <c r="D11" s="22" t="s">
        <v>8</v>
      </c>
      <c r="G11" s="22" t="s">
        <v>8</v>
      </c>
    </row>
    <row r="12" spans="2:8" ht="9.9499999999999993" customHeight="1" x14ac:dyDescent="0.25">
      <c r="D12" s="20"/>
    </row>
    <row r="13" spans="2:8" ht="18" customHeight="1" x14ac:dyDescent="0.3">
      <c r="D13" s="22" t="s">
        <v>8</v>
      </c>
      <c r="G13" s="22" t="s">
        <v>8</v>
      </c>
    </row>
    <row r="14" spans="2:8" ht="9.9499999999999993" customHeight="1" x14ac:dyDescent="0.25">
      <c r="D14" s="20"/>
    </row>
    <row r="15" spans="2:8" ht="18" customHeight="1" x14ac:dyDescent="0.3">
      <c r="D15" s="22" t="s">
        <v>8</v>
      </c>
      <c r="G15" s="22" t="s">
        <v>8</v>
      </c>
    </row>
    <row r="16" spans="2:8" ht="9.9499999999999993" customHeight="1" x14ac:dyDescent="0.25">
      <c r="D16" s="19"/>
    </row>
    <row r="17" spans="4:8" ht="18.75" x14ac:dyDescent="0.3">
      <c r="D17" s="22" t="s">
        <v>8</v>
      </c>
      <c r="F17" s="9"/>
      <c r="G17" s="22" t="s">
        <v>8</v>
      </c>
      <c r="H17" s="27"/>
    </row>
    <row r="18" spans="4:8" ht="9.9499999999999993" customHeight="1" x14ac:dyDescent="0.25"/>
    <row r="19" spans="4:8" ht="18.75" x14ac:dyDescent="0.3">
      <c r="D19" s="22" t="s">
        <v>8</v>
      </c>
      <c r="G19" s="22" t="s">
        <v>8</v>
      </c>
    </row>
    <row r="20" spans="4:8" ht="9.9499999999999993" customHeight="1" x14ac:dyDescent="0.25">
      <c r="D20" s="19"/>
    </row>
    <row r="22" spans="4:8" ht="9.9499999999999993" customHeight="1" x14ac:dyDescent="0.25"/>
    <row r="23" spans="4:8" x14ac:dyDescent="0.25">
      <c r="D23" s="19"/>
    </row>
    <row r="24" spans="4:8" ht="9.9499999999999993" customHeight="1" x14ac:dyDescent="0.25">
      <c r="D24" s="19"/>
    </row>
    <row r="38" spans="1:1" x14ac:dyDescent="0.25">
      <c r="A38" s="8" t="s">
        <v>9</v>
      </c>
    </row>
  </sheetData>
  <sheetProtection formatCells="0" formatColumns="0" formatRows="0" sort="0" autoFilter="0" pivotTables="0"/>
  <mergeCells count="1">
    <mergeCell ref="B2:G3"/>
  </mergeCells>
  <pageMargins left="0.511811024" right="0.511811024" top="0.78740157499999996" bottom="0.78740157499999996" header="0.31496062000000002" footer="0.31496062000000002"/>
  <pageSetup paperSize="9" orientation="portrait" r:id="rId1"/>
  <drawing r:id="rId2"/>
  <legacyDrawing r:id="rId3"/>
  <picture r:id="rId4"/>
  <controls>
    <mc:AlternateContent xmlns:mc="http://schemas.openxmlformats.org/markup-compatibility/2006">
      <mc:Choice Requires="x14">
        <control shapeId="1030" r:id="rId5" name="ChBoxDicas">
          <controlPr defaultSize="0" autoLine="0" r:id="rId6">
            <anchor>
              <from>
                <xdr:col>5</xdr:col>
                <xdr:colOff>1543050</xdr:colOff>
                <xdr:row>3</xdr:row>
                <xdr:rowOff>57150</xdr:rowOff>
              </from>
              <to>
                <xdr:col>6</xdr:col>
                <xdr:colOff>38100</xdr:colOff>
                <xdr:row>4</xdr:row>
                <xdr:rowOff>133350</xdr:rowOff>
              </to>
            </anchor>
          </controlPr>
        </control>
      </mc:Choice>
      <mc:Fallback>
        <control shapeId="1030" r:id="rId5" name="ChBoxDic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Titular">
    <tabColor theme="8" tint="0.39997558519241921"/>
  </sheetPr>
  <dimension ref="B1:C3"/>
  <sheetViews>
    <sheetView showGridLines="0" showRowColHeaders="0" workbookViewId="0">
      <pane ySplit="2" topLeftCell="A3" activePane="bottomLeft" state="frozen"/>
      <selection activeCell="B2" sqref="B2:G3"/>
      <selection pane="bottomLeft" activeCell="C5" sqref="C5"/>
    </sheetView>
  </sheetViews>
  <sheetFormatPr defaultColWidth="9.140625" defaultRowHeight="15" x14ac:dyDescent="0.25"/>
  <cols>
    <col min="1" max="1" width="1.7109375" style="5" customWidth="1"/>
    <col min="2" max="2" width="7" style="6" hidden="1" customWidth="1"/>
    <col min="3" max="3" width="40.140625" style="5" customWidth="1"/>
    <col min="4" max="16384" width="9.140625" style="5"/>
  </cols>
  <sheetData>
    <row r="1" spans="2:3" ht="3.75" customHeight="1" x14ac:dyDescent="0.25"/>
    <row r="2" spans="2:3" s="4" customFormat="1" ht="30" customHeight="1" thickBot="1" x14ac:dyDescent="0.3">
      <c r="B2" s="16" t="s">
        <v>4</v>
      </c>
      <c r="C2" s="37" t="s">
        <v>14</v>
      </c>
    </row>
    <row r="3" spans="2:3" ht="0.75" customHeight="1" x14ac:dyDescent="0.25">
      <c r="B3" s="5"/>
    </row>
  </sheetData>
  <sheetProtection formatCells="0" formatColumns="0" formatRows="0" sort="0" autoFilter="0" pivotTables="0"/>
  <autoFilter ref="B2:C3" xr:uid="{00D7E7A6-C411-4A43-B42C-16F23CF22F92}"/>
  <sortState ref="B4:C5">
    <sortCondition ref="C4"/>
  </sortState>
  <conditionalFormatting sqref="C4:C64946 B4:B64945">
    <cfRule type="expression" dxfId="354" priority="2">
      <formula>$B4&lt;&gt;""</formula>
    </cfRule>
  </conditionalFormatting>
  <dataValidations disablePrompts="1" count="1">
    <dataValidation allowBlank="1" showInputMessage="1" showErrorMessage="1" sqref="B3:F3 G2:G3" xr:uid="{00000000-0002-0000-0100-000000000000}"/>
  </dataValidation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_CliFor">
    <tabColor theme="7" tint="0.59999389629810485"/>
  </sheetPr>
  <dimension ref="B1:M3"/>
  <sheetViews>
    <sheetView showGridLines="0" showRowColHeaders="0" zoomScale="85" zoomScaleNormal="85" workbookViewId="0">
      <pane ySplit="3" topLeftCell="A4" activePane="bottomLeft" state="frozen"/>
      <selection pane="bottomLeft" activeCell="B4" sqref="B4:M12"/>
    </sheetView>
  </sheetViews>
  <sheetFormatPr defaultColWidth="9.140625" defaultRowHeight="15" x14ac:dyDescent="0.25"/>
  <cols>
    <col min="1" max="1" width="0.5703125" style="5" customWidth="1"/>
    <col min="2" max="2" width="7" style="6" customWidth="1"/>
    <col min="3" max="3" width="41.7109375" style="5" customWidth="1"/>
    <col min="4" max="4" width="23.28515625" style="6" customWidth="1"/>
    <col min="5" max="5" width="24.85546875" style="6" customWidth="1"/>
    <col min="6" max="6" width="34.28515625" style="5" customWidth="1"/>
    <col min="7" max="7" width="14.28515625" style="5" customWidth="1"/>
    <col min="8" max="8" width="18.85546875" style="5" customWidth="1"/>
    <col min="9" max="9" width="12.85546875" style="5" bestFit="1" customWidth="1"/>
    <col min="10" max="10" width="27.7109375" style="5" customWidth="1"/>
    <col min="11" max="11" width="15.28515625" style="5" bestFit="1" customWidth="1"/>
    <col min="12" max="12" width="19.7109375" style="5" customWidth="1"/>
    <col min="13" max="13" width="5.85546875" style="5" bestFit="1" customWidth="1"/>
    <col min="14" max="16384" width="9.140625" style="5"/>
  </cols>
  <sheetData>
    <row r="1" spans="2:13" ht="3" customHeight="1" x14ac:dyDescent="0.25"/>
    <row r="2" spans="2:13" s="4" customFormat="1" ht="31.5" customHeight="1" thickBot="1" x14ac:dyDescent="0.3">
      <c r="B2" s="23" t="s">
        <v>4</v>
      </c>
      <c r="C2" s="23" t="s">
        <v>31</v>
      </c>
      <c r="D2" s="23" t="s">
        <v>32</v>
      </c>
      <c r="E2" s="23" t="s">
        <v>42</v>
      </c>
      <c r="F2" s="23" t="s">
        <v>33</v>
      </c>
      <c r="G2" s="23" t="s">
        <v>34</v>
      </c>
      <c r="H2" s="23" t="s">
        <v>36</v>
      </c>
      <c r="I2" s="23" t="s">
        <v>35</v>
      </c>
      <c r="J2" s="23" t="s">
        <v>37</v>
      </c>
      <c r="K2" s="23" t="s">
        <v>38</v>
      </c>
      <c r="L2" s="23" t="s">
        <v>39</v>
      </c>
      <c r="M2" s="23" t="s">
        <v>40</v>
      </c>
    </row>
    <row r="3" spans="2:13" ht="2.25" customHeight="1" x14ac:dyDescent="0.25">
      <c r="B3" s="5"/>
      <c r="D3" s="5"/>
      <c r="E3" s="5"/>
    </row>
  </sheetData>
  <sheetProtection formatCells="0" formatColumns="0" formatRows="0" sort="0" autoFilter="0" pivotTables="0"/>
  <autoFilter ref="B2:M3" xr:uid="{89096624-5FEF-40A0-8BA4-377FFF2E363F}"/>
  <sortState ref="B4:M12">
    <sortCondition ref="C4"/>
  </sortState>
  <conditionalFormatting sqref="B4:M20">
    <cfRule type="expression" dxfId="353" priority="142">
      <formula>$B4&lt;&gt;""</formula>
    </cfRule>
  </conditionalFormatting>
  <conditionalFormatting sqref="B4:M4">
    <cfRule type="expression" dxfId="352" priority="31">
      <formula>$B4&lt;&gt;""</formula>
    </cfRule>
    <cfRule type="expression" dxfId="351" priority="32">
      <formula>$B4&lt;&gt;""</formula>
    </cfRule>
    <cfRule type="expression" dxfId="350" priority="33">
      <formula>$B4&lt;&gt;""</formula>
    </cfRule>
    <cfRule type="expression" dxfId="349" priority="43">
      <formula>$B4&lt;&gt;""</formula>
    </cfRule>
    <cfRule type="expression" dxfId="348" priority="44">
      <formula>$B4&lt;&gt;""</formula>
    </cfRule>
    <cfRule type="expression" dxfId="347" priority="45">
      <formula>$B4&lt;&gt;""</formula>
    </cfRule>
    <cfRule type="expression" dxfId="346" priority="47">
      <formula>$B4&lt;&gt;""</formula>
    </cfRule>
    <cfRule type="expression" dxfId="345" priority="48">
      <formula>$B4&lt;&gt;""</formula>
    </cfRule>
    <cfRule type="expression" dxfId="344" priority="49">
      <formula>$B4&lt;&gt;""</formula>
    </cfRule>
    <cfRule type="expression" dxfId="343" priority="50">
      <formula>$B4&lt;&gt;""</formula>
    </cfRule>
    <cfRule type="expression" dxfId="342" priority="51">
      <formula>$B4&lt;&gt;""</formula>
    </cfRule>
    <cfRule type="expression" dxfId="341" priority="59">
      <formula>$B4&lt;&gt;""</formula>
    </cfRule>
    <cfRule type="expression" dxfId="340" priority="60">
      <formula>$B4&lt;&gt;""</formula>
    </cfRule>
    <cfRule type="expression" dxfId="339" priority="61">
      <formula>$B4&lt;&gt;""</formula>
    </cfRule>
    <cfRule type="expression" dxfId="338" priority="62">
      <formula>$B4&lt;&gt;""</formula>
    </cfRule>
    <cfRule type="expression" dxfId="337" priority="63">
      <formula>$B4&lt;&gt;""</formula>
    </cfRule>
    <cfRule type="expression" dxfId="336" priority="64">
      <formula>$B4&lt;&gt;""</formula>
    </cfRule>
    <cfRule type="expression" dxfId="335" priority="66">
      <formula>$B4&lt;&gt;""</formula>
    </cfRule>
    <cfRule type="expression" dxfId="334" priority="67">
      <formula>$B4&lt;&gt;""</formula>
    </cfRule>
    <cfRule type="expression" dxfId="333" priority="68">
      <formula>$B4&lt;&gt;""</formula>
    </cfRule>
    <cfRule type="expression" dxfId="332" priority="69">
      <formula>$B4&lt;&gt;""</formula>
    </cfRule>
    <cfRule type="expression" dxfId="331" priority="70">
      <formula>$B4&lt;&gt;""</formula>
    </cfRule>
    <cfRule type="expression" dxfId="330" priority="71">
      <formula>$B4&lt;&gt;""</formula>
    </cfRule>
    <cfRule type="expression" dxfId="329" priority="72">
      <formula>$B4&lt;&gt;""</formula>
    </cfRule>
    <cfRule type="expression" dxfId="328" priority="80">
      <formula>$B4&lt;&gt;""</formula>
    </cfRule>
    <cfRule type="expression" dxfId="327" priority="81">
      <formula>$B4&lt;&gt;""</formula>
    </cfRule>
    <cfRule type="expression" dxfId="326" priority="82">
      <formula>$B4&lt;&gt;""</formula>
    </cfRule>
    <cfRule type="expression" dxfId="325" priority="90">
      <formula>$B4&lt;&gt;""</formula>
    </cfRule>
    <cfRule type="expression" dxfId="324" priority="91">
      <formula>$B4&lt;&gt;""</formula>
    </cfRule>
    <cfRule type="expression" dxfId="323" priority="92">
      <formula>$B4&lt;&gt;""</formula>
    </cfRule>
    <cfRule type="expression" dxfId="322" priority="93">
      <formula>$B4&lt;&gt;""</formula>
    </cfRule>
    <cfRule type="expression" dxfId="321" priority="94">
      <formula>$B4&lt;&gt;""</formula>
    </cfRule>
    <cfRule type="expression" dxfId="320" priority="95">
      <formula>$B4&lt;&gt;""</formula>
    </cfRule>
    <cfRule type="expression" dxfId="319" priority="101">
      <formula>$B4&lt;&gt;""</formula>
    </cfRule>
    <cfRule type="expression" dxfId="318" priority="102">
      <formula>$B4&lt;&gt;""</formula>
    </cfRule>
    <cfRule type="expression" dxfId="317" priority="103">
      <formula>$B4&lt;&gt;""</formula>
    </cfRule>
    <cfRule type="expression" dxfId="316" priority="104">
      <formula>$B4&lt;&gt;""</formula>
    </cfRule>
    <cfRule type="expression" dxfId="315" priority="105">
      <formula>$B4&lt;&gt;""</formula>
    </cfRule>
    <cfRule type="expression" dxfId="314" priority="113">
      <formula>$B4&lt;&gt;""</formula>
    </cfRule>
    <cfRule type="expression" dxfId="313" priority="114">
      <formula>$B4&lt;&gt;""</formula>
    </cfRule>
    <cfRule type="expression" dxfId="312" priority="115">
      <formula>$B4&lt;&gt;""</formula>
    </cfRule>
    <cfRule type="expression" dxfId="311" priority="116">
      <formula>$B4&lt;&gt;""</formula>
    </cfRule>
    <cfRule type="expression" dxfId="310" priority="117">
      <formula>$B4&lt;&gt;""</formula>
    </cfRule>
    <cfRule type="expression" dxfId="309" priority="118">
      <formula>$B4&lt;&gt;""</formula>
    </cfRule>
    <cfRule type="expression" dxfId="308" priority="119">
      <formula>$B4&lt;&gt;""</formula>
    </cfRule>
    <cfRule type="expression" dxfId="307" priority="120">
      <formula>$B4&lt;&gt;""</formula>
    </cfRule>
    <cfRule type="expression" dxfId="306" priority="122">
      <formula>$B4&lt;&gt;""</formula>
    </cfRule>
    <cfRule type="expression" dxfId="305" priority="123">
      <formula>$B4&lt;&gt;""</formula>
    </cfRule>
    <cfRule type="expression" dxfId="304" priority="124">
      <formula>$B4&lt;&gt;""</formula>
    </cfRule>
    <cfRule type="expression" dxfId="303" priority="133">
      <formula>$B4&lt;&gt;""</formula>
    </cfRule>
    <cfRule type="expression" dxfId="302" priority="134">
      <formula>$B4&lt;&gt;""</formula>
    </cfRule>
    <cfRule type="expression" dxfId="301" priority="135">
      <formula>$B4&lt;&gt;""</formula>
    </cfRule>
    <cfRule type="expression" dxfId="300" priority="136">
      <formula>$B4&lt;&gt;""</formula>
    </cfRule>
    <cfRule type="expression" dxfId="299" priority="137">
      <formula>$B4&lt;&gt;""</formula>
    </cfRule>
    <cfRule type="expression" dxfId="298" priority="138">
      <formula>$B4&lt;&gt;""</formula>
    </cfRule>
    <cfRule type="expression" dxfId="297" priority="139">
      <formula>$B4&lt;&gt;""</formula>
    </cfRule>
    <cfRule type="expression" dxfId="296" priority="19">
      <formula>$B4&lt;&gt;""</formula>
    </cfRule>
    <cfRule type="expression" dxfId="295" priority="18">
      <formula>$B4&lt;&gt;""</formula>
    </cfRule>
    <cfRule type="expression" dxfId="294" priority="17">
      <formula>$B4&lt;&gt;""</formula>
    </cfRule>
    <cfRule type="expression" dxfId="293" priority="16">
      <formula>$B4&lt;&gt;""</formula>
    </cfRule>
  </conditionalFormatting>
  <conditionalFormatting sqref="B4:M5">
    <cfRule type="expression" dxfId="292" priority="29">
      <formula>$B4&lt;&gt;""</formula>
    </cfRule>
    <cfRule type="expression" dxfId="291" priority="30">
      <formula>$B4&lt;&gt;""</formula>
    </cfRule>
    <cfRule type="expression" dxfId="290" priority="41">
      <formula>$B4&lt;&gt;""</formula>
    </cfRule>
    <cfRule type="expression" dxfId="289" priority="42">
      <formula>$B4&lt;&gt;""</formula>
    </cfRule>
    <cfRule type="expression" dxfId="288" priority="46">
      <formula>$B4&lt;&gt;""</formula>
    </cfRule>
    <cfRule type="expression" dxfId="287" priority="57">
      <formula>$B4&lt;&gt;""</formula>
    </cfRule>
    <cfRule type="expression" dxfId="286" priority="58">
      <formula>$B4&lt;&gt;""</formula>
    </cfRule>
    <cfRule type="expression" dxfId="285" priority="65">
      <formula>$B4&lt;&gt;""</formula>
    </cfRule>
    <cfRule type="expression" dxfId="284" priority="78">
      <formula>$B4&lt;&gt;""</formula>
    </cfRule>
    <cfRule type="expression" dxfId="283" priority="79">
      <formula>$B4&lt;&gt;""</formula>
    </cfRule>
    <cfRule type="expression" dxfId="282" priority="88">
      <formula>$B4&lt;&gt;""</formula>
    </cfRule>
    <cfRule type="expression" dxfId="281" priority="89">
      <formula>$B4&lt;&gt;""</formula>
    </cfRule>
    <cfRule type="expression" dxfId="280" priority="99">
      <formula>$B4&lt;&gt;""</formula>
    </cfRule>
    <cfRule type="expression" dxfId="279" priority="100">
      <formula>$B4&lt;&gt;""</formula>
    </cfRule>
    <cfRule type="expression" dxfId="278" priority="111">
      <formula>$B4&lt;&gt;""</formula>
    </cfRule>
    <cfRule type="expression" dxfId="277" priority="112">
      <formula>$B4&lt;&gt;""</formula>
    </cfRule>
    <cfRule type="expression" dxfId="276" priority="131">
      <formula>$B4&lt;&gt;""</formula>
    </cfRule>
    <cfRule type="expression" dxfId="275" priority="132">
      <formula>$B4&lt;&gt;""</formula>
    </cfRule>
    <cfRule type="expression" dxfId="274" priority="15">
      <formula>$B4&lt;&gt;""</formula>
    </cfRule>
    <cfRule type="expression" dxfId="273" priority="14">
      <formula>$B4&lt;&gt;""</formula>
    </cfRule>
  </conditionalFormatting>
  <conditionalFormatting sqref="B4:M6">
    <cfRule type="expression" dxfId="126" priority="28">
      <formula>$B4&lt;&gt;""</formula>
    </cfRule>
    <cfRule type="expression" dxfId="125" priority="40">
      <formula>$B4&lt;&gt;""</formula>
    </cfRule>
    <cfRule type="expression" dxfId="124" priority="56">
      <formula>$B4&lt;&gt;""</formula>
    </cfRule>
    <cfRule type="expression" dxfId="123" priority="77">
      <formula>$B4&lt;&gt;""</formula>
    </cfRule>
    <cfRule type="expression" dxfId="122" priority="87">
      <formula>$B4&lt;&gt;""</formula>
    </cfRule>
    <cfRule type="expression" dxfId="121" priority="98">
      <formula>$B4&lt;&gt;""</formula>
    </cfRule>
    <cfRule type="expression" dxfId="120" priority="109">
      <formula>$B4&lt;&gt;""</formula>
    </cfRule>
    <cfRule type="expression" dxfId="119" priority="110">
      <formula>$B4&lt;&gt;""</formula>
    </cfRule>
    <cfRule type="expression" dxfId="118" priority="127">
      <formula>$B4&lt;&gt;""</formula>
    </cfRule>
    <cfRule type="expression" dxfId="117" priority="129">
      <formula>$B4&lt;&gt;""</formula>
    </cfRule>
    <cfRule type="expression" dxfId="116" priority="130">
      <formula>$B4&lt;&gt;""</formula>
    </cfRule>
    <cfRule type="expression" dxfId="115" priority="13">
      <formula>$B4&lt;&gt;""</formula>
    </cfRule>
    <cfRule type="expression" dxfId="114" priority="12">
      <formula>$B4&lt;&gt;""</formula>
    </cfRule>
  </conditionalFormatting>
  <conditionalFormatting sqref="B4:M6">
    <cfRule type="expression" dxfId="272" priority="27">
      <formula>$B4&lt;&gt;""</formula>
    </cfRule>
    <cfRule type="expression" dxfId="271" priority="39">
      <formula>$B4&lt;&gt;""</formula>
    </cfRule>
    <cfRule type="expression" dxfId="270" priority="55">
      <formula>$B4&lt;&gt;""</formula>
    </cfRule>
    <cfRule type="expression" dxfId="269" priority="76">
      <formula>$B4&lt;&gt;""</formula>
    </cfRule>
    <cfRule type="expression" dxfId="268" priority="86">
      <formula>$B4&lt;&gt;""</formula>
    </cfRule>
    <cfRule type="expression" dxfId="267" priority="97">
      <formula>$B4&lt;&gt;""</formula>
    </cfRule>
    <cfRule type="expression" dxfId="266" priority="126">
      <formula>$B4&lt;&gt;""</formula>
    </cfRule>
    <cfRule type="expression" dxfId="265" priority="128">
      <formula>$B4&lt;&gt;""</formula>
    </cfRule>
  </conditionalFormatting>
  <conditionalFormatting sqref="B4:M8">
    <cfRule type="expression" dxfId="71" priority="23">
      <formula>$B4&lt;&gt;""</formula>
    </cfRule>
    <cfRule type="expression" dxfId="70" priority="24">
      <formula>$B4&lt;&gt;""</formula>
    </cfRule>
    <cfRule type="expression" dxfId="69" priority="35">
      <formula>$B4&lt;&gt;""</formula>
    </cfRule>
    <cfRule type="expression" dxfId="68" priority="36">
      <formula>$B4&lt;&gt;""</formula>
    </cfRule>
    <cfRule type="expression" dxfId="67" priority="52">
      <formula>$B4&lt;&gt;""</formula>
    </cfRule>
    <cfRule type="expression" dxfId="66" priority="73">
      <formula>$B4&lt;&gt;""</formula>
    </cfRule>
    <cfRule type="expression" dxfId="65" priority="83">
      <formula>$B4&lt;&gt;""</formula>
    </cfRule>
    <cfRule type="expression" dxfId="64" priority="106">
      <formula>$B4&lt;&gt;""</formula>
    </cfRule>
    <cfRule type="expression" dxfId="63" priority="125">
      <formula>$B4&lt;&gt;""</formula>
    </cfRule>
    <cfRule type="expression" dxfId="62" priority="9">
      <formula>$B4&lt;&gt;""</formula>
    </cfRule>
    <cfRule type="expression" dxfId="61" priority="8">
      <formula>$B4&lt;&gt;""</formula>
    </cfRule>
  </conditionalFormatting>
  <conditionalFormatting sqref="B4:M7">
    <cfRule type="expression" dxfId="100" priority="25">
      <formula>$B4&lt;&gt;""</formula>
    </cfRule>
    <cfRule type="expression" dxfId="99" priority="26">
      <formula>$B4&lt;&gt;""</formula>
    </cfRule>
    <cfRule type="expression" dxfId="98" priority="37">
      <formula>$B4&lt;&gt;""</formula>
    </cfRule>
    <cfRule type="expression" dxfId="97" priority="38">
      <formula>$B4&lt;&gt;""</formula>
    </cfRule>
    <cfRule type="expression" dxfId="96" priority="53">
      <formula>$B4&lt;&gt;""</formula>
    </cfRule>
    <cfRule type="expression" dxfId="95" priority="54">
      <formula>$B4&lt;&gt;""</formula>
    </cfRule>
    <cfRule type="expression" dxfId="94" priority="74">
      <formula>$B4&lt;&gt;""</formula>
    </cfRule>
    <cfRule type="expression" dxfId="93" priority="75">
      <formula>$B4&lt;&gt;""</formula>
    </cfRule>
    <cfRule type="expression" dxfId="92" priority="84">
      <formula>$B4&lt;&gt;""</formula>
    </cfRule>
    <cfRule type="expression" dxfId="91" priority="85">
      <formula>$B4&lt;&gt;""</formula>
    </cfRule>
    <cfRule type="expression" dxfId="90" priority="96">
      <formula>$B4&lt;&gt;""</formula>
    </cfRule>
    <cfRule type="expression" dxfId="89" priority="107">
      <formula>$B4&lt;&gt;""</formula>
    </cfRule>
    <cfRule type="expression" dxfId="88" priority="108">
      <formula>$B4&lt;&gt;""</formula>
    </cfRule>
    <cfRule type="expression" dxfId="87" priority="121">
      <formula>$B4&lt;&gt;""</formula>
    </cfRule>
    <cfRule type="expression" dxfId="86" priority="11">
      <formula>$B4&lt;&gt;""</formula>
    </cfRule>
    <cfRule type="expression" dxfId="85" priority="10">
      <formula>$B4&lt;&gt;""</formula>
    </cfRule>
  </conditionalFormatting>
  <conditionalFormatting sqref="B4:M9">
    <cfRule type="expression" dxfId="48" priority="21">
      <formula>$B4&lt;&gt;""</formula>
    </cfRule>
    <cfRule type="expression" dxfId="47" priority="22">
      <formula>$B4&lt;&gt;""</formula>
    </cfRule>
    <cfRule type="expression" dxfId="46" priority="34">
      <formula>$B4&lt;&gt;""</formula>
    </cfRule>
    <cfRule type="expression" dxfId="45" priority="7">
      <formula>$B4&lt;&gt;""</formula>
    </cfRule>
    <cfRule type="expression" dxfId="44" priority="6">
      <formula>$B4&lt;&gt;""</formula>
    </cfRule>
  </conditionalFormatting>
  <conditionalFormatting sqref="B4:M10">
    <cfRule type="expression" dxfId="43" priority="20">
      <formula>$B4&lt;&gt;""</formula>
    </cfRule>
    <cfRule type="expression" dxfId="42" priority="5">
      <formula>$B4&lt;&gt;""</formula>
    </cfRule>
    <cfRule type="expression" dxfId="41" priority="4">
      <formula>$B4&lt;&gt;""</formula>
    </cfRule>
  </conditionalFormatting>
  <conditionalFormatting sqref="B4:M11">
    <cfRule type="expression" dxfId="27" priority="3">
      <formula>$B4&lt;&gt;""</formula>
    </cfRule>
    <cfRule type="expression" dxfId="26" priority="2">
      <formula>$B4&lt;&gt;""</formula>
    </cfRule>
  </conditionalFormatting>
  <conditionalFormatting sqref="B4:M12">
    <cfRule type="expression" dxfId="25" priority="1">
      <formula>$B4&lt;&gt;""</formula>
    </cfRule>
  </conditionalFormatting>
  <dataValidations count="1">
    <dataValidation allowBlank="1" showInputMessage="1" showErrorMessage="1" sqref="B3:C3 F3:G3 F2:K2 D1:E1048576" xr:uid="{00000000-0002-0000-0200-000000000000}"/>
  </dataValidation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_CentroCustos">
    <tabColor theme="7" tint="-0.249977111117893"/>
  </sheetPr>
  <dimension ref="B1:C3"/>
  <sheetViews>
    <sheetView showGridLines="0" showRowColHeaders="0" zoomScaleNormal="100" workbookViewId="0">
      <pane ySplit="3" topLeftCell="A4" activePane="bottomLeft" state="frozen"/>
      <selection activeCell="E14" sqref="E14"/>
      <selection pane="bottomLeft" activeCell="C5" sqref="C5"/>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14" t="s">
        <v>4</v>
      </c>
      <c r="C2" s="14" t="s">
        <v>6</v>
      </c>
    </row>
    <row r="3" spans="2:3" ht="0.75" customHeight="1" x14ac:dyDescent="0.25">
      <c r="B3" s="5"/>
    </row>
  </sheetData>
  <sheetProtection formatCells="0" formatColumns="0" formatRows="0" sort="0" autoFilter="0" pivotTables="0"/>
  <autoFilter ref="B2:C3" xr:uid="{00000000-0009-0000-0000-000003000000}"/>
  <sortState ref="B4:C5">
    <sortCondition ref="C4"/>
  </sortState>
  <conditionalFormatting sqref="C4:C64924 B4:B64923">
    <cfRule type="expression" dxfId="264" priority="1">
      <formula>$B4&lt;&gt;""</formula>
    </cfRule>
  </conditionalFormatting>
  <dataValidations count="1">
    <dataValidation allowBlank="1" showInputMessage="1" showErrorMessage="1" sqref="B3:F3 G2:G3" xr:uid="{00000000-0002-0000-0300-000000000000}"/>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E03C-733D-4064-B84B-F0D990CCBC5E}">
  <sheetPr codeName="Sht_GrupoContas">
    <tabColor theme="5" tint="0.39997558519241921"/>
  </sheetPr>
  <dimension ref="B1:C3"/>
  <sheetViews>
    <sheetView showGridLines="0" showRowColHeaders="0" zoomScaleNormal="100" workbookViewId="0">
      <pane ySplit="3" topLeftCell="A4" activePane="bottomLeft" state="frozen"/>
      <selection activeCell="E14" sqref="E14"/>
      <selection pane="bottomLeft" activeCell="C6" sqref="C6"/>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64" t="s">
        <v>4</v>
      </c>
      <c r="C2" s="64" t="s">
        <v>110</v>
      </c>
    </row>
    <row r="3" spans="2:3" ht="0.75" customHeight="1" x14ac:dyDescent="0.25">
      <c r="B3" s="5"/>
    </row>
  </sheetData>
  <sheetProtection formatCells="0" formatColumns="0" formatRows="0" sort="0" autoFilter="0" pivotTables="0"/>
  <autoFilter ref="B2:C3" xr:uid="{00000000-0009-0000-0000-000003000000}"/>
  <sortState ref="B4:C6">
    <sortCondition ref="C4"/>
  </sortState>
  <conditionalFormatting sqref="C4:C64913 B4:B64912">
    <cfRule type="expression" dxfId="263" priority="1">
      <formula>$B4&lt;&gt;""</formula>
    </cfRule>
  </conditionalFormatting>
  <dataValidations count="1">
    <dataValidation allowBlank="1" showInputMessage="1" showErrorMessage="1" sqref="B3:F3 G2:G3" xr:uid="{FB549F83-1776-4038-8FE2-B2808D94B626}"/>
  </dataValidation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PlanoContas">
    <tabColor theme="1" tint="0.249977111117893"/>
  </sheetPr>
  <dimension ref="B1:G3"/>
  <sheetViews>
    <sheetView showGridLines="0" showRowColHeaders="0" zoomScaleNormal="100" workbookViewId="0">
      <pane ySplit="3" topLeftCell="A4" activePane="bottomLeft" state="frozen"/>
      <selection activeCell="D26" sqref="D26"/>
      <selection pane="bottomLeft" activeCell="C9" sqref="C9"/>
    </sheetView>
  </sheetViews>
  <sheetFormatPr defaultRowHeight="15" x14ac:dyDescent="0.25"/>
  <cols>
    <col min="1" max="1" width="1.7109375" style="5" customWidth="1"/>
    <col min="2" max="2" width="7" style="6" hidden="1" customWidth="1"/>
    <col min="3" max="3" width="39.42578125" style="5" customWidth="1"/>
    <col min="4" max="5" width="29.140625" style="49" customWidth="1"/>
    <col min="6" max="6" width="19" style="6" bestFit="1" customWidth="1"/>
    <col min="7" max="7" width="9.140625" style="6" hidden="1" customWidth="1"/>
    <col min="8" max="16384" width="9.140625" style="5"/>
  </cols>
  <sheetData>
    <row r="1" spans="2:7" ht="3.75" customHeight="1" x14ac:dyDescent="0.25"/>
    <row r="2" spans="2:7" s="4" customFormat="1" ht="25.5" customHeight="1" thickBot="1" x14ac:dyDescent="0.3">
      <c r="B2" s="36" t="s">
        <v>4</v>
      </c>
      <c r="C2" s="36" t="s">
        <v>0</v>
      </c>
      <c r="D2" s="36" t="s">
        <v>46</v>
      </c>
      <c r="E2" s="36" t="s">
        <v>111</v>
      </c>
      <c r="F2" s="36" t="s">
        <v>70</v>
      </c>
      <c r="G2" s="36" t="s">
        <v>113</v>
      </c>
    </row>
    <row r="3" spans="2:7" ht="0.75" customHeight="1" x14ac:dyDescent="0.25">
      <c r="B3" s="5"/>
      <c r="F3" s="5"/>
    </row>
  </sheetData>
  <sheetProtection formatCells="0" formatColumns="0" formatRows="0" sort="0" autoFilter="0" pivotTables="0"/>
  <autoFilter ref="B2:F3" xr:uid="{00000000-0009-0000-0000-000004000000}"/>
  <sortState ref="B4:G9">
    <sortCondition ref="C4"/>
  </sortState>
  <conditionalFormatting sqref="B22:E128">
    <cfRule type="expression" dxfId="262" priority="13">
      <formula>$D22="DESPESAS"</formula>
    </cfRule>
    <cfRule type="expression" dxfId="261" priority="14">
      <formula>$D22="RECEITAS"</formula>
    </cfRule>
  </conditionalFormatting>
  <conditionalFormatting sqref="F22:F128">
    <cfRule type="expression" dxfId="260" priority="4">
      <formula>$D22="DESPESAS"</formula>
    </cfRule>
    <cfRule type="expression" dxfId="259" priority="5">
      <formula>$D22="RECEITAS"</formula>
    </cfRule>
  </conditionalFormatting>
  <conditionalFormatting sqref="B4:G972">
    <cfRule type="expression" dxfId="258" priority="1">
      <formula>$D4="PAGAMENTOS"</formula>
    </cfRule>
    <cfRule type="expression" dxfId="257" priority="2">
      <formula>$D4="RECEBIMENTOS"</formula>
    </cfRule>
    <cfRule type="expression" dxfId="256" priority="16">
      <formula>$B4&lt;&gt;""</formula>
    </cfRule>
  </conditionalFormatting>
  <dataValidations count="1">
    <dataValidation allowBlank="1" showInputMessage="1" showErrorMessage="1" sqref="B3:C3 G3:H3 D1:F1048576" xr:uid="{00000000-0002-0000-04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_CCorrente">
    <tabColor rgb="FF66FF33"/>
  </sheetPr>
  <dimension ref="B1:E3"/>
  <sheetViews>
    <sheetView showGridLines="0" showRowColHeaders="0" workbookViewId="0">
      <pane ySplit="2" topLeftCell="A3" activePane="bottomLeft" state="frozen"/>
      <selection pane="bottomLeft" activeCell="C4" sqref="C4"/>
    </sheetView>
  </sheetViews>
  <sheetFormatPr defaultColWidth="9.140625" defaultRowHeight="15" x14ac:dyDescent="0.25"/>
  <cols>
    <col min="1" max="1" width="1.7109375" style="5" customWidth="1"/>
    <col min="2" max="2" width="7" style="6" hidden="1" customWidth="1"/>
    <col min="3" max="3" width="40.140625" style="5" customWidth="1"/>
    <col min="4" max="4" width="25" style="5" customWidth="1"/>
    <col min="5" max="5" width="18.7109375" style="62" bestFit="1" customWidth="1"/>
    <col min="6" max="16384" width="9.140625" style="5"/>
  </cols>
  <sheetData>
    <row r="1" spans="2:5" ht="3" customHeight="1" x14ac:dyDescent="0.25"/>
    <row r="2" spans="2:5" s="4" customFormat="1" ht="30" customHeight="1" x14ac:dyDescent="0.25">
      <c r="B2" s="61" t="s">
        <v>4</v>
      </c>
      <c r="C2" s="61" t="s">
        <v>7</v>
      </c>
      <c r="D2" s="61" t="s">
        <v>17</v>
      </c>
      <c r="E2" s="61" t="s">
        <v>105</v>
      </c>
    </row>
    <row r="3" spans="2:5" ht="0.75" customHeight="1" x14ac:dyDescent="0.25">
      <c r="B3" s="5"/>
    </row>
  </sheetData>
  <sheetProtection formatCells="0" formatColumns="0" formatRows="0" sort="0" autoFilter="0" pivotTables="0"/>
  <sortState ref="B4:E4">
    <sortCondition ref="C4"/>
  </sortState>
  <conditionalFormatting sqref="B4:E64965">
    <cfRule type="expression" dxfId="255" priority="3">
      <formula>$B4&lt;&gt;""</formula>
    </cfRule>
  </conditionalFormatting>
  <dataValidations count="1">
    <dataValidation allowBlank="1" showInputMessage="1" showErrorMessage="1" sqref="F2:F3 B3:E3" xr:uid="{00000000-0002-0000-0500-000000000000}"/>
  </dataValidation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_Insumos">
    <tabColor theme="1" tint="0.249977111117893"/>
  </sheetPr>
  <dimension ref="B1:G3"/>
  <sheetViews>
    <sheetView showGridLines="0" showRowColHeaders="0" zoomScaleNormal="100" workbookViewId="0">
      <pane ySplit="3" topLeftCell="A4" activePane="bottomLeft" state="frozen"/>
      <selection activeCell="E14" sqref="E14"/>
      <selection pane="bottomLeft" activeCell="C4" sqref="C4"/>
    </sheetView>
  </sheetViews>
  <sheetFormatPr defaultRowHeight="15" x14ac:dyDescent="0.25"/>
  <cols>
    <col min="1" max="1" width="1.7109375" style="5" customWidth="1"/>
    <col min="2" max="2" width="8" style="6" hidden="1" customWidth="1"/>
    <col min="3" max="3" width="49" style="5" customWidth="1"/>
    <col min="4" max="4" width="21.85546875" style="49" customWidth="1"/>
    <col min="5" max="5" width="18.5703125" style="49" customWidth="1"/>
    <col min="6" max="6" width="21.85546875" style="49" customWidth="1"/>
    <col min="7" max="7" width="19" style="49" customWidth="1"/>
    <col min="8" max="16384" width="9.140625" style="5"/>
  </cols>
  <sheetData>
    <row r="1" spans="2:7" ht="3.75" customHeight="1" x14ac:dyDescent="0.25"/>
    <row r="2" spans="2:7" s="4" customFormat="1" ht="27" customHeight="1" thickBot="1" x14ac:dyDescent="0.3">
      <c r="B2" s="48" t="s">
        <v>4</v>
      </c>
      <c r="C2" s="48" t="s">
        <v>101</v>
      </c>
      <c r="D2" s="48" t="s">
        <v>71</v>
      </c>
      <c r="E2" s="48" t="s">
        <v>73</v>
      </c>
      <c r="F2" s="48" t="s">
        <v>74</v>
      </c>
      <c r="G2" s="48" t="s">
        <v>72</v>
      </c>
    </row>
    <row r="3" spans="2:7" ht="0.75" customHeight="1" x14ac:dyDescent="0.25">
      <c r="B3" s="5"/>
    </row>
  </sheetData>
  <sheetProtection formatCells="0" formatColumns="0" formatRows="0" sort="0" autoFilter="0" pivotTables="0"/>
  <autoFilter ref="B2:G3" xr:uid="{00000000-0009-0000-0000-000006000000}"/>
  <sortState ref="B4:C4">
    <sortCondition ref="C4"/>
  </sortState>
  <conditionalFormatting sqref="B4:F64955 G4:G62">
    <cfRule type="expression" dxfId="254" priority="17">
      <formula>$B4&lt;&gt;""</formula>
    </cfRule>
  </conditionalFormatting>
  <conditionalFormatting sqref="B63:D169">
    <cfRule type="expression" dxfId="253" priority="15">
      <formula>$D63="DESPESAS"</formula>
    </cfRule>
    <cfRule type="expression" dxfId="252" priority="16">
      <formula>$D63="RECEITAS"</formula>
    </cfRule>
  </conditionalFormatting>
  <conditionalFormatting sqref="B4:G62">
    <cfRule type="expression" dxfId="251" priority="12">
      <formula>$D4="PAGAMENTOS"</formula>
    </cfRule>
    <cfRule type="expression" dxfId="250" priority="13">
      <formula>$D4="RECEBIMENTOS"</formula>
    </cfRule>
  </conditionalFormatting>
  <conditionalFormatting sqref="G63:G169">
    <cfRule type="expression" dxfId="249" priority="9">
      <formula>$D63="DESPESAS"</formula>
    </cfRule>
    <cfRule type="expression" dxfId="248" priority="10">
      <formula>$D63="RECEITAS"</formula>
    </cfRule>
  </conditionalFormatting>
  <conditionalFormatting sqref="E63:F169">
    <cfRule type="expression" dxfId="247" priority="3">
      <formula>$D63="DESPESAS"</formula>
    </cfRule>
    <cfRule type="expression" dxfId="246" priority="4">
      <formula>$D63="RECEITAS"</formula>
    </cfRule>
  </conditionalFormatting>
  <dataValidations count="1">
    <dataValidation allowBlank="1" showInputMessage="1" showErrorMessage="1" sqref="B3:C3 H3:I3 D1:G1048576" xr:uid="{00000000-0002-0000-0600-000000000000}"/>
  </dataValidation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_Lanctos">
    <tabColor rgb="FF002060"/>
    <pageSetUpPr fitToPage="1"/>
  </sheetPr>
  <dimension ref="A1:AL3"/>
  <sheetViews>
    <sheetView showGridLines="0" showRowColHeaders="0" zoomScale="85" zoomScaleNormal="85" workbookViewId="0">
      <pane ySplit="3" topLeftCell="A4" activePane="bottomLeft" state="frozen"/>
      <selection activeCell="B2" sqref="B2:G3"/>
      <selection pane="bottomLeft" activeCell="H14" sqref="H14"/>
    </sheetView>
  </sheetViews>
  <sheetFormatPr defaultColWidth="9.140625" defaultRowHeight="15" x14ac:dyDescent="0.25"/>
  <cols>
    <col min="1" max="1" width="8.5703125" style="102" customWidth="1"/>
    <col min="2" max="5" width="10.5703125" style="103" customWidth="1"/>
    <col min="6" max="6" width="14.140625" style="104" customWidth="1"/>
    <col min="7" max="7" width="22.140625" style="39" bestFit="1" customWidth="1"/>
    <col min="8" max="8" width="18.28515625" style="24" customWidth="1"/>
    <col min="9" max="9" width="28.7109375" style="24" customWidth="1"/>
    <col min="10" max="10" width="35.140625" style="40" bestFit="1" customWidth="1"/>
    <col min="11" max="11" width="23.28515625" style="24" customWidth="1"/>
    <col min="12" max="12" width="28.140625" style="110" bestFit="1" customWidth="1"/>
    <col min="13" max="13" width="9.7109375" style="24" customWidth="1"/>
    <col min="14" max="14" width="14.140625" style="109" customWidth="1"/>
    <col min="15" max="15" width="60" style="109" customWidth="1"/>
    <col min="16" max="16" width="31.140625" style="39" customWidth="1"/>
    <col min="17" max="17" width="12.42578125" style="110" customWidth="1"/>
    <col min="18" max="18" width="10.28515625" style="111" hidden="1" customWidth="1"/>
    <col min="19" max="19" width="8.140625" style="110" hidden="1" customWidth="1"/>
    <col min="20" max="20" width="10.140625" style="110" customWidth="1"/>
    <col min="21" max="21" width="14.5703125" style="110" bestFit="1" customWidth="1"/>
    <col min="22" max="22" width="13.42578125" style="110" bestFit="1" customWidth="1"/>
    <col min="23" max="23" width="13.42578125" style="110" hidden="1" customWidth="1"/>
    <col min="24" max="24" width="11.5703125" style="110" hidden="1" customWidth="1"/>
    <col min="25" max="25" width="13.7109375" style="112" hidden="1" customWidth="1"/>
    <col min="26" max="26" width="12.7109375" style="112" hidden="1" customWidth="1"/>
    <col min="27" max="27" width="16.5703125" style="103" bestFit="1" customWidth="1"/>
    <col min="28" max="28" width="8.140625" style="110" hidden="1" customWidth="1"/>
    <col min="29" max="29" width="14.140625" style="111" bestFit="1" customWidth="1"/>
    <col min="30" max="30" width="32" style="113" customWidth="1"/>
    <col min="31" max="31" width="12.28515625" style="110" hidden="1" customWidth="1"/>
    <col min="32" max="33" width="11.7109375" style="110" hidden="1" customWidth="1"/>
    <col min="34" max="34" width="13.42578125" style="110" hidden="1" customWidth="1"/>
    <col min="35" max="35" width="14.42578125" style="110" hidden="1" customWidth="1"/>
    <col min="36" max="36" width="12.140625" style="110" hidden="1" customWidth="1"/>
    <col min="37" max="37" width="6.7109375" style="110" hidden="1" customWidth="1"/>
    <col min="38" max="38" width="11.7109375" style="103" hidden="1" customWidth="1"/>
    <col min="39" max="16384" width="9.140625" style="114"/>
  </cols>
  <sheetData>
    <row r="1" spans="1:38" hidden="1" x14ac:dyDescent="0.25">
      <c r="G1" s="105" t="e">
        <f>VLOOKUP(AH1,rng_DadosCCorrente,2,FALSE)</f>
        <v>#N/A</v>
      </c>
      <c r="H1" s="106" t="e">
        <f>VLOOKUP(AE1,rng_DadosTitular,2,FALSE)</f>
        <v>#N/A</v>
      </c>
      <c r="I1" s="105" t="e">
        <f>VLOOKUP(AI1,rng_DadosCliFor,2,FALSE)</f>
        <v>#N/A</v>
      </c>
      <c r="J1" s="107" t="e">
        <f>VLOOKUP(AG1,rng_DadosPlanoContas,2,FALSE)</f>
        <v>#N/A</v>
      </c>
      <c r="K1" s="108" t="e">
        <f>VLOOKUP(AF1,rng_DadosCentroCustos,2,FALSE)</f>
        <v>#N/A</v>
      </c>
      <c r="L1" s="105" t="e">
        <f>VLOOKUP(AG1,rng_DadosPlanoContas,3,FALSE)</f>
        <v>#N/A</v>
      </c>
      <c r="M1" s="105"/>
      <c r="AD1" s="113" t="e">
        <f>VLOOKUP(AK1,rng_DadosGrupoContas,2,FALSE)</f>
        <v>#N/A</v>
      </c>
    </row>
    <row r="2" spans="1:38" s="115" customFormat="1" ht="3.75" customHeight="1" x14ac:dyDescent="0.25">
      <c r="A2" s="110"/>
      <c r="B2" s="103"/>
      <c r="C2" s="103"/>
      <c r="D2" s="103"/>
      <c r="E2" s="103"/>
      <c r="F2" s="110"/>
      <c r="G2" s="110"/>
      <c r="H2" s="110"/>
      <c r="I2" s="110"/>
      <c r="J2" s="110"/>
      <c r="K2" s="110"/>
      <c r="L2" s="110"/>
      <c r="M2" s="110"/>
      <c r="N2" s="110"/>
      <c r="O2" s="110"/>
      <c r="P2" s="24"/>
      <c r="Q2" s="110"/>
      <c r="R2" s="110"/>
      <c r="S2" s="110"/>
      <c r="T2" s="110"/>
      <c r="U2" s="110"/>
      <c r="V2" s="110"/>
      <c r="W2" s="110"/>
      <c r="X2" s="110"/>
      <c r="Y2" s="112"/>
      <c r="Z2" s="112"/>
      <c r="AA2" s="103"/>
      <c r="AB2" s="110"/>
      <c r="AC2" s="111"/>
      <c r="AD2" s="113"/>
      <c r="AE2" s="110"/>
      <c r="AF2" s="110"/>
      <c r="AG2" s="110"/>
      <c r="AH2" s="110"/>
      <c r="AI2" s="110"/>
      <c r="AJ2" s="110"/>
      <c r="AK2" s="110"/>
      <c r="AL2" s="103"/>
    </row>
    <row r="3" spans="1:38" s="7" customFormat="1" ht="45" x14ac:dyDescent="0.25">
      <c r="A3" s="43" t="s">
        <v>86</v>
      </c>
      <c r="B3" s="47" t="s">
        <v>47</v>
      </c>
      <c r="C3" s="47" t="s">
        <v>80</v>
      </c>
      <c r="D3" s="47" t="s">
        <v>81</v>
      </c>
      <c r="E3" s="47" t="s">
        <v>16</v>
      </c>
      <c r="F3" s="45" t="s">
        <v>53</v>
      </c>
      <c r="G3" s="44" t="s">
        <v>7</v>
      </c>
      <c r="H3" s="44" t="s">
        <v>17</v>
      </c>
      <c r="I3" s="44" t="s">
        <v>41</v>
      </c>
      <c r="J3" s="44" t="s">
        <v>0</v>
      </c>
      <c r="K3" s="44" t="s">
        <v>18</v>
      </c>
      <c r="L3" s="44" t="s">
        <v>5</v>
      </c>
      <c r="M3" s="44" t="s">
        <v>52</v>
      </c>
      <c r="N3" s="44" t="s">
        <v>50</v>
      </c>
      <c r="O3" s="44" t="s">
        <v>3</v>
      </c>
      <c r="P3" s="44" t="s">
        <v>51</v>
      </c>
      <c r="Q3" s="44" t="s">
        <v>49</v>
      </c>
      <c r="R3" s="46" t="s">
        <v>19</v>
      </c>
      <c r="S3" s="44" t="s">
        <v>1</v>
      </c>
      <c r="T3" s="44" t="s">
        <v>20</v>
      </c>
      <c r="U3" s="44" t="s">
        <v>122</v>
      </c>
      <c r="V3" s="44" t="s">
        <v>21</v>
      </c>
      <c r="W3" s="44" t="s">
        <v>75</v>
      </c>
      <c r="X3" s="44" t="s">
        <v>76</v>
      </c>
      <c r="Y3" s="50" t="s">
        <v>79</v>
      </c>
      <c r="Z3" s="50" t="s">
        <v>82</v>
      </c>
      <c r="AA3" s="47" t="s">
        <v>54</v>
      </c>
      <c r="AB3" s="44" t="s">
        <v>26</v>
      </c>
      <c r="AC3" s="46" t="s">
        <v>84</v>
      </c>
      <c r="AD3" s="46" t="s">
        <v>110</v>
      </c>
      <c r="AE3" s="44" t="s">
        <v>22</v>
      </c>
      <c r="AF3" s="44" t="s">
        <v>23</v>
      </c>
      <c r="AG3" s="44" t="s">
        <v>24</v>
      </c>
      <c r="AH3" s="44" t="s">
        <v>25</v>
      </c>
      <c r="AI3" s="44" t="s">
        <v>78</v>
      </c>
      <c r="AJ3" s="44" t="s">
        <v>77</v>
      </c>
      <c r="AK3" s="44" t="s">
        <v>112</v>
      </c>
      <c r="AL3" s="47" t="s">
        <v>107</v>
      </c>
    </row>
  </sheetData>
  <sheetProtection formatCells="0" formatColumns="0" formatRows="0" sort="0" autoFilter="0" pivotTables="0"/>
  <autoFilter ref="A3:AJ46" xr:uid="{134AFEB8-E099-488A-9BA1-5AF6C2F934D3}"/>
  <sortState ref="A4:AL70">
    <sortCondition ref="E3"/>
    <sortCondition ref="D3"/>
    <sortCondition ref="G3"/>
  </sortState>
  <conditionalFormatting sqref="A4:AL10000">
    <cfRule type="expression" dxfId="5" priority="1">
      <formula>$A4&lt;&gt;""</formula>
    </cfRule>
  </conditionalFormatting>
  <pageMargins left="0.19685039370078741" right="0.19685039370078741" top="0.78740157480314965" bottom="0.78740157480314965" header="0.31496062992125984" footer="0.31496062992125984"/>
  <pageSetup paperSize="9" scale="26" orientation="landscape"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CD0F-BA0B-4B09-AD59-1DB06128AF51}">
  <sheetPr codeName="Sht_RelFluxoDeCaixaVertical">
    <tabColor theme="8" tint="-0.249977111117893"/>
  </sheetPr>
  <dimension ref="A1:D136"/>
  <sheetViews>
    <sheetView showGridLines="0" workbookViewId="0">
      <pane ySplit="10" topLeftCell="A11" activePane="bottomLeft" state="frozen"/>
      <selection pane="bottomLeft" activeCell="D11" sqref="D11:D23"/>
    </sheetView>
  </sheetViews>
  <sheetFormatPr defaultRowHeight="15" x14ac:dyDescent="0.25"/>
  <cols>
    <col min="1" max="1" width="2.85546875" customWidth="1"/>
    <col min="2" max="2" width="23" bestFit="1" customWidth="1"/>
    <col min="3" max="3" width="17.42578125" bestFit="1" customWidth="1"/>
    <col min="4" max="4" width="13.140625" style="54" customWidth="1"/>
  </cols>
  <sheetData>
    <row r="1" spans="1:4" x14ac:dyDescent="0.25">
      <c r="A1" s="8">
        <f>COUNTIF([0]!rng_DadosLanctosTD,"A REALIZAR")</f>
        <v>0</v>
      </c>
    </row>
    <row r="2" spans="1:4" x14ac:dyDescent="0.25">
      <c r="D2" s="71" t="str">
        <f>IFERROR(IF(B2="Total Geral","",IF(B2="","",D1+C2)),$D$9+$C$11)</f>
        <v/>
      </c>
    </row>
    <row r="5" spans="1:4" x14ac:dyDescent="0.25">
      <c r="B5" s="2" t="s">
        <v>17</v>
      </c>
      <c r="C5" t="s">
        <v>10</v>
      </c>
    </row>
    <row r="6" spans="1:4" x14ac:dyDescent="0.25">
      <c r="B6" s="2" t="s">
        <v>18</v>
      </c>
      <c r="C6" t="s">
        <v>10</v>
      </c>
    </row>
    <row r="7" spans="1:4" x14ac:dyDescent="0.25">
      <c r="B7" s="2" t="s">
        <v>7</v>
      </c>
      <c r="C7" t="s">
        <v>10</v>
      </c>
    </row>
    <row r="8" spans="1:4" hidden="1" x14ac:dyDescent="0.25">
      <c r="B8" s="2" t="s">
        <v>122</v>
      </c>
      <c r="C8" t="s">
        <v>139</v>
      </c>
    </row>
    <row r="9" spans="1:4" ht="20.25" customHeight="1" x14ac:dyDescent="0.25">
      <c r="C9" s="72" t="s">
        <v>121</v>
      </c>
      <c r="D9" s="73">
        <f>IF(COUNTIF(rng_DadosLanctosTD,"A REALIZAR")&gt;0,SUMIF(LANÇAMENTOS!U4:U20000,"REALIZADO",LANÇAMENTOS!F4:F20000),0)</f>
        <v>0</v>
      </c>
    </row>
    <row r="10" spans="1:4" s="59" customFormat="1" ht="19.5" customHeight="1" x14ac:dyDescent="0.25">
      <c r="B10" s="56" t="s">
        <v>3</v>
      </c>
      <c r="C10" s="57" t="s">
        <v>103</v>
      </c>
      <c r="D10" s="58" t="e">
        <f t="shared" ref="D10" si="0">IF(B10="Total Geral","",IF(B10="","",C10+D9))</f>
        <v>#VALUE!</v>
      </c>
    </row>
    <row r="11" spans="1:4" x14ac:dyDescent="0.25">
      <c r="B11" s="3">
        <v>2018</v>
      </c>
      <c r="C11" s="1"/>
      <c r="D11" s="71">
        <f t="shared" ref="D11:D23" si="1">IFERROR(IF(B11="Total Geral","",IF(B11="","",D10+C11)),$D$9+$C$11)</f>
        <v>0</v>
      </c>
    </row>
    <row r="12" spans="1:4" x14ac:dyDescent="0.25">
      <c r="B12" s="74">
        <v>43131</v>
      </c>
      <c r="C12" s="1">
        <v>-65000</v>
      </c>
      <c r="D12" s="71">
        <f t="shared" si="1"/>
        <v>-65000</v>
      </c>
    </row>
    <row r="13" spans="1:4" x14ac:dyDescent="0.25">
      <c r="B13" s="74">
        <v>43159</v>
      </c>
      <c r="C13" s="1">
        <v>25000</v>
      </c>
      <c r="D13" s="71">
        <f t="shared" si="1"/>
        <v>-40000</v>
      </c>
    </row>
    <row r="14" spans="1:4" x14ac:dyDescent="0.25">
      <c r="B14" s="74">
        <v>43190</v>
      </c>
      <c r="C14" s="1">
        <v>125000</v>
      </c>
      <c r="D14" s="71">
        <f t="shared" si="1"/>
        <v>85000</v>
      </c>
    </row>
    <row r="15" spans="1:4" x14ac:dyDescent="0.25">
      <c r="B15" s="74">
        <v>43220</v>
      </c>
      <c r="C15" s="1">
        <v>125000</v>
      </c>
      <c r="D15" s="71">
        <f t="shared" si="1"/>
        <v>210000</v>
      </c>
    </row>
    <row r="16" spans="1:4" x14ac:dyDescent="0.25">
      <c r="B16" s="74">
        <v>43251</v>
      </c>
      <c r="C16" s="1">
        <v>125000</v>
      </c>
      <c r="D16" s="71">
        <f t="shared" si="1"/>
        <v>335000</v>
      </c>
    </row>
    <row r="17" spans="2:4" x14ac:dyDescent="0.25">
      <c r="B17" s="74">
        <v>43281</v>
      </c>
      <c r="C17" s="1">
        <v>25000</v>
      </c>
      <c r="D17" s="71">
        <f t="shared" si="1"/>
        <v>360000</v>
      </c>
    </row>
    <row r="18" spans="2:4" x14ac:dyDescent="0.25">
      <c r="B18" s="74">
        <v>43312</v>
      </c>
      <c r="C18" s="1">
        <v>25000</v>
      </c>
      <c r="D18" s="71">
        <f t="shared" si="1"/>
        <v>385000</v>
      </c>
    </row>
    <row r="19" spans="2:4" x14ac:dyDescent="0.25">
      <c r="B19" s="74">
        <v>43343</v>
      </c>
      <c r="C19" s="1">
        <v>25000</v>
      </c>
      <c r="D19" s="71">
        <f t="shared" si="1"/>
        <v>410000</v>
      </c>
    </row>
    <row r="20" spans="2:4" x14ac:dyDescent="0.25">
      <c r="B20" s="74">
        <v>43373</v>
      </c>
      <c r="C20" s="1">
        <v>25000</v>
      </c>
      <c r="D20" s="71">
        <f t="shared" si="1"/>
        <v>435000</v>
      </c>
    </row>
    <row r="21" spans="2:4" x14ac:dyDescent="0.25">
      <c r="B21" s="74">
        <v>43404</v>
      </c>
      <c r="C21" s="1">
        <v>25000</v>
      </c>
      <c r="D21" s="71">
        <f t="shared" si="1"/>
        <v>460000</v>
      </c>
    </row>
    <row r="22" spans="2:4" x14ac:dyDescent="0.25">
      <c r="B22" s="74">
        <v>43434</v>
      </c>
      <c r="C22" s="1">
        <v>25000</v>
      </c>
      <c r="D22" s="71">
        <f t="shared" si="1"/>
        <v>485000</v>
      </c>
    </row>
    <row r="23" spans="2:4" x14ac:dyDescent="0.25">
      <c r="B23" s="74">
        <v>43465</v>
      </c>
      <c r="C23" s="1">
        <v>25000</v>
      </c>
      <c r="D23" s="71">
        <f t="shared" si="1"/>
        <v>510000</v>
      </c>
    </row>
    <row r="24" spans="2:4" x14ac:dyDescent="0.25">
      <c r="B24" s="3" t="s">
        <v>2</v>
      </c>
      <c r="C24" s="1">
        <v>510000</v>
      </c>
      <c r="D24" s="71"/>
    </row>
    <row r="25" spans="2:4" x14ac:dyDescent="0.25">
      <c r="D25" s="71"/>
    </row>
    <row r="26" spans="2:4" x14ac:dyDescent="0.25">
      <c r="D26" s="71"/>
    </row>
    <row r="27" spans="2:4" x14ac:dyDescent="0.25">
      <c r="D27" s="71"/>
    </row>
    <row r="28" spans="2:4" x14ac:dyDescent="0.25">
      <c r="D28" s="71"/>
    </row>
    <row r="29" spans="2:4" x14ac:dyDescent="0.25">
      <c r="D29" s="71"/>
    </row>
    <row r="30" spans="2:4" x14ac:dyDescent="0.25">
      <c r="D30" s="71"/>
    </row>
    <row r="31" spans="2:4" x14ac:dyDescent="0.25">
      <c r="D31" s="71"/>
    </row>
    <row r="32" spans="2:4" x14ac:dyDescent="0.25">
      <c r="D32" s="71"/>
    </row>
    <row r="33" spans="4:4" x14ac:dyDescent="0.25">
      <c r="D33" s="71"/>
    </row>
    <row r="34" spans="4:4" x14ac:dyDescent="0.25">
      <c r="D34" s="71"/>
    </row>
    <row r="35" spans="4:4" x14ac:dyDescent="0.25">
      <c r="D35" s="71"/>
    </row>
    <row r="36" spans="4:4" x14ac:dyDescent="0.25">
      <c r="D36" s="71"/>
    </row>
    <row r="37" spans="4:4" x14ac:dyDescent="0.25">
      <c r="D37" s="71"/>
    </row>
    <row r="38" spans="4:4" x14ac:dyDescent="0.25">
      <c r="D38" s="71"/>
    </row>
    <row r="39" spans="4:4" x14ac:dyDescent="0.25">
      <c r="D39" s="71"/>
    </row>
    <row r="40" spans="4:4" x14ac:dyDescent="0.25">
      <c r="D40" s="71"/>
    </row>
    <row r="41" spans="4:4" x14ac:dyDescent="0.25">
      <c r="D41" s="71"/>
    </row>
    <row r="42" spans="4:4" x14ac:dyDescent="0.25">
      <c r="D42" s="71"/>
    </row>
    <row r="43" spans="4:4" x14ac:dyDescent="0.25">
      <c r="D43" s="71"/>
    </row>
    <row r="44" spans="4:4" x14ac:dyDescent="0.25">
      <c r="D44" s="71"/>
    </row>
    <row r="45" spans="4:4" x14ac:dyDescent="0.25">
      <c r="D45" s="71"/>
    </row>
    <row r="46" spans="4:4" x14ac:dyDescent="0.25">
      <c r="D46" s="71"/>
    </row>
    <row r="47" spans="4:4" x14ac:dyDescent="0.25">
      <c r="D47" s="71"/>
    </row>
    <row r="48" spans="4:4" x14ac:dyDescent="0.25">
      <c r="D48" s="71"/>
    </row>
    <row r="49" spans="4:4" x14ac:dyDescent="0.25">
      <c r="D49" s="71"/>
    </row>
    <row r="50" spans="4:4" x14ac:dyDescent="0.25">
      <c r="D50" s="71"/>
    </row>
    <row r="51" spans="4:4" x14ac:dyDescent="0.25">
      <c r="D51" s="71"/>
    </row>
    <row r="52" spans="4:4" x14ac:dyDescent="0.25">
      <c r="D52" s="71"/>
    </row>
    <row r="53" spans="4:4" x14ac:dyDescent="0.25">
      <c r="D53" s="71"/>
    </row>
    <row r="54" spans="4:4" x14ac:dyDescent="0.25">
      <c r="D54" s="71"/>
    </row>
    <row r="55" spans="4:4" x14ac:dyDescent="0.25">
      <c r="D55" s="71"/>
    </row>
    <row r="56" spans="4:4" x14ac:dyDescent="0.25">
      <c r="D56" s="71"/>
    </row>
    <row r="57" spans="4:4" x14ac:dyDescent="0.25">
      <c r="D57" s="71"/>
    </row>
    <row r="58" spans="4:4" x14ac:dyDescent="0.25">
      <c r="D58" s="71"/>
    </row>
    <row r="59" spans="4:4" x14ac:dyDescent="0.25">
      <c r="D59" s="71"/>
    </row>
    <row r="60" spans="4:4" x14ac:dyDescent="0.25">
      <c r="D60" s="71"/>
    </row>
    <row r="61" spans="4:4" x14ac:dyDescent="0.25">
      <c r="D61" s="71"/>
    </row>
    <row r="62" spans="4:4" x14ac:dyDescent="0.25">
      <c r="D62" s="71"/>
    </row>
    <row r="63" spans="4:4" x14ac:dyDescent="0.25">
      <c r="D63" s="71"/>
    </row>
    <row r="64" spans="4:4" x14ac:dyDescent="0.25">
      <c r="D64" s="71"/>
    </row>
    <row r="65" spans="4:4" x14ac:dyDescent="0.25">
      <c r="D65" s="71"/>
    </row>
    <row r="66" spans="4:4" x14ac:dyDescent="0.25">
      <c r="D66" s="71"/>
    </row>
    <row r="67" spans="4:4" x14ac:dyDescent="0.25">
      <c r="D67" s="71"/>
    </row>
    <row r="68" spans="4:4" x14ac:dyDescent="0.25">
      <c r="D68" s="71"/>
    </row>
    <row r="69" spans="4:4" x14ac:dyDescent="0.25">
      <c r="D69" s="71"/>
    </row>
    <row r="70" spans="4:4" x14ac:dyDescent="0.25">
      <c r="D70" s="71"/>
    </row>
    <row r="71" spans="4:4" x14ac:dyDescent="0.25">
      <c r="D71" s="71"/>
    </row>
    <row r="72" spans="4:4" x14ac:dyDescent="0.25">
      <c r="D72" s="71"/>
    </row>
    <row r="73" spans="4:4" x14ac:dyDescent="0.25">
      <c r="D73" s="71"/>
    </row>
    <row r="74" spans="4:4" x14ac:dyDescent="0.25">
      <c r="D74" s="71"/>
    </row>
    <row r="75" spans="4:4" x14ac:dyDescent="0.25">
      <c r="D75" s="71"/>
    </row>
    <row r="76" spans="4:4" x14ac:dyDescent="0.25">
      <c r="D76" s="71"/>
    </row>
    <row r="77" spans="4:4" x14ac:dyDescent="0.25">
      <c r="D77" s="71"/>
    </row>
    <row r="78" spans="4:4" x14ac:dyDescent="0.25">
      <c r="D78" s="71"/>
    </row>
    <row r="79" spans="4:4" x14ac:dyDescent="0.25">
      <c r="D79" s="71"/>
    </row>
    <row r="80" spans="4:4" x14ac:dyDescent="0.25">
      <c r="D80" s="71"/>
    </row>
    <row r="81" spans="4:4" x14ac:dyDescent="0.25">
      <c r="D81" s="71"/>
    </row>
    <row r="82" spans="4:4" x14ac:dyDescent="0.25">
      <c r="D82" s="71"/>
    </row>
    <row r="83" spans="4:4" x14ac:dyDescent="0.25">
      <c r="D83" s="71"/>
    </row>
    <row r="84" spans="4:4" x14ac:dyDescent="0.25">
      <c r="D84" s="71"/>
    </row>
    <row r="85" spans="4:4" x14ac:dyDescent="0.25">
      <c r="D85" s="71"/>
    </row>
    <row r="86" spans="4:4" x14ac:dyDescent="0.25">
      <c r="D86" s="71"/>
    </row>
    <row r="87" spans="4:4" x14ac:dyDescent="0.25">
      <c r="D87" s="71"/>
    </row>
    <row r="88" spans="4:4" x14ac:dyDescent="0.25">
      <c r="D88" s="71"/>
    </row>
    <row r="89" spans="4:4" x14ac:dyDescent="0.25">
      <c r="D89" s="71"/>
    </row>
    <row r="90" spans="4:4" x14ac:dyDescent="0.25">
      <c r="D90" s="71"/>
    </row>
    <row r="91" spans="4:4" x14ac:dyDescent="0.25">
      <c r="D91" s="71"/>
    </row>
    <row r="92" spans="4:4" x14ac:dyDescent="0.25">
      <c r="D92" s="71"/>
    </row>
    <row r="93" spans="4:4" x14ac:dyDescent="0.25">
      <c r="D93" s="71"/>
    </row>
    <row r="94" spans="4:4" x14ac:dyDescent="0.25">
      <c r="D94" s="71"/>
    </row>
    <row r="95" spans="4:4" x14ac:dyDescent="0.25">
      <c r="D95" s="71"/>
    </row>
    <row r="96" spans="4:4" x14ac:dyDescent="0.25">
      <c r="D96" s="71"/>
    </row>
    <row r="97" spans="4:4" x14ac:dyDescent="0.25">
      <c r="D97" s="71"/>
    </row>
    <row r="98" spans="4:4" x14ac:dyDescent="0.25">
      <c r="D98" s="71"/>
    </row>
    <row r="99" spans="4:4" x14ac:dyDescent="0.25">
      <c r="D99" s="71"/>
    </row>
    <row r="100" spans="4:4" x14ac:dyDescent="0.25">
      <c r="D100" s="71"/>
    </row>
    <row r="101" spans="4:4" x14ac:dyDescent="0.25">
      <c r="D101" s="71"/>
    </row>
    <row r="102" spans="4:4" x14ac:dyDescent="0.25">
      <c r="D102" s="71"/>
    </row>
    <row r="103" spans="4:4" x14ac:dyDescent="0.25">
      <c r="D103" s="71"/>
    </row>
    <row r="104" spans="4:4" x14ac:dyDescent="0.25">
      <c r="D104" s="71"/>
    </row>
    <row r="105" spans="4:4" x14ac:dyDescent="0.25">
      <c r="D105" s="71"/>
    </row>
    <row r="106" spans="4:4" x14ac:dyDescent="0.25">
      <c r="D106" s="71"/>
    </row>
    <row r="107" spans="4:4" x14ac:dyDescent="0.25">
      <c r="D107" s="71"/>
    </row>
    <row r="108" spans="4:4" x14ac:dyDescent="0.25">
      <c r="D108" s="71"/>
    </row>
    <row r="109" spans="4:4" x14ac:dyDescent="0.25">
      <c r="D109" s="71"/>
    </row>
    <row r="110" spans="4:4" x14ac:dyDescent="0.25">
      <c r="D110" s="71"/>
    </row>
    <row r="111" spans="4:4" x14ac:dyDescent="0.25">
      <c r="D111" s="71"/>
    </row>
    <row r="112" spans="4:4" x14ac:dyDescent="0.25">
      <c r="D112" s="71"/>
    </row>
    <row r="113" spans="4:4" x14ac:dyDescent="0.25">
      <c r="D113" s="71"/>
    </row>
    <row r="114" spans="4:4" x14ac:dyDescent="0.25">
      <c r="D114" s="71"/>
    </row>
    <row r="115" spans="4:4" x14ac:dyDescent="0.25">
      <c r="D115" s="71"/>
    </row>
    <row r="116" spans="4:4" x14ac:dyDescent="0.25">
      <c r="D116" s="71"/>
    </row>
    <row r="117" spans="4:4" x14ac:dyDescent="0.25">
      <c r="D117" s="71"/>
    </row>
    <row r="118" spans="4:4" x14ac:dyDescent="0.25">
      <c r="D118" s="71"/>
    </row>
    <row r="119" spans="4:4" x14ac:dyDescent="0.25">
      <c r="D119" s="71"/>
    </row>
    <row r="120" spans="4:4" x14ac:dyDescent="0.25">
      <c r="D120" s="71"/>
    </row>
    <row r="121" spans="4:4" x14ac:dyDescent="0.25">
      <c r="D121" s="71"/>
    </row>
    <row r="122" spans="4:4" x14ac:dyDescent="0.25">
      <c r="D122" s="71"/>
    </row>
    <row r="123" spans="4:4" x14ac:dyDescent="0.25">
      <c r="D123" s="71"/>
    </row>
    <row r="124" spans="4:4" x14ac:dyDescent="0.25">
      <c r="D124" s="71"/>
    </row>
    <row r="125" spans="4:4" x14ac:dyDescent="0.25">
      <c r="D125" s="71"/>
    </row>
    <row r="126" spans="4:4" x14ac:dyDescent="0.25">
      <c r="D126" s="71"/>
    </row>
    <row r="127" spans="4:4" x14ac:dyDescent="0.25">
      <c r="D127" s="71"/>
    </row>
    <row r="128" spans="4:4" x14ac:dyDescent="0.25">
      <c r="D128" s="71"/>
    </row>
    <row r="129" spans="4:4" x14ac:dyDescent="0.25">
      <c r="D129" s="71"/>
    </row>
    <row r="130" spans="4:4" x14ac:dyDescent="0.25">
      <c r="D130" s="71"/>
    </row>
    <row r="131" spans="4:4" x14ac:dyDescent="0.25">
      <c r="D131" s="71"/>
    </row>
    <row r="132" spans="4:4" x14ac:dyDescent="0.25">
      <c r="D132" s="71"/>
    </row>
    <row r="133" spans="4:4" x14ac:dyDescent="0.25">
      <c r="D133" s="71"/>
    </row>
    <row r="134" spans="4:4" x14ac:dyDescent="0.25">
      <c r="D134" s="71"/>
    </row>
    <row r="135" spans="4:4" x14ac:dyDescent="0.25">
      <c r="D135" s="71"/>
    </row>
    <row r="136" spans="4:4" x14ac:dyDescent="0.25">
      <c r="D136" s="71"/>
    </row>
  </sheetData>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10242" r:id="rId5" name="ScrollBar1">
          <controlPr defaultSize="0" autoLine="0" r:id="rId6">
            <anchor moveWithCells="1">
              <from>
                <xdr:col>1</xdr:col>
                <xdr:colOff>28575</xdr:colOff>
                <xdr:row>9</xdr:row>
                <xdr:rowOff>47625</xdr:rowOff>
              </from>
              <to>
                <xdr:col>1</xdr:col>
                <xdr:colOff>762000</xdr:colOff>
                <xdr:row>9</xdr:row>
                <xdr:rowOff>209550</xdr:rowOff>
              </to>
            </anchor>
          </controlPr>
        </control>
      </mc:Choice>
      <mc:Fallback>
        <control shapeId="10242" r:id="rId5" name="ScrollBar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_RelFixoEsporadico">
    <tabColor theme="5" tint="-0.249977111117893"/>
  </sheetPr>
  <dimension ref="B1:AA30"/>
  <sheetViews>
    <sheetView showGridLines="0" showRowColHeaders="0" zoomScaleNormal="100" workbookViewId="0">
      <selection activeCell="C20" sqref="C20"/>
    </sheetView>
  </sheetViews>
  <sheetFormatPr defaultColWidth="9.140625" defaultRowHeight="15" x14ac:dyDescent="0.25"/>
  <cols>
    <col min="1" max="1" width="1.7109375" style="27" customWidth="1"/>
    <col min="2" max="2" width="32.28515625" style="27" bestFit="1" customWidth="1"/>
    <col min="3" max="3" width="12.28515625" style="27" bestFit="1" customWidth="1"/>
    <col min="4" max="4" width="10.28515625" style="27" bestFit="1" customWidth="1"/>
    <col min="5" max="7" width="10.5703125" style="27" bestFit="1" customWidth="1"/>
    <col min="8" max="14" width="10.28515625" style="27" bestFit="1" customWidth="1"/>
    <col min="15" max="15" width="12.140625" style="27" bestFit="1" customWidth="1"/>
    <col min="16" max="17" width="9.28515625" style="27" bestFit="1" customWidth="1"/>
    <col min="18" max="18" width="11.28515625" style="27" bestFit="1" customWidth="1"/>
    <col min="19" max="26" width="9.28515625" style="27" bestFit="1" customWidth="1"/>
    <col min="27" max="27" width="10.5703125" style="27" bestFit="1" customWidth="1"/>
    <col min="28" max="16384" width="9.140625" style="27"/>
  </cols>
  <sheetData>
    <row r="1" spans="2:27" ht="3" customHeight="1" x14ac:dyDescent="0.25"/>
    <row r="2" spans="2:27" ht="17.25" customHeight="1" x14ac:dyDescent="0.25"/>
    <row r="4" spans="2:27" x14ac:dyDescent="0.25">
      <c r="B4" s="28" t="s">
        <v>13</v>
      </c>
      <c r="C4" s="27" t="s">
        <v>10</v>
      </c>
    </row>
    <row r="6" spans="2:27" x14ac:dyDescent="0.25">
      <c r="B6" s="17" t="s">
        <v>69</v>
      </c>
      <c r="C6" s="25" t="s">
        <v>45</v>
      </c>
      <c r="P6"/>
      <c r="Q6"/>
      <c r="R6"/>
      <c r="S6"/>
      <c r="T6"/>
      <c r="U6"/>
      <c r="V6"/>
      <c r="W6"/>
      <c r="X6"/>
      <c r="Y6"/>
      <c r="Z6"/>
      <c r="AA6"/>
    </row>
    <row r="7" spans="2:27" x14ac:dyDescent="0.25">
      <c r="B7" s="25" t="s">
        <v>12</v>
      </c>
      <c r="C7" s="29">
        <v>43131</v>
      </c>
      <c r="D7" s="29">
        <v>43159</v>
      </c>
      <c r="E7" s="29">
        <v>43190</v>
      </c>
      <c r="F7" s="29">
        <v>43220</v>
      </c>
      <c r="G7" s="29">
        <v>43251</v>
      </c>
      <c r="H7" s="29">
        <v>43281</v>
      </c>
      <c r="I7" s="29">
        <v>43312</v>
      </c>
      <c r="J7" s="29">
        <v>43343</v>
      </c>
      <c r="K7" s="29">
        <v>43373</v>
      </c>
      <c r="L7" s="29">
        <v>43404</v>
      </c>
      <c r="M7" s="29">
        <v>43434</v>
      </c>
      <c r="N7" s="29">
        <v>43465</v>
      </c>
      <c r="O7" s="29" t="s">
        <v>2</v>
      </c>
      <c r="P7"/>
      <c r="Q7"/>
      <c r="R7"/>
      <c r="S7"/>
      <c r="T7"/>
      <c r="U7"/>
      <c r="V7"/>
      <c r="W7"/>
      <c r="X7"/>
      <c r="Y7"/>
      <c r="Z7"/>
      <c r="AA7"/>
    </row>
    <row r="8" spans="2:27" x14ac:dyDescent="0.25">
      <c r="B8" s="30" t="s">
        <v>138</v>
      </c>
      <c r="C8" s="31">
        <v>45000</v>
      </c>
      <c r="D8" s="31">
        <v>25000</v>
      </c>
      <c r="E8" s="31">
        <v>125000</v>
      </c>
      <c r="F8" s="31">
        <v>125000</v>
      </c>
      <c r="G8" s="31">
        <v>125000</v>
      </c>
      <c r="H8" s="31">
        <v>25000</v>
      </c>
      <c r="I8" s="31">
        <v>25000</v>
      </c>
      <c r="J8" s="31">
        <v>25000</v>
      </c>
      <c r="K8" s="31">
        <v>25000</v>
      </c>
      <c r="L8" s="31">
        <v>25000</v>
      </c>
      <c r="M8" s="31">
        <v>25000</v>
      </c>
      <c r="N8" s="31">
        <v>25000</v>
      </c>
      <c r="O8" s="31">
        <v>620000</v>
      </c>
      <c r="P8"/>
      <c r="Q8"/>
      <c r="R8"/>
      <c r="S8"/>
      <c r="T8"/>
      <c r="U8"/>
      <c r="V8"/>
      <c r="W8"/>
      <c r="X8"/>
      <c r="Y8"/>
      <c r="Z8"/>
      <c r="AA8"/>
    </row>
    <row r="9" spans="2:27" x14ac:dyDescent="0.25">
      <c r="B9" s="26" t="s">
        <v>137</v>
      </c>
      <c r="C9" s="31">
        <v>20000</v>
      </c>
      <c r="D9" s="31"/>
      <c r="E9" s="31">
        <v>100000</v>
      </c>
      <c r="F9" s="31">
        <v>100000</v>
      </c>
      <c r="G9" s="31">
        <v>100000</v>
      </c>
      <c r="H9" s="31"/>
      <c r="I9" s="31"/>
      <c r="J9" s="31"/>
      <c r="K9" s="31"/>
      <c r="L9" s="31"/>
      <c r="M9" s="31"/>
      <c r="N9" s="31"/>
      <c r="O9" s="31">
        <v>320000</v>
      </c>
      <c r="P9"/>
      <c r="Q9"/>
      <c r="R9"/>
      <c r="S9"/>
      <c r="T9"/>
      <c r="U9"/>
      <c r="V9"/>
      <c r="W9"/>
      <c r="X9"/>
      <c r="Y9"/>
      <c r="Z9"/>
      <c r="AA9"/>
    </row>
    <row r="10" spans="2:27" x14ac:dyDescent="0.25">
      <c r="B10" s="32" t="s">
        <v>150</v>
      </c>
      <c r="C10" s="31">
        <v>20000</v>
      </c>
      <c r="D10" s="31"/>
      <c r="E10" s="31"/>
      <c r="F10" s="31"/>
      <c r="G10" s="31"/>
      <c r="H10" s="31"/>
      <c r="I10" s="31"/>
      <c r="J10" s="31"/>
      <c r="K10" s="31"/>
      <c r="L10" s="31"/>
      <c r="M10" s="31"/>
      <c r="N10" s="31"/>
      <c r="O10" s="31">
        <v>20000</v>
      </c>
      <c r="P10"/>
      <c r="Q10"/>
      <c r="R10"/>
      <c r="S10"/>
      <c r="T10"/>
      <c r="U10"/>
      <c r="V10"/>
      <c r="W10"/>
      <c r="X10"/>
      <c r="Y10"/>
      <c r="Z10"/>
      <c r="AA10"/>
    </row>
    <row r="11" spans="2:27" x14ac:dyDescent="0.25">
      <c r="B11" s="32" t="s">
        <v>149</v>
      </c>
      <c r="C11" s="31"/>
      <c r="D11" s="31"/>
      <c r="E11" s="31">
        <v>100000</v>
      </c>
      <c r="F11" s="31">
        <v>100000</v>
      </c>
      <c r="G11" s="31">
        <v>100000</v>
      </c>
      <c r="H11" s="31"/>
      <c r="I11" s="31"/>
      <c r="J11" s="31"/>
      <c r="K11" s="31"/>
      <c r="L11" s="31"/>
      <c r="M11" s="31"/>
      <c r="N11" s="31"/>
      <c r="O11" s="31">
        <v>300000</v>
      </c>
      <c r="P11"/>
      <c r="Q11"/>
      <c r="R11"/>
      <c r="S11"/>
      <c r="T11"/>
      <c r="U11"/>
      <c r="V11"/>
      <c r="W11"/>
      <c r="X11"/>
      <c r="Y11"/>
      <c r="Z11"/>
      <c r="AA11"/>
    </row>
    <row r="12" spans="2:27" x14ac:dyDescent="0.25">
      <c r="B12" s="26" t="s">
        <v>164</v>
      </c>
      <c r="C12" s="31">
        <v>-65000</v>
      </c>
      <c r="D12" s="31">
        <v>-65000</v>
      </c>
      <c r="E12" s="31">
        <v>-65000</v>
      </c>
      <c r="F12" s="31">
        <v>-65000</v>
      </c>
      <c r="G12" s="31">
        <v>-65000</v>
      </c>
      <c r="H12" s="31">
        <v>-65000</v>
      </c>
      <c r="I12" s="31">
        <v>-65000</v>
      </c>
      <c r="J12" s="31">
        <v>-65000</v>
      </c>
      <c r="K12" s="31">
        <v>-65000</v>
      </c>
      <c r="L12" s="31">
        <v>-65000</v>
      </c>
      <c r="M12" s="31">
        <v>-65000</v>
      </c>
      <c r="N12" s="31">
        <v>-65000</v>
      </c>
      <c r="O12" s="31">
        <v>-780000</v>
      </c>
      <c r="P12"/>
      <c r="Q12"/>
      <c r="R12"/>
      <c r="S12"/>
      <c r="T12"/>
      <c r="U12"/>
      <c r="V12"/>
      <c r="W12"/>
      <c r="X12"/>
      <c r="Y12"/>
      <c r="Z12"/>
      <c r="AA12"/>
    </row>
    <row r="13" spans="2:27" x14ac:dyDescent="0.25">
      <c r="B13" s="32" t="s">
        <v>153</v>
      </c>
      <c r="C13" s="31">
        <v>-45000</v>
      </c>
      <c r="D13" s="31">
        <v>-45000</v>
      </c>
      <c r="E13" s="31">
        <v>-45000</v>
      </c>
      <c r="F13" s="31">
        <v>-45000</v>
      </c>
      <c r="G13" s="31">
        <v>-45000</v>
      </c>
      <c r="H13" s="31">
        <v>-45000</v>
      </c>
      <c r="I13" s="31">
        <v>-45000</v>
      </c>
      <c r="J13" s="31">
        <v>-45000</v>
      </c>
      <c r="K13" s="31">
        <v>-45000</v>
      </c>
      <c r="L13" s="31">
        <v>-45000</v>
      </c>
      <c r="M13" s="31">
        <v>-45000</v>
      </c>
      <c r="N13" s="31">
        <v>-45000</v>
      </c>
      <c r="O13" s="31">
        <v>-540000</v>
      </c>
      <c r="P13"/>
      <c r="Q13"/>
      <c r="R13"/>
      <c r="S13"/>
      <c r="T13"/>
      <c r="U13"/>
      <c r="V13"/>
      <c r="W13"/>
      <c r="X13"/>
      <c r="Y13"/>
      <c r="Z13"/>
      <c r="AA13"/>
    </row>
    <row r="14" spans="2:27" x14ac:dyDescent="0.25">
      <c r="B14" s="32" t="s">
        <v>167</v>
      </c>
      <c r="C14" s="31">
        <v>-15000</v>
      </c>
      <c r="D14" s="31">
        <v>-15000</v>
      </c>
      <c r="E14" s="31">
        <v>-15000</v>
      </c>
      <c r="F14" s="31">
        <v>-15000</v>
      </c>
      <c r="G14" s="31">
        <v>-15000</v>
      </c>
      <c r="H14" s="31">
        <v>-15000</v>
      </c>
      <c r="I14" s="31">
        <v>-15000</v>
      </c>
      <c r="J14" s="31">
        <v>-15000</v>
      </c>
      <c r="K14" s="31">
        <v>-15000</v>
      </c>
      <c r="L14" s="31">
        <v>-15000</v>
      </c>
      <c r="M14" s="31">
        <v>-15000</v>
      </c>
      <c r="N14" s="31">
        <v>-15000</v>
      </c>
      <c r="O14" s="31">
        <v>-180000</v>
      </c>
      <c r="P14"/>
      <c r="Q14"/>
      <c r="R14"/>
      <c r="S14"/>
      <c r="T14"/>
      <c r="U14"/>
      <c r="V14"/>
      <c r="W14"/>
      <c r="X14"/>
      <c r="Y14"/>
      <c r="Z14"/>
      <c r="AA14"/>
    </row>
    <row r="15" spans="2:27" x14ac:dyDescent="0.25">
      <c r="B15" s="32" t="s">
        <v>166</v>
      </c>
      <c r="C15" s="31">
        <v>-5000</v>
      </c>
      <c r="D15" s="31">
        <v>-5000</v>
      </c>
      <c r="E15" s="31">
        <v>-5000</v>
      </c>
      <c r="F15" s="31">
        <v>-5000</v>
      </c>
      <c r="G15" s="31">
        <v>-5000</v>
      </c>
      <c r="H15" s="31">
        <v>-5000</v>
      </c>
      <c r="I15" s="31">
        <v>-5000</v>
      </c>
      <c r="J15" s="31">
        <v>-5000</v>
      </c>
      <c r="K15" s="31">
        <v>-5000</v>
      </c>
      <c r="L15" s="31">
        <v>-5000</v>
      </c>
      <c r="M15" s="31">
        <v>-5000</v>
      </c>
      <c r="N15" s="31">
        <v>-5000</v>
      </c>
      <c r="O15" s="31">
        <v>-60000</v>
      </c>
      <c r="P15"/>
      <c r="Q15"/>
      <c r="R15"/>
      <c r="S15"/>
      <c r="T15"/>
      <c r="U15"/>
      <c r="V15"/>
      <c r="W15"/>
    </row>
    <row r="16" spans="2:27" x14ac:dyDescent="0.25">
      <c r="B16" s="26" t="s">
        <v>170</v>
      </c>
      <c r="C16" s="31">
        <v>90000</v>
      </c>
      <c r="D16" s="31">
        <v>90000</v>
      </c>
      <c r="E16" s="31">
        <v>90000</v>
      </c>
      <c r="F16" s="31">
        <v>90000</v>
      </c>
      <c r="G16" s="31">
        <v>90000</v>
      </c>
      <c r="H16" s="31">
        <v>90000</v>
      </c>
      <c r="I16" s="31">
        <v>90000</v>
      </c>
      <c r="J16" s="31">
        <v>90000</v>
      </c>
      <c r="K16" s="31">
        <v>90000</v>
      </c>
      <c r="L16" s="31">
        <v>90000</v>
      </c>
      <c r="M16" s="31">
        <v>90000</v>
      </c>
      <c r="N16" s="31">
        <v>90000</v>
      </c>
      <c r="O16" s="31">
        <v>1080000</v>
      </c>
      <c r="P16"/>
      <c r="Q16"/>
      <c r="R16"/>
      <c r="S16"/>
      <c r="T16"/>
      <c r="U16"/>
      <c r="V16"/>
      <c r="W16"/>
    </row>
    <row r="17" spans="2:23" x14ac:dyDescent="0.25">
      <c r="B17" s="32" t="s">
        <v>168</v>
      </c>
      <c r="C17" s="31">
        <v>90000</v>
      </c>
      <c r="D17" s="31">
        <v>90000</v>
      </c>
      <c r="E17" s="31">
        <v>90000</v>
      </c>
      <c r="F17" s="31">
        <v>90000</v>
      </c>
      <c r="G17" s="31">
        <v>90000</v>
      </c>
      <c r="H17" s="31">
        <v>90000</v>
      </c>
      <c r="I17" s="31">
        <v>90000</v>
      </c>
      <c r="J17" s="31">
        <v>90000</v>
      </c>
      <c r="K17" s="31">
        <v>90000</v>
      </c>
      <c r="L17" s="31">
        <v>90000</v>
      </c>
      <c r="M17" s="31">
        <v>90000</v>
      </c>
      <c r="N17" s="31">
        <v>90000</v>
      </c>
      <c r="O17" s="31">
        <v>1080000</v>
      </c>
      <c r="P17"/>
      <c r="Q17"/>
      <c r="R17"/>
      <c r="S17"/>
      <c r="T17"/>
      <c r="U17"/>
      <c r="V17"/>
      <c r="W17"/>
    </row>
    <row r="18" spans="2:23" x14ac:dyDescent="0.25">
      <c r="B18" s="33"/>
      <c r="C18" s="31"/>
      <c r="D18" s="31"/>
      <c r="E18" s="31"/>
      <c r="F18" s="31"/>
      <c r="G18" s="31"/>
      <c r="H18" s="31"/>
      <c r="I18" s="31"/>
      <c r="J18" s="31"/>
      <c r="K18" s="31"/>
      <c r="L18" s="31"/>
      <c r="M18" s="31"/>
      <c r="N18" s="31"/>
      <c r="O18" s="31"/>
      <c r="P18"/>
      <c r="Q18"/>
      <c r="R18"/>
      <c r="S18"/>
      <c r="T18"/>
      <c r="U18"/>
      <c r="V18"/>
      <c r="W18"/>
    </row>
    <row r="19" spans="2:23" x14ac:dyDescent="0.25">
      <c r="B19" s="33" t="s">
        <v>2</v>
      </c>
      <c r="C19" s="31">
        <v>45000</v>
      </c>
      <c r="D19" s="31">
        <v>25000</v>
      </c>
      <c r="E19" s="31">
        <v>125000</v>
      </c>
      <c r="F19" s="31">
        <v>125000</v>
      </c>
      <c r="G19" s="31">
        <v>125000</v>
      </c>
      <c r="H19" s="31">
        <v>25000</v>
      </c>
      <c r="I19" s="31">
        <v>25000</v>
      </c>
      <c r="J19" s="31">
        <v>25000</v>
      </c>
      <c r="K19" s="31">
        <v>25000</v>
      </c>
      <c r="L19" s="31">
        <v>25000</v>
      </c>
      <c r="M19" s="31">
        <v>25000</v>
      </c>
      <c r="N19" s="31">
        <v>25000</v>
      </c>
      <c r="O19" s="31">
        <v>620000</v>
      </c>
      <c r="P19"/>
      <c r="Q19"/>
      <c r="R19"/>
      <c r="S19"/>
      <c r="T19"/>
      <c r="U19"/>
      <c r="V19"/>
      <c r="W19"/>
    </row>
    <row r="20" spans="2:23" x14ac:dyDescent="0.25">
      <c r="B20"/>
      <c r="C20"/>
      <c r="D20"/>
      <c r="E20"/>
      <c r="F20"/>
      <c r="G20"/>
      <c r="H20"/>
      <c r="I20"/>
      <c r="J20"/>
      <c r="K20"/>
      <c r="L20"/>
      <c r="M20"/>
      <c r="N20"/>
      <c r="O20"/>
      <c r="P20"/>
      <c r="Q20"/>
      <c r="R20"/>
      <c r="S20"/>
      <c r="T20"/>
      <c r="U20"/>
      <c r="V20"/>
      <c r="W20"/>
    </row>
    <row r="21" spans="2:23" x14ac:dyDescent="0.25">
      <c r="B21"/>
      <c r="C21"/>
      <c r="D21"/>
      <c r="E21"/>
      <c r="F21"/>
      <c r="G21"/>
      <c r="H21"/>
      <c r="I21"/>
      <c r="J21"/>
      <c r="K21"/>
      <c r="L21"/>
      <c r="M21"/>
      <c r="N21"/>
      <c r="O21"/>
      <c r="P21"/>
      <c r="Q21"/>
      <c r="R21"/>
      <c r="S21"/>
      <c r="T21"/>
      <c r="U21"/>
      <c r="V21"/>
      <c r="W21"/>
    </row>
    <row r="22" spans="2:23" x14ac:dyDescent="0.25">
      <c r="B22"/>
      <c r="C22"/>
      <c r="D22"/>
      <c r="E22"/>
      <c r="F22"/>
      <c r="G22"/>
      <c r="H22"/>
      <c r="I22"/>
      <c r="J22"/>
      <c r="K22"/>
      <c r="L22"/>
      <c r="M22"/>
      <c r="N22"/>
      <c r="O22"/>
    </row>
    <row r="23" spans="2:23" x14ac:dyDescent="0.25">
      <c r="B23"/>
      <c r="C23"/>
      <c r="D23"/>
      <c r="E23"/>
      <c r="F23"/>
      <c r="G23"/>
      <c r="H23"/>
      <c r="I23"/>
      <c r="J23"/>
      <c r="K23"/>
      <c r="L23"/>
      <c r="M23"/>
      <c r="N23"/>
      <c r="O23"/>
    </row>
    <row r="24" spans="2:23" x14ac:dyDescent="0.25">
      <c r="B24"/>
      <c r="C24"/>
      <c r="D24"/>
      <c r="E24"/>
      <c r="F24"/>
      <c r="G24"/>
      <c r="H24"/>
      <c r="I24"/>
      <c r="J24"/>
      <c r="K24"/>
      <c r="L24"/>
      <c r="M24"/>
      <c r="N24"/>
      <c r="O24"/>
    </row>
    <row r="25" spans="2:23" x14ac:dyDescent="0.25">
      <c r="B25"/>
      <c r="C25"/>
      <c r="D25"/>
      <c r="E25"/>
      <c r="F25"/>
      <c r="G25"/>
      <c r="H25"/>
      <c r="I25"/>
      <c r="J25"/>
      <c r="K25"/>
      <c r="L25"/>
      <c r="M25"/>
      <c r="N25"/>
      <c r="O25"/>
    </row>
    <row r="26" spans="2:23" x14ac:dyDescent="0.25">
      <c r="B26"/>
      <c r="C26"/>
      <c r="D26"/>
      <c r="E26"/>
      <c r="F26"/>
      <c r="G26"/>
      <c r="H26"/>
      <c r="I26"/>
      <c r="J26"/>
      <c r="K26"/>
      <c r="L26"/>
      <c r="M26"/>
      <c r="N26"/>
      <c r="O26"/>
    </row>
    <row r="27" spans="2:23" x14ac:dyDescent="0.25">
      <c r="B27"/>
      <c r="C27"/>
      <c r="D27"/>
      <c r="E27"/>
      <c r="F27"/>
      <c r="G27"/>
      <c r="H27"/>
      <c r="I27"/>
      <c r="J27"/>
      <c r="K27"/>
      <c r="L27"/>
      <c r="M27"/>
      <c r="N27"/>
      <c r="O27"/>
    </row>
    <row r="28" spans="2:23" x14ac:dyDescent="0.25">
      <c r="B28"/>
      <c r="C28"/>
      <c r="D28"/>
      <c r="E28"/>
      <c r="F28"/>
      <c r="G28"/>
      <c r="H28"/>
      <c r="I28"/>
      <c r="J28"/>
      <c r="K28"/>
      <c r="L28"/>
      <c r="M28"/>
      <c r="N28"/>
      <c r="O28"/>
    </row>
    <row r="29" spans="2:23" x14ac:dyDescent="0.25">
      <c r="B29"/>
      <c r="C29"/>
      <c r="D29"/>
      <c r="E29"/>
      <c r="F29"/>
      <c r="G29"/>
      <c r="H29"/>
      <c r="I29"/>
      <c r="J29"/>
      <c r="K29"/>
      <c r="L29"/>
      <c r="M29"/>
      <c r="N29"/>
      <c r="O29"/>
    </row>
    <row r="30" spans="2:23" x14ac:dyDescent="0.25">
      <c r="B30"/>
      <c r="C30"/>
      <c r="D30"/>
      <c r="E30"/>
      <c r="F30"/>
      <c r="G30"/>
      <c r="H30"/>
      <c r="I30"/>
      <c r="J30"/>
      <c r="K30"/>
      <c r="L30"/>
      <c r="M30"/>
      <c r="N30"/>
      <c r="O30"/>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_RelPorTitular">
    <tabColor theme="4" tint="0.39997558519241921"/>
  </sheetPr>
  <dimension ref="B1:AA39"/>
  <sheetViews>
    <sheetView showGridLines="0" showRowColHeaders="0" zoomScaleNormal="100" workbookViewId="0">
      <selection activeCell="K5" sqref="K5"/>
    </sheetView>
  </sheetViews>
  <sheetFormatPr defaultColWidth="9.140625" defaultRowHeight="15" x14ac:dyDescent="0.25"/>
  <cols>
    <col min="1" max="1" width="1.7109375" style="27" customWidth="1"/>
    <col min="2" max="2" width="31.85546875" style="27" bestFit="1" customWidth="1"/>
    <col min="3" max="3" width="11.85546875" style="27" bestFit="1" customWidth="1"/>
    <col min="4" max="4" width="10.28515625" style="27" bestFit="1" customWidth="1"/>
    <col min="5" max="7" width="10.5703125" style="27" bestFit="1" customWidth="1"/>
    <col min="8" max="14" width="10.28515625" style="27" bestFit="1" customWidth="1"/>
    <col min="15" max="15" width="12.140625" style="27" bestFit="1" customWidth="1"/>
    <col min="16" max="17" width="9.28515625" style="27" bestFit="1" customWidth="1"/>
    <col min="18" max="18" width="11.28515625" style="27" bestFit="1" customWidth="1"/>
    <col min="19" max="26" width="9.28515625" style="27" bestFit="1" customWidth="1"/>
    <col min="27" max="27" width="10.5703125" style="27" bestFit="1" customWidth="1"/>
    <col min="28" max="16384" width="9.140625" style="27"/>
  </cols>
  <sheetData>
    <row r="1" spans="2:27" ht="3" customHeight="1" x14ac:dyDescent="0.25"/>
    <row r="2" spans="2:27" ht="17.25" customHeight="1" x14ac:dyDescent="0.25"/>
    <row r="4" spans="2:27" x14ac:dyDescent="0.25">
      <c r="B4" s="28" t="s">
        <v>13</v>
      </c>
      <c r="C4" s="27" t="s">
        <v>10</v>
      </c>
    </row>
    <row r="6" spans="2:27" x14ac:dyDescent="0.25">
      <c r="B6" s="17" t="s">
        <v>69</v>
      </c>
      <c r="C6" s="25" t="s">
        <v>44</v>
      </c>
      <c r="P6"/>
      <c r="Q6"/>
      <c r="R6"/>
      <c r="S6"/>
      <c r="T6"/>
      <c r="U6"/>
      <c r="V6"/>
      <c r="W6"/>
      <c r="X6"/>
      <c r="Y6"/>
      <c r="Z6"/>
      <c r="AA6"/>
    </row>
    <row r="7" spans="2:27" x14ac:dyDescent="0.25">
      <c r="B7" s="25" t="s">
        <v>3</v>
      </c>
      <c r="C7" s="29">
        <v>43131</v>
      </c>
      <c r="D7" s="29">
        <v>43159</v>
      </c>
      <c r="E7" s="29">
        <v>43190</v>
      </c>
      <c r="F7" s="29">
        <v>43220</v>
      </c>
      <c r="G7" s="29">
        <v>43251</v>
      </c>
      <c r="H7" s="29">
        <v>43281</v>
      </c>
      <c r="I7" s="29">
        <v>43312</v>
      </c>
      <c r="J7" s="29">
        <v>43343</v>
      </c>
      <c r="K7" s="29">
        <v>43373</v>
      </c>
      <c r="L7" s="29">
        <v>43404</v>
      </c>
      <c r="M7" s="29">
        <v>43434</v>
      </c>
      <c r="N7" s="29">
        <v>43465</v>
      </c>
      <c r="O7" s="55" t="s">
        <v>2</v>
      </c>
      <c r="P7"/>
      <c r="Q7"/>
      <c r="R7"/>
      <c r="S7"/>
      <c r="T7"/>
      <c r="U7"/>
      <c r="V7"/>
      <c r="W7"/>
      <c r="X7"/>
      <c r="Y7"/>
      <c r="Z7"/>
      <c r="AA7"/>
    </row>
    <row r="8" spans="2:27" x14ac:dyDescent="0.25">
      <c r="B8" s="33" t="s">
        <v>109</v>
      </c>
      <c r="C8" s="31">
        <v>45000</v>
      </c>
      <c r="D8" s="31">
        <v>25000</v>
      </c>
      <c r="E8" s="31">
        <v>125000</v>
      </c>
      <c r="F8" s="31">
        <v>125000</v>
      </c>
      <c r="G8" s="31">
        <v>125000</v>
      </c>
      <c r="H8" s="31">
        <v>25000</v>
      </c>
      <c r="I8" s="31">
        <v>25000</v>
      </c>
      <c r="J8" s="31">
        <v>25000</v>
      </c>
      <c r="K8" s="31">
        <v>25000</v>
      </c>
      <c r="L8" s="31">
        <v>25000</v>
      </c>
      <c r="M8" s="31">
        <v>25000</v>
      </c>
      <c r="N8" s="31">
        <v>25000</v>
      </c>
      <c r="O8" s="31">
        <v>620000</v>
      </c>
      <c r="P8"/>
      <c r="Q8"/>
      <c r="R8"/>
      <c r="S8"/>
      <c r="T8"/>
      <c r="U8"/>
      <c r="V8"/>
      <c r="W8"/>
      <c r="X8"/>
      <c r="Y8"/>
      <c r="Z8"/>
      <c r="AA8"/>
    </row>
    <row r="9" spans="2:27" x14ac:dyDescent="0.25">
      <c r="B9" s="34" t="s">
        <v>164</v>
      </c>
      <c r="C9" s="31">
        <v>-65000</v>
      </c>
      <c r="D9" s="31">
        <v>-65000</v>
      </c>
      <c r="E9" s="31">
        <v>-65000</v>
      </c>
      <c r="F9" s="31">
        <v>-65000</v>
      </c>
      <c r="G9" s="31">
        <v>-65000</v>
      </c>
      <c r="H9" s="31">
        <v>-65000</v>
      </c>
      <c r="I9" s="31">
        <v>-65000</v>
      </c>
      <c r="J9" s="31">
        <v>-65000</v>
      </c>
      <c r="K9" s="31">
        <v>-65000</v>
      </c>
      <c r="L9" s="31">
        <v>-65000</v>
      </c>
      <c r="M9" s="31">
        <v>-65000</v>
      </c>
      <c r="N9" s="31">
        <v>-65000</v>
      </c>
      <c r="O9" s="31">
        <v>-780000</v>
      </c>
      <c r="P9"/>
      <c r="Q9"/>
      <c r="R9"/>
      <c r="S9"/>
      <c r="T9"/>
      <c r="U9"/>
      <c r="V9"/>
      <c r="W9"/>
      <c r="X9"/>
      <c r="Y9"/>
      <c r="Z9"/>
      <c r="AA9"/>
    </row>
    <row r="10" spans="2:27" x14ac:dyDescent="0.25">
      <c r="B10" s="35" t="s">
        <v>162</v>
      </c>
      <c r="C10" s="31">
        <v>-65000</v>
      </c>
      <c r="D10" s="31">
        <v>-65000</v>
      </c>
      <c r="E10" s="31">
        <v>-65000</v>
      </c>
      <c r="F10" s="31">
        <v>-65000</v>
      </c>
      <c r="G10" s="31">
        <v>-65000</v>
      </c>
      <c r="H10" s="31">
        <v>-65000</v>
      </c>
      <c r="I10" s="31">
        <v>-65000</v>
      </c>
      <c r="J10" s="31">
        <v>-65000</v>
      </c>
      <c r="K10" s="31">
        <v>-65000</v>
      </c>
      <c r="L10" s="31">
        <v>-65000</v>
      </c>
      <c r="M10" s="31">
        <v>-65000</v>
      </c>
      <c r="N10" s="31">
        <v>-65000</v>
      </c>
      <c r="O10" s="31">
        <v>-780000</v>
      </c>
      <c r="P10"/>
      <c r="Q10"/>
      <c r="R10"/>
      <c r="S10"/>
      <c r="T10"/>
      <c r="U10"/>
      <c r="V10"/>
      <c r="W10"/>
      <c r="X10"/>
      <c r="Y10"/>
      <c r="Z10"/>
      <c r="AA10"/>
    </row>
    <row r="11" spans="2:27" x14ac:dyDescent="0.25">
      <c r="B11" s="53" t="s">
        <v>153</v>
      </c>
      <c r="C11" s="31">
        <v>-45000</v>
      </c>
      <c r="D11" s="31">
        <v>-45000</v>
      </c>
      <c r="E11" s="31">
        <v>-45000</v>
      </c>
      <c r="F11" s="31">
        <v>-45000</v>
      </c>
      <c r="G11" s="31">
        <v>-45000</v>
      </c>
      <c r="H11" s="31">
        <v>-45000</v>
      </c>
      <c r="I11" s="31">
        <v>-45000</v>
      </c>
      <c r="J11" s="31">
        <v>-45000</v>
      </c>
      <c r="K11" s="31">
        <v>-45000</v>
      </c>
      <c r="L11" s="31">
        <v>-45000</v>
      </c>
      <c r="M11" s="31">
        <v>-45000</v>
      </c>
      <c r="N11" s="31">
        <v>-45000</v>
      </c>
      <c r="O11" s="31">
        <v>-540000</v>
      </c>
      <c r="P11"/>
      <c r="Q11"/>
      <c r="R11"/>
      <c r="S11"/>
      <c r="T11"/>
      <c r="U11"/>
      <c r="V11"/>
      <c r="W11"/>
      <c r="X11"/>
      <c r="Y11"/>
      <c r="Z11"/>
      <c r="AA11"/>
    </row>
    <row r="12" spans="2:27" x14ac:dyDescent="0.25">
      <c r="B12" s="53" t="s">
        <v>167</v>
      </c>
      <c r="C12" s="31">
        <v>-15000</v>
      </c>
      <c r="D12" s="31">
        <v>-15000</v>
      </c>
      <c r="E12" s="31">
        <v>-15000</v>
      </c>
      <c r="F12" s="31">
        <v>-15000</v>
      </c>
      <c r="G12" s="31">
        <v>-15000</v>
      </c>
      <c r="H12" s="31">
        <v>-15000</v>
      </c>
      <c r="I12" s="31">
        <v>-15000</v>
      </c>
      <c r="J12" s="31">
        <v>-15000</v>
      </c>
      <c r="K12" s="31">
        <v>-15000</v>
      </c>
      <c r="L12" s="31">
        <v>-15000</v>
      </c>
      <c r="M12" s="31">
        <v>-15000</v>
      </c>
      <c r="N12" s="31">
        <v>-15000</v>
      </c>
      <c r="O12" s="31">
        <v>-180000</v>
      </c>
      <c r="P12"/>
      <c r="Q12"/>
      <c r="R12"/>
      <c r="S12"/>
      <c r="T12"/>
      <c r="U12"/>
      <c r="V12"/>
      <c r="W12"/>
      <c r="X12"/>
      <c r="Y12"/>
      <c r="Z12"/>
      <c r="AA12"/>
    </row>
    <row r="13" spans="2:27" x14ac:dyDescent="0.25">
      <c r="B13" s="53" t="s">
        <v>166</v>
      </c>
      <c r="C13" s="31">
        <v>-5000</v>
      </c>
      <c r="D13" s="31">
        <v>-5000</v>
      </c>
      <c r="E13" s="31">
        <v>-5000</v>
      </c>
      <c r="F13" s="31">
        <v>-5000</v>
      </c>
      <c r="G13" s="31">
        <v>-5000</v>
      </c>
      <c r="H13" s="31">
        <v>-5000</v>
      </c>
      <c r="I13" s="31">
        <v>-5000</v>
      </c>
      <c r="J13" s="31">
        <v>-5000</v>
      </c>
      <c r="K13" s="31">
        <v>-5000</v>
      </c>
      <c r="L13" s="31">
        <v>-5000</v>
      </c>
      <c r="M13" s="31">
        <v>-5000</v>
      </c>
      <c r="N13" s="31">
        <v>-5000</v>
      </c>
      <c r="O13" s="31">
        <v>-60000</v>
      </c>
      <c r="P13"/>
      <c r="Q13"/>
      <c r="R13"/>
      <c r="S13"/>
      <c r="T13"/>
      <c r="U13"/>
      <c r="V13"/>
      <c r="W13"/>
      <c r="X13"/>
      <c r="Y13"/>
      <c r="Z13"/>
      <c r="AA13"/>
    </row>
    <row r="14" spans="2:27" x14ac:dyDescent="0.25">
      <c r="B14" s="34" t="s">
        <v>137</v>
      </c>
      <c r="C14" s="31">
        <v>20000</v>
      </c>
      <c r="D14" s="31"/>
      <c r="E14" s="31">
        <v>100000</v>
      </c>
      <c r="F14" s="31">
        <v>100000</v>
      </c>
      <c r="G14" s="31">
        <v>100000</v>
      </c>
      <c r="H14" s="31"/>
      <c r="I14" s="31"/>
      <c r="J14" s="31"/>
      <c r="K14" s="31"/>
      <c r="L14" s="31"/>
      <c r="M14" s="31"/>
      <c r="N14" s="31"/>
      <c r="O14" s="31">
        <v>320000</v>
      </c>
      <c r="P14"/>
      <c r="Q14"/>
      <c r="R14"/>
      <c r="S14"/>
      <c r="T14"/>
      <c r="U14"/>
      <c r="V14"/>
      <c r="W14"/>
      <c r="X14"/>
      <c r="Y14"/>
      <c r="Z14"/>
      <c r="AA14"/>
    </row>
    <row r="15" spans="2:27" x14ac:dyDescent="0.25">
      <c r="B15" s="35" t="s">
        <v>154</v>
      </c>
      <c r="C15" s="31">
        <v>20000</v>
      </c>
      <c r="D15" s="31"/>
      <c r="E15" s="31">
        <v>100000</v>
      </c>
      <c r="F15" s="31">
        <v>100000</v>
      </c>
      <c r="G15" s="31">
        <v>100000</v>
      </c>
      <c r="H15" s="31"/>
      <c r="I15" s="31"/>
      <c r="J15" s="31"/>
      <c r="K15" s="31"/>
      <c r="L15" s="31"/>
      <c r="M15" s="31"/>
      <c r="N15" s="31"/>
      <c r="O15" s="31">
        <v>320000</v>
      </c>
      <c r="P15"/>
      <c r="Q15"/>
      <c r="R15"/>
      <c r="S15"/>
      <c r="T15"/>
      <c r="U15"/>
      <c r="V15"/>
      <c r="W15"/>
      <c r="X15"/>
      <c r="Y15"/>
      <c r="Z15"/>
      <c r="AA15"/>
    </row>
    <row r="16" spans="2:27" x14ac:dyDescent="0.25">
      <c r="B16" s="53" t="s">
        <v>150</v>
      </c>
      <c r="C16" s="31">
        <v>20000</v>
      </c>
      <c r="D16" s="31"/>
      <c r="E16" s="31"/>
      <c r="F16" s="31"/>
      <c r="G16" s="31"/>
      <c r="H16" s="31"/>
      <c r="I16" s="31"/>
      <c r="J16" s="31"/>
      <c r="K16" s="31"/>
      <c r="L16" s="31"/>
      <c r="M16" s="31"/>
      <c r="N16" s="31"/>
      <c r="O16" s="31">
        <v>20000</v>
      </c>
      <c r="P16"/>
      <c r="Q16"/>
      <c r="R16"/>
      <c r="S16"/>
      <c r="T16"/>
      <c r="U16"/>
      <c r="V16"/>
      <c r="W16"/>
      <c r="X16"/>
      <c r="Y16"/>
      <c r="Z16"/>
      <c r="AA16"/>
    </row>
    <row r="17" spans="2:23" x14ac:dyDescent="0.25">
      <c r="B17" s="53" t="s">
        <v>149</v>
      </c>
      <c r="C17" s="31"/>
      <c r="D17" s="31"/>
      <c r="E17" s="31">
        <v>100000</v>
      </c>
      <c r="F17" s="31">
        <v>100000</v>
      </c>
      <c r="G17" s="31">
        <v>100000</v>
      </c>
      <c r="H17" s="31"/>
      <c r="I17" s="31"/>
      <c r="J17" s="31"/>
      <c r="K17" s="31"/>
      <c r="L17" s="31"/>
      <c r="M17" s="31"/>
      <c r="N17" s="31"/>
      <c r="O17" s="31">
        <v>300000</v>
      </c>
      <c r="P17"/>
      <c r="Q17"/>
      <c r="R17"/>
      <c r="S17"/>
      <c r="T17"/>
      <c r="U17"/>
      <c r="V17"/>
      <c r="W17"/>
    </row>
    <row r="18" spans="2:23" x14ac:dyDescent="0.25">
      <c r="B18" s="34" t="s">
        <v>170</v>
      </c>
      <c r="C18" s="31">
        <v>90000</v>
      </c>
      <c r="D18" s="31">
        <v>90000</v>
      </c>
      <c r="E18" s="31">
        <v>90000</v>
      </c>
      <c r="F18" s="31">
        <v>90000</v>
      </c>
      <c r="G18" s="31">
        <v>90000</v>
      </c>
      <c r="H18" s="31">
        <v>90000</v>
      </c>
      <c r="I18" s="31">
        <v>90000</v>
      </c>
      <c r="J18" s="31">
        <v>90000</v>
      </c>
      <c r="K18" s="31">
        <v>90000</v>
      </c>
      <c r="L18" s="31">
        <v>90000</v>
      </c>
      <c r="M18" s="31">
        <v>90000</v>
      </c>
      <c r="N18" s="31">
        <v>90000</v>
      </c>
      <c r="O18" s="31">
        <v>1080000</v>
      </c>
      <c r="P18"/>
      <c r="Q18"/>
      <c r="R18"/>
      <c r="S18"/>
      <c r="T18"/>
      <c r="U18"/>
      <c r="V18"/>
      <c r="W18"/>
    </row>
    <row r="19" spans="2:23" x14ac:dyDescent="0.25">
      <c r="B19" s="35" t="s">
        <v>162</v>
      </c>
      <c r="C19" s="31">
        <v>90000</v>
      </c>
      <c r="D19" s="31">
        <v>90000</v>
      </c>
      <c r="E19" s="31">
        <v>90000</v>
      </c>
      <c r="F19" s="31">
        <v>90000</v>
      </c>
      <c r="G19" s="31">
        <v>90000</v>
      </c>
      <c r="H19" s="31">
        <v>90000</v>
      </c>
      <c r="I19" s="31">
        <v>90000</v>
      </c>
      <c r="J19" s="31">
        <v>90000</v>
      </c>
      <c r="K19" s="31">
        <v>90000</v>
      </c>
      <c r="L19" s="31">
        <v>90000</v>
      </c>
      <c r="M19" s="31">
        <v>90000</v>
      </c>
      <c r="N19" s="31">
        <v>90000</v>
      </c>
      <c r="O19" s="31">
        <v>1080000</v>
      </c>
      <c r="P19"/>
      <c r="Q19"/>
      <c r="R19"/>
      <c r="S19"/>
      <c r="T19"/>
      <c r="U19"/>
      <c r="V19"/>
      <c r="W19"/>
    </row>
    <row r="20" spans="2:23" x14ac:dyDescent="0.25">
      <c r="B20" s="53" t="s">
        <v>168</v>
      </c>
      <c r="C20" s="31">
        <v>90000</v>
      </c>
      <c r="D20" s="31">
        <v>90000</v>
      </c>
      <c r="E20" s="31">
        <v>90000</v>
      </c>
      <c r="F20" s="31">
        <v>90000</v>
      </c>
      <c r="G20" s="31">
        <v>90000</v>
      </c>
      <c r="H20" s="31">
        <v>90000</v>
      </c>
      <c r="I20" s="31">
        <v>90000</v>
      </c>
      <c r="J20" s="31">
        <v>90000</v>
      </c>
      <c r="K20" s="31">
        <v>90000</v>
      </c>
      <c r="L20" s="31">
        <v>90000</v>
      </c>
      <c r="M20" s="31">
        <v>90000</v>
      </c>
      <c r="N20" s="31">
        <v>90000</v>
      </c>
      <c r="O20" s="31">
        <v>1080000</v>
      </c>
      <c r="P20"/>
      <c r="Q20"/>
      <c r="R20"/>
      <c r="S20"/>
      <c r="T20"/>
      <c r="U20"/>
      <c r="V20"/>
      <c r="W20"/>
    </row>
    <row r="21" spans="2:23" x14ac:dyDescent="0.25">
      <c r="B21" s="33"/>
      <c r="C21" s="31"/>
      <c r="D21" s="31"/>
      <c r="E21" s="31"/>
      <c r="F21" s="31"/>
      <c r="G21" s="31"/>
      <c r="H21" s="31"/>
      <c r="I21" s="31"/>
      <c r="J21" s="31"/>
      <c r="K21" s="31"/>
      <c r="L21" s="31"/>
      <c r="M21" s="31"/>
      <c r="N21" s="31"/>
      <c r="O21" s="31"/>
      <c r="P21"/>
      <c r="Q21"/>
      <c r="R21"/>
      <c r="S21"/>
      <c r="T21"/>
      <c r="U21"/>
      <c r="V21"/>
      <c r="W21"/>
    </row>
    <row r="22" spans="2:23" x14ac:dyDescent="0.25">
      <c r="B22" s="33" t="s">
        <v>2</v>
      </c>
      <c r="C22" s="31">
        <v>45000</v>
      </c>
      <c r="D22" s="31">
        <v>25000</v>
      </c>
      <c r="E22" s="31">
        <v>125000</v>
      </c>
      <c r="F22" s="31">
        <v>125000</v>
      </c>
      <c r="G22" s="31">
        <v>125000</v>
      </c>
      <c r="H22" s="31">
        <v>25000</v>
      </c>
      <c r="I22" s="31">
        <v>25000</v>
      </c>
      <c r="J22" s="31">
        <v>25000</v>
      </c>
      <c r="K22" s="31">
        <v>25000</v>
      </c>
      <c r="L22" s="31">
        <v>25000</v>
      </c>
      <c r="M22" s="31">
        <v>25000</v>
      </c>
      <c r="N22" s="31">
        <v>25000</v>
      </c>
      <c r="O22" s="31">
        <v>620000</v>
      </c>
      <c r="P22"/>
      <c r="Q22"/>
      <c r="R22"/>
      <c r="S22"/>
      <c r="T22"/>
      <c r="U22"/>
      <c r="V22"/>
      <c r="W22"/>
    </row>
    <row r="23" spans="2:23" x14ac:dyDescent="0.25">
      <c r="B23"/>
      <c r="C23"/>
      <c r="D23"/>
      <c r="E23"/>
      <c r="F23"/>
      <c r="G23"/>
      <c r="H23"/>
      <c r="I23"/>
      <c r="J23"/>
      <c r="K23"/>
      <c r="L23"/>
      <c r="M23"/>
      <c r="N23"/>
      <c r="O23"/>
      <c r="P23"/>
      <c r="Q23"/>
      <c r="R23"/>
      <c r="S23"/>
      <c r="T23"/>
      <c r="U23"/>
      <c r="V23"/>
      <c r="W23"/>
    </row>
    <row r="24" spans="2:23" x14ac:dyDescent="0.25">
      <c r="B24"/>
      <c r="C24"/>
      <c r="D24"/>
      <c r="E24"/>
      <c r="F24"/>
      <c r="G24"/>
      <c r="H24"/>
      <c r="I24"/>
      <c r="J24"/>
      <c r="K24"/>
      <c r="L24"/>
      <c r="M24"/>
      <c r="N24"/>
      <c r="O24"/>
      <c r="P24"/>
      <c r="Q24"/>
      <c r="R24"/>
      <c r="S24"/>
      <c r="T24"/>
      <c r="U24"/>
      <c r="V24"/>
      <c r="W24"/>
    </row>
    <row r="25" spans="2:23" x14ac:dyDescent="0.25">
      <c r="B25"/>
      <c r="C25"/>
      <c r="D25"/>
      <c r="E25"/>
      <c r="F25"/>
      <c r="G25"/>
      <c r="H25"/>
      <c r="I25"/>
      <c r="J25"/>
      <c r="K25"/>
      <c r="L25"/>
      <c r="M25"/>
      <c r="N25"/>
      <c r="O25"/>
      <c r="P25"/>
      <c r="Q25"/>
      <c r="R25"/>
      <c r="S25"/>
      <c r="T25"/>
      <c r="U25"/>
      <c r="V25"/>
      <c r="W25"/>
    </row>
    <row r="26" spans="2:23" x14ac:dyDescent="0.25">
      <c r="B26"/>
      <c r="C26"/>
      <c r="D26"/>
      <c r="E26"/>
      <c r="F26"/>
      <c r="G26"/>
      <c r="H26"/>
      <c r="I26"/>
      <c r="J26"/>
      <c r="K26"/>
      <c r="L26"/>
      <c r="M26"/>
      <c r="N26"/>
      <c r="O26"/>
      <c r="P26"/>
      <c r="Q26"/>
      <c r="R26"/>
    </row>
    <row r="27" spans="2:23" x14ac:dyDescent="0.25">
      <c r="B27"/>
      <c r="C27"/>
      <c r="D27"/>
      <c r="E27"/>
      <c r="F27"/>
      <c r="G27"/>
      <c r="H27"/>
      <c r="I27"/>
      <c r="J27"/>
      <c r="K27"/>
      <c r="L27"/>
      <c r="M27"/>
      <c r="N27"/>
      <c r="O27"/>
      <c r="P27"/>
      <c r="Q27"/>
      <c r="R27"/>
    </row>
    <row r="28" spans="2:23" x14ac:dyDescent="0.25">
      <c r="B28"/>
      <c r="C28"/>
      <c r="D28"/>
      <c r="E28"/>
      <c r="F28"/>
      <c r="G28"/>
      <c r="H28"/>
      <c r="I28"/>
      <c r="J28"/>
      <c r="K28"/>
      <c r="L28"/>
      <c r="M28"/>
      <c r="N28"/>
      <c r="O28"/>
    </row>
    <row r="29" spans="2:23" x14ac:dyDescent="0.25">
      <c r="B29"/>
      <c r="C29"/>
      <c r="D29"/>
      <c r="E29"/>
      <c r="F29"/>
      <c r="G29"/>
      <c r="H29"/>
      <c r="I29"/>
      <c r="J29"/>
      <c r="K29"/>
      <c r="L29"/>
      <c r="M29"/>
      <c r="N29"/>
      <c r="O29"/>
    </row>
    <row r="30" spans="2:23" x14ac:dyDescent="0.25">
      <c r="B30"/>
      <c r="C30"/>
      <c r="D30"/>
      <c r="E30"/>
      <c r="F30"/>
      <c r="G30"/>
      <c r="H30"/>
      <c r="I30"/>
      <c r="J30"/>
      <c r="K30"/>
      <c r="L30"/>
      <c r="M30"/>
      <c r="N30"/>
      <c r="O30"/>
    </row>
    <row r="31" spans="2:23" x14ac:dyDescent="0.25">
      <c r="B31"/>
      <c r="C31"/>
      <c r="D31"/>
      <c r="E31"/>
      <c r="F31"/>
      <c r="G31"/>
      <c r="H31"/>
      <c r="I31"/>
      <c r="J31"/>
      <c r="K31"/>
      <c r="L31"/>
      <c r="M31"/>
      <c r="N31"/>
      <c r="O31"/>
    </row>
    <row r="32" spans="2:23"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_RelCriar">
    <tabColor rgb="FFCFD24A"/>
  </sheetPr>
  <dimension ref="B3:H25"/>
  <sheetViews>
    <sheetView showGridLines="0" showRowColHeaders="0" zoomScale="115" zoomScaleNormal="115" workbookViewId="0">
      <selection activeCell="D9" sqref="D9"/>
    </sheetView>
  </sheetViews>
  <sheetFormatPr defaultColWidth="9.140625" defaultRowHeight="11.25" x14ac:dyDescent="0.2"/>
  <cols>
    <col min="1" max="1" width="2.140625" style="10" customWidth="1"/>
    <col min="2" max="2" width="20.140625" style="10" bestFit="1" customWidth="1"/>
    <col min="3" max="4" width="10.28515625" style="10" bestFit="1" customWidth="1"/>
    <col min="5" max="5" width="9.42578125" style="10" bestFit="1" customWidth="1"/>
    <col min="6" max="6" width="8.5703125" style="10" bestFit="1" customWidth="1"/>
    <col min="7" max="7" width="8.140625" style="10" customWidth="1"/>
    <col min="8" max="8" width="9" style="10" customWidth="1"/>
    <col min="9" max="9" width="10.7109375" style="10" bestFit="1" customWidth="1"/>
    <col min="10" max="16384" width="9.140625" style="10"/>
  </cols>
  <sheetData>
    <row r="3" spans="2:8" ht="17.25" customHeight="1" x14ac:dyDescent="0.2"/>
    <row r="4" spans="2:8" x14ac:dyDescent="0.2">
      <c r="B4" s="11" t="s">
        <v>17</v>
      </c>
      <c r="C4" s="10" t="s">
        <v>10</v>
      </c>
    </row>
    <row r="6" spans="2:8" ht="15" x14ac:dyDescent="0.25">
      <c r="B6" s="60" t="s">
        <v>69</v>
      </c>
      <c r="C6" s="18" t="s">
        <v>30</v>
      </c>
      <c r="E6"/>
      <c r="F6"/>
      <c r="G6"/>
      <c r="H6"/>
    </row>
    <row r="7" spans="2:8" ht="15" x14ac:dyDescent="0.25">
      <c r="B7" s="11" t="s">
        <v>104</v>
      </c>
      <c r="C7" s="15">
        <v>2018</v>
      </c>
      <c r="D7" s="10" t="s">
        <v>2</v>
      </c>
      <c r="E7"/>
      <c r="F7"/>
      <c r="G7"/>
      <c r="H7"/>
    </row>
    <row r="8" spans="2:8" ht="15" x14ac:dyDescent="0.25">
      <c r="B8" s="12" t="s">
        <v>137</v>
      </c>
      <c r="C8" s="13">
        <v>320000</v>
      </c>
      <c r="D8" s="13">
        <v>320000</v>
      </c>
      <c r="E8"/>
      <c r="F8"/>
      <c r="G8"/>
      <c r="H8"/>
    </row>
    <row r="9" spans="2:8" ht="15" x14ac:dyDescent="0.25">
      <c r="B9" s="12" t="s">
        <v>164</v>
      </c>
      <c r="C9" s="13">
        <v>-780000</v>
      </c>
      <c r="D9" s="13">
        <v>-780000</v>
      </c>
      <c r="E9"/>
      <c r="F9"/>
      <c r="G9"/>
      <c r="H9"/>
    </row>
    <row r="10" spans="2:8" ht="15" x14ac:dyDescent="0.25">
      <c r="B10" s="12" t="s">
        <v>170</v>
      </c>
      <c r="C10" s="13">
        <v>1080000</v>
      </c>
      <c r="D10" s="13">
        <v>1080000</v>
      </c>
      <c r="E10"/>
      <c r="F10"/>
      <c r="G10"/>
      <c r="H10"/>
    </row>
    <row r="11" spans="2:8" ht="15" x14ac:dyDescent="0.25">
      <c r="B11" s="12" t="s">
        <v>2</v>
      </c>
      <c r="C11" s="13">
        <v>620000</v>
      </c>
      <c r="D11" s="13">
        <v>620000</v>
      </c>
      <c r="E11"/>
      <c r="F11"/>
      <c r="G11"/>
      <c r="H11"/>
    </row>
    <row r="12" spans="2:8" ht="15" x14ac:dyDescent="0.25">
      <c r="B12"/>
      <c r="C12"/>
      <c r="D12"/>
      <c r="E12"/>
      <c r="F12"/>
      <c r="G12"/>
      <c r="H12"/>
    </row>
    <row r="13" spans="2:8" ht="15" x14ac:dyDescent="0.25">
      <c r="B13"/>
      <c r="C13"/>
      <c r="D13"/>
      <c r="E13"/>
      <c r="F13"/>
      <c r="G13"/>
      <c r="H13"/>
    </row>
    <row r="14" spans="2:8" ht="15" x14ac:dyDescent="0.25">
      <c r="B14"/>
      <c r="C14"/>
      <c r="D14"/>
      <c r="E14"/>
      <c r="F14"/>
      <c r="G14"/>
      <c r="H14"/>
    </row>
    <row r="15" spans="2:8" ht="15" x14ac:dyDescent="0.25">
      <c r="B15"/>
      <c r="C15"/>
      <c r="D15"/>
      <c r="E15"/>
      <c r="F15"/>
      <c r="G15"/>
      <c r="H15"/>
    </row>
    <row r="16" spans="2:8" ht="15" x14ac:dyDescent="0.25">
      <c r="B16"/>
      <c r="C16"/>
      <c r="D16"/>
      <c r="E16"/>
      <c r="F16"/>
      <c r="G16"/>
      <c r="H16"/>
    </row>
    <row r="17" spans="2:8" ht="15" x14ac:dyDescent="0.25">
      <c r="B17"/>
      <c r="C17"/>
      <c r="D17"/>
      <c r="E17"/>
      <c r="F17"/>
      <c r="G17"/>
      <c r="H17"/>
    </row>
    <row r="18" spans="2:8" ht="15" x14ac:dyDescent="0.25">
      <c r="B18"/>
      <c r="C18"/>
      <c r="D18"/>
      <c r="E18"/>
      <c r="F18"/>
      <c r="G18"/>
      <c r="H18"/>
    </row>
    <row r="19" spans="2:8" ht="15" x14ac:dyDescent="0.25">
      <c r="B19"/>
      <c r="C19"/>
      <c r="D19"/>
      <c r="E19"/>
      <c r="F19"/>
      <c r="G19"/>
      <c r="H19"/>
    </row>
    <row r="20" spans="2:8" ht="15" x14ac:dyDescent="0.25">
      <c r="B20"/>
      <c r="C20"/>
      <c r="D20"/>
      <c r="E20"/>
      <c r="F20"/>
      <c r="G20"/>
      <c r="H20"/>
    </row>
    <row r="21" spans="2:8" ht="15" x14ac:dyDescent="0.25">
      <c r="B21"/>
      <c r="C21"/>
      <c r="D21"/>
      <c r="E21"/>
      <c r="F21"/>
      <c r="G21"/>
      <c r="H21"/>
    </row>
    <row r="22" spans="2:8" ht="15" x14ac:dyDescent="0.25">
      <c r="B22"/>
      <c r="C22"/>
      <c r="D22"/>
      <c r="E22"/>
      <c r="F22"/>
      <c r="G22"/>
      <c r="H22"/>
    </row>
    <row r="23" spans="2:8" ht="15" x14ac:dyDescent="0.25">
      <c r="B23"/>
      <c r="C23"/>
      <c r="D23"/>
      <c r="E23"/>
      <c r="F23"/>
      <c r="G23"/>
      <c r="H23"/>
    </row>
    <row r="24" spans="2:8" ht="15" x14ac:dyDescent="0.25">
      <c r="B24"/>
      <c r="C24"/>
      <c r="D24"/>
      <c r="E24"/>
      <c r="F24"/>
      <c r="G24"/>
      <c r="H24"/>
    </row>
    <row r="25" spans="2:8" ht="15" x14ac:dyDescent="0.25">
      <c r="B25"/>
      <c r="C25"/>
      <c r="D25"/>
      <c r="E25"/>
      <c r="F25"/>
      <c r="G25"/>
      <c r="H25"/>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RelFluxoDeCaixa">
    <tabColor theme="8" tint="-0.249977111117893"/>
  </sheetPr>
  <dimension ref="A1:AB3000"/>
  <sheetViews>
    <sheetView showGridLines="0" workbookViewId="0">
      <pane ySplit="11" topLeftCell="A12" activePane="bottomLeft" state="frozen"/>
      <selection pane="bottomLeft" activeCell="E3000" sqref="E3000:P3000"/>
    </sheetView>
  </sheetViews>
  <sheetFormatPr defaultRowHeight="15" x14ac:dyDescent="0.25"/>
  <cols>
    <col min="1" max="1" width="1.7109375" customWidth="1"/>
    <col min="2" max="2" width="30" bestFit="1" customWidth="1"/>
    <col min="3" max="3" width="20.28515625" bestFit="1" customWidth="1"/>
    <col min="4" max="4" width="11.5703125" bestFit="1" customWidth="1"/>
    <col min="5" max="5" width="10.5703125" bestFit="1" customWidth="1"/>
    <col min="6" max="19" width="11.5703125" bestFit="1" customWidth="1"/>
    <col min="20" max="27" width="11.28515625" bestFit="1" customWidth="1"/>
    <col min="28" max="28" width="10.5703125" bestFit="1" customWidth="1"/>
  </cols>
  <sheetData>
    <row r="1" spans="1:28" ht="3" customHeight="1" x14ac:dyDescent="0.25">
      <c r="A1">
        <f>COUNTIF([0]!rng_DadosLanctosTD,"A REALIZAR")</f>
        <v>0</v>
      </c>
    </row>
    <row r="2" spans="1:28" ht="17.25" customHeight="1" x14ac:dyDescent="0.25"/>
    <row r="3" spans="1:28" ht="17.25" customHeight="1" x14ac:dyDescent="0.25"/>
    <row r="4" spans="1:28" ht="17.25" customHeight="1" x14ac:dyDescent="0.25"/>
    <row r="5" spans="1:28" ht="17.25" customHeight="1" x14ac:dyDescent="0.25">
      <c r="B5" s="2" t="s">
        <v>17</v>
      </c>
      <c r="C5" t="s">
        <v>10</v>
      </c>
    </row>
    <row r="6" spans="1:28" ht="17.25" customHeight="1" x14ac:dyDescent="0.25">
      <c r="B6" s="2" t="s">
        <v>18</v>
      </c>
      <c r="C6" t="s">
        <v>10</v>
      </c>
    </row>
    <row r="7" spans="1:28" x14ac:dyDescent="0.25">
      <c r="B7" s="2" t="s">
        <v>7</v>
      </c>
      <c r="C7" t="s">
        <v>10</v>
      </c>
    </row>
    <row r="8" spans="1:28" hidden="1" x14ac:dyDescent="0.25">
      <c r="B8" s="2" t="s">
        <v>122</v>
      </c>
      <c r="C8" t="s">
        <v>139</v>
      </c>
    </row>
    <row r="9" spans="1:28" s="78" customFormat="1" ht="19.5" customHeight="1" x14ac:dyDescent="0.25">
      <c r="C9" s="79" t="s">
        <v>121</v>
      </c>
      <c r="D9" s="80">
        <f>IF(COUNTIF(rng_DadosLanctosTD,"A REALIZAR")&gt;0,SUMIF(LANÇAMENTOS!U4:U20000,"REALIZADO",LANÇAMENTOS!F4:F20000),0)</f>
        <v>0</v>
      </c>
      <c r="E9" s="80">
        <f>D3000</f>
        <v>-65000</v>
      </c>
      <c r="F9" s="80">
        <f t="shared" ref="F9:P9" si="0">E3000</f>
        <v>-40000</v>
      </c>
      <c r="G9" s="78">
        <f t="shared" si="0"/>
        <v>85000</v>
      </c>
      <c r="H9" s="78">
        <f t="shared" si="0"/>
        <v>210000</v>
      </c>
      <c r="I9" s="78">
        <f t="shared" si="0"/>
        <v>335000</v>
      </c>
      <c r="J9" s="78">
        <f t="shared" si="0"/>
        <v>360000</v>
      </c>
      <c r="K9" s="78">
        <f t="shared" si="0"/>
        <v>385000</v>
      </c>
      <c r="L9" s="78">
        <f t="shared" si="0"/>
        <v>410000</v>
      </c>
      <c r="M9" s="78">
        <f t="shared" si="0"/>
        <v>435000</v>
      </c>
      <c r="N9" s="78">
        <f t="shared" si="0"/>
        <v>460000</v>
      </c>
      <c r="O9" s="78">
        <f t="shared" si="0"/>
        <v>485000</v>
      </c>
      <c r="P9" s="78">
        <f t="shared" si="0"/>
        <v>510000</v>
      </c>
    </row>
    <row r="10" spans="1:28" x14ac:dyDescent="0.25">
      <c r="B10" s="17" t="s">
        <v>102</v>
      </c>
      <c r="C10" s="51"/>
      <c r="D10" s="2" t="s">
        <v>11</v>
      </c>
    </row>
    <row r="11" spans="1:28" s="75" customFormat="1" x14ac:dyDescent="0.25">
      <c r="A11"/>
      <c r="B11" s="2" t="s">
        <v>120</v>
      </c>
      <c r="C11" s="2" t="s">
        <v>110</v>
      </c>
      <c r="D11" s="76">
        <v>43131</v>
      </c>
      <c r="E11" s="76">
        <v>43159</v>
      </c>
      <c r="F11" s="76">
        <v>43190</v>
      </c>
      <c r="G11" s="76">
        <v>43220</v>
      </c>
      <c r="H11" s="76">
        <v>43251</v>
      </c>
      <c r="I11" s="76">
        <v>43281</v>
      </c>
      <c r="J11" s="76">
        <v>43312</v>
      </c>
      <c r="K11" s="76">
        <v>43343</v>
      </c>
      <c r="L11" s="76">
        <v>43373</v>
      </c>
      <c r="M11" s="76">
        <v>43404</v>
      </c>
      <c r="N11" s="76">
        <v>43434</v>
      </c>
      <c r="O11" s="76">
        <v>43465</v>
      </c>
      <c r="P11" s="76" t="s">
        <v>2</v>
      </c>
      <c r="Q11"/>
      <c r="R11"/>
      <c r="S11"/>
      <c r="T11"/>
      <c r="U11"/>
      <c r="V11"/>
      <c r="W11"/>
      <c r="X11"/>
      <c r="Y11"/>
      <c r="Z11"/>
      <c r="AA11"/>
      <c r="AB11"/>
    </row>
    <row r="12" spans="1:28" x14ac:dyDescent="0.25">
      <c r="B12" s="3" t="s">
        <v>170</v>
      </c>
      <c r="D12" s="1"/>
      <c r="E12" s="1">
        <v>90000</v>
      </c>
      <c r="F12" s="1">
        <v>90000</v>
      </c>
      <c r="G12" s="1">
        <v>90000</v>
      </c>
      <c r="H12" s="1">
        <v>90000</v>
      </c>
      <c r="I12" s="1">
        <v>90000</v>
      </c>
      <c r="J12" s="1">
        <v>90000</v>
      </c>
      <c r="K12" s="1">
        <v>90000</v>
      </c>
      <c r="L12" s="1">
        <v>90000</v>
      </c>
      <c r="M12" s="1">
        <v>90000</v>
      </c>
      <c r="N12" s="1">
        <v>90000</v>
      </c>
      <c r="O12" s="1">
        <v>90000</v>
      </c>
      <c r="P12" s="1">
        <v>990000</v>
      </c>
    </row>
    <row r="13" spans="1:28" x14ac:dyDescent="0.25">
      <c r="B13" s="3"/>
      <c r="D13" s="1"/>
      <c r="E13" s="1"/>
      <c r="F13" s="1"/>
      <c r="G13" s="1"/>
      <c r="H13" s="1"/>
      <c r="I13" s="1"/>
      <c r="J13" s="1"/>
      <c r="K13" s="1"/>
      <c r="L13" s="1"/>
      <c r="M13" s="1"/>
      <c r="N13" s="1"/>
      <c r="O13" s="1"/>
      <c r="P13" s="1"/>
    </row>
    <row r="14" spans="1:28" x14ac:dyDescent="0.25">
      <c r="B14" s="3" t="s">
        <v>164</v>
      </c>
      <c r="D14" s="1">
        <v>-65000</v>
      </c>
      <c r="E14" s="1">
        <v>-65000</v>
      </c>
      <c r="F14" s="1">
        <v>-65000</v>
      </c>
      <c r="G14" s="1">
        <v>-65000</v>
      </c>
      <c r="H14" s="1">
        <v>-65000</v>
      </c>
      <c r="I14" s="1">
        <v>-65000</v>
      </c>
      <c r="J14" s="1">
        <v>-65000</v>
      </c>
      <c r="K14" s="1">
        <v>-65000</v>
      </c>
      <c r="L14" s="1">
        <v>-65000</v>
      </c>
      <c r="M14" s="1">
        <v>-65000</v>
      </c>
      <c r="N14" s="1">
        <v>-65000</v>
      </c>
      <c r="O14" s="1">
        <v>-65000</v>
      </c>
      <c r="P14" s="1">
        <v>-780000</v>
      </c>
    </row>
    <row r="15" spans="1:28" x14ac:dyDescent="0.25">
      <c r="B15" s="3"/>
      <c r="D15" s="1"/>
      <c r="E15" s="1"/>
      <c r="F15" s="1"/>
      <c r="G15" s="1"/>
      <c r="H15" s="1"/>
      <c r="I15" s="1"/>
      <c r="J15" s="1"/>
      <c r="K15" s="1"/>
      <c r="L15" s="1"/>
      <c r="M15" s="1"/>
      <c r="N15" s="1"/>
      <c r="O15" s="1"/>
      <c r="P15" s="1"/>
    </row>
    <row r="16" spans="1:28" x14ac:dyDescent="0.25">
      <c r="B16" s="3" t="s">
        <v>137</v>
      </c>
      <c r="D16" s="1"/>
      <c r="E16" s="1"/>
      <c r="F16" s="1">
        <v>100000</v>
      </c>
      <c r="G16" s="1">
        <v>100000</v>
      </c>
      <c r="H16" s="1">
        <v>100000</v>
      </c>
      <c r="I16" s="1"/>
      <c r="J16" s="1"/>
      <c r="K16" s="1"/>
      <c r="L16" s="1"/>
      <c r="M16" s="1"/>
      <c r="N16" s="1"/>
      <c r="O16" s="1"/>
      <c r="P16" s="1">
        <v>300000</v>
      </c>
    </row>
    <row r="17" spans="2:16" x14ac:dyDescent="0.25">
      <c r="B17" s="3"/>
      <c r="D17" s="1"/>
      <c r="E17" s="1"/>
      <c r="F17" s="1"/>
      <c r="G17" s="1"/>
      <c r="H17" s="1"/>
      <c r="I17" s="1"/>
      <c r="J17" s="1"/>
      <c r="K17" s="1"/>
      <c r="L17" s="1"/>
      <c r="M17" s="1"/>
      <c r="N17" s="1"/>
      <c r="O17" s="1"/>
      <c r="P17" s="1"/>
    </row>
    <row r="18" spans="2:16" x14ac:dyDescent="0.25">
      <c r="B18" s="3" t="s">
        <v>2</v>
      </c>
      <c r="D18" s="1">
        <v>-65000</v>
      </c>
      <c r="E18" s="1">
        <v>25000</v>
      </c>
      <c r="F18" s="1">
        <v>125000</v>
      </c>
      <c r="G18" s="1">
        <v>125000</v>
      </c>
      <c r="H18" s="1">
        <v>125000</v>
      </c>
      <c r="I18" s="1">
        <v>25000</v>
      </c>
      <c r="J18" s="1">
        <v>25000</v>
      </c>
      <c r="K18" s="1">
        <v>25000</v>
      </c>
      <c r="L18" s="1">
        <v>25000</v>
      </c>
      <c r="M18" s="1">
        <v>25000</v>
      </c>
      <c r="N18" s="1">
        <v>25000</v>
      </c>
      <c r="O18" s="1">
        <v>25000</v>
      </c>
      <c r="P18" s="1">
        <v>510000</v>
      </c>
    </row>
    <row r="19" spans="2:16" hidden="1" x14ac:dyDescent="0.25"/>
    <row r="20" spans="2:16" hidden="1" x14ac:dyDescent="0.25"/>
    <row r="21" spans="2:16" hidden="1" x14ac:dyDescent="0.25"/>
    <row r="22" spans="2:16" hidden="1" x14ac:dyDescent="0.25"/>
    <row r="23" spans="2:16" hidden="1" x14ac:dyDescent="0.25"/>
    <row r="24" spans="2:16" hidden="1" x14ac:dyDescent="0.25"/>
    <row r="25" spans="2:16" hidden="1" x14ac:dyDescent="0.25"/>
    <row r="26" spans="2:16" hidden="1" x14ac:dyDescent="0.25"/>
    <row r="27" spans="2:16" hidden="1" x14ac:dyDescent="0.25"/>
    <row r="28" spans="2:16" hidden="1" x14ac:dyDescent="0.25"/>
    <row r="29" spans="2:16" hidden="1" x14ac:dyDescent="0.25"/>
    <row r="30" spans="2:16" hidden="1" x14ac:dyDescent="0.25"/>
    <row r="31" spans="2:16" hidden="1" x14ac:dyDescent="0.25"/>
    <row r="32" spans="2:16"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spans="3:16" hidden="1" x14ac:dyDescent="0.25"/>
    <row r="2994" spans="3:16" hidden="1" x14ac:dyDescent="0.25"/>
    <row r="2995" spans="3:16" hidden="1" x14ac:dyDescent="0.25"/>
    <row r="2996" spans="3:16" hidden="1" x14ac:dyDescent="0.25"/>
    <row r="2997" spans="3:16" hidden="1" x14ac:dyDescent="0.25"/>
    <row r="2998" spans="3:16" hidden="1" x14ac:dyDescent="0.25"/>
    <row r="2999" spans="3:16" hidden="1" x14ac:dyDescent="0.25"/>
    <row r="3000" spans="3:16" s="78" customFormat="1" ht="19.5" customHeight="1" x14ac:dyDescent="0.25">
      <c r="C3000" s="77" t="s">
        <v>123</v>
      </c>
      <c r="D3000" s="78">
        <f>IF(D11="Total Geral",D9,D9+GETPIVOTDATA("VALOR",$B$10,"MÊS",DATE(YEAR(D11),MONTH(D11),DAY(D11))))</f>
        <v>-65000</v>
      </c>
      <c r="E3000" s="78">
        <f t="shared" ref="E3000:P3000" si="1">IF(E11="Total Geral",E9,E9+GETPIVOTDATA("VALOR",$B$10,"MÊS",DATE(YEAR(E11),MONTH(E11),DAY(E11))))</f>
        <v>-40000</v>
      </c>
      <c r="F3000" s="78">
        <f t="shared" si="1"/>
        <v>85000</v>
      </c>
      <c r="G3000" s="78">
        <f t="shared" si="1"/>
        <v>210000</v>
      </c>
      <c r="H3000" s="78">
        <f t="shared" si="1"/>
        <v>335000</v>
      </c>
      <c r="I3000" s="78">
        <f t="shared" si="1"/>
        <v>360000</v>
      </c>
      <c r="J3000" s="78">
        <f t="shared" si="1"/>
        <v>385000</v>
      </c>
      <c r="K3000" s="78">
        <f t="shared" si="1"/>
        <v>410000</v>
      </c>
      <c r="L3000" s="78">
        <f t="shared" si="1"/>
        <v>435000</v>
      </c>
      <c r="M3000" s="78">
        <f t="shared" si="1"/>
        <v>460000</v>
      </c>
      <c r="N3000" s="78">
        <f t="shared" si="1"/>
        <v>485000</v>
      </c>
      <c r="O3000" s="78">
        <f t="shared" si="1"/>
        <v>510000</v>
      </c>
      <c r="P3000" s="78">
        <f t="shared" si="1"/>
        <v>510000</v>
      </c>
    </row>
  </sheetData>
  <sheetProtection formatCells="0" formatColumns="0" formatRows="0" sort="0" autoFilter="0" pivotTables="0"/>
  <conditionalFormatting sqref="C9:BZ9 C3000:BZ3000">
    <cfRule type="expression" dxfId="0" priority="1">
      <formula>C$9&lt;&gt;""</formula>
    </cfRule>
  </conditionalFormatting>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14337" r:id="rId5" name="ScrollBar1">
          <controlPr defaultSize="0" autoLine="0" r:id="rId6">
            <anchor moveWithCells="1">
              <from>
                <xdr:col>1</xdr:col>
                <xdr:colOff>47625</xdr:colOff>
                <xdr:row>9</xdr:row>
                <xdr:rowOff>28575</xdr:rowOff>
              </from>
              <to>
                <xdr:col>1</xdr:col>
                <xdr:colOff>781050</xdr:colOff>
                <xdr:row>10</xdr:row>
                <xdr:rowOff>0</xdr:rowOff>
              </to>
            </anchor>
          </controlPr>
        </control>
      </mc:Choice>
      <mc:Fallback>
        <control shapeId="14337" r:id="rId5" name="ScrollBar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08381-7960-4293-8719-D57F0E184873}">
  <sheetPr codeName="Sht_RelRealizado">
    <tabColor theme="8" tint="-0.249977111117893"/>
  </sheetPr>
  <dimension ref="A1:D136"/>
  <sheetViews>
    <sheetView showGridLines="0" showRowColHeaders="0" workbookViewId="0">
      <pane ySplit="10" topLeftCell="A11" activePane="bottomLeft" state="frozen"/>
      <selection pane="bottomLeft" activeCell="D11" sqref="D11"/>
    </sheetView>
  </sheetViews>
  <sheetFormatPr defaultRowHeight="15" x14ac:dyDescent="0.25"/>
  <cols>
    <col min="1" max="1" width="2.85546875" customWidth="1"/>
    <col min="2" max="2" width="23" bestFit="1" customWidth="1"/>
    <col min="3" max="3" width="13.140625" bestFit="1" customWidth="1"/>
    <col min="4" max="4" width="13.140625" style="54" customWidth="1"/>
  </cols>
  <sheetData>
    <row r="1" spans="1:4" x14ac:dyDescent="0.25">
      <c r="A1" s="8">
        <f>COUNTIF([0]!rng_DadosLanctosTD,"A REALIZAR")</f>
        <v>0</v>
      </c>
    </row>
    <row r="2" spans="1:4" x14ac:dyDescent="0.25">
      <c r="D2" s="71" t="str">
        <f>IFERROR(IF(B2="Total Geral","",IF(B2="","",D1+C2)),$D$9+$C$11)</f>
        <v/>
      </c>
    </row>
    <row r="5" spans="1:4" x14ac:dyDescent="0.25">
      <c r="B5" s="2" t="s">
        <v>17</v>
      </c>
      <c r="C5" t="s">
        <v>10</v>
      </c>
    </row>
    <row r="6" spans="1:4" x14ac:dyDescent="0.25">
      <c r="B6" s="2" t="s">
        <v>18</v>
      </c>
      <c r="C6" t="s">
        <v>10</v>
      </c>
    </row>
    <row r="7" spans="1:4" x14ac:dyDescent="0.25">
      <c r="B7" s="2" t="s">
        <v>7</v>
      </c>
      <c r="C7" t="s">
        <v>10</v>
      </c>
    </row>
    <row r="8" spans="1:4" hidden="1" x14ac:dyDescent="0.25">
      <c r="B8" s="2" t="s">
        <v>122</v>
      </c>
      <c r="C8" t="s">
        <v>146</v>
      </c>
    </row>
    <row r="9" spans="1:4" s="120" customFormat="1" ht="12.75" customHeight="1" x14ac:dyDescent="0.25">
      <c r="C9" s="121"/>
      <c r="D9" s="122"/>
    </row>
    <row r="10" spans="1:4" s="59" customFormat="1" ht="19.5" customHeight="1" x14ac:dyDescent="0.25">
      <c r="B10" s="56" t="s">
        <v>3</v>
      </c>
      <c r="C10" s="57" t="s">
        <v>103</v>
      </c>
      <c r="D10" s="58" t="e">
        <f t="shared" ref="D10" si="0">IF(B10="Total Geral","",IF(B10="","",C10+D9))</f>
        <v>#VALUE!</v>
      </c>
    </row>
    <row r="11" spans="1:4" x14ac:dyDescent="0.25">
      <c r="B11" s="3">
        <v>2018</v>
      </c>
      <c r="C11" s="1">
        <v>110000</v>
      </c>
      <c r="D11" s="71">
        <f>IFERROR(IF(B11="Total Geral","",IF(B11="","",D10+C11)),$D$9+$C$11)</f>
        <v>110000</v>
      </c>
    </row>
    <row r="12" spans="1:4" x14ac:dyDescent="0.25">
      <c r="B12" s="3" t="s">
        <v>2</v>
      </c>
      <c r="C12" s="1">
        <v>110000</v>
      </c>
      <c r="D12" s="71"/>
    </row>
    <row r="13" spans="1:4" x14ac:dyDescent="0.25">
      <c r="D13" s="71"/>
    </row>
    <row r="14" spans="1:4" x14ac:dyDescent="0.25">
      <c r="D14" s="71"/>
    </row>
    <row r="15" spans="1:4" x14ac:dyDescent="0.25">
      <c r="D15" s="71"/>
    </row>
    <row r="16" spans="1:4" x14ac:dyDescent="0.25">
      <c r="D16" s="71"/>
    </row>
    <row r="17" spans="4:4" x14ac:dyDescent="0.25">
      <c r="D17" s="71"/>
    </row>
    <row r="18" spans="4:4" x14ac:dyDescent="0.25">
      <c r="D18" s="71"/>
    </row>
    <row r="19" spans="4:4" x14ac:dyDescent="0.25">
      <c r="D19" s="71"/>
    </row>
    <row r="20" spans="4:4" x14ac:dyDescent="0.25">
      <c r="D20" s="71"/>
    </row>
    <row r="21" spans="4:4" x14ac:dyDescent="0.25">
      <c r="D21" s="71"/>
    </row>
    <row r="22" spans="4:4" x14ac:dyDescent="0.25">
      <c r="D22" s="71"/>
    </row>
    <row r="23" spans="4:4" x14ac:dyDescent="0.25">
      <c r="D23" s="71"/>
    </row>
    <row r="24" spans="4:4" x14ac:dyDescent="0.25">
      <c r="D24" s="71"/>
    </row>
    <row r="25" spans="4:4" x14ac:dyDescent="0.25">
      <c r="D25" s="71"/>
    </row>
    <row r="26" spans="4:4" x14ac:dyDescent="0.25">
      <c r="D26" s="71"/>
    </row>
    <row r="27" spans="4:4" x14ac:dyDescent="0.25">
      <c r="D27" s="71"/>
    </row>
    <row r="28" spans="4:4" x14ac:dyDescent="0.25">
      <c r="D28" s="71"/>
    </row>
    <row r="29" spans="4:4" x14ac:dyDescent="0.25">
      <c r="D29" s="71"/>
    </row>
    <row r="30" spans="4:4" x14ac:dyDescent="0.25">
      <c r="D30" s="71"/>
    </row>
    <row r="31" spans="4:4" x14ac:dyDescent="0.25">
      <c r="D31" s="71"/>
    </row>
    <row r="32" spans="4:4" x14ac:dyDescent="0.25">
      <c r="D32" s="71"/>
    </row>
    <row r="33" spans="4:4" x14ac:dyDescent="0.25">
      <c r="D33" s="71"/>
    </row>
    <row r="34" spans="4:4" x14ac:dyDescent="0.25">
      <c r="D34" s="71"/>
    </row>
    <row r="35" spans="4:4" x14ac:dyDescent="0.25">
      <c r="D35" s="71"/>
    </row>
    <row r="36" spans="4:4" x14ac:dyDescent="0.25">
      <c r="D36" s="71"/>
    </row>
    <row r="37" spans="4:4" x14ac:dyDescent="0.25">
      <c r="D37" s="71"/>
    </row>
    <row r="38" spans="4:4" x14ac:dyDescent="0.25">
      <c r="D38" s="71"/>
    </row>
    <row r="39" spans="4:4" x14ac:dyDescent="0.25">
      <c r="D39" s="71"/>
    </row>
    <row r="40" spans="4:4" x14ac:dyDescent="0.25">
      <c r="D40" s="71"/>
    </row>
    <row r="41" spans="4:4" x14ac:dyDescent="0.25">
      <c r="D41" s="71"/>
    </row>
    <row r="42" spans="4:4" x14ac:dyDescent="0.25">
      <c r="D42" s="71"/>
    </row>
    <row r="43" spans="4:4" x14ac:dyDescent="0.25">
      <c r="D43" s="71"/>
    </row>
    <row r="44" spans="4:4" x14ac:dyDescent="0.25">
      <c r="D44" s="71"/>
    </row>
    <row r="45" spans="4:4" x14ac:dyDescent="0.25">
      <c r="D45" s="71"/>
    </row>
    <row r="46" spans="4:4" x14ac:dyDescent="0.25">
      <c r="D46" s="71"/>
    </row>
    <row r="47" spans="4:4" x14ac:dyDescent="0.25">
      <c r="D47" s="71"/>
    </row>
    <row r="48" spans="4:4" x14ac:dyDescent="0.25">
      <c r="D48" s="71"/>
    </row>
    <row r="49" spans="4:4" x14ac:dyDescent="0.25">
      <c r="D49" s="71"/>
    </row>
    <row r="50" spans="4:4" x14ac:dyDescent="0.25">
      <c r="D50" s="71"/>
    </row>
    <row r="51" spans="4:4" x14ac:dyDescent="0.25">
      <c r="D51" s="71"/>
    </row>
    <row r="52" spans="4:4" x14ac:dyDescent="0.25">
      <c r="D52" s="71"/>
    </row>
    <row r="53" spans="4:4" x14ac:dyDescent="0.25">
      <c r="D53" s="71"/>
    </row>
    <row r="54" spans="4:4" x14ac:dyDescent="0.25">
      <c r="D54" s="71"/>
    </row>
    <row r="55" spans="4:4" x14ac:dyDescent="0.25">
      <c r="D55" s="71"/>
    </row>
    <row r="56" spans="4:4" x14ac:dyDescent="0.25">
      <c r="D56" s="71"/>
    </row>
    <row r="57" spans="4:4" x14ac:dyDescent="0.25">
      <c r="D57" s="71"/>
    </row>
    <row r="58" spans="4:4" x14ac:dyDescent="0.25">
      <c r="D58" s="71"/>
    </row>
    <row r="59" spans="4:4" x14ac:dyDescent="0.25">
      <c r="D59" s="71"/>
    </row>
    <row r="60" spans="4:4" x14ac:dyDescent="0.25">
      <c r="D60" s="71"/>
    </row>
    <row r="61" spans="4:4" x14ac:dyDescent="0.25">
      <c r="D61" s="71"/>
    </row>
    <row r="62" spans="4:4" x14ac:dyDescent="0.25">
      <c r="D62" s="71"/>
    </row>
    <row r="63" spans="4:4" x14ac:dyDescent="0.25">
      <c r="D63" s="71"/>
    </row>
    <row r="64" spans="4:4" x14ac:dyDescent="0.25">
      <c r="D64" s="71"/>
    </row>
    <row r="65" spans="4:4" x14ac:dyDescent="0.25">
      <c r="D65" s="71"/>
    </row>
    <row r="66" spans="4:4" x14ac:dyDescent="0.25">
      <c r="D66" s="71"/>
    </row>
    <row r="67" spans="4:4" x14ac:dyDescent="0.25">
      <c r="D67" s="71"/>
    </row>
    <row r="68" spans="4:4" x14ac:dyDescent="0.25">
      <c r="D68" s="71"/>
    </row>
    <row r="69" spans="4:4" x14ac:dyDescent="0.25">
      <c r="D69" s="71"/>
    </row>
    <row r="70" spans="4:4" x14ac:dyDescent="0.25">
      <c r="D70" s="71"/>
    </row>
    <row r="71" spans="4:4" x14ac:dyDescent="0.25">
      <c r="D71" s="71"/>
    </row>
    <row r="72" spans="4:4" x14ac:dyDescent="0.25">
      <c r="D72" s="71"/>
    </row>
    <row r="73" spans="4:4" x14ac:dyDescent="0.25">
      <c r="D73" s="71"/>
    </row>
    <row r="74" spans="4:4" x14ac:dyDescent="0.25">
      <c r="D74" s="71"/>
    </row>
    <row r="75" spans="4:4" x14ac:dyDescent="0.25">
      <c r="D75" s="71"/>
    </row>
    <row r="76" spans="4:4" x14ac:dyDescent="0.25">
      <c r="D76" s="71"/>
    </row>
    <row r="77" spans="4:4" x14ac:dyDescent="0.25">
      <c r="D77" s="71"/>
    </row>
    <row r="78" spans="4:4" x14ac:dyDescent="0.25">
      <c r="D78" s="71"/>
    </row>
    <row r="79" spans="4:4" x14ac:dyDescent="0.25">
      <c r="D79" s="71"/>
    </row>
    <row r="80" spans="4:4" x14ac:dyDescent="0.25">
      <c r="D80" s="71"/>
    </row>
    <row r="81" spans="4:4" x14ac:dyDescent="0.25">
      <c r="D81" s="71"/>
    </row>
    <row r="82" spans="4:4" x14ac:dyDescent="0.25">
      <c r="D82" s="71"/>
    </row>
    <row r="83" spans="4:4" x14ac:dyDescent="0.25">
      <c r="D83" s="71"/>
    </row>
    <row r="84" spans="4:4" x14ac:dyDescent="0.25">
      <c r="D84" s="71"/>
    </row>
    <row r="85" spans="4:4" x14ac:dyDescent="0.25">
      <c r="D85" s="71"/>
    </row>
    <row r="86" spans="4:4" x14ac:dyDescent="0.25">
      <c r="D86" s="71"/>
    </row>
    <row r="87" spans="4:4" x14ac:dyDescent="0.25">
      <c r="D87" s="71"/>
    </row>
    <row r="88" spans="4:4" x14ac:dyDescent="0.25">
      <c r="D88" s="71"/>
    </row>
    <row r="89" spans="4:4" x14ac:dyDescent="0.25">
      <c r="D89" s="71"/>
    </row>
    <row r="90" spans="4:4" x14ac:dyDescent="0.25">
      <c r="D90" s="71"/>
    </row>
    <row r="91" spans="4:4" x14ac:dyDescent="0.25">
      <c r="D91" s="71"/>
    </row>
    <row r="92" spans="4:4" x14ac:dyDescent="0.25">
      <c r="D92" s="71"/>
    </row>
    <row r="93" spans="4:4" x14ac:dyDescent="0.25">
      <c r="D93" s="71"/>
    </row>
    <row r="94" spans="4:4" x14ac:dyDescent="0.25">
      <c r="D94" s="71"/>
    </row>
    <row r="95" spans="4:4" x14ac:dyDescent="0.25">
      <c r="D95" s="71"/>
    </row>
    <row r="96" spans="4:4" x14ac:dyDescent="0.25">
      <c r="D96" s="71"/>
    </row>
    <row r="97" spans="4:4" x14ac:dyDescent="0.25">
      <c r="D97" s="71"/>
    </row>
    <row r="98" spans="4:4" x14ac:dyDescent="0.25">
      <c r="D98" s="71"/>
    </row>
    <row r="99" spans="4:4" x14ac:dyDescent="0.25">
      <c r="D99" s="71"/>
    </row>
    <row r="100" spans="4:4" x14ac:dyDescent="0.25">
      <c r="D100" s="71"/>
    </row>
    <row r="101" spans="4:4" x14ac:dyDescent="0.25">
      <c r="D101" s="71"/>
    </row>
    <row r="102" spans="4:4" x14ac:dyDescent="0.25">
      <c r="D102" s="71"/>
    </row>
    <row r="103" spans="4:4" x14ac:dyDescent="0.25">
      <c r="D103" s="71"/>
    </row>
    <row r="104" spans="4:4" x14ac:dyDescent="0.25">
      <c r="D104" s="71"/>
    </row>
    <row r="105" spans="4:4" x14ac:dyDescent="0.25">
      <c r="D105" s="71"/>
    </row>
    <row r="106" spans="4:4" x14ac:dyDescent="0.25">
      <c r="D106" s="71"/>
    </row>
    <row r="107" spans="4:4" x14ac:dyDescent="0.25">
      <c r="D107" s="71"/>
    </row>
    <row r="108" spans="4:4" x14ac:dyDescent="0.25">
      <c r="D108" s="71"/>
    </row>
    <row r="109" spans="4:4" x14ac:dyDescent="0.25">
      <c r="D109" s="71"/>
    </row>
    <row r="110" spans="4:4" x14ac:dyDescent="0.25">
      <c r="D110" s="71"/>
    </row>
    <row r="111" spans="4:4" x14ac:dyDescent="0.25">
      <c r="D111" s="71"/>
    </row>
    <row r="112" spans="4:4" x14ac:dyDescent="0.25">
      <c r="D112" s="71"/>
    </row>
    <row r="113" spans="4:4" x14ac:dyDescent="0.25">
      <c r="D113" s="71"/>
    </row>
    <row r="114" spans="4:4" x14ac:dyDescent="0.25">
      <c r="D114" s="71"/>
    </row>
    <row r="115" spans="4:4" x14ac:dyDescent="0.25">
      <c r="D115" s="71"/>
    </row>
    <row r="116" spans="4:4" x14ac:dyDescent="0.25">
      <c r="D116" s="71"/>
    </row>
    <row r="117" spans="4:4" x14ac:dyDescent="0.25">
      <c r="D117" s="71"/>
    </row>
    <row r="118" spans="4:4" x14ac:dyDescent="0.25">
      <c r="D118" s="71"/>
    </row>
    <row r="119" spans="4:4" x14ac:dyDescent="0.25">
      <c r="D119" s="71"/>
    </row>
    <row r="120" spans="4:4" x14ac:dyDescent="0.25">
      <c r="D120" s="71"/>
    </row>
    <row r="121" spans="4:4" x14ac:dyDescent="0.25">
      <c r="D121" s="71"/>
    </row>
    <row r="122" spans="4:4" x14ac:dyDescent="0.25">
      <c r="D122" s="71"/>
    </row>
    <row r="123" spans="4:4" x14ac:dyDescent="0.25">
      <c r="D123" s="71"/>
    </row>
    <row r="124" spans="4:4" x14ac:dyDescent="0.25">
      <c r="D124" s="71"/>
    </row>
    <row r="125" spans="4:4" x14ac:dyDescent="0.25">
      <c r="D125" s="71"/>
    </row>
    <row r="126" spans="4:4" x14ac:dyDescent="0.25">
      <c r="D126" s="71"/>
    </row>
    <row r="127" spans="4:4" x14ac:dyDescent="0.25">
      <c r="D127" s="71"/>
    </row>
    <row r="128" spans="4:4" x14ac:dyDescent="0.25">
      <c r="D128" s="71"/>
    </row>
    <row r="129" spans="4:4" x14ac:dyDescent="0.25">
      <c r="D129" s="71"/>
    </row>
    <row r="130" spans="4:4" x14ac:dyDescent="0.25">
      <c r="D130" s="71"/>
    </row>
    <row r="131" spans="4:4" x14ac:dyDescent="0.25">
      <c r="D131" s="71"/>
    </row>
    <row r="132" spans="4:4" x14ac:dyDescent="0.25">
      <c r="D132" s="71"/>
    </row>
    <row r="133" spans="4:4" x14ac:dyDescent="0.25">
      <c r="D133" s="71"/>
    </row>
    <row r="134" spans="4:4" x14ac:dyDescent="0.25">
      <c r="D134" s="71"/>
    </row>
    <row r="135" spans="4:4" x14ac:dyDescent="0.25">
      <c r="D135" s="71"/>
    </row>
    <row r="136" spans="4:4" x14ac:dyDescent="0.25">
      <c r="D136" s="71"/>
    </row>
  </sheetData>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21505" r:id="rId5" name="ScrollBar1">
          <controlPr defaultSize="0" autoLine="0" r:id="rId6">
            <anchor moveWithCells="1">
              <from>
                <xdr:col>1</xdr:col>
                <xdr:colOff>28575</xdr:colOff>
                <xdr:row>9</xdr:row>
                <xdr:rowOff>47625</xdr:rowOff>
              </from>
              <to>
                <xdr:col>1</xdr:col>
                <xdr:colOff>762000</xdr:colOff>
                <xdr:row>9</xdr:row>
                <xdr:rowOff>209550</xdr:rowOff>
              </to>
            </anchor>
          </controlPr>
        </control>
      </mc:Choice>
      <mc:Fallback>
        <control shapeId="21505" r:id="rId5" name="ScrollBar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C4103-E8F9-4D42-B3EA-8A42CE0ED903}">
  <sheetPr codeName="Sht_RelAnaliseResultados">
    <tabColor theme="9" tint="-0.499984740745262"/>
  </sheetPr>
  <dimension ref="A1:CN75"/>
  <sheetViews>
    <sheetView showGridLines="0" showRowColHeaders="0" zoomScaleNormal="100" workbookViewId="0">
      <selection activeCell="Q12" sqref="Q12"/>
    </sheetView>
  </sheetViews>
  <sheetFormatPr defaultRowHeight="12" x14ac:dyDescent="0.2"/>
  <cols>
    <col min="1" max="1" width="1.28515625" style="83" customWidth="1"/>
    <col min="2" max="2" width="12.140625" style="83" bestFit="1" customWidth="1"/>
    <col min="3" max="3" width="13.85546875" style="83" bestFit="1" customWidth="1"/>
    <col min="4" max="13" width="10.28515625" style="83" bestFit="1" customWidth="1"/>
    <col min="14" max="14" width="11" style="83" bestFit="1" customWidth="1"/>
    <col min="15" max="15" width="10.42578125" style="83" bestFit="1" customWidth="1"/>
    <col min="16" max="16" width="9.28515625" style="83" bestFit="1" customWidth="1"/>
    <col min="17" max="17" width="9.85546875" style="83" bestFit="1" customWidth="1"/>
    <col min="18" max="18" width="9.28515625" style="83" bestFit="1" customWidth="1"/>
    <col min="19" max="19" width="9.85546875" style="83" bestFit="1" customWidth="1"/>
    <col min="20" max="20" width="9.28515625" style="83" bestFit="1" customWidth="1"/>
    <col min="21" max="21" width="9.85546875" style="83" bestFit="1" customWidth="1"/>
    <col min="22" max="22" width="9.28515625" style="83" bestFit="1" customWidth="1"/>
    <col min="23" max="23" width="10.5703125" style="83" bestFit="1" customWidth="1"/>
    <col min="24" max="24" width="21.140625" style="83" bestFit="1" customWidth="1"/>
    <col min="25" max="25" width="10.7109375" style="83" bestFit="1" customWidth="1"/>
    <col min="26" max="16384" width="9.140625" style="83"/>
  </cols>
  <sheetData>
    <row r="1" spans="1:92" s="81" customFormat="1" ht="3.75" customHeight="1" x14ac:dyDescent="0.2">
      <c r="A1" s="81">
        <f>COUNTIF(LANÇAMENTOS!$L$4:$L$20000,"RECEITA")+COUNTIF(LANÇAMENTOS!$L$4:$L$20000,"DESPESA")</f>
        <v>0</v>
      </c>
      <c r="C1" s="82">
        <f t="shared" ref="C1:S1" si="0">IF(OR(C18="",C18="Total Geral"),"",GETPIVOTDATA("Valor",$B$17,"MÊS",DATE(YEAR(C18),MONTH(C18),DAY(C18))))</f>
        <v>25000</v>
      </c>
      <c r="D1" s="82">
        <f t="shared" si="0"/>
        <v>25000</v>
      </c>
      <c r="E1" s="82">
        <f t="shared" si="0"/>
        <v>25000</v>
      </c>
      <c r="F1" s="82">
        <f t="shared" si="0"/>
        <v>25000</v>
      </c>
      <c r="G1" s="82">
        <f t="shared" si="0"/>
        <v>25000</v>
      </c>
      <c r="H1" s="82">
        <f t="shared" si="0"/>
        <v>25000</v>
      </c>
      <c r="I1" s="82">
        <f t="shared" si="0"/>
        <v>25000</v>
      </c>
      <c r="J1" s="82">
        <f t="shared" si="0"/>
        <v>25000</v>
      </c>
      <c r="K1" s="82">
        <f t="shared" si="0"/>
        <v>25000</v>
      </c>
      <c r="L1" s="82">
        <f t="shared" si="0"/>
        <v>25000</v>
      </c>
      <c r="M1" s="82">
        <f t="shared" si="0"/>
        <v>25000</v>
      </c>
      <c r="N1" s="82">
        <f t="shared" si="0"/>
        <v>25000</v>
      </c>
      <c r="O1" s="82" t="str">
        <f t="shared" si="0"/>
        <v/>
      </c>
      <c r="P1" s="82" t="str">
        <f t="shared" si="0"/>
        <v/>
      </c>
      <c r="Q1" s="82" t="str">
        <f t="shared" si="0"/>
        <v/>
      </c>
      <c r="R1" s="82" t="str">
        <f t="shared" si="0"/>
        <v/>
      </c>
      <c r="S1" s="82" t="str">
        <f t="shared" si="0"/>
        <v/>
      </c>
      <c r="T1" s="82" t="str">
        <f t="shared" ref="T1:CE1" si="1">IF(OR(T18="",T18="Total Geral"),"",GETPIVOTDATA("Valor",$B$17,"MÊS",DATE(YEAR(T18),MONTH(T18),DAY(T18))))</f>
        <v/>
      </c>
      <c r="U1" s="82" t="str">
        <f t="shared" si="1"/>
        <v/>
      </c>
      <c r="V1" s="82" t="str">
        <f t="shared" si="1"/>
        <v/>
      </c>
      <c r="W1" s="82" t="str">
        <f t="shared" si="1"/>
        <v/>
      </c>
      <c r="X1" s="82" t="str">
        <f t="shared" si="1"/>
        <v/>
      </c>
      <c r="Y1" s="82" t="str">
        <f t="shared" si="1"/>
        <v/>
      </c>
      <c r="Z1" s="82" t="str">
        <f t="shared" si="1"/>
        <v/>
      </c>
      <c r="AA1" s="82" t="str">
        <f t="shared" si="1"/>
        <v/>
      </c>
      <c r="AB1" s="82" t="str">
        <f t="shared" si="1"/>
        <v/>
      </c>
      <c r="AC1" s="82" t="str">
        <f t="shared" si="1"/>
        <v/>
      </c>
      <c r="AD1" s="82" t="str">
        <f t="shared" si="1"/>
        <v/>
      </c>
      <c r="AE1" s="82" t="str">
        <f t="shared" si="1"/>
        <v/>
      </c>
      <c r="AF1" s="82" t="str">
        <f t="shared" si="1"/>
        <v/>
      </c>
      <c r="AG1" s="82" t="str">
        <f t="shared" si="1"/>
        <v/>
      </c>
      <c r="AH1" s="82" t="str">
        <f t="shared" si="1"/>
        <v/>
      </c>
      <c r="AI1" s="82" t="str">
        <f t="shared" si="1"/>
        <v/>
      </c>
      <c r="AJ1" s="82" t="str">
        <f t="shared" si="1"/>
        <v/>
      </c>
      <c r="AK1" s="82" t="str">
        <f t="shared" si="1"/>
        <v/>
      </c>
      <c r="AL1" s="82" t="str">
        <f t="shared" si="1"/>
        <v/>
      </c>
      <c r="AM1" s="82" t="str">
        <f t="shared" si="1"/>
        <v/>
      </c>
      <c r="AN1" s="82" t="str">
        <f t="shared" si="1"/>
        <v/>
      </c>
      <c r="AO1" s="82" t="str">
        <f t="shared" si="1"/>
        <v/>
      </c>
      <c r="AP1" s="82" t="str">
        <f t="shared" si="1"/>
        <v/>
      </c>
      <c r="AQ1" s="82" t="str">
        <f t="shared" si="1"/>
        <v/>
      </c>
      <c r="AR1" s="82" t="str">
        <f t="shared" si="1"/>
        <v/>
      </c>
      <c r="AS1" s="82" t="str">
        <f t="shared" si="1"/>
        <v/>
      </c>
      <c r="AT1" s="82" t="str">
        <f t="shared" si="1"/>
        <v/>
      </c>
      <c r="AU1" s="82" t="str">
        <f t="shared" si="1"/>
        <v/>
      </c>
      <c r="AV1" s="82" t="str">
        <f t="shared" si="1"/>
        <v/>
      </c>
      <c r="AW1" s="82" t="str">
        <f t="shared" si="1"/>
        <v/>
      </c>
      <c r="AX1" s="82" t="str">
        <f t="shared" si="1"/>
        <v/>
      </c>
      <c r="AY1" s="82" t="str">
        <f t="shared" si="1"/>
        <v/>
      </c>
      <c r="AZ1" s="82" t="str">
        <f t="shared" si="1"/>
        <v/>
      </c>
      <c r="BA1" s="82" t="str">
        <f t="shared" si="1"/>
        <v/>
      </c>
      <c r="BB1" s="82" t="str">
        <f t="shared" si="1"/>
        <v/>
      </c>
      <c r="BC1" s="82" t="str">
        <f t="shared" si="1"/>
        <v/>
      </c>
      <c r="BD1" s="82" t="str">
        <f t="shared" si="1"/>
        <v/>
      </c>
      <c r="BE1" s="82" t="str">
        <f t="shared" si="1"/>
        <v/>
      </c>
      <c r="BF1" s="82" t="str">
        <f t="shared" si="1"/>
        <v/>
      </c>
      <c r="BG1" s="82" t="str">
        <f t="shared" si="1"/>
        <v/>
      </c>
      <c r="BH1" s="82" t="str">
        <f t="shared" si="1"/>
        <v/>
      </c>
      <c r="BI1" s="82" t="str">
        <f t="shared" si="1"/>
        <v/>
      </c>
      <c r="BJ1" s="82" t="str">
        <f t="shared" si="1"/>
        <v/>
      </c>
      <c r="BK1" s="82" t="str">
        <f t="shared" si="1"/>
        <v/>
      </c>
      <c r="BL1" s="82" t="str">
        <f t="shared" si="1"/>
        <v/>
      </c>
      <c r="BM1" s="82" t="str">
        <f t="shared" si="1"/>
        <v/>
      </c>
      <c r="BN1" s="82" t="str">
        <f t="shared" si="1"/>
        <v/>
      </c>
      <c r="BO1" s="82" t="str">
        <f t="shared" si="1"/>
        <v/>
      </c>
      <c r="BP1" s="82" t="str">
        <f t="shared" si="1"/>
        <v/>
      </c>
      <c r="BQ1" s="82" t="str">
        <f t="shared" si="1"/>
        <v/>
      </c>
      <c r="BR1" s="82" t="str">
        <f t="shared" si="1"/>
        <v/>
      </c>
      <c r="BS1" s="82" t="str">
        <f t="shared" si="1"/>
        <v/>
      </c>
      <c r="BT1" s="82" t="str">
        <f t="shared" si="1"/>
        <v/>
      </c>
      <c r="BU1" s="82" t="str">
        <f t="shared" si="1"/>
        <v/>
      </c>
      <c r="BV1" s="82" t="str">
        <f t="shared" si="1"/>
        <v/>
      </c>
      <c r="BW1" s="82" t="str">
        <f t="shared" si="1"/>
        <v/>
      </c>
      <c r="BX1" s="82" t="str">
        <f t="shared" si="1"/>
        <v/>
      </c>
      <c r="BY1" s="82" t="str">
        <f t="shared" si="1"/>
        <v/>
      </c>
      <c r="BZ1" s="82" t="str">
        <f t="shared" si="1"/>
        <v/>
      </c>
      <c r="CA1" s="82" t="str">
        <f t="shared" si="1"/>
        <v/>
      </c>
      <c r="CB1" s="82" t="str">
        <f t="shared" si="1"/>
        <v/>
      </c>
      <c r="CC1" s="82" t="str">
        <f t="shared" si="1"/>
        <v/>
      </c>
      <c r="CD1" s="82" t="str">
        <f t="shared" si="1"/>
        <v/>
      </c>
      <c r="CE1" s="82" t="str">
        <f t="shared" si="1"/>
        <v/>
      </c>
      <c r="CF1" s="82" t="str">
        <f t="shared" ref="CF1:CN1" si="2">IF(OR(CF18="",CF18="Total Geral"),"",GETPIVOTDATA("Valor",$B$17,"MÊS",DATE(YEAR(CF18),MONTH(CF18),DAY(CF18))))</f>
        <v/>
      </c>
      <c r="CG1" s="82" t="str">
        <f t="shared" si="2"/>
        <v/>
      </c>
      <c r="CH1" s="82" t="str">
        <f t="shared" si="2"/>
        <v/>
      </c>
      <c r="CI1" s="82" t="str">
        <f t="shared" si="2"/>
        <v/>
      </c>
      <c r="CJ1" s="82" t="str">
        <f t="shared" si="2"/>
        <v/>
      </c>
      <c r="CK1" s="82" t="str">
        <f t="shared" si="2"/>
        <v/>
      </c>
      <c r="CL1" s="82" t="str">
        <f t="shared" si="2"/>
        <v/>
      </c>
      <c r="CM1" s="82" t="str">
        <f t="shared" si="2"/>
        <v/>
      </c>
      <c r="CN1" s="82" t="str">
        <f t="shared" si="2"/>
        <v/>
      </c>
    </row>
    <row r="3" spans="1:92" ht="17.25" customHeight="1" x14ac:dyDescent="0.2"/>
    <row r="4" spans="1:92" ht="17.25" customHeight="1" x14ac:dyDescent="0.2"/>
    <row r="5" spans="1:92" ht="17.25" customHeight="1" x14ac:dyDescent="0.2"/>
    <row r="6" spans="1:92" ht="17.25" customHeight="1" x14ac:dyDescent="0.2"/>
    <row r="7" spans="1:92" ht="17.25" customHeight="1" x14ac:dyDescent="0.2"/>
    <row r="8" spans="1:92" ht="17.25" customHeight="1" x14ac:dyDescent="0.2"/>
    <row r="9" spans="1:92" ht="17.25" customHeight="1" x14ac:dyDescent="0.2"/>
    <row r="10" spans="1:92" ht="17.25" customHeight="1" x14ac:dyDescent="0.2"/>
    <row r="11" spans="1:92" ht="22.5" customHeight="1" x14ac:dyDescent="0.2"/>
    <row r="12" spans="1:92" x14ac:dyDescent="0.2">
      <c r="B12" s="84" t="s">
        <v>17</v>
      </c>
      <c r="C12" s="83" t="s">
        <v>10</v>
      </c>
      <c r="E12" s="124" t="s">
        <v>126</v>
      </c>
      <c r="F12" s="124"/>
      <c r="H12" s="125" t="s">
        <v>129</v>
      </c>
      <c r="I12" s="126"/>
      <c r="K12" s="116" t="s">
        <v>133</v>
      </c>
    </row>
    <row r="13" spans="1:92" x14ac:dyDescent="0.2">
      <c r="A13" s="85">
        <f>DATE(YEAR(InicioRelAnResultado),MONTH(InicioRelAnResultado),1)</f>
        <v>43101</v>
      </c>
      <c r="B13" s="84" t="s">
        <v>18</v>
      </c>
      <c r="C13" s="83" t="s">
        <v>10</v>
      </c>
      <c r="E13" s="86" t="s">
        <v>127</v>
      </c>
      <c r="F13" s="87">
        <v>43101</v>
      </c>
      <c r="H13" s="88" t="s">
        <v>130</v>
      </c>
      <c r="I13" s="89">
        <v>0.02</v>
      </c>
      <c r="J13" s="90"/>
      <c r="K13" s="119" t="e">
        <f>IRR(C1:WW1)</f>
        <v>#NUM!</v>
      </c>
    </row>
    <row r="14" spans="1:92" x14ac:dyDescent="0.2">
      <c r="A14" s="85">
        <f>EOMONTH(FimRelAnResultado,0)</f>
        <v>43465</v>
      </c>
      <c r="B14" s="84" t="s">
        <v>122</v>
      </c>
      <c r="C14" s="83" t="s">
        <v>10</v>
      </c>
      <c r="E14" s="91" t="s">
        <v>128</v>
      </c>
      <c r="F14" s="87">
        <v>43435</v>
      </c>
      <c r="H14" s="92" t="s">
        <v>131</v>
      </c>
      <c r="I14" s="93">
        <f>C1+NPV(I13,D1:WW1)</f>
        <v>269671.20113338809</v>
      </c>
    </row>
    <row r="15" spans="1:92" x14ac:dyDescent="0.2">
      <c r="B15" s="84" t="s">
        <v>1</v>
      </c>
      <c r="C15" s="83" t="s">
        <v>10</v>
      </c>
    </row>
    <row r="16" spans="1:92" s="81" customFormat="1" ht="12.75" customHeight="1" x14ac:dyDescent="0.2">
      <c r="C16" s="82">
        <f>IF(OR(C18="",C18="Total Geral"),"",GETPIVOTDATA("Valor",$B$17,"MÊS",DATE(YEAR(C18),MONTH(C18),DAY(C18))))</f>
        <v>25000</v>
      </c>
    </row>
    <row r="17" spans="2:15" x14ac:dyDescent="0.2">
      <c r="B17" s="94"/>
      <c r="C17" s="84" t="s">
        <v>132</v>
      </c>
    </row>
    <row r="18" spans="2:15" s="97" customFormat="1" x14ac:dyDescent="0.2">
      <c r="B18" s="95" t="s">
        <v>3</v>
      </c>
      <c r="C18" s="96">
        <v>43131</v>
      </c>
      <c r="D18" s="96">
        <v>43159</v>
      </c>
      <c r="E18" s="96">
        <v>43190</v>
      </c>
      <c r="F18" s="96">
        <v>43220</v>
      </c>
      <c r="G18" s="96">
        <v>43251</v>
      </c>
      <c r="H18" s="96">
        <v>43281</v>
      </c>
      <c r="I18" s="96">
        <v>43312</v>
      </c>
      <c r="J18" s="96">
        <v>43343</v>
      </c>
      <c r="K18" s="96">
        <v>43373</v>
      </c>
      <c r="L18" s="96">
        <v>43404</v>
      </c>
      <c r="M18" s="96">
        <v>43434</v>
      </c>
      <c r="N18" s="96">
        <v>43465</v>
      </c>
      <c r="O18" s="96" t="s">
        <v>2</v>
      </c>
    </row>
    <row r="19" spans="2:15" x14ac:dyDescent="0.2">
      <c r="B19" s="98" t="s">
        <v>170</v>
      </c>
      <c r="C19" s="99"/>
      <c r="D19" s="99"/>
      <c r="E19" s="99"/>
      <c r="F19" s="99"/>
      <c r="G19" s="99"/>
      <c r="H19" s="99"/>
      <c r="I19" s="99"/>
      <c r="J19" s="99"/>
      <c r="K19" s="99"/>
      <c r="L19" s="99"/>
      <c r="M19" s="99"/>
      <c r="N19" s="99"/>
      <c r="O19" s="99"/>
    </row>
    <row r="20" spans="2:15" x14ac:dyDescent="0.2">
      <c r="B20" s="117" t="s">
        <v>102</v>
      </c>
      <c r="C20" s="99">
        <v>90000</v>
      </c>
      <c r="D20" s="99">
        <v>90000</v>
      </c>
      <c r="E20" s="99">
        <v>90000</v>
      </c>
      <c r="F20" s="99">
        <v>90000</v>
      </c>
      <c r="G20" s="99">
        <v>90000</v>
      </c>
      <c r="H20" s="99">
        <v>90000</v>
      </c>
      <c r="I20" s="99">
        <v>90000</v>
      </c>
      <c r="J20" s="99">
        <v>90000</v>
      </c>
      <c r="K20" s="99">
        <v>90000</v>
      </c>
      <c r="L20" s="99">
        <v>90000</v>
      </c>
      <c r="M20" s="99">
        <v>90000</v>
      </c>
      <c r="N20" s="99">
        <v>90000</v>
      </c>
      <c r="O20" s="99">
        <v>1080000</v>
      </c>
    </row>
    <row r="21" spans="2:15" x14ac:dyDescent="0.2">
      <c r="B21" s="118" t="s">
        <v>145</v>
      </c>
      <c r="C21" s="100">
        <v>90000</v>
      </c>
      <c r="D21" s="100">
        <v>180000</v>
      </c>
      <c r="E21" s="100">
        <v>270000</v>
      </c>
      <c r="F21" s="100">
        <v>360000</v>
      </c>
      <c r="G21" s="100">
        <v>450000</v>
      </c>
      <c r="H21" s="100">
        <v>540000</v>
      </c>
      <c r="I21" s="100">
        <v>630000</v>
      </c>
      <c r="J21" s="100">
        <v>720000</v>
      </c>
      <c r="K21" s="100">
        <v>810000</v>
      </c>
      <c r="L21" s="100">
        <v>900000</v>
      </c>
      <c r="M21" s="100">
        <v>990000</v>
      </c>
      <c r="N21" s="100">
        <v>1080000</v>
      </c>
      <c r="O21" s="100"/>
    </row>
    <row r="22" spans="2:15" x14ac:dyDescent="0.2">
      <c r="B22" s="98"/>
      <c r="C22" s="99"/>
      <c r="D22" s="99"/>
      <c r="E22" s="99"/>
      <c r="F22" s="99"/>
      <c r="G22" s="99"/>
      <c r="H22" s="99"/>
      <c r="I22" s="99"/>
      <c r="J22" s="99"/>
      <c r="K22" s="99"/>
      <c r="L22" s="99"/>
      <c r="M22" s="99"/>
      <c r="N22" s="99"/>
      <c r="O22" s="99"/>
    </row>
    <row r="23" spans="2:15" x14ac:dyDescent="0.2">
      <c r="B23" s="98" t="s">
        <v>164</v>
      </c>
      <c r="C23" s="99"/>
      <c r="D23" s="99"/>
      <c r="E23" s="99"/>
      <c r="F23" s="99"/>
      <c r="G23" s="99"/>
      <c r="H23" s="99"/>
      <c r="I23" s="99"/>
      <c r="J23" s="99"/>
      <c r="K23" s="99"/>
      <c r="L23" s="99"/>
      <c r="M23" s="99"/>
      <c r="N23" s="99"/>
      <c r="O23" s="99"/>
    </row>
    <row r="24" spans="2:15" x14ac:dyDescent="0.2">
      <c r="B24" s="117" t="s">
        <v>102</v>
      </c>
      <c r="C24" s="99">
        <v>-65000</v>
      </c>
      <c r="D24" s="99">
        <v>-65000</v>
      </c>
      <c r="E24" s="99">
        <v>-65000</v>
      </c>
      <c r="F24" s="99">
        <v>-65000</v>
      </c>
      <c r="G24" s="99">
        <v>-65000</v>
      </c>
      <c r="H24" s="99">
        <v>-65000</v>
      </c>
      <c r="I24" s="99">
        <v>-65000</v>
      </c>
      <c r="J24" s="99">
        <v>-65000</v>
      </c>
      <c r="K24" s="99">
        <v>-65000</v>
      </c>
      <c r="L24" s="99">
        <v>-65000</v>
      </c>
      <c r="M24" s="99">
        <v>-65000</v>
      </c>
      <c r="N24" s="99">
        <v>-65000</v>
      </c>
      <c r="O24" s="99">
        <v>-780000</v>
      </c>
    </row>
    <row r="25" spans="2:15" x14ac:dyDescent="0.2">
      <c r="B25" s="118" t="s">
        <v>145</v>
      </c>
      <c r="C25" s="100">
        <v>-65000</v>
      </c>
      <c r="D25" s="100">
        <v>-130000</v>
      </c>
      <c r="E25" s="100">
        <v>-195000</v>
      </c>
      <c r="F25" s="100">
        <v>-260000</v>
      </c>
      <c r="G25" s="100">
        <v>-325000</v>
      </c>
      <c r="H25" s="100">
        <v>-390000</v>
      </c>
      <c r="I25" s="100">
        <v>-455000</v>
      </c>
      <c r="J25" s="100">
        <v>-520000</v>
      </c>
      <c r="K25" s="100">
        <v>-585000</v>
      </c>
      <c r="L25" s="100">
        <v>-650000</v>
      </c>
      <c r="M25" s="100">
        <v>-715000</v>
      </c>
      <c r="N25" s="100">
        <v>-780000</v>
      </c>
      <c r="O25" s="100"/>
    </row>
    <row r="26" spans="2:15" x14ac:dyDescent="0.2">
      <c r="B26" s="98"/>
      <c r="C26" s="99"/>
      <c r="D26" s="99"/>
      <c r="E26" s="99"/>
      <c r="F26" s="99"/>
      <c r="G26" s="99"/>
      <c r="H26" s="99"/>
      <c r="I26" s="99"/>
      <c r="J26" s="99"/>
      <c r="K26" s="99"/>
      <c r="L26" s="99"/>
      <c r="M26" s="99"/>
      <c r="N26" s="99"/>
      <c r="O26" s="99"/>
    </row>
    <row r="27" spans="2:15" x14ac:dyDescent="0.2">
      <c r="B27" s="98" t="s">
        <v>140</v>
      </c>
      <c r="C27" s="99">
        <v>25000</v>
      </c>
      <c r="D27" s="99">
        <v>25000</v>
      </c>
      <c r="E27" s="99">
        <v>25000</v>
      </c>
      <c r="F27" s="99">
        <v>25000</v>
      </c>
      <c r="G27" s="99">
        <v>25000</v>
      </c>
      <c r="H27" s="99">
        <v>25000</v>
      </c>
      <c r="I27" s="99">
        <v>25000</v>
      </c>
      <c r="J27" s="99">
        <v>25000</v>
      </c>
      <c r="K27" s="99">
        <v>25000</v>
      </c>
      <c r="L27" s="99">
        <v>25000</v>
      </c>
      <c r="M27" s="99">
        <v>25000</v>
      </c>
      <c r="N27" s="99">
        <v>25000</v>
      </c>
      <c r="O27" s="99">
        <v>300000</v>
      </c>
    </row>
    <row r="28" spans="2:15" x14ac:dyDescent="0.2">
      <c r="B28" s="98" t="s">
        <v>141</v>
      </c>
      <c r="C28" s="100">
        <v>25000</v>
      </c>
      <c r="D28" s="100">
        <v>50000</v>
      </c>
      <c r="E28" s="100">
        <v>75000</v>
      </c>
      <c r="F28" s="100">
        <v>100000</v>
      </c>
      <c r="G28" s="100">
        <v>125000</v>
      </c>
      <c r="H28" s="100">
        <v>150000</v>
      </c>
      <c r="I28" s="100">
        <v>175000</v>
      </c>
      <c r="J28" s="100">
        <v>200000</v>
      </c>
      <c r="K28" s="100">
        <v>225000</v>
      </c>
      <c r="L28" s="100">
        <v>250000</v>
      </c>
      <c r="M28" s="100">
        <v>275000</v>
      </c>
      <c r="N28" s="100">
        <v>300000</v>
      </c>
      <c r="O28" s="100"/>
    </row>
    <row r="29" spans="2:15" x14ac:dyDescent="0.2">
      <c r="B29"/>
      <c r="C29"/>
      <c r="D29"/>
      <c r="E29"/>
      <c r="F29"/>
      <c r="G29"/>
      <c r="H29"/>
      <c r="I29"/>
      <c r="J29"/>
      <c r="K29"/>
      <c r="L29"/>
      <c r="M29"/>
      <c r="N29"/>
      <c r="O29"/>
    </row>
    <row r="30" spans="2:15" x14ac:dyDescent="0.2">
      <c r="B30"/>
      <c r="C30"/>
      <c r="D30"/>
      <c r="E30"/>
      <c r="F30"/>
      <c r="G30"/>
      <c r="H30"/>
      <c r="I30"/>
      <c r="J30"/>
      <c r="K30"/>
      <c r="L30"/>
      <c r="M30"/>
      <c r="N30"/>
      <c r="O30"/>
    </row>
    <row r="31" spans="2:15" x14ac:dyDescent="0.2">
      <c r="B31"/>
      <c r="C31"/>
      <c r="D31"/>
      <c r="E31"/>
      <c r="F31"/>
      <c r="G31"/>
      <c r="H31"/>
      <c r="I31"/>
      <c r="J31"/>
      <c r="K31"/>
      <c r="L31"/>
      <c r="M31"/>
      <c r="N31"/>
      <c r="O31"/>
    </row>
    <row r="32" spans="2:15" x14ac:dyDescent="0.2">
      <c r="B32"/>
      <c r="C32"/>
      <c r="D32"/>
      <c r="E32"/>
      <c r="F32"/>
      <c r="G32"/>
      <c r="H32"/>
      <c r="I32"/>
      <c r="J32"/>
      <c r="K32"/>
      <c r="L32"/>
      <c r="M32"/>
      <c r="N32"/>
      <c r="O32"/>
    </row>
    <row r="33" spans="2:15" x14ac:dyDescent="0.2">
      <c r="B33"/>
      <c r="C33"/>
      <c r="D33"/>
      <c r="E33"/>
      <c r="F33"/>
      <c r="G33"/>
      <c r="H33"/>
      <c r="I33"/>
      <c r="J33"/>
      <c r="K33"/>
      <c r="L33"/>
      <c r="M33"/>
      <c r="N33"/>
      <c r="O33"/>
    </row>
    <row r="34" spans="2:15" x14ac:dyDescent="0.2">
      <c r="B34"/>
      <c r="C34"/>
      <c r="D34"/>
      <c r="E34"/>
      <c r="F34"/>
      <c r="G34"/>
      <c r="H34"/>
      <c r="I34"/>
      <c r="J34"/>
      <c r="K34"/>
      <c r="L34"/>
      <c r="M34"/>
      <c r="N34"/>
      <c r="O34"/>
    </row>
    <row r="35" spans="2:15" ht="15" x14ac:dyDescent="0.25">
      <c r="B35"/>
      <c r="C35"/>
      <c r="D35"/>
      <c r="E35"/>
      <c r="F35"/>
      <c r="G35"/>
      <c r="H35"/>
      <c r="I35"/>
      <c r="J35"/>
      <c r="K35"/>
      <c r="L35"/>
      <c r="M35"/>
      <c r="N35"/>
      <c r="O35"/>
    </row>
    <row r="36" spans="2:15" ht="15" x14ac:dyDescent="0.25">
      <c r="B36"/>
      <c r="C36"/>
      <c r="D36"/>
      <c r="E36"/>
      <c r="F36"/>
      <c r="G36"/>
      <c r="H36"/>
      <c r="I36"/>
      <c r="J36"/>
      <c r="K36"/>
      <c r="L36"/>
      <c r="M36"/>
      <c r="N36"/>
      <c r="O36"/>
    </row>
    <row r="37" spans="2:15" ht="15" x14ac:dyDescent="0.25">
      <c r="B37"/>
      <c r="C37"/>
      <c r="D37"/>
      <c r="E37"/>
      <c r="F37"/>
      <c r="G37"/>
      <c r="H37"/>
      <c r="I37"/>
      <c r="J37"/>
      <c r="K37"/>
      <c r="L37"/>
      <c r="M37"/>
      <c r="N37"/>
      <c r="O37"/>
    </row>
    <row r="38" spans="2:15" ht="15" x14ac:dyDescent="0.25">
      <c r="B38"/>
      <c r="C38"/>
      <c r="D38"/>
      <c r="E38"/>
      <c r="F38"/>
      <c r="G38"/>
      <c r="H38"/>
      <c r="I38"/>
      <c r="J38"/>
      <c r="K38"/>
      <c r="L38"/>
      <c r="M38"/>
      <c r="N38"/>
      <c r="O38"/>
    </row>
    <row r="39" spans="2:15" ht="15" x14ac:dyDescent="0.25">
      <c r="B39"/>
      <c r="C39"/>
      <c r="D39"/>
      <c r="E39"/>
      <c r="F39"/>
      <c r="G39"/>
      <c r="H39"/>
      <c r="I39"/>
      <c r="J39"/>
      <c r="K39"/>
      <c r="L39"/>
      <c r="M39"/>
      <c r="N39"/>
      <c r="O39"/>
    </row>
    <row r="40" spans="2:15" ht="15" x14ac:dyDescent="0.25">
      <c r="B40"/>
      <c r="C40"/>
      <c r="D40"/>
      <c r="E40"/>
      <c r="F40"/>
      <c r="G40"/>
      <c r="H40"/>
      <c r="I40"/>
      <c r="J40"/>
      <c r="K40"/>
      <c r="L40"/>
      <c r="M40"/>
      <c r="N40"/>
      <c r="O40"/>
    </row>
    <row r="41" spans="2:15" ht="15" x14ac:dyDescent="0.25">
      <c r="B41"/>
      <c r="C41"/>
      <c r="D41"/>
      <c r="E41"/>
      <c r="F41"/>
      <c r="G41"/>
      <c r="H41"/>
      <c r="I41"/>
      <c r="J41"/>
      <c r="K41"/>
      <c r="L41"/>
      <c r="M41"/>
      <c r="N41"/>
      <c r="O41"/>
    </row>
    <row r="42" spans="2:15" ht="15" x14ac:dyDescent="0.25">
      <c r="B42"/>
      <c r="C42"/>
      <c r="D42"/>
      <c r="E42"/>
      <c r="F42"/>
      <c r="G42"/>
      <c r="H42"/>
      <c r="I42"/>
      <c r="J42"/>
      <c r="K42"/>
      <c r="L42"/>
      <c r="M42"/>
      <c r="N42"/>
      <c r="O42"/>
    </row>
    <row r="43" spans="2:15" ht="15" x14ac:dyDescent="0.25">
      <c r="B43"/>
      <c r="C43"/>
      <c r="D43"/>
      <c r="E43"/>
      <c r="F43"/>
      <c r="G43"/>
      <c r="H43"/>
      <c r="I43"/>
      <c r="J43"/>
      <c r="K43"/>
      <c r="L43"/>
      <c r="M43"/>
      <c r="N43"/>
      <c r="O43"/>
    </row>
    <row r="45" spans="2:15" hidden="1" x14ac:dyDescent="0.2">
      <c r="B45" s="84" t="s">
        <v>17</v>
      </c>
      <c r="C45" s="83" t="s">
        <v>10</v>
      </c>
    </row>
    <row r="46" spans="2:15" hidden="1" x14ac:dyDescent="0.2">
      <c r="B46" s="84" t="s">
        <v>18</v>
      </c>
      <c r="C46" s="83" t="s">
        <v>10</v>
      </c>
    </row>
    <row r="47" spans="2:15" hidden="1" x14ac:dyDescent="0.2">
      <c r="B47" s="84" t="s">
        <v>1</v>
      </c>
      <c r="C47" s="83" t="s">
        <v>10</v>
      </c>
    </row>
    <row r="48" spans="2:15" hidden="1" x14ac:dyDescent="0.2">
      <c r="B48" s="84" t="s">
        <v>5</v>
      </c>
      <c r="C48" s="83" t="s">
        <v>171</v>
      </c>
    </row>
    <row r="49" spans="2:3" hidden="1" x14ac:dyDescent="0.2"/>
    <row r="50" spans="2:3" hidden="1" x14ac:dyDescent="0.2">
      <c r="B50" s="84" t="s">
        <v>3</v>
      </c>
      <c r="C50" s="83" t="s">
        <v>119</v>
      </c>
    </row>
    <row r="51" spans="2:3" hidden="1" x14ac:dyDescent="0.2">
      <c r="B51" s="101">
        <v>43131</v>
      </c>
      <c r="C51" s="99">
        <v>25000</v>
      </c>
    </row>
    <row r="52" spans="2:3" hidden="1" x14ac:dyDescent="0.2">
      <c r="B52" s="101">
        <v>43159</v>
      </c>
      <c r="C52" s="99">
        <v>25000</v>
      </c>
    </row>
    <row r="53" spans="2:3" hidden="1" x14ac:dyDescent="0.2">
      <c r="B53" s="101">
        <v>43190</v>
      </c>
      <c r="C53" s="99">
        <v>25000</v>
      </c>
    </row>
    <row r="54" spans="2:3" hidden="1" x14ac:dyDescent="0.2">
      <c r="B54" s="101">
        <v>43220</v>
      </c>
      <c r="C54" s="99">
        <v>25000</v>
      </c>
    </row>
    <row r="55" spans="2:3" hidden="1" x14ac:dyDescent="0.2">
      <c r="B55" s="101">
        <v>43251</v>
      </c>
      <c r="C55" s="99">
        <v>25000</v>
      </c>
    </row>
    <row r="56" spans="2:3" hidden="1" x14ac:dyDescent="0.2">
      <c r="B56" s="101">
        <v>43281</v>
      </c>
      <c r="C56" s="99">
        <v>25000</v>
      </c>
    </row>
    <row r="57" spans="2:3" hidden="1" x14ac:dyDescent="0.2">
      <c r="B57" s="101">
        <v>43312</v>
      </c>
      <c r="C57" s="99">
        <v>25000</v>
      </c>
    </row>
    <row r="58" spans="2:3" hidden="1" x14ac:dyDescent="0.2">
      <c r="B58" s="101">
        <v>43343</v>
      </c>
      <c r="C58" s="99">
        <v>25000</v>
      </c>
    </row>
    <row r="59" spans="2:3" hidden="1" x14ac:dyDescent="0.2">
      <c r="B59" s="101">
        <v>43373</v>
      </c>
      <c r="C59" s="99">
        <v>25000</v>
      </c>
    </row>
    <row r="60" spans="2:3" hidden="1" x14ac:dyDescent="0.2">
      <c r="B60" s="101">
        <v>43404</v>
      </c>
      <c r="C60" s="99">
        <v>25000</v>
      </c>
    </row>
    <row r="61" spans="2:3" hidden="1" x14ac:dyDescent="0.2">
      <c r="B61" s="101">
        <v>43434</v>
      </c>
      <c r="C61" s="99">
        <v>25000</v>
      </c>
    </row>
    <row r="62" spans="2:3" hidden="1" x14ac:dyDescent="0.2">
      <c r="B62" s="101">
        <v>43465</v>
      </c>
      <c r="C62" s="99">
        <v>25000</v>
      </c>
    </row>
    <row r="63" spans="2:3" hidden="1" x14ac:dyDescent="0.2">
      <c r="B63" s="101" t="s">
        <v>2</v>
      </c>
      <c r="C63" s="99">
        <v>300000</v>
      </c>
    </row>
    <row r="64" spans="2:3" ht="15" hidden="1" x14ac:dyDescent="0.25">
      <c r="B64"/>
      <c r="C64"/>
    </row>
    <row r="65" spans="2:3" ht="15" hidden="1" x14ac:dyDescent="0.25">
      <c r="B65"/>
      <c r="C65"/>
    </row>
    <row r="66" spans="2:3" ht="15" hidden="1" x14ac:dyDescent="0.25">
      <c r="B66"/>
      <c r="C66"/>
    </row>
    <row r="67" spans="2:3" ht="15" hidden="1" x14ac:dyDescent="0.25">
      <c r="B67"/>
      <c r="C67"/>
    </row>
    <row r="68" spans="2:3" ht="15" hidden="1" x14ac:dyDescent="0.25">
      <c r="B68"/>
      <c r="C68"/>
    </row>
    <row r="69" spans="2:3" ht="15" hidden="1" x14ac:dyDescent="0.25">
      <c r="B69"/>
      <c r="C69"/>
    </row>
    <row r="70" spans="2:3" ht="15" hidden="1" x14ac:dyDescent="0.25">
      <c r="B70"/>
      <c r="C70"/>
    </row>
    <row r="71" spans="2:3" ht="15" hidden="1" x14ac:dyDescent="0.25">
      <c r="B71"/>
      <c r="C71"/>
    </row>
    <row r="72" spans="2:3" ht="15" hidden="1" x14ac:dyDescent="0.25">
      <c r="B72"/>
      <c r="C72"/>
    </row>
    <row r="73" spans="2:3" ht="15" x14ac:dyDescent="0.25">
      <c r="B73"/>
      <c r="C73"/>
    </row>
    <row r="74" spans="2:3" ht="15" x14ac:dyDescent="0.25">
      <c r="B74"/>
      <c r="C74"/>
    </row>
    <row r="75" spans="2:3" ht="15" x14ac:dyDescent="0.25">
      <c r="B75"/>
      <c r="C75"/>
    </row>
  </sheetData>
  <sheetProtection formatCells="0" formatColumns="0" formatRows="0" sort="0" autoFilter="0" pivotTables="0"/>
  <mergeCells count="2">
    <mergeCell ref="E12:F12"/>
    <mergeCell ref="H12:I12"/>
  </mergeCells>
  <pageMargins left="0.511811024" right="0.511811024" top="0.78740157499999996" bottom="0.78740157499999996" header="0.31496062000000002" footer="0.31496062000000002"/>
  <pageSetup paperSize="9" orientation="portrait" r:id="rId3"/>
  <drawing r:id="rId4"/>
  <legacyDrawing r:id="rId5"/>
  <controls>
    <mc:AlternateContent xmlns:mc="http://schemas.openxmlformats.org/markup-compatibility/2006">
      <mc:Choice Requires="x14">
        <control shapeId="15361" r:id="rId6" name="ScrollBar1">
          <controlPr defaultSize="0" autoLine="0" r:id="rId7">
            <anchor moveWithCells="1">
              <from>
                <xdr:col>1</xdr:col>
                <xdr:colOff>28575</xdr:colOff>
                <xdr:row>16</xdr:row>
                <xdr:rowOff>19050</xdr:rowOff>
              </from>
              <to>
                <xdr:col>1</xdr:col>
                <xdr:colOff>685800</xdr:colOff>
                <xdr:row>17</xdr:row>
                <xdr:rowOff>9525</xdr:rowOff>
              </to>
            </anchor>
          </controlPr>
        </control>
      </mc:Choice>
      <mc:Fallback>
        <control shapeId="15361" r:id="rId6" name="ScrollBar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_Gráficos">
    <tabColor rgb="FFC00000"/>
  </sheetPr>
  <dimension ref="B2:AN68"/>
  <sheetViews>
    <sheetView showGridLines="0" showRowColHeaders="0" topLeftCell="A10" zoomScaleNormal="100" workbookViewId="0">
      <selection activeCell="Q21" sqref="Q21"/>
    </sheetView>
  </sheetViews>
  <sheetFormatPr defaultColWidth="9.140625" defaultRowHeight="11.25" x14ac:dyDescent="0.2"/>
  <cols>
    <col min="1" max="1" width="2.140625" style="10" customWidth="1"/>
    <col min="2" max="2" width="16" style="10" customWidth="1"/>
    <col min="3" max="3" width="9.7109375" style="10" customWidth="1"/>
    <col min="4" max="5" width="9.5703125" style="10" customWidth="1"/>
    <col min="6" max="6" width="11.42578125" style="10" customWidth="1"/>
    <col min="7" max="7" width="7" style="10" customWidth="1"/>
    <col min="8" max="8" width="9.28515625" style="10" bestFit="1" customWidth="1"/>
    <col min="9" max="10" width="11.5703125" style="10" customWidth="1"/>
    <col min="11" max="12" width="8.140625" style="10" customWidth="1"/>
    <col min="13" max="13" width="11.5703125" style="10" bestFit="1" customWidth="1"/>
    <col min="14" max="14" width="8.140625" style="10" bestFit="1" customWidth="1"/>
    <col min="15" max="16" width="10.28515625" style="10" bestFit="1" customWidth="1"/>
    <col min="17" max="17" width="10.7109375" style="10" bestFit="1" customWidth="1"/>
    <col min="18" max="16384" width="9.140625" style="10"/>
  </cols>
  <sheetData>
    <row r="2" spans="2:40" ht="15" x14ac:dyDescent="0.25">
      <c r="L2"/>
    </row>
    <row r="3" spans="2:40" x14ac:dyDescent="0.2">
      <c r="AD3" s="11" t="s">
        <v>5</v>
      </c>
      <c r="AE3" s="10" t="s">
        <v>170</v>
      </c>
    </row>
    <row r="4" spans="2:40" x14ac:dyDescent="0.2">
      <c r="K4" s="15"/>
    </row>
    <row r="5" spans="2:40" x14ac:dyDescent="0.2">
      <c r="K5" s="15"/>
      <c r="AD5" s="11" t="s">
        <v>3</v>
      </c>
      <c r="AE5" s="10" t="s">
        <v>69</v>
      </c>
    </row>
    <row r="6" spans="2:40" x14ac:dyDescent="0.2">
      <c r="K6" s="13"/>
      <c r="L6" s="13"/>
      <c r="AD6" s="12" t="s">
        <v>168</v>
      </c>
      <c r="AE6" s="13">
        <v>1080000</v>
      </c>
    </row>
    <row r="7" spans="2:40" ht="15" x14ac:dyDescent="0.25">
      <c r="B7"/>
      <c r="C7"/>
      <c r="K7" s="13"/>
      <c r="L7" s="13"/>
      <c r="AD7" s="12" t="s">
        <v>2</v>
      </c>
      <c r="AE7" s="13">
        <v>1080000</v>
      </c>
    </row>
    <row r="8" spans="2:40" ht="15" x14ac:dyDescent="0.25">
      <c r="B8" s="11" t="s">
        <v>3</v>
      </c>
      <c r="C8" s="10" t="s">
        <v>69</v>
      </c>
      <c r="K8" s="13"/>
      <c r="L8" s="13"/>
      <c r="S8"/>
      <c r="T8"/>
      <c r="AD8"/>
      <c r="AE8"/>
    </row>
    <row r="9" spans="2:40" ht="15" x14ac:dyDescent="0.25">
      <c r="B9" s="12" t="s">
        <v>170</v>
      </c>
      <c r="C9" s="13">
        <v>1080000</v>
      </c>
      <c r="I9"/>
      <c r="J9"/>
      <c r="K9" s="13"/>
      <c r="L9" s="13"/>
      <c r="S9"/>
      <c r="T9"/>
      <c r="AD9"/>
      <c r="AE9"/>
      <c r="AM9"/>
      <c r="AN9"/>
    </row>
    <row r="10" spans="2:40" ht="15" x14ac:dyDescent="0.25">
      <c r="B10" s="12" t="s">
        <v>164</v>
      </c>
      <c r="C10" s="13">
        <v>-780000</v>
      </c>
      <c r="G10" s="12"/>
      <c r="I10"/>
      <c r="J10"/>
      <c r="K10" s="13"/>
      <c r="L10" s="13"/>
      <c r="AD10"/>
      <c r="AE10"/>
      <c r="AM10"/>
      <c r="AN10"/>
    </row>
    <row r="11" spans="2:40" ht="15" x14ac:dyDescent="0.25">
      <c r="B11" s="12" t="s">
        <v>2</v>
      </c>
      <c r="C11" s="13">
        <v>300000</v>
      </c>
      <c r="F11"/>
      <c r="G11" s="12"/>
      <c r="I11"/>
      <c r="J11"/>
      <c r="K11" s="13"/>
      <c r="L11" s="13"/>
      <c r="AD11"/>
      <c r="AE11"/>
    </row>
    <row r="12" spans="2:40" ht="15" x14ac:dyDescent="0.25">
      <c r="B12"/>
      <c r="C12"/>
      <c r="F12"/>
      <c r="AD12"/>
      <c r="AE12"/>
    </row>
    <row r="13" spans="2:40" ht="15" x14ac:dyDescent="0.25">
      <c r="F13"/>
      <c r="G13"/>
      <c r="J13"/>
      <c r="K13"/>
    </row>
    <row r="14" spans="2:40" ht="15" x14ac:dyDescent="0.25">
      <c r="F14"/>
      <c r="G14"/>
      <c r="J14"/>
      <c r="K14"/>
    </row>
    <row r="15" spans="2:40" ht="15" x14ac:dyDescent="0.25">
      <c r="F15"/>
      <c r="G15"/>
      <c r="J15"/>
      <c r="K15"/>
    </row>
    <row r="16" spans="2:40" ht="15" x14ac:dyDescent="0.25">
      <c r="F16"/>
      <c r="G16"/>
      <c r="J16"/>
      <c r="K16"/>
    </row>
    <row r="17" spans="2:11" ht="15" x14ac:dyDescent="0.25">
      <c r="F17"/>
      <c r="G17"/>
      <c r="J17"/>
      <c r="K17"/>
    </row>
    <row r="20" spans="2:11" ht="15" x14ac:dyDescent="0.25">
      <c r="B20"/>
      <c r="C20"/>
    </row>
    <row r="21" spans="2:11" x14ac:dyDescent="0.2">
      <c r="B21" s="11" t="s">
        <v>122</v>
      </c>
      <c r="C21" s="10" t="s">
        <v>146</v>
      </c>
    </row>
    <row r="22" spans="2:11" ht="15" x14ac:dyDescent="0.25">
      <c r="B22"/>
      <c r="C22"/>
    </row>
    <row r="23" spans="2:11" x14ac:dyDescent="0.2">
      <c r="B23" s="11" t="s">
        <v>3</v>
      </c>
      <c r="C23" s="10" t="s">
        <v>69</v>
      </c>
    </row>
    <row r="24" spans="2:11" x14ac:dyDescent="0.2">
      <c r="B24" s="12" t="s">
        <v>109</v>
      </c>
      <c r="C24" s="13">
        <v>110000</v>
      </c>
    </row>
    <row r="25" spans="2:11" x14ac:dyDescent="0.2">
      <c r="B25" s="12" t="s">
        <v>2</v>
      </c>
      <c r="C25" s="13">
        <v>110000</v>
      </c>
      <c r="I25" s="11" t="s">
        <v>5</v>
      </c>
      <c r="J25" s="10" t="s">
        <v>164</v>
      </c>
    </row>
    <row r="26" spans="2:11" x14ac:dyDescent="0.2">
      <c r="B26"/>
      <c r="C26"/>
    </row>
    <row r="27" spans="2:11" x14ac:dyDescent="0.2">
      <c r="E27" s="38" t="s">
        <v>29</v>
      </c>
      <c r="I27" s="11" t="s">
        <v>3</v>
      </c>
      <c r="J27" s="10" t="s">
        <v>69</v>
      </c>
    </row>
    <row r="28" spans="2:11" x14ac:dyDescent="0.2">
      <c r="I28" s="12" t="s">
        <v>153</v>
      </c>
      <c r="J28" s="13">
        <v>-540000</v>
      </c>
    </row>
    <row r="29" spans="2:11" x14ac:dyDescent="0.2">
      <c r="I29" s="12" t="s">
        <v>167</v>
      </c>
      <c r="J29" s="13">
        <v>-180000</v>
      </c>
    </row>
    <row r="30" spans="2:11" x14ac:dyDescent="0.2">
      <c r="I30" s="12" t="s">
        <v>166</v>
      </c>
      <c r="J30" s="13">
        <v>-60000</v>
      </c>
    </row>
    <row r="31" spans="2:11" x14ac:dyDescent="0.2">
      <c r="I31" s="12" t="s">
        <v>2</v>
      </c>
      <c r="J31" s="13">
        <v>-780000</v>
      </c>
    </row>
    <row r="32" spans="2:11" x14ac:dyDescent="0.2">
      <c r="I32"/>
      <c r="J32"/>
    </row>
    <row r="33" spans="9:10" x14ac:dyDescent="0.2">
      <c r="I33"/>
      <c r="J33"/>
    </row>
    <row r="34" spans="9:10" x14ac:dyDescent="0.2">
      <c r="I34"/>
      <c r="J34"/>
    </row>
    <row r="51" spans="9:13" ht="15" x14ac:dyDescent="0.25">
      <c r="I51"/>
      <c r="J51"/>
    </row>
    <row r="52" spans="9:13" ht="15" x14ac:dyDescent="0.25">
      <c r="I52"/>
      <c r="J52"/>
      <c r="L52"/>
      <c r="M52"/>
    </row>
    <row r="53" spans="9:13" ht="15" x14ac:dyDescent="0.25">
      <c r="I53"/>
      <c r="J53"/>
      <c r="L53"/>
      <c r="M53"/>
    </row>
    <row r="54" spans="9:13" ht="15" x14ac:dyDescent="0.25">
      <c r="I54"/>
      <c r="J54"/>
      <c r="L54"/>
      <c r="M54"/>
    </row>
    <row r="55" spans="9:13" ht="15" x14ac:dyDescent="0.25">
      <c r="I55"/>
      <c r="J55"/>
      <c r="L55"/>
      <c r="M55"/>
    </row>
    <row r="56" spans="9:13" ht="15" x14ac:dyDescent="0.25">
      <c r="I56"/>
      <c r="J56"/>
      <c r="L56"/>
      <c r="M56"/>
    </row>
    <row r="57" spans="9:13" ht="15" x14ac:dyDescent="0.25">
      <c r="I57"/>
      <c r="J57"/>
      <c r="L57"/>
      <c r="M57"/>
    </row>
    <row r="58" spans="9:13" ht="15" x14ac:dyDescent="0.25">
      <c r="I58"/>
      <c r="J58"/>
      <c r="L58"/>
      <c r="M58"/>
    </row>
    <row r="59" spans="9:13" ht="15" x14ac:dyDescent="0.25">
      <c r="I59"/>
      <c r="J59"/>
      <c r="L59"/>
      <c r="M59"/>
    </row>
    <row r="60" spans="9:13" ht="15" x14ac:dyDescent="0.25">
      <c r="I60"/>
      <c r="J60"/>
      <c r="L60"/>
      <c r="M60"/>
    </row>
    <row r="61" spans="9:13" ht="15" x14ac:dyDescent="0.25">
      <c r="I61"/>
      <c r="J61"/>
      <c r="L61"/>
      <c r="M61"/>
    </row>
    <row r="62" spans="9:13" ht="15" x14ac:dyDescent="0.25">
      <c r="I62"/>
      <c r="J62"/>
      <c r="L62"/>
      <c r="M62"/>
    </row>
    <row r="63" spans="9:13" ht="15" x14ac:dyDescent="0.25">
      <c r="I63"/>
      <c r="J63"/>
      <c r="L63"/>
      <c r="M63"/>
    </row>
    <row r="64" spans="9:13" ht="15" x14ac:dyDescent="0.25">
      <c r="I64"/>
      <c r="J64"/>
      <c r="L64"/>
      <c r="M64"/>
    </row>
    <row r="65" spans="9:13" ht="15" x14ac:dyDescent="0.25">
      <c r="I65"/>
      <c r="J65"/>
      <c r="L65"/>
      <c r="M65"/>
    </row>
    <row r="66" spans="9:13" ht="15" x14ac:dyDescent="0.25">
      <c r="I66"/>
      <c r="J66"/>
      <c r="L66"/>
      <c r="M66"/>
    </row>
    <row r="67" spans="9:13" ht="15" x14ac:dyDescent="0.25">
      <c r="I67"/>
      <c r="J67"/>
      <c r="L67"/>
      <c r="M67"/>
    </row>
    <row r="68" spans="9:13" ht="15" x14ac:dyDescent="0.25">
      <c r="I68"/>
      <c r="J68"/>
      <c r="L68"/>
      <c r="M68"/>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horizontalDpi="0" verticalDpi="0" r:id="rId5"/>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_RelControleEstoque">
    <tabColor theme="4" tint="0.39997558519241921"/>
  </sheetPr>
  <dimension ref="B1:M24"/>
  <sheetViews>
    <sheetView showGridLines="0" showRowColHeaders="0" zoomScaleNormal="100" workbookViewId="0">
      <selection activeCell="H12" sqref="H12"/>
    </sheetView>
  </sheetViews>
  <sheetFormatPr defaultColWidth="9.140625" defaultRowHeight="15" x14ac:dyDescent="0.25"/>
  <cols>
    <col min="1" max="1" width="1.7109375" style="27" customWidth="1"/>
    <col min="2" max="2" width="18.42578125" style="27" bestFit="1" customWidth="1"/>
    <col min="3" max="3" width="28.140625" style="27" bestFit="1" customWidth="1"/>
    <col min="4" max="4" width="7" style="27" bestFit="1" customWidth="1"/>
    <col min="5" max="5" width="9.42578125" style="27" bestFit="1" customWidth="1"/>
    <col min="6" max="6" width="8.5703125" style="27" bestFit="1" customWidth="1"/>
    <col min="7" max="8" width="9.28515625" style="27" bestFit="1" customWidth="1"/>
    <col min="9" max="9" width="10.140625" style="27" bestFit="1" customWidth="1"/>
    <col min="10" max="10" width="11.85546875" style="27" bestFit="1" customWidth="1"/>
    <col min="11" max="12" width="9.28515625" style="27" customWidth="1"/>
    <col min="13" max="13" width="10.5703125" style="27" customWidth="1"/>
    <col min="14" max="16384" width="9.140625" style="27"/>
  </cols>
  <sheetData>
    <row r="1" spans="2:13" ht="3" customHeight="1" x14ac:dyDescent="0.25"/>
    <row r="2" spans="2:13" ht="17.25" customHeight="1" x14ac:dyDescent="0.25"/>
    <row r="3" spans="2:13" ht="17.25" customHeight="1" x14ac:dyDescent="0.25"/>
    <row r="4" spans="2:13" x14ac:dyDescent="0.25">
      <c r="B4"/>
      <c r="C4"/>
    </row>
    <row r="5" spans="2:13" x14ac:dyDescent="0.25">
      <c r="B5" s="25" t="s">
        <v>108</v>
      </c>
      <c r="C5" s="27" t="s">
        <v>10</v>
      </c>
    </row>
    <row r="7" spans="2:13" x14ac:dyDescent="0.25">
      <c r="B7" s="51"/>
      <c r="C7" s="25" t="s">
        <v>44</v>
      </c>
      <c r="K7"/>
      <c r="L7"/>
      <c r="M7"/>
    </row>
    <row r="8" spans="2:13" x14ac:dyDescent="0.25">
      <c r="B8" s="51"/>
      <c r="C8" s="52" t="s">
        <v>137</v>
      </c>
      <c r="D8" s="52"/>
      <c r="E8" s="52" t="s">
        <v>173</v>
      </c>
      <c r="F8" s="52"/>
      <c r="G8" s="52" t="s">
        <v>172</v>
      </c>
      <c r="H8" s="52"/>
      <c r="I8" s="27" t="s">
        <v>96</v>
      </c>
      <c r="J8" s="27" t="s">
        <v>98</v>
      </c>
      <c r="K8"/>
      <c r="L8"/>
      <c r="M8"/>
    </row>
    <row r="9" spans="2:13" x14ac:dyDescent="0.25">
      <c r="B9" s="25" t="s">
        <v>100</v>
      </c>
      <c r="C9" s="27" t="s">
        <v>97</v>
      </c>
      <c r="D9" s="27" t="s">
        <v>99</v>
      </c>
      <c r="E9" s="27" t="s">
        <v>97</v>
      </c>
      <c r="F9" s="27" t="s">
        <v>99</v>
      </c>
      <c r="G9" s="27" t="s">
        <v>97</v>
      </c>
      <c r="H9" s="27" t="s">
        <v>99</v>
      </c>
      <c r="K9"/>
      <c r="L9"/>
      <c r="M9"/>
    </row>
    <row r="10" spans="2:13" x14ac:dyDescent="0.25">
      <c r="B10" s="63">
        <v>43197</v>
      </c>
      <c r="C10" s="31"/>
      <c r="D10" s="31">
        <v>0</v>
      </c>
      <c r="E10" s="31">
        <v>4500</v>
      </c>
      <c r="F10" s="31">
        <v>4500</v>
      </c>
      <c r="G10" s="31">
        <v>-4000</v>
      </c>
      <c r="H10" s="31">
        <v>-4000</v>
      </c>
      <c r="I10" s="31">
        <v>500</v>
      </c>
      <c r="J10" s="31">
        <v>500</v>
      </c>
      <c r="K10"/>
      <c r="L10"/>
      <c r="M10"/>
    </row>
    <row r="11" spans="2:13" x14ac:dyDescent="0.25">
      <c r="B11" s="63" t="s">
        <v>2</v>
      </c>
      <c r="C11" s="31"/>
      <c r="D11" s="31"/>
      <c r="E11" s="31">
        <v>4500</v>
      </c>
      <c r="F11" s="31"/>
      <c r="G11" s="31">
        <v>-4000</v>
      </c>
      <c r="H11" s="31"/>
      <c r="I11" s="31">
        <v>500</v>
      </c>
      <c r="J11" s="31"/>
      <c r="K11"/>
      <c r="L11"/>
      <c r="M11"/>
    </row>
    <row r="12" spans="2:13" x14ac:dyDescent="0.25">
      <c r="B12"/>
      <c r="C12"/>
      <c r="D12"/>
      <c r="E12"/>
      <c r="F12"/>
      <c r="G12"/>
      <c r="H12"/>
      <c r="I12"/>
      <c r="J12"/>
      <c r="K12"/>
      <c r="L12"/>
      <c r="M12"/>
    </row>
    <row r="13" spans="2:13" x14ac:dyDescent="0.25">
      <c r="B13"/>
      <c r="C13"/>
      <c r="D13"/>
      <c r="E13"/>
      <c r="F13"/>
      <c r="G13"/>
      <c r="H13"/>
      <c r="I13"/>
      <c r="J13"/>
      <c r="K13"/>
      <c r="L13"/>
      <c r="M13"/>
    </row>
    <row r="14" spans="2:13" x14ac:dyDescent="0.25">
      <c r="B14"/>
      <c r="C14"/>
      <c r="D14"/>
      <c r="E14"/>
      <c r="F14"/>
      <c r="G14"/>
      <c r="H14"/>
      <c r="I14"/>
      <c r="J14"/>
    </row>
    <row r="15" spans="2:13" x14ac:dyDescent="0.25">
      <c r="B15"/>
      <c r="C15"/>
      <c r="D15"/>
      <c r="E15"/>
      <c r="F15"/>
      <c r="G15"/>
      <c r="H15"/>
      <c r="I15"/>
      <c r="J15"/>
    </row>
    <row r="16" spans="2:13" x14ac:dyDescent="0.25">
      <c r="B16"/>
      <c r="C16"/>
      <c r="D16"/>
      <c r="E16"/>
      <c r="F16"/>
      <c r="G16"/>
      <c r="H16"/>
      <c r="I16"/>
      <c r="J16"/>
    </row>
    <row r="17" spans="2:10" x14ac:dyDescent="0.25">
      <c r="B17"/>
      <c r="C17"/>
      <c r="D17"/>
      <c r="E17"/>
      <c r="F17"/>
      <c r="G17"/>
      <c r="H17"/>
      <c r="I17"/>
      <c r="J17"/>
    </row>
    <row r="18" spans="2:10" x14ac:dyDescent="0.25">
      <c r="B18"/>
      <c r="C18"/>
      <c r="D18"/>
      <c r="E18"/>
      <c r="F18"/>
      <c r="G18"/>
      <c r="H18"/>
    </row>
    <row r="19" spans="2:10" x14ac:dyDescent="0.25">
      <c r="B19"/>
      <c r="C19"/>
      <c r="D19"/>
      <c r="E19"/>
      <c r="F19"/>
      <c r="G19"/>
      <c r="H19"/>
    </row>
    <row r="20" spans="2:10" x14ac:dyDescent="0.25">
      <c r="B20"/>
      <c r="C20"/>
      <c r="D20"/>
      <c r="E20"/>
      <c r="F20"/>
      <c r="G20"/>
      <c r="H20"/>
    </row>
    <row r="21" spans="2:10" x14ac:dyDescent="0.25">
      <c r="B21"/>
      <c r="C21"/>
      <c r="D21"/>
      <c r="E21"/>
      <c r="F21"/>
      <c r="G21"/>
      <c r="H21"/>
    </row>
    <row r="22" spans="2:10" x14ac:dyDescent="0.25">
      <c r="B22"/>
      <c r="C22"/>
      <c r="D22"/>
      <c r="E22"/>
      <c r="F22"/>
      <c r="G22"/>
      <c r="H22"/>
    </row>
    <row r="23" spans="2:10" x14ac:dyDescent="0.25">
      <c r="B23"/>
      <c r="C23"/>
      <c r="D23"/>
      <c r="E23"/>
      <c r="F23"/>
      <c r="G23"/>
      <c r="H23"/>
    </row>
    <row r="24" spans="2:10" x14ac:dyDescent="0.25">
      <c r="B24"/>
      <c r="C24"/>
      <c r="D24"/>
      <c r="E24"/>
      <c r="F24"/>
      <c r="G24"/>
      <c r="H24"/>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_Apoio"/>
  <dimension ref="B1:P102"/>
  <sheetViews>
    <sheetView topLeftCell="C1" workbookViewId="0">
      <selection activeCell="D19" sqref="D19"/>
    </sheetView>
  </sheetViews>
  <sheetFormatPr defaultRowHeight="15" x14ac:dyDescent="0.25"/>
  <cols>
    <col min="1" max="1" width="2.7109375" customWidth="1"/>
    <col min="2" max="2" width="43.28515625" customWidth="1"/>
    <col min="3" max="3" width="45" style="41" bestFit="1" customWidth="1"/>
    <col min="4" max="4" width="32.5703125" bestFit="1" customWidth="1"/>
    <col min="5" max="5" width="5.7109375" customWidth="1"/>
    <col min="6" max="6" width="23" bestFit="1" customWidth="1"/>
    <col min="7" max="7" width="15.140625" bestFit="1" customWidth="1"/>
    <col min="8" max="8" width="10.28515625" bestFit="1" customWidth="1"/>
    <col min="9" max="9" width="23" bestFit="1" customWidth="1"/>
    <col min="10" max="11" width="15.140625" bestFit="1" customWidth="1"/>
    <col min="12" max="12" width="23" bestFit="1" customWidth="1"/>
    <col min="13" max="13" width="19.28515625" customWidth="1"/>
    <col min="15" max="15" width="23" bestFit="1" customWidth="1"/>
    <col min="16" max="16" width="17" customWidth="1"/>
  </cols>
  <sheetData>
    <row r="1" spans="2:7" x14ac:dyDescent="0.25">
      <c r="F1" s="128" t="s">
        <v>0</v>
      </c>
      <c r="G1" s="129"/>
    </row>
    <row r="2" spans="2:7" x14ac:dyDescent="0.25">
      <c r="B2" t="s">
        <v>4</v>
      </c>
      <c r="C2" s="41" t="s">
        <v>156</v>
      </c>
      <c r="F2" s="65" t="s">
        <v>4</v>
      </c>
      <c r="G2" s="66" t="s">
        <v>165</v>
      </c>
    </row>
    <row r="3" spans="2:7" x14ac:dyDescent="0.25">
      <c r="B3" t="s">
        <v>27</v>
      </c>
      <c r="C3" s="41" t="s">
        <v>29</v>
      </c>
      <c r="F3" s="65" t="s">
        <v>116</v>
      </c>
      <c r="G3" s="66" t="s">
        <v>152</v>
      </c>
    </row>
    <row r="4" spans="2:7" x14ac:dyDescent="0.25">
      <c r="B4" t="s">
        <v>47</v>
      </c>
      <c r="C4" s="41" t="s">
        <v>155</v>
      </c>
      <c r="F4" s="65" t="s">
        <v>115</v>
      </c>
      <c r="G4" s="66" t="s">
        <v>168</v>
      </c>
    </row>
    <row r="5" spans="2:7" x14ac:dyDescent="0.25">
      <c r="B5" t="s">
        <v>15</v>
      </c>
      <c r="C5" s="41" t="s">
        <v>157</v>
      </c>
      <c r="F5" s="69" t="s">
        <v>111</v>
      </c>
      <c r="G5" s="66" t="s">
        <v>169</v>
      </c>
    </row>
    <row r="6" spans="2:7" x14ac:dyDescent="0.25">
      <c r="B6" t="s">
        <v>48</v>
      </c>
      <c r="C6" s="41" t="s">
        <v>157</v>
      </c>
      <c r="F6" s="69" t="s">
        <v>118</v>
      </c>
      <c r="G6" s="66">
        <v>3</v>
      </c>
    </row>
    <row r="7" spans="2:7" ht="15.75" thickBot="1" x14ac:dyDescent="0.3">
      <c r="B7" t="s">
        <v>16</v>
      </c>
      <c r="C7" s="41" t="s">
        <v>29</v>
      </c>
      <c r="F7" s="67" t="s">
        <v>114</v>
      </c>
      <c r="G7" s="68" t="s">
        <v>117</v>
      </c>
    </row>
    <row r="8" spans="2:7" x14ac:dyDescent="0.25">
      <c r="B8" t="s">
        <v>53</v>
      </c>
      <c r="C8" s="41" t="s">
        <v>158</v>
      </c>
    </row>
    <row r="9" spans="2:7" x14ac:dyDescent="0.25">
      <c r="B9" t="s">
        <v>7</v>
      </c>
      <c r="C9" s="41" t="s">
        <v>151</v>
      </c>
    </row>
    <row r="10" spans="2:7" x14ac:dyDescent="0.25">
      <c r="B10" t="s">
        <v>17</v>
      </c>
      <c r="C10" s="41" t="s">
        <v>109</v>
      </c>
      <c r="F10" s="131" t="str">
        <f>IF(COUNTIF(LANÇAMENTOS!$U$4:$U$19988,"A REALIZAR")=0,"FLUXO DE CAIXA NÃO OPERANTE","FLUXO DE CAIXA OPERANTE")</f>
        <v>FLUXO DE CAIXA NÃO OPERANTE</v>
      </c>
      <c r="G10" s="131"/>
    </row>
    <row r="11" spans="2:7" x14ac:dyDescent="0.25">
      <c r="B11" t="s">
        <v>41</v>
      </c>
      <c r="C11" s="41" t="s">
        <v>160</v>
      </c>
      <c r="F11" s="131" t="str">
        <f>IF(COUNTIF(LANÇAMENTOS!L4:L19988,"RECEITA")+COUNTIF(LANÇAMENTOS!L4:L19988,"DESPESA")=0,"INOPERANTE","OPERANTE")</f>
        <v>INOPERANTE</v>
      </c>
      <c r="G11" s="131"/>
    </row>
    <row r="12" spans="2:7" x14ac:dyDescent="0.25">
      <c r="B12" t="s">
        <v>0</v>
      </c>
      <c r="C12" s="41" t="s">
        <v>153</v>
      </c>
    </row>
    <row r="13" spans="2:7" x14ac:dyDescent="0.25">
      <c r="B13" t="s">
        <v>18</v>
      </c>
      <c r="C13" s="41" t="s">
        <v>162</v>
      </c>
    </row>
    <row r="14" spans="2:7" x14ac:dyDescent="0.25">
      <c r="B14" t="s">
        <v>5</v>
      </c>
      <c r="C14" s="41" t="s">
        <v>164</v>
      </c>
    </row>
    <row r="15" spans="2:7" x14ac:dyDescent="0.25">
      <c r="B15" t="s">
        <v>52</v>
      </c>
      <c r="C15" s="41" t="s">
        <v>83</v>
      </c>
    </row>
    <row r="16" spans="2:7" x14ac:dyDescent="0.25">
      <c r="B16" t="s">
        <v>50</v>
      </c>
      <c r="C16" s="41" t="s">
        <v>29</v>
      </c>
    </row>
    <row r="17" spans="2:3" x14ac:dyDescent="0.25">
      <c r="B17" t="s">
        <v>3</v>
      </c>
      <c r="C17" s="41" t="s">
        <v>144</v>
      </c>
    </row>
    <row r="18" spans="2:3" x14ac:dyDescent="0.25">
      <c r="B18" t="s">
        <v>51</v>
      </c>
      <c r="C18" s="41" t="s">
        <v>29</v>
      </c>
    </row>
    <row r="19" spans="2:3" x14ac:dyDescent="0.25">
      <c r="B19" t="s">
        <v>49</v>
      </c>
      <c r="C19" s="41" t="s">
        <v>29</v>
      </c>
    </row>
    <row r="20" spans="2:3" x14ac:dyDescent="0.25">
      <c r="B20" t="s">
        <v>20</v>
      </c>
      <c r="C20" s="42" t="b">
        <v>0</v>
      </c>
    </row>
    <row r="21" spans="2:3" x14ac:dyDescent="0.25">
      <c r="B21" t="s">
        <v>21</v>
      </c>
      <c r="C21" s="42" t="b">
        <v>0</v>
      </c>
    </row>
    <row r="22" spans="2:3" x14ac:dyDescent="0.25">
      <c r="B22" t="s">
        <v>22</v>
      </c>
      <c r="C22" s="41" t="s">
        <v>28</v>
      </c>
    </row>
    <row r="23" spans="2:3" x14ac:dyDescent="0.25">
      <c r="B23" t="s">
        <v>23</v>
      </c>
      <c r="C23" s="41" t="s">
        <v>143</v>
      </c>
    </row>
    <row r="24" spans="2:3" x14ac:dyDescent="0.25">
      <c r="B24" t="s">
        <v>24</v>
      </c>
      <c r="C24" s="41" t="s">
        <v>148</v>
      </c>
    </row>
    <row r="25" spans="2:3" x14ac:dyDescent="0.25">
      <c r="B25" t="s">
        <v>25</v>
      </c>
      <c r="C25" s="41" t="s">
        <v>28</v>
      </c>
    </row>
    <row r="26" spans="2:3" x14ac:dyDescent="0.25">
      <c r="B26" t="s">
        <v>43</v>
      </c>
      <c r="C26" s="41" t="s">
        <v>161</v>
      </c>
    </row>
    <row r="27" spans="2:3" x14ac:dyDescent="0.25">
      <c r="B27" t="s">
        <v>54</v>
      </c>
      <c r="C27" s="41" t="s">
        <v>155</v>
      </c>
    </row>
    <row r="28" spans="2:3" x14ac:dyDescent="0.25">
      <c r="B28" t="s">
        <v>56</v>
      </c>
      <c r="C28" s="41" t="s">
        <v>147</v>
      </c>
    </row>
    <row r="29" spans="2:3" x14ac:dyDescent="0.25">
      <c r="B29" t="s">
        <v>85</v>
      </c>
      <c r="C29" s="41" t="s">
        <v>159</v>
      </c>
    </row>
    <row r="30" spans="2:3" x14ac:dyDescent="0.25">
      <c r="B30" t="s">
        <v>94</v>
      </c>
      <c r="C30" s="41" t="s">
        <v>91</v>
      </c>
    </row>
    <row r="31" spans="2:3" x14ac:dyDescent="0.25">
      <c r="B31" t="s">
        <v>95</v>
      </c>
      <c r="C31" s="41" t="s">
        <v>174</v>
      </c>
    </row>
    <row r="32" spans="2:3" x14ac:dyDescent="0.25">
      <c r="B32" t="s">
        <v>106</v>
      </c>
      <c r="C32" s="41" t="s">
        <v>136</v>
      </c>
    </row>
    <row r="33" spans="2:5" x14ac:dyDescent="0.25">
      <c r="B33" t="s">
        <v>110</v>
      </c>
      <c r="C33" s="41" t="s">
        <v>163</v>
      </c>
    </row>
    <row r="34" spans="2:5" x14ac:dyDescent="0.25">
      <c r="B34" t="s">
        <v>134</v>
      </c>
      <c r="C34" s="41">
        <v>1</v>
      </c>
    </row>
    <row r="35" spans="2:5" x14ac:dyDescent="0.25">
      <c r="B35" t="s">
        <v>135</v>
      </c>
      <c r="C35" s="41" t="s">
        <v>143</v>
      </c>
    </row>
    <row r="44" spans="2:5" x14ac:dyDescent="0.25">
      <c r="B44" s="127" t="s">
        <v>57</v>
      </c>
      <c r="C44" s="127"/>
    </row>
    <row r="45" spans="2:5" x14ac:dyDescent="0.25">
      <c r="B45" s="5" t="s">
        <v>66</v>
      </c>
      <c r="C45" t="s">
        <v>65</v>
      </c>
      <c r="E45" s="41"/>
    </row>
    <row r="46" spans="2:5" x14ac:dyDescent="0.25">
      <c r="B46" s="5" t="s">
        <v>64</v>
      </c>
      <c r="C46" t="s">
        <v>63</v>
      </c>
      <c r="E46" s="41"/>
    </row>
    <row r="47" spans="2:5" x14ac:dyDescent="0.25">
      <c r="B47" s="5" t="s">
        <v>92</v>
      </c>
      <c r="C47" t="s">
        <v>93</v>
      </c>
      <c r="E47" s="41"/>
    </row>
    <row r="48" spans="2:5" x14ac:dyDescent="0.25">
      <c r="B48" s="5" t="s">
        <v>87</v>
      </c>
      <c r="C48" t="s">
        <v>59</v>
      </c>
      <c r="E48" s="41"/>
    </row>
    <row r="49" spans="2:5" x14ac:dyDescent="0.25">
      <c r="B49" s="5" t="s">
        <v>68</v>
      </c>
      <c r="C49" t="s">
        <v>67</v>
      </c>
      <c r="E49" s="41"/>
    </row>
    <row r="50" spans="2:5" x14ac:dyDescent="0.25">
      <c r="B50" s="5" t="s">
        <v>89</v>
      </c>
      <c r="C50" t="s">
        <v>90</v>
      </c>
      <c r="E50" s="41"/>
    </row>
    <row r="51" spans="2:5" x14ac:dyDescent="0.25">
      <c r="B51" s="5" t="s">
        <v>58</v>
      </c>
      <c r="C51" t="s">
        <v>55</v>
      </c>
      <c r="E51" s="41"/>
    </row>
    <row r="52" spans="2:5" x14ac:dyDescent="0.25">
      <c r="B52" s="5" t="s">
        <v>91</v>
      </c>
      <c r="C52" t="s">
        <v>83</v>
      </c>
      <c r="E52" s="41"/>
    </row>
    <row r="53" spans="2:5" x14ac:dyDescent="0.25">
      <c r="B53" s="5" t="s">
        <v>60</v>
      </c>
      <c r="C53" t="s">
        <v>61</v>
      </c>
    </row>
    <row r="54" spans="2:5" x14ac:dyDescent="0.25">
      <c r="B54" s="5" t="s">
        <v>88</v>
      </c>
      <c r="C54" t="s">
        <v>62</v>
      </c>
    </row>
    <row r="55" spans="2:5" x14ac:dyDescent="0.25">
      <c r="C55"/>
    </row>
    <row r="56" spans="2:5" x14ac:dyDescent="0.25">
      <c r="C56"/>
    </row>
    <row r="57" spans="2:5" x14ac:dyDescent="0.25">
      <c r="C57"/>
    </row>
    <row r="80" spans="6:6" x14ac:dyDescent="0.25">
      <c r="F80" s="1"/>
    </row>
    <row r="81" spans="6:16" x14ac:dyDescent="0.25">
      <c r="F81" s="130" t="s">
        <v>124</v>
      </c>
      <c r="G81" s="130"/>
      <c r="I81" s="130" t="s">
        <v>125</v>
      </c>
      <c r="J81" s="130"/>
      <c r="L81" s="130"/>
      <c r="M81" s="130"/>
      <c r="O81" s="130"/>
      <c r="P81" s="130"/>
    </row>
    <row r="82" spans="6:16" x14ac:dyDescent="0.25">
      <c r="F82" s="2" t="s">
        <v>17</v>
      </c>
      <c r="G82" t="s">
        <v>10</v>
      </c>
      <c r="I82" s="2" t="s">
        <v>17</v>
      </c>
      <c r="J82" t="s">
        <v>10</v>
      </c>
    </row>
    <row r="83" spans="6:16" x14ac:dyDescent="0.25">
      <c r="F83" s="2" t="s">
        <v>18</v>
      </c>
      <c r="G83" t="s">
        <v>10</v>
      </c>
      <c r="I83" s="2" t="s">
        <v>18</v>
      </c>
      <c r="J83" t="s">
        <v>10</v>
      </c>
    </row>
    <row r="84" spans="6:16" x14ac:dyDescent="0.25">
      <c r="F84" s="2" t="s">
        <v>7</v>
      </c>
      <c r="G84" t="s">
        <v>10</v>
      </c>
      <c r="I84" s="2" t="s">
        <v>7</v>
      </c>
      <c r="J84" t="s">
        <v>10</v>
      </c>
    </row>
    <row r="85" spans="6:16" x14ac:dyDescent="0.25">
      <c r="F85" s="2" t="s">
        <v>122</v>
      </c>
      <c r="G85" t="s">
        <v>10</v>
      </c>
      <c r="I85" s="2" t="s">
        <v>122</v>
      </c>
      <c r="J85" t="s">
        <v>10</v>
      </c>
    </row>
    <row r="86" spans="6:16" x14ac:dyDescent="0.25">
      <c r="F86" s="2" t="s">
        <v>1</v>
      </c>
      <c r="G86" t="s">
        <v>10</v>
      </c>
      <c r="I86" s="2" t="s">
        <v>1</v>
      </c>
      <c r="J86" t="s">
        <v>10</v>
      </c>
    </row>
    <row r="87" spans="6:16" x14ac:dyDescent="0.25">
      <c r="F87" s="2" t="s">
        <v>5</v>
      </c>
      <c r="G87" t="s">
        <v>171</v>
      </c>
      <c r="I87" s="2" t="s">
        <v>5</v>
      </c>
      <c r="J87" t="s">
        <v>171</v>
      </c>
    </row>
    <row r="89" spans="6:16" x14ac:dyDescent="0.25">
      <c r="F89" s="2" t="s">
        <v>120</v>
      </c>
      <c r="G89" t="s">
        <v>102</v>
      </c>
      <c r="I89" s="2" t="s">
        <v>120</v>
      </c>
      <c r="J89" t="s">
        <v>69</v>
      </c>
      <c r="N89" s="2"/>
    </row>
    <row r="90" spans="6:16" x14ac:dyDescent="0.25">
      <c r="F90" s="70">
        <v>43131</v>
      </c>
      <c r="G90" s="1">
        <v>25000</v>
      </c>
      <c r="I90" s="70">
        <v>43131</v>
      </c>
      <c r="J90" s="1">
        <v>25000</v>
      </c>
    </row>
    <row r="91" spans="6:16" x14ac:dyDescent="0.25">
      <c r="F91" s="70">
        <v>43159</v>
      </c>
      <c r="G91" s="1">
        <v>25000</v>
      </c>
      <c r="I91" s="70">
        <v>43159</v>
      </c>
      <c r="J91" s="1">
        <v>50000</v>
      </c>
    </row>
    <row r="92" spans="6:16" x14ac:dyDescent="0.25">
      <c r="F92" s="70">
        <v>43190</v>
      </c>
      <c r="G92" s="1">
        <v>25000</v>
      </c>
      <c r="I92" s="70">
        <v>43190</v>
      </c>
      <c r="J92" s="1">
        <v>75000</v>
      </c>
    </row>
    <row r="93" spans="6:16" x14ac:dyDescent="0.25">
      <c r="F93" s="70">
        <v>43220</v>
      </c>
      <c r="G93" s="1">
        <v>25000</v>
      </c>
      <c r="I93" s="70">
        <v>43220</v>
      </c>
      <c r="J93" s="1">
        <v>100000</v>
      </c>
    </row>
    <row r="94" spans="6:16" x14ac:dyDescent="0.25">
      <c r="F94" s="70">
        <v>43251</v>
      </c>
      <c r="G94" s="1">
        <v>25000</v>
      </c>
      <c r="I94" s="70">
        <v>43251</v>
      </c>
      <c r="J94" s="1">
        <v>125000</v>
      </c>
    </row>
    <row r="95" spans="6:16" x14ac:dyDescent="0.25">
      <c r="F95" s="70">
        <v>43281</v>
      </c>
      <c r="G95" s="1">
        <v>25000</v>
      </c>
      <c r="I95" s="70">
        <v>43281</v>
      </c>
      <c r="J95" s="1">
        <v>150000</v>
      </c>
    </row>
    <row r="96" spans="6:16" x14ac:dyDescent="0.25">
      <c r="F96" s="70">
        <v>43312</v>
      </c>
      <c r="G96" s="1">
        <v>25000</v>
      </c>
      <c r="I96" s="70">
        <v>43312</v>
      </c>
      <c r="J96" s="1">
        <v>175000</v>
      </c>
    </row>
    <row r="97" spans="6:10" x14ac:dyDescent="0.25">
      <c r="F97" s="70">
        <v>43343</v>
      </c>
      <c r="G97" s="1">
        <v>25000</v>
      </c>
      <c r="I97" s="70">
        <v>43343</v>
      </c>
      <c r="J97" s="1">
        <v>200000</v>
      </c>
    </row>
    <row r="98" spans="6:10" x14ac:dyDescent="0.25">
      <c r="F98" s="70">
        <v>43373</v>
      </c>
      <c r="G98" s="1">
        <v>25000</v>
      </c>
      <c r="I98" s="70">
        <v>43373</v>
      </c>
      <c r="J98" s="1">
        <v>225000</v>
      </c>
    </row>
    <row r="99" spans="6:10" x14ac:dyDescent="0.25">
      <c r="F99" s="70">
        <v>43404</v>
      </c>
      <c r="G99" s="1">
        <v>25000</v>
      </c>
      <c r="I99" s="70">
        <v>43404</v>
      </c>
      <c r="J99" s="1">
        <v>250000</v>
      </c>
    </row>
    <row r="100" spans="6:10" x14ac:dyDescent="0.25">
      <c r="F100" s="70">
        <v>43434</v>
      </c>
      <c r="G100" s="1">
        <v>25000</v>
      </c>
      <c r="I100" s="70">
        <v>43434</v>
      </c>
      <c r="J100" s="1">
        <v>275000</v>
      </c>
    </row>
    <row r="101" spans="6:10" x14ac:dyDescent="0.25">
      <c r="F101" s="70">
        <v>43465</v>
      </c>
      <c r="G101" s="1">
        <v>25000</v>
      </c>
      <c r="I101" s="70">
        <v>43465</v>
      </c>
      <c r="J101" s="1">
        <v>300000</v>
      </c>
    </row>
    <row r="102" spans="6:10" x14ac:dyDescent="0.25">
      <c r="F102" s="70" t="s">
        <v>2</v>
      </c>
      <c r="G102" s="1">
        <v>300000</v>
      </c>
      <c r="I102" s="70" t="s">
        <v>2</v>
      </c>
      <c r="J102" s="1"/>
    </row>
  </sheetData>
  <sortState ref="B45:C54">
    <sortCondition ref="C45:C54"/>
  </sortState>
  <mergeCells count="8">
    <mergeCell ref="B44:C44"/>
    <mergeCell ref="F1:G1"/>
    <mergeCell ref="F81:G81"/>
    <mergeCell ref="I81:J81"/>
    <mergeCell ref="O81:P81"/>
    <mergeCell ref="L81:M81"/>
    <mergeCell ref="F10:G10"/>
    <mergeCell ref="F11:G11"/>
  </mergeCells>
  <pageMargins left="0.511811024" right="0.511811024" top="0.78740157499999996" bottom="0.78740157499999996" header="0.31496062000000002" footer="0.31496062000000002"/>
  <pageSetup paperSize="9" orientation="portrait" r:id="rId3"/>
  <drawing r:id="rId4"/>
  <extLst>
    <ext xmlns:x14="http://schemas.microsoft.com/office/spreadsheetml/2009/9/main" uri="{A8765BA9-456A-4dab-B4F3-ACF838C121DE}">
      <x14:slicerList>
        <x14:slicer r:id="rId5"/>
      </x14:slicerList>
    </ext>
  </extLst>
</worksheet>
</file>

<file path=customUI/_rels/customUI14.xml.rels><?xml version="1.0" encoding="UTF-8" standalone="yes"?>
<Relationships xmlns="http://schemas.openxmlformats.org/package/2006/relationships"><Relationship Id="dinheiro" Type="http://schemas.openxmlformats.org/officeDocument/2006/relationships/image" Target="images/dinheiro.png"/></Relationships>
</file>

<file path=customUI/customUI14.xml><?xml version="1.0" encoding="utf-8"?>
<customUI xmlns="http://schemas.microsoft.com/office/2009/07/customui" onLoad="RibbonOnLoad">
  <ribbon startFromScratch="false">
    <tabs>
      <tab id="FinanDescompl" label="PROGRAMA FINANCEIRO">
        <group id="PLANILHAS" label="MENU">
          <button id="rbnMenu" label="INÍCIO" imageMso="ChartResetToMatchStyle" size="large" onAction="rbnContábil"/>
        </group>
        <group id="CADASTRAMENTO" label="CADASTRAMENTOS">
          <button id="rbnTitulares" label="TITULARES" imageMso="ImportTextFile" onAction="rbnContábil"/>
          <button id="rbnCCusto" label="CENTROS DE CUSTOS" imageMso="ImportTextFile" onAction="rbnContábil"/>
          <button id="rbnGrupoContas" label="GRUPOS DE CONTAS" imageMso="ImportTextFile" onAction="rbnContábil"/>
          <button id="rbnPlanoContas" label="PLANO DE CONTAS" imageMso="ImportTextFile" onAction="rbnContábil"/>
          <button id="rbnCliFor" label="CLIENTES e FORNECEDORES" imageMso="ImportTextFile" onAction="rbnContábil"/>
          <button id="rbnCCorrentes" label="CONTAS CORRENTES" imageMso="ImportTextFile" onAction="rbnContábil"/>
        </group>
        <group id="LANÇAMENTOS" label="LANÇAMENTOS">
          <button id="rbnLancTit" label="ÁREA DE REGISTRO" imageMso="MergeCells" onAction="rbnContábil"/>
          <button id="rbnNovoRegistro" label="NOVO REGISTRO" imageMso="QueryAppend" onAction="rbnContábil"/>
          <button id="rbnLimparFiltro" label="LIMPAR FILTROS" imageMso="FilterClearAllFilters" onAction="rbnContábil"/>
          <button id="rbnUltimoLancto" label="ÚLTIMO LANÇAMENTO" imageMso="T" onAction="rbnContábil"/>
          <button id="rbnExcluirTitulo" label="EXCLUIR LANÇAMENTO" imageMso="CellsDelete" onAction="rbnContábil"/>
          <button id="rbnZerarRegistros" label="EXCLUIR TODOS" imageMso="InkEraseMode" onAction="rbnContábil"/>
        </group>
        <group id="ESTOQUE" label="ESTOQUE">
          <button id="rbnInsumos" label="ITENS DE ESTOQUE" imageMso="ImportTextFile" onAction="rbnContábil"/>
          <button id="rbnEstoque" label="CONTROLE DE ESTOQUE" imageMso="QueryUpdate" onAction="rbnContábil"/>
        </group>
        <group id="RELATÓRIOS" label="RELATÓRIOS">
          <button id="rbnFluxoCaixa" label="FLUXOS DE CAIXA" image="dinheiro" onAction="rbnContábil"/>
          <button id="rbnAnaliseResultado" label="ANÁLISE DE RESULTADO" imageMso="AcceptInvitation" onAction="rbnContábil"/>
          <button id="rbnRealizado" label="TÍTULOS BAIXADOS" imageMso="AcceptInvitation" onAction="rbnContábil"/>
          <button id="rbnOutrosRelatorios" label="OUTROS RELATÓRIOS" imageMso="ExchangeFolder" onAction="rbnContábil"/>
          <button id="rbnCriarRel" label="CRIAR SEU RELATÓRIO" imageMso="ChartShowData" onAction="rbnContábil"/>
          <button id="rbnAtualizarTDs" label="ATUALIZAR RELATÓRIOS" imageMso="ChartShowData" onAction="rbnContábil"/>
        </group>
        <group id="GRÁFICOS" label="GRÁFICOS">
          <button id="rbnGraficos" label="GRÁFICOS" imageMso="SlideMasterChartPlaceholderInsert" onAction="rbnContábi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43</vt:i4>
      </vt:variant>
    </vt:vector>
  </HeadingPairs>
  <TitlesOfParts>
    <vt:vector size="62" baseType="lpstr">
      <vt:lpstr>MENU</vt:lpstr>
      <vt:lpstr>TITULAR</vt:lpstr>
      <vt:lpstr>CLIENTES E FORNECEDOR</vt:lpstr>
      <vt:lpstr>CENTRO DE CUSTOS</vt:lpstr>
      <vt:lpstr>GRUPO DE CONTAS</vt:lpstr>
      <vt:lpstr>PLANO DE CONTAS</vt:lpstr>
      <vt:lpstr>CONTA CORRENTE</vt:lpstr>
      <vt:lpstr>ITENS DE ESTOQUE</vt:lpstr>
      <vt:lpstr>LANÇAMENTOS</vt:lpstr>
      <vt:lpstr>FLUXO DE CAIXA VERTICAL</vt:lpstr>
      <vt:lpstr>RELATÓRIO FIXO x ESPORÁDICO</vt:lpstr>
      <vt:lpstr>RELATÓRIO POR TITULARES</vt:lpstr>
      <vt:lpstr>CRIAR SEU RELATÓRIO</vt:lpstr>
      <vt:lpstr>FLUXO DE CAIXA HORIZONTAL</vt:lpstr>
      <vt:lpstr>CONTAS PAGAS e RECEBIDAS</vt:lpstr>
      <vt:lpstr>REL. ANÁLISE DE RESULTADOS </vt:lpstr>
      <vt:lpstr>GRÁFICOS</vt:lpstr>
      <vt:lpstr>REL. CONTROLE DE ESTOQUE</vt:lpstr>
      <vt:lpstr>Apoio</vt:lpstr>
      <vt:lpstr>ApoioFLuxoCaixa</vt:lpstr>
      <vt:lpstr>CabecalhoTBFCH</vt:lpstr>
      <vt:lpstr>FimRelAnaliseResultado</vt:lpstr>
      <vt:lpstr>FimRelAnResultado</vt:lpstr>
      <vt:lpstr>FormulaTDCPCR</vt:lpstr>
      <vt:lpstr>FormulaTDFCV</vt:lpstr>
      <vt:lpstr>InicioFormSFFCH</vt:lpstr>
      <vt:lpstr>InicioFormSIFCH</vt:lpstr>
      <vt:lpstr>InicioFormulaFCV</vt:lpstr>
      <vt:lpstr>InicioRelAnaliseResultado</vt:lpstr>
      <vt:lpstr>InicioRelAnResultado</vt:lpstr>
      <vt:lpstr>InicioTDFCV</vt:lpstr>
      <vt:lpstr>Realizado_ARealizarFCH</vt:lpstr>
      <vt:lpstr>Realizado_ARealizarFCV</vt:lpstr>
      <vt:lpstr>rng_DadosCCorrente</vt:lpstr>
      <vt:lpstr>'GRUPO DE CONTAS'!rng_DadosCentroCustos</vt:lpstr>
      <vt:lpstr>rng_DadosCentroCustos</vt:lpstr>
      <vt:lpstr>rng_DadosCliFor</vt:lpstr>
      <vt:lpstr>rng_DadosGrupoContas</vt:lpstr>
      <vt:lpstr>rng_DadosInsumos</vt:lpstr>
      <vt:lpstr>rng_DadosLanctosTD</vt:lpstr>
      <vt:lpstr>rng_DadosPlanoContas</vt:lpstr>
      <vt:lpstr>rng_DadosTitular</vt:lpstr>
      <vt:lpstr>rng_NomeCCorrente</vt:lpstr>
      <vt:lpstr>'GRUPO DE CONTAS'!rng_NomeCentroCustos</vt:lpstr>
      <vt:lpstr>rng_NomeCentroCustos</vt:lpstr>
      <vt:lpstr>rng_NomeCliFor</vt:lpstr>
      <vt:lpstr>rng_NomeGrupoContas</vt:lpstr>
      <vt:lpstr>rng_NomeInsumos</vt:lpstr>
      <vt:lpstr>rng_NomePlanoContas</vt:lpstr>
      <vt:lpstr>rng_NomeTitular</vt:lpstr>
      <vt:lpstr>rng_NroCCorrente</vt:lpstr>
      <vt:lpstr>'GRUPO DE CONTAS'!rng_NroCentroCustos</vt:lpstr>
      <vt:lpstr>rng_NroCentroCustos</vt:lpstr>
      <vt:lpstr>rng_NroCliFor</vt:lpstr>
      <vt:lpstr>rng_NroGrupoContas</vt:lpstr>
      <vt:lpstr>rng_NroInsumos</vt:lpstr>
      <vt:lpstr>rng_NroLancto</vt:lpstr>
      <vt:lpstr>rng_NroPlanoContas</vt:lpstr>
      <vt:lpstr>rng_NroTitular</vt:lpstr>
      <vt:lpstr>rng_TiposDoctos</vt:lpstr>
      <vt:lpstr>SaldoInicialFCH</vt:lpstr>
      <vt:lpstr>SaldoInicialFCV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ArthurCiappina</dc:creator>
  <cp:lastModifiedBy>Regis Marinho</cp:lastModifiedBy>
  <cp:lastPrinted>2016-11-14T15:46:19Z</cp:lastPrinted>
  <dcterms:created xsi:type="dcterms:W3CDTF">2016-04-03T18:06:12Z</dcterms:created>
  <dcterms:modified xsi:type="dcterms:W3CDTF">2018-04-07T12:44:48Z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695cb269-f3d4-41bf-a144-858e94cd0a97</vt:lpwstr>
  </property>
</Properties>
</file>