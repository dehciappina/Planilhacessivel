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BEAB7488-9B7B-487E-B0FE-E4F04A1703F5}" xr6:coauthVersionLast="34" xr6:coauthVersionMax="34" xr10:uidLastSave="{00000000-0000-0000-0000-000000000000}"/>
  <bookViews>
    <workbookView showHorizontalScroll="0" showVerticalScroll="0" showSheetTabs="0" xWindow="0" yWindow="0" windowWidth="20490" windowHeight="7545" activeTab="4" xr2:uid="{00000000-000D-0000-FFFF-FFFF00000000}"/>
  </bookViews>
  <sheets>
    <sheet name="Calculando i" sheetId="1" r:id="rId1"/>
    <sheet name="Calculando VF" sheetId="5" r:id="rId2"/>
    <sheet name="Calculando VP" sheetId="3" state="hidden" r:id="rId3"/>
    <sheet name="Calculando M" sheetId="4" state="hidden" r:id="rId4"/>
    <sheet name="Formulário" sheetId="2" r:id="rId5"/>
    <sheet name="Apoio" sheetId="6" r:id="rId6"/>
  </sheets>
  <definedNames>
    <definedName name="Calcular">Apoio!$B$3:$B$6</definedName>
    <definedName name="F">'Calculando VP'!$B$5</definedName>
    <definedName name="Hora_Calculo">Formulário!$H$4</definedName>
    <definedName name="i">'Calculando VP'!$B$4</definedName>
    <definedName name="M">'Calculando VP'!$B$3</definedName>
    <definedName name="n">'Calculando VP'!$B$2</definedName>
    <definedName name="P">'Calculando VP'!$B$1</definedName>
    <definedName name="pmt_f">'Calculando M'!$C$5</definedName>
    <definedName name="pmt_i">'Calculando M'!$C$4</definedName>
    <definedName name="pmt_n">'Calculando M'!$C$3</definedName>
    <definedName name="pmt_p">'Calculando M'!$C$2</definedName>
    <definedName name="PRAZO">'Calculando i'!$C$2</definedName>
    <definedName name="PRESTACAO">'Calculando i'!#REF!</definedName>
    <definedName name="Shp_Aviso">"Imagem 6,Shp_Aviso_Escrito"</definedName>
    <definedName name="TipoCalculo">Apoio!$A$3:$A$4</definedName>
    <definedName name="TX_JUROS">'Calculando i'!$C$4</definedName>
    <definedName name="VF">'Calculando i'!$C$5</definedName>
    <definedName name="VF_i">'Calculando VF'!$D$5</definedName>
    <definedName name="VF_m">'Calculando VF'!$D$4</definedName>
    <definedName name="VF_n">'Calculando VF'!$D$3</definedName>
    <definedName name="VF_VP">'Calculando VF'!$D$2</definedName>
    <definedName name="VP">'Calculando i'!$C$1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2" i="5" l="1"/>
  <c r="S8" i="2" l="1"/>
  <c r="S9" i="2"/>
  <c r="S6" i="2"/>
  <c r="K5" i="2"/>
  <c r="N5" i="2" s="1"/>
  <c r="S5" i="2"/>
  <c r="S7" i="2"/>
  <c r="M5" i="2" l="1"/>
  <c r="K6" i="2"/>
  <c r="K7" i="2" s="1"/>
  <c r="M7" i="2" s="1"/>
  <c r="L5" i="2"/>
  <c r="O5" i="2" l="1"/>
  <c r="L6" i="2" s="1"/>
  <c r="N6" i="2" s="1"/>
  <c r="M6" i="2"/>
  <c r="K8" i="2"/>
  <c r="K9" i="2" s="1"/>
  <c r="O6" i="2" l="1"/>
  <c r="L7" i="2" s="1"/>
  <c r="N7" i="2" s="1"/>
  <c r="M8" i="2"/>
  <c r="K10" i="2"/>
  <c r="M9" i="2"/>
  <c r="O7" i="2" l="1"/>
  <c r="L8" i="2" s="1"/>
  <c r="N8" i="2" s="1"/>
  <c r="K11" i="2"/>
  <c r="M10" i="2"/>
  <c r="O8" i="2" l="1"/>
  <c r="L9" i="2" s="1"/>
  <c r="N9" i="2" s="1"/>
  <c r="K12" i="2"/>
  <c r="M11" i="2"/>
  <c r="K13" i="2" l="1"/>
  <c r="M12" i="2"/>
  <c r="O9" i="2"/>
  <c r="K14" i="2" l="1"/>
  <c r="M13" i="2"/>
  <c r="L10" i="2"/>
  <c r="N10" i="2" s="1"/>
  <c r="K15" i="2" l="1"/>
  <c r="M14" i="2"/>
  <c r="O10" i="2"/>
  <c r="K16" i="2" l="1"/>
  <c r="K17" i="2" s="1"/>
  <c r="K18" i="2" s="1"/>
  <c r="K19" i="2" s="1"/>
  <c r="M15" i="2"/>
  <c r="L11" i="2"/>
  <c r="N11" i="2" s="1"/>
  <c r="K20" i="2" l="1"/>
  <c r="K21" i="2" s="1"/>
  <c r="K22" i="2" s="1"/>
  <c r="K23" i="2" s="1"/>
  <c r="K24" i="2" s="1"/>
  <c r="M16" i="2"/>
  <c r="M17" i="2"/>
  <c r="O11" i="2"/>
  <c r="L12" i="2" s="1"/>
  <c r="K25" i="2" l="1"/>
  <c r="K26" i="2" s="1"/>
  <c r="M18" i="2"/>
  <c r="N12" i="2"/>
  <c r="M26" i="2" l="1"/>
  <c r="K27" i="2"/>
  <c r="M19" i="2"/>
  <c r="O12" i="2"/>
  <c r="K28" i="2" l="1"/>
  <c r="M27" i="2"/>
  <c r="M20" i="2"/>
  <c r="L13" i="2"/>
  <c r="N13" i="2" s="1"/>
  <c r="M28" i="2" l="1"/>
  <c r="K29" i="2"/>
  <c r="M21" i="2"/>
  <c r="O13" i="2"/>
  <c r="J2" i="5"/>
  <c r="M29" i="2" l="1"/>
  <c r="K30" i="2"/>
  <c r="M22" i="2"/>
  <c r="L14" i="2"/>
  <c r="N14" i="2" s="1"/>
  <c r="D6" i="5"/>
  <c r="K2" i="5"/>
  <c r="D7" i="5"/>
  <c r="K14" i="5" s="1"/>
  <c r="M30" i="2" l="1"/>
  <c r="K31" i="2"/>
  <c r="M23" i="2"/>
  <c r="M24" i="2"/>
  <c r="O14" i="2"/>
  <c r="L15" i="2" s="1"/>
  <c r="G3" i="5"/>
  <c r="J3" i="5" s="1"/>
  <c r="C8" i="1"/>
  <c r="C14" i="1"/>
  <c r="C15" i="1" s="1"/>
  <c r="C4" i="1"/>
  <c r="C11" i="1" s="1"/>
  <c r="M31" i="2" l="1"/>
  <c r="K32" i="2"/>
  <c r="M25" i="2"/>
  <c r="N15" i="2"/>
  <c r="K3" i="5"/>
  <c r="G4" i="5" s="1"/>
  <c r="J4" i="5" s="1"/>
  <c r="K4" i="5" s="1"/>
  <c r="G5" i="5" s="1"/>
  <c r="C6" i="4"/>
  <c r="C19" i="4"/>
  <c r="M32" i="2" l="1"/>
  <c r="K33" i="2"/>
  <c r="O15" i="2"/>
  <c r="J5" i="5"/>
  <c r="K5" i="5" s="1"/>
  <c r="G6" i="5" s="1"/>
  <c r="C8" i="4"/>
  <c r="L16" i="2" l="1"/>
  <c r="N16" i="2" s="1"/>
  <c r="O16" i="2" s="1"/>
  <c r="L17" i="2" s="1"/>
  <c r="K34" i="2"/>
  <c r="M33" i="2"/>
  <c r="J6" i="5"/>
  <c r="K6" i="5" s="1"/>
  <c r="G7" i="5" s="1"/>
  <c r="D9" i="5"/>
  <c r="G2" i="1"/>
  <c r="K35" i="2" l="1"/>
  <c r="M34" i="2"/>
  <c r="N17" i="2"/>
  <c r="O17" i="2" s="1"/>
  <c r="J7" i="5"/>
  <c r="K7" i="5" s="1"/>
  <c r="G8" i="5" s="1"/>
  <c r="B5" i="3"/>
  <c r="D15" i="3" s="1"/>
  <c r="E14" i="3"/>
  <c r="L18" i="2" l="1"/>
  <c r="N18" i="2" s="1"/>
  <c r="O18" i="2" s="1"/>
  <c r="L19" i="2" s="1"/>
  <c r="M35" i="2"/>
  <c r="K36" i="2"/>
  <c r="J8" i="5"/>
  <c r="K8" i="5" s="1"/>
  <c r="G9" i="5" s="1"/>
  <c r="D14" i="3"/>
  <c r="E15" i="3"/>
  <c r="G1" i="1"/>
  <c r="G3" i="1" s="1"/>
  <c r="K37" i="2" l="1"/>
  <c r="M36" i="2"/>
  <c r="N19" i="2"/>
  <c r="O19" i="2" s="1"/>
  <c r="L20" i="2" s="1"/>
  <c r="J9" i="5"/>
  <c r="K9" i="5" s="1"/>
  <c r="G10" i="5" s="1"/>
  <c r="M37" i="2" l="1"/>
  <c r="K38" i="2"/>
  <c r="N20" i="2"/>
  <c r="O20" i="2" s="1"/>
  <c r="L21" i="2" s="1"/>
  <c r="J10" i="5"/>
  <c r="K10" i="5" s="1"/>
  <c r="G11" i="5" s="1"/>
  <c r="M38" i="2" l="1"/>
  <c r="K39" i="2"/>
  <c r="N21" i="2"/>
  <c r="O21" i="2" s="1"/>
  <c r="L22" i="2" s="1"/>
  <c r="J11" i="5"/>
  <c r="K11" i="5" s="1"/>
  <c r="K40" i="2" l="1"/>
  <c r="M39" i="2"/>
  <c r="N22" i="2"/>
  <c r="O22" i="2" s="1"/>
  <c r="L23" i="2" s="1"/>
  <c r="K15" i="5"/>
  <c r="G12" i="5"/>
  <c r="N23" i="2" l="1"/>
  <c r="O23" i="2" s="1"/>
  <c r="L24" i="2" s="1"/>
  <c r="K41" i="2"/>
  <c r="M40" i="2"/>
  <c r="K12" i="5"/>
  <c r="K42" i="2" l="1"/>
  <c r="M41" i="2"/>
  <c r="N24" i="2"/>
  <c r="O24" i="2" s="1"/>
  <c r="L25" i="2" s="1"/>
  <c r="N25" i="2" l="1"/>
  <c r="O25" i="2" s="1"/>
  <c r="L26" i="2" s="1"/>
  <c r="N26" i="2" s="1"/>
  <c r="O26" i="2" s="1"/>
  <c r="L27" i="2" s="1"/>
  <c r="N27" i="2" s="1"/>
  <c r="O27" i="2" s="1"/>
  <c r="L28" i="2" s="1"/>
  <c r="N28" i="2" s="1"/>
  <c r="O28" i="2" s="1"/>
  <c r="L29" i="2" s="1"/>
  <c r="N29" i="2" s="1"/>
  <c r="O29" i="2" s="1"/>
  <c r="L30" i="2" s="1"/>
  <c r="N30" i="2" s="1"/>
  <c r="O30" i="2" s="1"/>
  <c r="L31" i="2" s="1"/>
  <c r="N31" i="2" s="1"/>
  <c r="O31" i="2" s="1"/>
  <c r="L32" i="2" s="1"/>
  <c r="N32" i="2" s="1"/>
  <c r="O32" i="2" s="1"/>
  <c r="L33" i="2" s="1"/>
  <c r="N33" i="2" s="1"/>
  <c r="O33" i="2" s="1"/>
  <c r="L34" i="2" s="1"/>
  <c r="N34" i="2" s="1"/>
  <c r="O34" i="2" s="1"/>
  <c r="L35" i="2" s="1"/>
  <c r="N35" i="2" s="1"/>
  <c r="O35" i="2" s="1"/>
  <c r="L36" i="2" s="1"/>
  <c r="K43" i="2"/>
  <c r="M42" i="2"/>
  <c r="M43" i="2" l="1"/>
  <c r="K44" i="2"/>
  <c r="N36" i="2"/>
  <c r="O36" i="2" s="1"/>
  <c r="L37" i="2" s="1"/>
  <c r="K45" i="2" l="1"/>
  <c r="M44" i="2"/>
  <c r="N37" i="2"/>
  <c r="O37" i="2" s="1"/>
  <c r="L38" i="2" s="1"/>
  <c r="K46" i="2" l="1"/>
  <c r="M45" i="2"/>
  <c r="N38" i="2"/>
  <c r="O38" i="2" s="1"/>
  <c r="L39" i="2" s="1"/>
  <c r="K47" i="2" l="1"/>
  <c r="M46" i="2"/>
  <c r="N39" i="2"/>
  <c r="O39" i="2" s="1"/>
  <c r="L40" i="2" s="1"/>
  <c r="K48" i="2" l="1"/>
  <c r="M47" i="2"/>
  <c r="N40" i="2"/>
  <c r="O40" i="2" s="1"/>
  <c r="L41" i="2" s="1"/>
  <c r="M48" i="2" l="1"/>
  <c r="K49" i="2"/>
  <c r="N41" i="2"/>
  <c r="O41" i="2" s="1"/>
  <c r="L42" i="2" s="1"/>
  <c r="M49" i="2" l="1"/>
  <c r="K50" i="2"/>
  <c r="N42" i="2"/>
  <c r="O42" i="2" s="1"/>
  <c r="L43" i="2" s="1"/>
  <c r="M50" i="2" l="1"/>
  <c r="K51" i="2"/>
  <c r="N43" i="2"/>
  <c r="O43" i="2" s="1"/>
  <c r="L44" i="2" s="1"/>
  <c r="K52" i="2" l="1"/>
  <c r="M51" i="2"/>
  <c r="N44" i="2"/>
  <c r="O44" i="2" s="1"/>
  <c r="L45" i="2" s="1"/>
  <c r="K53" i="2" l="1"/>
  <c r="M52" i="2"/>
  <c r="N45" i="2"/>
  <c r="O45" i="2" s="1"/>
  <c r="L46" i="2" s="1"/>
  <c r="K54" i="2" l="1"/>
  <c r="M53" i="2"/>
  <c r="N46" i="2"/>
  <c r="O46" i="2" s="1"/>
  <c r="L47" i="2" s="1"/>
  <c r="K55" i="2" l="1"/>
  <c r="M54" i="2"/>
  <c r="N47" i="2"/>
  <c r="O47" i="2" s="1"/>
  <c r="L48" i="2" s="1"/>
  <c r="K56" i="2" l="1"/>
  <c r="M55" i="2"/>
  <c r="N48" i="2"/>
  <c r="O48" i="2" s="1"/>
  <c r="L49" i="2" s="1"/>
  <c r="K57" i="2" l="1"/>
  <c r="M56" i="2"/>
  <c r="N49" i="2"/>
  <c r="O49" i="2" s="1"/>
  <c r="L50" i="2" s="1"/>
  <c r="M57" i="2" l="1"/>
  <c r="K58" i="2"/>
  <c r="N50" i="2"/>
  <c r="O50" i="2" s="1"/>
  <c r="L51" i="2" s="1"/>
  <c r="M58" i="2" l="1"/>
  <c r="K59" i="2"/>
  <c r="N51" i="2"/>
  <c r="O51" i="2" s="1"/>
  <c r="L52" i="2" s="1"/>
  <c r="K60" i="2" l="1"/>
  <c r="M59" i="2"/>
  <c r="N52" i="2"/>
  <c r="O52" i="2" s="1"/>
  <c r="L53" i="2" s="1"/>
  <c r="K61" i="2" l="1"/>
  <c r="M60" i="2"/>
  <c r="N53" i="2"/>
  <c r="O53" i="2" s="1"/>
  <c r="L54" i="2" s="1"/>
  <c r="M61" i="2" l="1"/>
  <c r="K62" i="2"/>
  <c r="N54" i="2"/>
  <c r="O54" i="2" s="1"/>
  <c r="L55" i="2" s="1"/>
  <c r="M62" i="2" l="1"/>
  <c r="K63" i="2"/>
  <c r="N55" i="2"/>
  <c r="O55" i="2" s="1"/>
  <c r="L56" i="2" s="1"/>
  <c r="K64" i="2" l="1"/>
  <c r="M63" i="2"/>
  <c r="N56" i="2"/>
  <c r="O56" i="2" s="1"/>
  <c r="L57" i="2" s="1"/>
  <c r="M64" i="2" l="1"/>
  <c r="K65" i="2"/>
  <c r="N57" i="2"/>
  <c r="O57" i="2" s="1"/>
  <c r="L58" i="2" s="1"/>
  <c r="M65" i="2" l="1"/>
  <c r="K66" i="2"/>
  <c r="N58" i="2"/>
  <c r="O58" i="2" s="1"/>
  <c r="L59" i="2" s="1"/>
  <c r="M66" i="2" l="1"/>
  <c r="K67" i="2"/>
  <c r="N59" i="2"/>
  <c r="O59" i="2" s="1"/>
  <c r="L60" i="2" s="1"/>
  <c r="M67" i="2" l="1"/>
  <c r="K68" i="2"/>
  <c r="N60" i="2"/>
  <c r="O60" i="2" s="1"/>
  <c r="L61" i="2" s="1"/>
  <c r="M68" i="2" l="1"/>
  <c r="K69" i="2"/>
  <c r="N61" i="2"/>
  <c r="O61" i="2" s="1"/>
  <c r="L62" i="2" s="1"/>
  <c r="M69" i="2" l="1"/>
  <c r="K70" i="2"/>
  <c r="N62" i="2"/>
  <c r="O62" i="2" s="1"/>
  <c r="L63" i="2" s="1"/>
  <c r="K71" i="2" l="1"/>
  <c r="M70" i="2"/>
  <c r="N63" i="2"/>
  <c r="O63" i="2" s="1"/>
  <c r="L64" i="2" s="1"/>
  <c r="K72" i="2" l="1"/>
  <c r="M71" i="2"/>
  <c r="N64" i="2"/>
  <c r="O64" i="2" s="1"/>
  <c r="L65" i="2" s="1"/>
  <c r="M72" i="2" l="1"/>
  <c r="K73" i="2"/>
  <c r="N65" i="2"/>
  <c r="O65" i="2" s="1"/>
  <c r="L66" i="2" s="1"/>
  <c r="K74" i="2" l="1"/>
  <c r="M73" i="2"/>
  <c r="N66" i="2"/>
  <c r="O66" i="2" s="1"/>
  <c r="L67" i="2" s="1"/>
  <c r="K75" i="2" l="1"/>
  <c r="M74" i="2"/>
  <c r="N67" i="2"/>
  <c r="O67" i="2" s="1"/>
  <c r="L68" i="2" s="1"/>
  <c r="M75" i="2" l="1"/>
  <c r="K76" i="2"/>
  <c r="N68" i="2"/>
  <c r="O68" i="2" s="1"/>
  <c r="L69" i="2" s="1"/>
  <c r="K77" i="2" l="1"/>
  <c r="M76" i="2"/>
  <c r="N69" i="2"/>
  <c r="O69" i="2" s="1"/>
  <c r="L70" i="2" s="1"/>
  <c r="M77" i="2" l="1"/>
  <c r="K78" i="2"/>
  <c r="N70" i="2"/>
  <c r="O70" i="2" s="1"/>
  <c r="L71" i="2" s="1"/>
  <c r="K79" i="2" l="1"/>
  <c r="M78" i="2"/>
  <c r="N71" i="2"/>
  <c r="O71" i="2" s="1"/>
  <c r="L72" i="2" s="1"/>
  <c r="K80" i="2" l="1"/>
  <c r="M79" i="2"/>
  <c r="N72" i="2"/>
  <c r="O72" i="2" s="1"/>
  <c r="L73" i="2" s="1"/>
  <c r="K81" i="2" l="1"/>
  <c r="M80" i="2"/>
  <c r="N73" i="2"/>
  <c r="O73" i="2" s="1"/>
  <c r="L74" i="2" s="1"/>
  <c r="M81" i="2" l="1"/>
  <c r="K82" i="2"/>
  <c r="N74" i="2"/>
  <c r="O74" i="2" s="1"/>
  <c r="L75" i="2" s="1"/>
  <c r="M82" i="2" l="1"/>
  <c r="K83" i="2"/>
  <c r="N75" i="2"/>
  <c r="O75" i="2" s="1"/>
  <c r="L76" i="2" s="1"/>
  <c r="K84" i="2" l="1"/>
  <c r="M83" i="2"/>
  <c r="N76" i="2"/>
  <c r="O76" i="2" s="1"/>
  <c r="L77" i="2" s="1"/>
  <c r="M84" i="2" l="1"/>
  <c r="K85" i="2"/>
  <c r="N77" i="2"/>
  <c r="O77" i="2" s="1"/>
  <c r="L78" i="2" s="1"/>
  <c r="M85" i="2" l="1"/>
  <c r="K86" i="2"/>
  <c r="N78" i="2"/>
  <c r="O78" i="2" s="1"/>
  <c r="L79" i="2" s="1"/>
  <c r="M86" i="2" l="1"/>
  <c r="K87" i="2"/>
  <c r="N79" i="2"/>
  <c r="O79" i="2" s="1"/>
  <c r="L80" i="2" s="1"/>
  <c r="M87" i="2" l="1"/>
  <c r="K88" i="2"/>
  <c r="N80" i="2"/>
  <c r="O80" i="2" s="1"/>
  <c r="L81" i="2" s="1"/>
  <c r="K89" i="2" l="1"/>
  <c r="M88" i="2"/>
  <c r="N81" i="2"/>
  <c r="O81" i="2" s="1"/>
  <c r="L82" i="2" s="1"/>
  <c r="K90" i="2" l="1"/>
  <c r="M89" i="2"/>
  <c r="N82" i="2"/>
  <c r="O82" i="2" s="1"/>
  <c r="L83" i="2" s="1"/>
  <c r="M90" i="2" l="1"/>
  <c r="K91" i="2"/>
  <c r="N83" i="2"/>
  <c r="O83" i="2" s="1"/>
  <c r="L84" i="2" s="1"/>
  <c r="M91" i="2" l="1"/>
  <c r="K92" i="2"/>
  <c r="N84" i="2"/>
  <c r="O84" i="2" s="1"/>
  <c r="L85" i="2" s="1"/>
  <c r="K93" i="2" l="1"/>
  <c r="M92" i="2"/>
  <c r="N85" i="2"/>
  <c r="O85" i="2" s="1"/>
  <c r="L86" i="2" s="1"/>
  <c r="M93" i="2" l="1"/>
  <c r="K94" i="2"/>
  <c r="N86" i="2"/>
  <c r="O86" i="2" s="1"/>
  <c r="L87" i="2" s="1"/>
  <c r="K95" i="2" l="1"/>
  <c r="M94" i="2"/>
  <c r="N87" i="2"/>
  <c r="O87" i="2" s="1"/>
  <c r="L88" i="2" s="1"/>
  <c r="M95" i="2" l="1"/>
  <c r="K96" i="2"/>
  <c r="N88" i="2"/>
  <c r="O88" i="2" s="1"/>
  <c r="L89" i="2" s="1"/>
  <c r="K97" i="2" l="1"/>
  <c r="M96" i="2"/>
  <c r="N89" i="2"/>
  <c r="O89" i="2" s="1"/>
  <c r="L90" i="2" s="1"/>
  <c r="M97" i="2" l="1"/>
  <c r="K98" i="2"/>
  <c r="N90" i="2"/>
  <c r="O90" i="2" s="1"/>
  <c r="L91" i="2" s="1"/>
  <c r="M98" i="2" l="1"/>
  <c r="K99" i="2"/>
  <c r="N91" i="2"/>
  <c r="O91" i="2" s="1"/>
  <c r="L92" i="2" s="1"/>
  <c r="M99" i="2" l="1"/>
  <c r="K100" i="2"/>
  <c r="N92" i="2"/>
  <c r="O92" i="2" s="1"/>
  <c r="L93" i="2" s="1"/>
  <c r="K101" i="2" l="1"/>
  <c r="M100" i="2"/>
  <c r="N93" i="2"/>
  <c r="O93" i="2" s="1"/>
  <c r="L94" i="2" s="1"/>
  <c r="M101" i="2" l="1"/>
  <c r="K102" i="2"/>
  <c r="N94" i="2"/>
  <c r="O94" i="2" s="1"/>
  <c r="L95" i="2" s="1"/>
  <c r="M102" i="2" l="1"/>
  <c r="K103" i="2"/>
  <c r="N95" i="2"/>
  <c r="O95" i="2" s="1"/>
  <c r="L96" i="2" s="1"/>
  <c r="M103" i="2" l="1"/>
  <c r="K104" i="2"/>
  <c r="N96" i="2"/>
  <c r="O96" i="2" s="1"/>
  <c r="L97" i="2" s="1"/>
  <c r="K105" i="2" l="1"/>
  <c r="M104" i="2"/>
  <c r="N97" i="2"/>
  <c r="O97" i="2" s="1"/>
  <c r="L98" i="2" s="1"/>
  <c r="K106" i="2" l="1"/>
  <c r="M105" i="2"/>
  <c r="N98" i="2"/>
  <c r="O98" i="2" s="1"/>
  <c r="L99" i="2" s="1"/>
  <c r="M106" i="2" l="1"/>
  <c r="K107" i="2"/>
  <c r="N99" i="2"/>
  <c r="O99" i="2" s="1"/>
  <c r="L100" i="2" s="1"/>
  <c r="M107" i="2" l="1"/>
  <c r="K108" i="2"/>
  <c r="N100" i="2"/>
  <c r="O100" i="2" s="1"/>
  <c r="L101" i="2" s="1"/>
  <c r="K109" i="2" l="1"/>
  <c r="M108" i="2"/>
  <c r="N101" i="2"/>
  <c r="O101" i="2" s="1"/>
  <c r="L102" i="2" s="1"/>
  <c r="K110" i="2" l="1"/>
  <c r="M109" i="2"/>
  <c r="N102" i="2"/>
  <c r="O102" i="2" s="1"/>
  <c r="L103" i="2" s="1"/>
  <c r="M110" i="2" l="1"/>
  <c r="K111" i="2"/>
  <c r="N103" i="2"/>
  <c r="O103" i="2" s="1"/>
  <c r="L104" i="2" s="1"/>
  <c r="K112" i="2" l="1"/>
  <c r="M111" i="2"/>
  <c r="N104" i="2"/>
  <c r="O104" i="2" s="1"/>
  <c r="L105" i="2" s="1"/>
  <c r="K113" i="2" l="1"/>
  <c r="M112" i="2"/>
  <c r="N105" i="2"/>
  <c r="O105" i="2" s="1"/>
  <c r="L106" i="2" s="1"/>
  <c r="M113" i="2" l="1"/>
  <c r="K114" i="2"/>
  <c r="N106" i="2"/>
  <c r="O106" i="2" s="1"/>
  <c r="L107" i="2" s="1"/>
  <c r="M114" i="2" l="1"/>
  <c r="K115" i="2"/>
  <c r="N107" i="2"/>
  <c r="O107" i="2" s="1"/>
  <c r="L108" i="2" s="1"/>
  <c r="K116" i="2" l="1"/>
  <c r="M115" i="2"/>
  <c r="N108" i="2"/>
  <c r="O108" i="2" s="1"/>
  <c r="L109" i="2" s="1"/>
  <c r="K117" i="2" l="1"/>
  <c r="M116" i="2"/>
  <c r="N109" i="2"/>
  <c r="O109" i="2" s="1"/>
  <c r="L110" i="2" s="1"/>
  <c r="K118" i="2" l="1"/>
  <c r="M117" i="2"/>
  <c r="N110" i="2"/>
  <c r="O110" i="2" s="1"/>
  <c r="L111" i="2" s="1"/>
  <c r="K119" i="2" l="1"/>
  <c r="M118" i="2"/>
  <c r="N111" i="2"/>
  <c r="O111" i="2" s="1"/>
  <c r="L112" i="2" s="1"/>
  <c r="M119" i="2" l="1"/>
  <c r="K120" i="2"/>
  <c r="N112" i="2"/>
  <c r="O112" i="2" s="1"/>
  <c r="L113" i="2" s="1"/>
  <c r="M120" i="2" l="1"/>
  <c r="K121" i="2"/>
  <c r="N113" i="2"/>
  <c r="O113" i="2" s="1"/>
  <c r="L114" i="2" s="1"/>
  <c r="M121" i="2" l="1"/>
  <c r="K122" i="2"/>
  <c r="N114" i="2"/>
  <c r="O114" i="2" s="1"/>
  <c r="L115" i="2" s="1"/>
  <c r="K123" i="2" l="1"/>
  <c r="M122" i="2"/>
  <c r="N115" i="2"/>
  <c r="O115" i="2" s="1"/>
  <c r="L116" i="2" s="1"/>
  <c r="K124" i="2" l="1"/>
  <c r="M123" i="2"/>
  <c r="N116" i="2"/>
  <c r="O116" i="2" s="1"/>
  <c r="L117" i="2" s="1"/>
  <c r="K125" i="2" l="1"/>
  <c r="M124" i="2"/>
  <c r="N117" i="2"/>
  <c r="O117" i="2" s="1"/>
  <c r="L118" i="2" s="1"/>
  <c r="M125" i="2" l="1"/>
  <c r="K126" i="2"/>
  <c r="N118" i="2"/>
  <c r="O118" i="2" s="1"/>
  <c r="L119" i="2" s="1"/>
  <c r="K127" i="2" l="1"/>
  <c r="M126" i="2"/>
  <c r="N119" i="2"/>
  <c r="O119" i="2" s="1"/>
  <c r="L120" i="2" s="1"/>
  <c r="K128" i="2" l="1"/>
  <c r="M127" i="2"/>
  <c r="N120" i="2"/>
  <c r="O120" i="2" s="1"/>
  <c r="L121" i="2" s="1"/>
  <c r="M128" i="2" l="1"/>
  <c r="K129" i="2"/>
  <c r="N121" i="2"/>
  <c r="O121" i="2" s="1"/>
  <c r="L122" i="2" s="1"/>
  <c r="K130" i="2" l="1"/>
  <c r="M129" i="2"/>
  <c r="N122" i="2"/>
  <c r="O122" i="2" s="1"/>
  <c r="L123" i="2" s="1"/>
  <c r="M130" i="2" l="1"/>
  <c r="K131" i="2"/>
  <c r="N123" i="2"/>
  <c r="O123" i="2" s="1"/>
  <c r="L124" i="2" s="1"/>
  <c r="K132" i="2" l="1"/>
  <c r="M131" i="2"/>
  <c r="N124" i="2"/>
  <c r="O124" i="2" s="1"/>
  <c r="L125" i="2" s="1"/>
  <c r="M132" i="2" l="1"/>
  <c r="K133" i="2"/>
  <c r="N125" i="2"/>
  <c r="O125" i="2" s="1"/>
  <c r="L126" i="2" s="1"/>
  <c r="K134" i="2" l="1"/>
  <c r="M133" i="2"/>
  <c r="N126" i="2"/>
  <c r="O126" i="2" s="1"/>
  <c r="L127" i="2" s="1"/>
  <c r="K135" i="2" l="1"/>
  <c r="M134" i="2"/>
  <c r="N127" i="2"/>
  <c r="O127" i="2" s="1"/>
  <c r="L128" i="2" s="1"/>
  <c r="M135" i="2" l="1"/>
  <c r="K136" i="2"/>
  <c r="N128" i="2"/>
  <c r="O128" i="2" s="1"/>
  <c r="L129" i="2" s="1"/>
  <c r="K137" i="2" l="1"/>
  <c r="M136" i="2"/>
  <c r="N129" i="2"/>
  <c r="O129" i="2" s="1"/>
  <c r="L130" i="2" s="1"/>
  <c r="K138" i="2" l="1"/>
  <c r="M137" i="2"/>
  <c r="N130" i="2"/>
  <c r="O130" i="2" s="1"/>
  <c r="L131" i="2" s="1"/>
  <c r="M138" i="2" l="1"/>
  <c r="K139" i="2"/>
  <c r="N131" i="2"/>
  <c r="O131" i="2" s="1"/>
  <c r="L132" i="2" s="1"/>
  <c r="K140" i="2" l="1"/>
  <c r="M139" i="2"/>
  <c r="N132" i="2"/>
  <c r="O132" i="2" s="1"/>
  <c r="L133" i="2" s="1"/>
  <c r="M140" i="2" l="1"/>
  <c r="K141" i="2"/>
  <c r="N133" i="2"/>
  <c r="O133" i="2" s="1"/>
  <c r="L134" i="2" s="1"/>
  <c r="K142" i="2" l="1"/>
  <c r="M141" i="2"/>
  <c r="N134" i="2"/>
  <c r="O134" i="2" s="1"/>
  <c r="L135" i="2" s="1"/>
  <c r="K143" i="2" l="1"/>
  <c r="M142" i="2"/>
  <c r="N135" i="2"/>
  <c r="O135" i="2" s="1"/>
  <c r="L136" i="2" s="1"/>
  <c r="K144" i="2" l="1"/>
  <c r="M143" i="2"/>
  <c r="N136" i="2"/>
  <c r="O136" i="2" s="1"/>
  <c r="L137" i="2" s="1"/>
  <c r="M144" i="2" l="1"/>
  <c r="K145" i="2"/>
  <c r="N137" i="2"/>
  <c r="O137" i="2" s="1"/>
  <c r="L138" i="2" s="1"/>
  <c r="M145" i="2" l="1"/>
  <c r="K146" i="2"/>
  <c r="N138" i="2"/>
  <c r="O138" i="2" s="1"/>
  <c r="L139" i="2" s="1"/>
  <c r="K147" i="2" l="1"/>
  <c r="M146" i="2"/>
  <c r="N139" i="2"/>
  <c r="O139" i="2" s="1"/>
  <c r="L140" i="2" s="1"/>
  <c r="K148" i="2" l="1"/>
  <c r="M147" i="2"/>
  <c r="N140" i="2"/>
  <c r="O140" i="2" s="1"/>
  <c r="L141" i="2" s="1"/>
  <c r="M148" i="2" l="1"/>
  <c r="K149" i="2"/>
  <c r="N141" i="2"/>
  <c r="O141" i="2" s="1"/>
  <c r="L142" i="2" s="1"/>
  <c r="M149" i="2" l="1"/>
  <c r="K150" i="2"/>
  <c r="N142" i="2"/>
  <c r="O142" i="2" s="1"/>
  <c r="L143" i="2" s="1"/>
  <c r="M150" i="2" l="1"/>
  <c r="K151" i="2"/>
  <c r="N143" i="2"/>
  <c r="O143" i="2" s="1"/>
  <c r="L144" i="2" s="1"/>
  <c r="K152" i="2" l="1"/>
  <c r="M151" i="2"/>
  <c r="N144" i="2"/>
  <c r="O144" i="2" s="1"/>
  <c r="L145" i="2" s="1"/>
  <c r="K153" i="2" l="1"/>
  <c r="M152" i="2"/>
  <c r="N145" i="2"/>
  <c r="O145" i="2" s="1"/>
  <c r="L146" i="2" s="1"/>
  <c r="K154" i="2" l="1"/>
  <c r="M153" i="2"/>
  <c r="N146" i="2"/>
  <c r="O146" i="2" s="1"/>
  <c r="L147" i="2" s="1"/>
  <c r="M154" i="2" l="1"/>
  <c r="K155" i="2"/>
  <c r="N147" i="2"/>
  <c r="O147" i="2" s="1"/>
  <c r="L148" i="2" s="1"/>
  <c r="M155" i="2" l="1"/>
  <c r="K156" i="2"/>
  <c r="N148" i="2"/>
  <c r="O148" i="2" s="1"/>
  <c r="L149" i="2" s="1"/>
  <c r="M156" i="2" l="1"/>
  <c r="K157" i="2"/>
  <c r="N149" i="2"/>
  <c r="O149" i="2" s="1"/>
  <c r="L150" i="2" s="1"/>
  <c r="M157" i="2" l="1"/>
  <c r="K158" i="2"/>
  <c r="N150" i="2"/>
  <c r="O150" i="2" s="1"/>
  <c r="L151" i="2" s="1"/>
  <c r="K159" i="2" l="1"/>
  <c r="M158" i="2"/>
  <c r="N151" i="2"/>
  <c r="O151" i="2" s="1"/>
  <c r="L152" i="2" s="1"/>
  <c r="M159" i="2" l="1"/>
  <c r="K160" i="2"/>
  <c r="N152" i="2"/>
  <c r="O152" i="2" s="1"/>
  <c r="L153" i="2" s="1"/>
  <c r="K161" i="2" l="1"/>
  <c r="M160" i="2"/>
  <c r="N153" i="2"/>
  <c r="O153" i="2" s="1"/>
  <c r="L154" i="2" s="1"/>
  <c r="M161" i="2" l="1"/>
  <c r="K162" i="2"/>
  <c r="N154" i="2"/>
  <c r="O154" i="2" s="1"/>
  <c r="L155" i="2" s="1"/>
  <c r="K163" i="2" l="1"/>
  <c r="M162" i="2"/>
  <c r="N155" i="2"/>
  <c r="O155" i="2" s="1"/>
  <c r="L156" i="2" s="1"/>
  <c r="K164" i="2" l="1"/>
  <c r="M163" i="2"/>
  <c r="N156" i="2"/>
  <c r="O156" i="2" s="1"/>
  <c r="L157" i="2" s="1"/>
  <c r="K165" i="2" l="1"/>
  <c r="M164" i="2"/>
  <c r="N157" i="2"/>
  <c r="O157" i="2" s="1"/>
  <c r="L158" i="2" s="1"/>
  <c r="M165" i="2" l="1"/>
  <c r="K166" i="2"/>
  <c r="N158" i="2"/>
  <c r="O158" i="2" s="1"/>
  <c r="L159" i="2" s="1"/>
  <c r="M166" i="2" l="1"/>
  <c r="K167" i="2"/>
  <c r="N159" i="2"/>
  <c r="O159" i="2" s="1"/>
  <c r="L160" i="2" s="1"/>
  <c r="K168" i="2" l="1"/>
  <c r="M167" i="2"/>
  <c r="N160" i="2"/>
  <c r="O160" i="2" s="1"/>
  <c r="L161" i="2" s="1"/>
  <c r="K169" i="2" l="1"/>
  <c r="M168" i="2"/>
  <c r="N161" i="2"/>
  <c r="O161" i="2" s="1"/>
  <c r="L162" i="2" s="1"/>
  <c r="M169" i="2" l="1"/>
  <c r="K170" i="2"/>
  <c r="N162" i="2"/>
  <c r="O162" i="2" s="1"/>
  <c r="L163" i="2" s="1"/>
  <c r="M170" i="2" l="1"/>
  <c r="K171" i="2"/>
  <c r="N163" i="2"/>
  <c r="O163" i="2" s="1"/>
  <c r="L164" i="2" s="1"/>
  <c r="M171" i="2" l="1"/>
  <c r="K172" i="2"/>
  <c r="N164" i="2"/>
  <c r="O164" i="2" s="1"/>
  <c r="L165" i="2" s="1"/>
  <c r="M172" i="2" l="1"/>
  <c r="K173" i="2"/>
  <c r="N165" i="2"/>
  <c r="O165" i="2" s="1"/>
  <c r="L166" i="2" s="1"/>
  <c r="M173" i="2" l="1"/>
  <c r="K174" i="2"/>
  <c r="N166" i="2"/>
  <c r="O166" i="2" s="1"/>
  <c r="L167" i="2" s="1"/>
  <c r="K175" i="2" l="1"/>
  <c r="M174" i="2"/>
  <c r="N167" i="2"/>
  <c r="O167" i="2" s="1"/>
  <c r="L168" i="2" s="1"/>
  <c r="M175" i="2" l="1"/>
  <c r="K176" i="2"/>
  <c r="N168" i="2"/>
  <c r="O168" i="2" s="1"/>
  <c r="L169" i="2" s="1"/>
  <c r="M176" i="2" l="1"/>
  <c r="K177" i="2"/>
  <c r="N169" i="2"/>
  <c r="O169" i="2" s="1"/>
  <c r="L170" i="2" s="1"/>
  <c r="M177" i="2" l="1"/>
  <c r="K178" i="2"/>
  <c r="N170" i="2"/>
  <c r="O170" i="2" s="1"/>
  <c r="L171" i="2" s="1"/>
  <c r="K179" i="2" l="1"/>
  <c r="M178" i="2"/>
  <c r="N171" i="2"/>
  <c r="O171" i="2" s="1"/>
  <c r="L172" i="2" s="1"/>
  <c r="M179" i="2" l="1"/>
  <c r="K180" i="2"/>
  <c r="N172" i="2"/>
  <c r="O172" i="2" s="1"/>
  <c r="L173" i="2" s="1"/>
  <c r="K181" i="2" l="1"/>
  <c r="M180" i="2"/>
  <c r="N173" i="2"/>
  <c r="O173" i="2" s="1"/>
  <c r="L174" i="2" s="1"/>
  <c r="M181" i="2" l="1"/>
  <c r="K182" i="2"/>
  <c r="N174" i="2"/>
  <c r="O174" i="2" s="1"/>
  <c r="L175" i="2" s="1"/>
  <c r="M182" i="2" l="1"/>
  <c r="K183" i="2"/>
  <c r="N175" i="2"/>
  <c r="O175" i="2" s="1"/>
  <c r="L176" i="2" s="1"/>
  <c r="K184" i="2" l="1"/>
  <c r="M183" i="2"/>
  <c r="N176" i="2"/>
  <c r="O176" i="2" s="1"/>
  <c r="L177" i="2" s="1"/>
  <c r="K185" i="2" l="1"/>
  <c r="M184" i="2"/>
  <c r="N177" i="2"/>
  <c r="O177" i="2" s="1"/>
  <c r="L178" i="2" s="1"/>
  <c r="K186" i="2" l="1"/>
  <c r="M185" i="2"/>
  <c r="N178" i="2"/>
  <c r="O178" i="2" s="1"/>
  <c r="L179" i="2" s="1"/>
  <c r="M186" i="2" l="1"/>
  <c r="K187" i="2"/>
  <c r="N179" i="2"/>
  <c r="O179" i="2" s="1"/>
  <c r="L180" i="2" s="1"/>
  <c r="K188" i="2" l="1"/>
  <c r="M187" i="2"/>
  <c r="N180" i="2"/>
  <c r="O180" i="2" s="1"/>
  <c r="L181" i="2" s="1"/>
  <c r="M188" i="2" l="1"/>
  <c r="K189" i="2"/>
  <c r="N181" i="2"/>
  <c r="O181" i="2" s="1"/>
  <c r="L182" i="2" s="1"/>
  <c r="K190" i="2" l="1"/>
  <c r="M189" i="2"/>
  <c r="N182" i="2"/>
  <c r="O182" i="2" s="1"/>
  <c r="L183" i="2" s="1"/>
  <c r="M190" i="2" l="1"/>
  <c r="K191" i="2"/>
  <c r="N183" i="2"/>
  <c r="O183" i="2" s="1"/>
  <c r="L184" i="2" s="1"/>
  <c r="M191" i="2" l="1"/>
  <c r="K192" i="2"/>
  <c r="N184" i="2"/>
  <c r="O184" i="2" s="1"/>
  <c r="L185" i="2" s="1"/>
  <c r="M192" i="2" l="1"/>
  <c r="K193" i="2"/>
  <c r="N185" i="2"/>
  <c r="O185" i="2" s="1"/>
  <c r="L186" i="2" s="1"/>
  <c r="M193" i="2" l="1"/>
  <c r="K194" i="2"/>
  <c r="N186" i="2"/>
  <c r="O186" i="2" s="1"/>
  <c r="L187" i="2" s="1"/>
  <c r="K195" i="2" l="1"/>
  <c r="M194" i="2"/>
  <c r="N187" i="2"/>
  <c r="O187" i="2" s="1"/>
  <c r="L188" i="2" s="1"/>
  <c r="K196" i="2" l="1"/>
  <c r="M195" i="2"/>
  <c r="N188" i="2"/>
  <c r="O188" i="2" s="1"/>
  <c r="L189" i="2" s="1"/>
  <c r="K197" i="2" l="1"/>
  <c r="M196" i="2"/>
  <c r="N189" i="2"/>
  <c r="O189" i="2" s="1"/>
  <c r="L190" i="2" s="1"/>
  <c r="K198" i="2" l="1"/>
  <c r="M197" i="2"/>
  <c r="N190" i="2"/>
  <c r="O190" i="2" s="1"/>
  <c r="L191" i="2" s="1"/>
  <c r="K199" i="2" l="1"/>
  <c r="M198" i="2"/>
  <c r="N191" i="2"/>
  <c r="O191" i="2" s="1"/>
  <c r="L192" i="2" s="1"/>
  <c r="K200" i="2" l="1"/>
  <c r="M199" i="2"/>
  <c r="N192" i="2"/>
  <c r="O192" i="2" s="1"/>
  <c r="L193" i="2" s="1"/>
  <c r="K201" i="2" l="1"/>
  <c r="M200" i="2"/>
  <c r="N193" i="2"/>
  <c r="O193" i="2" s="1"/>
  <c r="L194" i="2" s="1"/>
  <c r="K202" i="2" l="1"/>
  <c r="M201" i="2"/>
  <c r="N194" i="2"/>
  <c r="O194" i="2" s="1"/>
  <c r="L195" i="2" s="1"/>
  <c r="K203" i="2" l="1"/>
  <c r="M202" i="2"/>
  <c r="N195" i="2"/>
  <c r="O195" i="2" s="1"/>
  <c r="L196" i="2" s="1"/>
  <c r="K204" i="2" l="1"/>
  <c r="M203" i="2"/>
  <c r="N196" i="2"/>
  <c r="O196" i="2" s="1"/>
  <c r="L197" i="2" s="1"/>
  <c r="K205" i="2" l="1"/>
  <c r="M204" i="2"/>
  <c r="N197" i="2"/>
  <c r="O197" i="2" s="1"/>
  <c r="L198" i="2" s="1"/>
  <c r="K206" i="2" l="1"/>
  <c r="M205" i="2"/>
  <c r="N198" i="2"/>
  <c r="O198" i="2" s="1"/>
  <c r="L199" i="2" s="1"/>
  <c r="K207" i="2" l="1"/>
  <c r="M206" i="2"/>
  <c r="N199" i="2"/>
  <c r="O199" i="2" s="1"/>
  <c r="L200" i="2" s="1"/>
  <c r="M207" i="2" l="1"/>
  <c r="K208" i="2"/>
  <c r="N200" i="2"/>
  <c r="O200" i="2" s="1"/>
  <c r="L201" i="2" s="1"/>
  <c r="M208" i="2" l="1"/>
  <c r="K209" i="2"/>
  <c r="N201" i="2"/>
  <c r="O201" i="2" s="1"/>
  <c r="L202" i="2" s="1"/>
  <c r="K210" i="2" l="1"/>
  <c r="M209" i="2"/>
  <c r="N202" i="2"/>
  <c r="O202" i="2" s="1"/>
  <c r="L203" i="2" s="1"/>
  <c r="K211" i="2" l="1"/>
  <c r="M210" i="2"/>
  <c r="N203" i="2"/>
  <c r="O203" i="2" s="1"/>
  <c r="L204" i="2" s="1"/>
  <c r="K212" i="2" l="1"/>
  <c r="M211" i="2"/>
  <c r="N204" i="2"/>
  <c r="O204" i="2" s="1"/>
  <c r="L205" i="2" s="1"/>
  <c r="K213" i="2" l="1"/>
  <c r="M212" i="2"/>
  <c r="N205" i="2"/>
  <c r="O205" i="2" s="1"/>
  <c r="L206" i="2" s="1"/>
  <c r="K214" i="2" l="1"/>
  <c r="M213" i="2"/>
  <c r="N206" i="2"/>
  <c r="O206" i="2" s="1"/>
  <c r="L207" i="2" s="1"/>
  <c r="K215" i="2" l="1"/>
  <c r="M214" i="2"/>
  <c r="N207" i="2"/>
  <c r="O207" i="2" s="1"/>
  <c r="L208" i="2" s="1"/>
  <c r="M215" i="2" l="1"/>
  <c r="K216" i="2"/>
  <c r="N208" i="2"/>
  <c r="O208" i="2" s="1"/>
  <c r="L209" i="2" s="1"/>
  <c r="K217" i="2" l="1"/>
  <c r="M216" i="2"/>
  <c r="N209" i="2"/>
  <c r="O209" i="2" s="1"/>
  <c r="L210" i="2" s="1"/>
  <c r="K218" i="2" l="1"/>
  <c r="M217" i="2"/>
  <c r="N210" i="2"/>
  <c r="O210" i="2" s="1"/>
  <c r="L211" i="2" s="1"/>
  <c r="K219" i="2" l="1"/>
  <c r="M218" i="2"/>
  <c r="N211" i="2"/>
  <c r="O211" i="2" s="1"/>
  <c r="L212" i="2" s="1"/>
  <c r="M219" i="2" l="1"/>
  <c r="K220" i="2"/>
  <c r="N212" i="2"/>
  <c r="O212" i="2" s="1"/>
  <c r="L213" i="2" s="1"/>
  <c r="M220" i="2" l="1"/>
  <c r="K221" i="2"/>
  <c r="N213" i="2"/>
  <c r="O213" i="2" s="1"/>
  <c r="L214" i="2" s="1"/>
  <c r="K222" i="2" l="1"/>
  <c r="M221" i="2"/>
  <c r="N214" i="2"/>
  <c r="O214" i="2" s="1"/>
  <c r="L215" i="2" s="1"/>
  <c r="M222" i="2" l="1"/>
  <c r="K223" i="2"/>
  <c r="N215" i="2"/>
  <c r="O215" i="2" s="1"/>
  <c r="L216" i="2" s="1"/>
  <c r="K224" i="2" l="1"/>
  <c r="M223" i="2"/>
  <c r="N216" i="2"/>
  <c r="O216" i="2" s="1"/>
  <c r="L217" i="2" s="1"/>
  <c r="M224" i="2" l="1"/>
  <c r="K225" i="2"/>
  <c r="N217" i="2"/>
  <c r="O217" i="2" s="1"/>
  <c r="L218" i="2" s="1"/>
  <c r="M225" i="2" l="1"/>
  <c r="K226" i="2"/>
  <c r="N218" i="2"/>
  <c r="O218" i="2" s="1"/>
  <c r="L219" i="2" s="1"/>
  <c r="K227" i="2" l="1"/>
  <c r="M226" i="2"/>
  <c r="N219" i="2"/>
  <c r="O219" i="2" s="1"/>
  <c r="L220" i="2" s="1"/>
  <c r="M227" i="2" l="1"/>
  <c r="K228" i="2"/>
  <c r="N220" i="2"/>
  <c r="O220" i="2" s="1"/>
  <c r="L221" i="2" s="1"/>
  <c r="K229" i="2" l="1"/>
  <c r="M228" i="2"/>
  <c r="N221" i="2"/>
  <c r="O221" i="2" s="1"/>
  <c r="L222" i="2" s="1"/>
  <c r="M229" i="2" l="1"/>
  <c r="K230" i="2"/>
  <c r="N222" i="2"/>
  <c r="O222" i="2" s="1"/>
  <c r="L223" i="2" s="1"/>
  <c r="M230" i="2" l="1"/>
  <c r="K231" i="2"/>
  <c r="N223" i="2"/>
  <c r="O223" i="2" s="1"/>
  <c r="L224" i="2" s="1"/>
  <c r="M231" i="2" l="1"/>
  <c r="K232" i="2"/>
  <c r="N224" i="2"/>
  <c r="O224" i="2" s="1"/>
  <c r="L225" i="2" s="1"/>
  <c r="M232" i="2" l="1"/>
  <c r="K233" i="2"/>
  <c r="N225" i="2"/>
  <c r="O225" i="2" s="1"/>
  <c r="L226" i="2" s="1"/>
  <c r="M233" i="2" l="1"/>
  <c r="K234" i="2"/>
  <c r="N226" i="2"/>
  <c r="O226" i="2" s="1"/>
  <c r="L227" i="2" s="1"/>
  <c r="K235" i="2" l="1"/>
  <c r="M234" i="2"/>
  <c r="N227" i="2"/>
  <c r="O227" i="2" s="1"/>
  <c r="L228" i="2" s="1"/>
  <c r="K236" i="2" l="1"/>
  <c r="M235" i="2"/>
  <c r="N228" i="2"/>
  <c r="O228" i="2" s="1"/>
  <c r="L229" i="2" s="1"/>
  <c r="K237" i="2" l="1"/>
  <c r="M236" i="2"/>
  <c r="N229" i="2"/>
  <c r="O229" i="2" s="1"/>
  <c r="L230" i="2" s="1"/>
  <c r="M237" i="2" l="1"/>
  <c r="K238" i="2"/>
  <c r="N230" i="2"/>
  <c r="O230" i="2" s="1"/>
  <c r="L231" i="2" s="1"/>
  <c r="M238" i="2" l="1"/>
  <c r="K239" i="2"/>
  <c r="N231" i="2"/>
  <c r="O231" i="2" s="1"/>
  <c r="L232" i="2" s="1"/>
  <c r="M239" i="2" l="1"/>
  <c r="K240" i="2"/>
  <c r="N232" i="2"/>
  <c r="O232" i="2" s="1"/>
  <c r="L233" i="2" s="1"/>
  <c r="M240" i="2" l="1"/>
  <c r="K241" i="2"/>
  <c r="N233" i="2"/>
  <c r="O233" i="2" s="1"/>
  <c r="L234" i="2" s="1"/>
  <c r="M241" i="2" l="1"/>
  <c r="K242" i="2"/>
  <c r="N234" i="2"/>
  <c r="O234" i="2" s="1"/>
  <c r="L235" i="2" s="1"/>
  <c r="M242" i="2" l="1"/>
  <c r="K243" i="2"/>
  <c r="N235" i="2"/>
  <c r="O235" i="2" s="1"/>
  <c r="L236" i="2" s="1"/>
  <c r="K244" i="2" l="1"/>
  <c r="M243" i="2"/>
  <c r="N236" i="2"/>
  <c r="O236" i="2" s="1"/>
  <c r="L237" i="2" s="1"/>
  <c r="K245" i="2" l="1"/>
  <c r="M244" i="2"/>
  <c r="N237" i="2"/>
  <c r="O237" i="2" s="1"/>
  <c r="L238" i="2" s="1"/>
  <c r="M245" i="2" l="1"/>
  <c r="K246" i="2"/>
  <c r="N238" i="2"/>
  <c r="O238" i="2" s="1"/>
  <c r="L239" i="2" s="1"/>
  <c r="L246" i="2" l="1"/>
  <c r="N246" i="2"/>
  <c r="M246" i="2"/>
  <c r="O246" i="2"/>
  <c r="K247" i="2"/>
  <c r="N239" i="2"/>
  <c r="O239" i="2" s="1"/>
  <c r="L240" i="2" s="1"/>
  <c r="L247" i="2" l="1"/>
  <c r="N247" i="2"/>
  <c r="O247" i="2"/>
  <c r="M247" i="2"/>
  <c r="K248" i="2"/>
  <c r="N240" i="2"/>
  <c r="O240" i="2" s="1"/>
  <c r="L241" i="2" s="1"/>
  <c r="N248" i="2" l="1"/>
  <c r="L248" i="2"/>
  <c r="O248" i="2"/>
  <c r="M248" i="2"/>
  <c r="K249" i="2"/>
  <c r="N241" i="2"/>
  <c r="O241" i="2" s="1"/>
  <c r="L242" i="2" s="1"/>
  <c r="N249" i="2" l="1"/>
  <c r="L249" i="2"/>
  <c r="M249" i="2"/>
  <c r="O249" i="2"/>
  <c r="K250" i="2"/>
  <c r="N242" i="2"/>
  <c r="O242" i="2" s="1"/>
  <c r="L243" i="2" s="1"/>
  <c r="N250" i="2" l="1"/>
  <c r="L250" i="2"/>
  <c r="M250" i="2"/>
  <c r="O250" i="2"/>
  <c r="K251" i="2"/>
  <c r="N243" i="2"/>
  <c r="O243" i="2" s="1"/>
  <c r="L244" i="2" s="1"/>
  <c r="N251" i="2" l="1"/>
  <c r="L251" i="2"/>
  <c r="M251" i="2"/>
  <c r="K252" i="2"/>
  <c r="O251" i="2"/>
  <c r="N244" i="2"/>
  <c r="O244" i="2" s="1"/>
  <c r="L245" i="2" s="1"/>
  <c r="L252" i="2" l="1"/>
  <c r="N252" i="2"/>
  <c r="K253" i="2"/>
  <c r="M252" i="2"/>
  <c r="O252" i="2"/>
  <c r="N245" i="2"/>
  <c r="O245" i="2" s="1"/>
  <c r="L253" i="2" l="1"/>
  <c r="N253" i="2"/>
  <c r="O253" i="2"/>
  <c r="M253" i="2"/>
  <c r="K254" i="2"/>
  <c r="K255" i="2" s="1"/>
  <c r="O255" i="2" l="1"/>
  <c r="M255" i="2"/>
  <c r="L255" i="2"/>
  <c r="K256" i="2"/>
  <c r="N255" i="2"/>
  <c r="L254" i="2"/>
  <c r="N254" i="2"/>
  <c r="M254" i="2"/>
  <c r="O254" i="2"/>
  <c r="K257" i="2" l="1"/>
  <c r="M256" i="2"/>
  <c r="L256" i="2"/>
  <c r="O256" i="2"/>
  <c r="N256" i="2"/>
  <c r="O257" i="2" l="1"/>
  <c r="K258" i="2"/>
  <c r="M257" i="2"/>
  <c r="N257" i="2"/>
  <c r="L257" i="2"/>
  <c r="K259" i="2" l="1"/>
  <c r="N258" i="2"/>
  <c r="L258" i="2"/>
  <c r="O258" i="2"/>
  <c r="M258" i="2"/>
  <c r="O259" i="2" l="1"/>
  <c r="N259" i="2"/>
  <c r="M259" i="2"/>
  <c r="L259" i="2"/>
  <c r="K260" i="2"/>
  <c r="L260" i="2" l="1"/>
  <c r="K261" i="2"/>
  <c r="N260" i="2"/>
  <c r="O260" i="2"/>
  <c r="M260" i="2"/>
  <c r="K262" i="2" l="1"/>
  <c r="O261" i="2"/>
  <c r="L261" i="2"/>
  <c r="N261" i="2"/>
  <c r="M261" i="2"/>
  <c r="M262" i="2" l="1"/>
  <c r="O262" i="2"/>
  <c r="N262" i="2"/>
  <c r="L262" i="2"/>
  <c r="K263" i="2"/>
  <c r="K264" i="2" l="1"/>
  <c r="N263" i="2"/>
  <c r="L263" i="2"/>
  <c r="M263" i="2"/>
  <c r="O263" i="2"/>
  <c r="O264" i="2" l="1"/>
  <c r="M264" i="2"/>
  <c r="K265" i="2"/>
  <c r="N264" i="2"/>
  <c r="L264" i="2"/>
  <c r="N265" i="2" l="1"/>
  <c r="L265" i="2"/>
  <c r="M265" i="2"/>
  <c r="O265" i="2"/>
  <c r="K266" i="2"/>
  <c r="O266" i="2" l="1"/>
  <c r="N266" i="2"/>
  <c r="M266" i="2"/>
  <c r="K267" i="2"/>
  <c r="L266" i="2"/>
  <c r="L267" i="2" l="1"/>
  <c r="K268" i="2"/>
  <c r="O267" i="2"/>
  <c r="N267" i="2"/>
  <c r="M267" i="2"/>
  <c r="O268" i="2" l="1"/>
  <c r="M268" i="2"/>
  <c r="N268" i="2"/>
  <c r="K269" i="2"/>
  <c r="L268" i="2"/>
  <c r="K270" i="2" l="1"/>
  <c r="N269" i="2"/>
  <c r="O269" i="2"/>
  <c r="M269" i="2"/>
  <c r="L269" i="2"/>
  <c r="M270" i="2" l="1"/>
  <c r="N270" i="2"/>
  <c r="O270" i="2"/>
  <c r="K271" i="2"/>
  <c r="L270" i="2"/>
  <c r="K272" i="2" l="1"/>
  <c r="O271" i="2"/>
  <c r="M271" i="2"/>
  <c r="N271" i="2"/>
  <c r="L271" i="2"/>
  <c r="O272" i="2" l="1"/>
  <c r="K273" i="2"/>
  <c r="N272" i="2"/>
  <c r="M272" i="2"/>
  <c r="L272" i="2"/>
  <c r="N273" i="2" l="1"/>
  <c r="L273" i="2"/>
  <c r="O273" i="2"/>
  <c r="M273" i="2"/>
  <c r="K274" i="2"/>
  <c r="O274" i="2" l="1"/>
  <c r="K275" i="2"/>
  <c r="M274" i="2"/>
  <c r="N274" i="2"/>
  <c r="L274" i="2"/>
  <c r="L275" i="2" l="1"/>
  <c r="K276" i="2"/>
  <c r="N275" i="2"/>
  <c r="M275" i="2"/>
  <c r="O275" i="2"/>
  <c r="O276" i="2" l="1"/>
  <c r="M276" i="2"/>
  <c r="L276" i="2"/>
  <c r="K277" i="2"/>
  <c r="N276" i="2"/>
  <c r="K278" i="2" l="1"/>
  <c r="N277" i="2"/>
  <c r="O277" i="2"/>
  <c r="M277" i="2"/>
  <c r="L277" i="2"/>
  <c r="M278" i="2" l="1"/>
  <c r="L278" i="2"/>
  <c r="N278" i="2"/>
  <c r="K279" i="2"/>
  <c r="O278" i="2"/>
  <c r="K280" i="2" l="1"/>
  <c r="N279" i="2"/>
  <c r="L279" i="2"/>
  <c r="O279" i="2"/>
  <c r="M279" i="2"/>
  <c r="O280" i="2" l="1"/>
  <c r="N280" i="2"/>
  <c r="M280" i="2"/>
  <c r="L280" i="2"/>
  <c r="K281" i="2"/>
  <c r="N281" i="2" l="1"/>
  <c r="L281" i="2"/>
  <c r="K282" i="2"/>
  <c r="O281" i="2"/>
  <c r="M281" i="2"/>
  <c r="O282" i="2" l="1"/>
  <c r="M282" i="2"/>
  <c r="L282" i="2"/>
  <c r="K283" i="2"/>
  <c r="N282" i="2"/>
  <c r="L283" i="2" l="1"/>
  <c r="K284" i="2"/>
  <c r="M283" i="2"/>
  <c r="N283" i="2"/>
  <c r="O283" i="2"/>
  <c r="O284" i="2" l="1"/>
  <c r="M284" i="2"/>
  <c r="N284" i="2"/>
  <c r="L284" i="2"/>
  <c r="K285" i="2"/>
  <c r="K286" i="2" l="1"/>
  <c r="N285" i="2"/>
  <c r="O285" i="2"/>
  <c r="M285" i="2"/>
  <c r="L285" i="2"/>
  <c r="M286" i="2" l="1"/>
  <c r="N286" i="2"/>
  <c r="K287" i="2"/>
  <c r="O286" i="2"/>
  <c r="L286" i="2"/>
  <c r="K288" i="2" l="1"/>
  <c r="N287" i="2"/>
  <c r="L287" i="2"/>
  <c r="M287" i="2"/>
  <c r="O287" i="2"/>
  <c r="K289" i="2" l="1"/>
  <c r="O288" i="2"/>
  <c r="L288" i="2"/>
  <c r="N288" i="2"/>
  <c r="M288" i="2"/>
  <c r="N289" i="2" l="1"/>
  <c r="L289" i="2"/>
  <c r="K290" i="2"/>
  <c r="O289" i="2"/>
  <c r="M289" i="2"/>
  <c r="O290" i="2" l="1"/>
  <c r="N290" i="2"/>
  <c r="M290" i="2"/>
  <c r="L290" i="2"/>
  <c r="K291" i="2"/>
  <c r="L291" i="2" l="1"/>
  <c r="K292" i="2"/>
  <c r="O291" i="2"/>
  <c r="N291" i="2"/>
  <c r="M291" i="2"/>
  <c r="O292" i="2" l="1"/>
  <c r="M292" i="2"/>
  <c r="L292" i="2"/>
  <c r="N292" i="2"/>
  <c r="K293" i="2"/>
  <c r="K294" i="2" l="1"/>
  <c r="O293" i="2"/>
  <c r="N293" i="2"/>
  <c r="M293" i="2"/>
  <c r="L293" i="2"/>
  <c r="M294" i="2" l="1"/>
  <c r="K295" i="2"/>
  <c r="O294" i="2"/>
  <c r="N294" i="2"/>
  <c r="L294" i="2"/>
  <c r="K296" i="2" l="1"/>
  <c r="N295" i="2"/>
  <c r="M295" i="2"/>
  <c r="L295" i="2"/>
  <c r="O295" i="2"/>
  <c r="K297" i="2" l="1"/>
  <c r="O296" i="2"/>
  <c r="N296" i="2"/>
  <c r="M296" i="2"/>
  <c r="L296" i="2"/>
  <c r="N297" i="2" l="1"/>
  <c r="L297" i="2"/>
  <c r="K298" i="2"/>
  <c r="O297" i="2"/>
  <c r="M297" i="2"/>
  <c r="O298" i="2" l="1"/>
  <c r="N298" i="2"/>
  <c r="M298" i="2"/>
  <c r="L298" i="2"/>
  <c r="K299" i="2"/>
  <c r="L299" i="2" l="1"/>
  <c r="N299" i="2"/>
  <c r="K300" i="2"/>
  <c r="O299" i="2"/>
  <c r="M299" i="2"/>
  <c r="O300" i="2" l="1"/>
  <c r="M300" i="2"/>
  <c r="L300" i="2"/>
  <c r="K301" i="2"/>
  <c r="N300" i="2"/>
  <c r="K302" i="2" l="1"/>
  <c r="O301" i="2"/>
  <c r="N301" i="2"/>
  <c r="M301" i="2"/>
  <c r="L301" i="2"/>
  <c r="M302" i="2" l="1"/>
  <c r="K303" i="2"/>
  <c r="L302" i="2"/>
  <c r="O302" i="2"/>
  <c r="N302" i="2"/>
  <c r="K304" i="2" l="1"/>
  <c r="O303" i="2"/>
  <c r="N303" i="2"/>
  <c r="M303" i="2"/>
  <c r="L303" i="2"/>
  <c r="K305" i="2" l="1"/>
  <c r="O304" i="2"/>
  <c r="N304" i="2"/>
  <c r="L304" i="2"/>
  <c r="M304" i="2"/>
  <c r="N305" i="2" l="1"/>
  <c r="M305" i="2"/>
  <c r="L305" i="2"/>
  <c r="K306" i="2"/>
  <c r="O305" i="2"/>
  <c r="K307" i="2" l="1"/>
  <c r="O306" i="2"/>
  <c r="N306" i="2"/>
  <c r="M306" i="2"/>
  <c r="L306" i="2"/>
  <c r="L307" i="2" l="1"/>
  <c r="K308" i="2"/>
  <c r="O307" i="2"/>
  <c r="N307" i="2"/>
  <c r="M307" i="2"/>
  <c r="O308" i="2" l="1"/>
  <c r="N308" i="2"/>
  <c r="M308" i="2"/>
  <c r="L308" i="2"/>
  <c r="K309" i="2"/>
  <c r="K310" i="2" l="1"/>
  <c r="O309" i="2"/>
  <c r="N309" i="2"/>
  <c r="M309" i="2"/>
  <c r="L309" i="2"/>
  <c r="M310" i="2" l="1"/>
  <c r="L310" i="2"/>
  <c r="K311" i="2"/>
  <c r="O310" i="2"/>
  <c r="N310" i="2"/>
  <c r="K312" i="2" l="1"/>
  <c r="O311" i="2"/>
  <c r="N311" i="2"/>
  <c r="M311" i="2"/>
  <c r="L311" i="2"/>
  <c r="K313" i="2" l="1"/>
  <c r="O312" i="2"/>
  <c r="N312" i="2"/>
  <c r="M312" i="2"/>
  <c r="L312" i="2"/>
  <c r="N313" i="2" l="1"/>
  <c r="M313" i="2"/>
  <c r="L313" i="2"/>
  <c r="K314" i="2"/>
  <c r="O313" i="2"/>
  <c r="K315" i="2" l="1"/>
  <c r="O314" i="2"/>
  <c r="N314" i="2"/>
  <c r="M314" i="2"/>
  <c r="L314" i="2"/>
  <c r="L315" i="2" l="1"/>
  <c r="K316" i="2"/>
  <c r="O315" i="2"/>
  <c r="N315" i="2"/>
  <c r="M315" i="2"/>
  <c r="O316" i="2" l="1"/>
  <c r="N316" i="2"/>
  <c r="M316" i="2"/>
  <c r="L316" i="2"/>
  <c r="K317" i="2"/>
  <c r="K318" i="2" l="1"/>
  <c r="O317" i="2"/>
  <c r="N317" i="2"/>
  <c r="M317" i="2"/>
  <c r="L317" i="2"/>
  <c r="M318" i="2" l="1"/>
  <c r="L318" i="2"/>
  <c r="K319" i="2"/>
  <c r="O318" i="2"/>
  <c r="N318" i="2"/>
  <c r="K320" i="2" l="1"/>
  <c r="O319" i="2"/>
  <c r="N319" i="2"/>
  <c r="M319" i="2"/>
  <c r="L319" i="2"/>
  <c r="K321" i="2" l="1"/>
  <c r="O320" i="2"/>
  <c r="N320" i="2"/>
  <c r="M320" i="2"/>
  <c r="L320" i="2"/>
  <c r="N321" i="2" l="1"/>
  <c r="M321" i="2"/>
  <c r="L321" i="2"/>
  <c r="O321" i="2"/>
  <c r="K322" i="2"/>
  <c r="K323" i="2" l="1"/>
  <c r="O322" i="2"/>
  <c r="N322" i="2"/>
  <c r="M322" i="2"/>
  <c r="L322" i="2"/>
  <c r="L323" i="2" l="1"/>
  <c r="K324" i="2"/>
  <c r="O323" i="2"/>
  <c r="N323" i="2"/>
  <c r="M323" i="2"/>
  <c r="O324" i="2" l="1"/>
  <c r="N324" i="2"/>
  <c r="M324" i="2"/>
  <c r="L324" i="2"/>
  <c r="K325" i="2"/>
  <c r="K326" i="2" l="1"/>
  <c r="O325" i="2"/>
  <c r="N325" i="2"/>
  <c r="M325" i="2"/>
  <c r="L325" i="2"/>
  <c r="M326" i="2" l="1"/>
  <c r="L326" i="2"/>
  <c r="K327" i="2"/>
  <c r="O326" i="2"/>
  <c r="N326" i="2"/>
  <c r="K328" i="2" l="1"/>
  <c r="O327" i="2"/>
  <c r="N327" i="2"/>
  <c r="M327" i="2"/>
  <c r="L327" i="2"/>
  <c r="K329" i="2" l="1"/>
  <c r="O328" i="2"/>
  <c r="N328" i="2"/>
  <c r="M328" i="2"/>
  <c r="L328" i="2"/>
  <c r="N329" i="2" l="1"/>
  <c r="M329" i="2"/>
  <c r="L329" i="2"/>
  <c r="O329" i="2"/>
  <c r="K330" i="2"/>
  <c r="K331" i="2" l="1"/>
  <c r="O330" i="2"/>
  <c r="N330" i="2"/>
  <c r="M330" i="2"/>
  <c r="L330" i="2"/>
  <c r="L331" i="2" l="1"/>
  <c r="K332" i="2"/>
  <c r="O331" i="2"/>
  <c r="N331" i="2"/>
  <c r="M331" i="2"/>
  <c r="O332" i="2" l="1"/>
  <c r="N332" i="2"/>
  <c r="M332" i="2"/>
  <c r="L332" i="2"/>
  <c r="K333" i="2"/>
  <c r="K334" i="2" l="1"/>
  <c r="O333" i="2"/>
  <c r="N333" i="2"/>
  <c r="M333" i="2"/>
  <c r="L333" i="2"/>
  <c r="M334" i="2" l="1"/>
  <c r="L334" i="2"/>
  <c r="K335" i="2"/>
  <c r="O334" i="2"/>
  <c r="N334" i="2"/>
  <c r="K336" i="2" l="1"/>
  <c r="O335" i="2"/>
  <c r="N335" i="2"/>
  <c r="M335" i="2"/>
  <c r="L335" i="2"/>
  <c r="K337" i="2" l="1"/>
  <c r="O336" i="2"/>
  <c r="N336" i="2"/>
  <c r="M336" i="2"/>
  <c r="L336" i="2"/>
  <c r="N337" i="2" l="1"/>
  <c r="M337" i="2"/>
  <c r="L337" i="2"/>
  <c r="K338" i="2"/>
  <c r="O337" i="2"/>
  <c r="K339" i="2" l="1"/>
  <c r="O338" i="2"/>
  <c r="N338" i="2"/>
  <c r="L338" i="2"/>
  <c r="M338" i="2"/>
  <c r="L339" i="2" l="1"/>
  <c r="O339" i="2"/>
  <c r="N339" i="2"/>
  <c r="M339" i="2"/>
</calcChain>
</file>

<file path=xl/sharedStrings.xml><?xml version="1.0" encoding="utf-8"?>
<sst xmlns="http://schemas.openxmlformats.org/spreadsheetml/2006/main" count="54" uniqueCount="38">
  <si>
    <t>VALOR</t>
  </si>
  <si>
    <t>PRESTAÇÃO</t>
  </si>
  <si>
    <t>PRAZO</t>
  </si>
  <si>
    <t>TAXA DE JUROS</t>
  </si>
  <si>
    <t>VALOR FUTURO</t>
  </si>
  <si>
    <t>Radicando</t>
  </si>
  <si>
    <t>(VF/VP)</t>
  </si>
  <si>
    <t>Indice</t>
  </si>
  <si>
    <t>(1/PRAZO)</t>
  </si>
  <si>
    <t>Taxa de Juros</t>
  </si>
  <si>
    <t>(Radicando/Indice)-1</t>
  </si>
  <si>
    <t>VP</t>
  </si>
  <si>
    <t>VF</t>
  </si>
  <si>
    <t>n</t>
  </si>
  <si>
    <t>i</t>
  </si>
  <si>
    <t>PMT</t>
  </si>
  <si>
    <t>vf</t>
  </si>
  <si>
    <t>m</t>
  </si>
  <si>
    <t xml:space="preserve"> </t>
  </si>
  <si>
    <t>CALCULAR:</t>
  </si>
  <si>
    <t>TIPO DE CÁLCULO:</t>
  </si>
  <si>
    <t>Juros Simples</t>
  </si>
  <si>
    <t>Juros Compostos</t>
  </si>
  <si>
    <t>Taxa de Juros (i)</t>
  </si>
  <si>
    <t>Valor Futuro (fv)</t>
  </si>
  <si>
    <t>Valor Presente (pv)</t>
  </si>
  <si>
    <t>Valor da Parcela (m)</t>
  </si>
  <si>
    <t>Valor Presente (pv):</t>
  </si>
  <si>
    <t>Valor da Parcela (m):</t>
  </si>
  <si>
    <t>Valor Futuro (fv):</t>
  </si>
  <si>
    <t>PARC.</t>
  </si>
  <si>
    <t>VALOR JUROS</t>
  </si>
  <si>
    <t>VALOR FINAL</t>
  </si>
  <si>
    <t>VALOR PARCELA</t>
  </si>
  <si>
    <t>Taxa de Juros (i) % am:</t>
  </si>
  <si>
    <t>VALOR INÍCIO</t>
  </si>
  <si>
    <t>Prazo/Nº Parcelas (n)</t>
  </si>
  <si>
    <t>CÁLCULO USANDO FUNÇÃO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</si>
</sst>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&quot;R$&quot;\ #,##0.00;[Red]\-&quot;R$&quot;\ #,##0.00"/>
    <numFmt numFmtId="166" formatCode="_-&quot;R$&quot;\ * #,##0.00_-;\-&quot;R$&quot;\ * #,##0.00_-;_-&quot;R$&quot;\ * &quot;-&quot;??_-;_-@_-"/>
    <numFmt numFmtId="167" formatCode="0.0000"/>
    <numFmt numFmtId="168" formatCode="0.000%"/>
    <numFmt numFmtId="169" formatCode="0.0000%"/>
    <numFmt numFmtId="170" formatCode="0.00000%"/>
    <numFmt numFmtId="171" formatCode="&quot;R$&quot;\ #,##0.0000;[Red]\-&quot;R$&quot;\ #,##0.0000"/>
    <numFmt numFmtId="172" formatCode="0.00000"/>
    <numFmt numFmtId="173" formatCode="_-* #,##0.0000_-;\-* #,##0.0000_-;_-* &quot;-&quot;??_-;_-@_-"/>
    <numFmt numFmtId="174" formatCode="[$-409]d/m/yy\ h:mm\ AM/PM;@"/>
    <numFmt numFmtId="175" formatCode="_-* #,##0.000_-;\-* #,##0.000_-;_-* &quot;-&quot;???_-;_-@_-"/>
    <numFmt numFmtId="176" formatCode="_(* #,##0.000000000000_);_(* \(#,##0.000000000000\);_(* &quot;-&quot;??_);_(@_)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555555"/>
      <name val="MathJax_Math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49">
    <xf numFmtId="0" fontId="0" fillId="0" borderId="0" xfId="0"/>
    <xf numFmtId="164" fontId="0" fillId="0" borderId="0" xfId="1" applyFont="1"/>
    <xf numFmtId="9" fontId="0" fillId="0" borderId="0" xfId="0" applyNumberFormat="1"/>
    <xf numFmtId="10" fontId="0" fillId="0" borderId="0" xfId="0" applyNumberFormat="1"/>
    <xf numFmtId="167" fontId="0" fillId="0" borderId="0" xfId="0" applyNumberFormat="1"/>
    <xf numFmtId="168" fontId="0" fillId="0" borderId="0" xfId="0" applyNumberFormat="1"/>
    <xf numFmtId="170" fontId="0" fillId="0" borderId="0" xfId="2" applyNumberFormat="1" applyFont="1"/>
    <xf numFmtId="165" fontId="0" fillId="0" borderId="0" xfId="0" applyNumberFormat="1"/>
    <xf numFmtId="165" fontId="0" fillId="0" borderId="0" xfId="1" applyNumberFormat="1" applyFont="1"/>
    <xf numFmtId="171" fontId="0" fillId="0" borderId="0" xfId="1" applyNumberFormat="1" applyFont="1"/>
    <xf numFmtId="169" fontId="0" fillId="0" borderId="0" xfId="2" applyNumberFormat="1" applyFont="1"/>
    <xf numFmtId="168" fontId="0" fillId="0" borderId="0" xfId="2" applyNumberFormat="1" applyFont="1"/>
    <xf numFmtId="172" fontId="0" fillId="0" borderId="0" xfId="0" applyNumberFormat="1"/>
    <xf numFmtId="10" fontId="0" fillId="0" borderId="0" xfId="2" applyNumberFormat="1" applyFont="1"/>
    <xf numFmtId="0" fontId="2" fillId="0" borderId="0" xfId="0" applyFont="1"/>
    <xf numFmtId="169" fontId="0" fillId="0" borderId="0" xfId="0" applyNumberFormat="1"/>
    <xf numFmtId="0" fontId="0" fillId="0" borderId="0" xfId="0" quotePrefix="1"/>
    <xf numFmtId="166" fontId="0" fillId="0" borderId="0" xfId="3" applyFont="1"/>
    <xf numFmtId="165" fontId="0" fillId="0" borderId="0" xfId="3" applyNumberFormat="1" applyFont="1"/>
    <xf numFmtId="166" fontId="0" fillId="0" borderId="0" xfId="0" applyNumberFormat="1"/>
    <xf numFmtId="164" fontId="0" fillId="0" borderId="0" xfId="0" applyNumberFormat="1"/>
    <xf numFmtId="0" fontId="3" fillId="0" borderId="0" xfId="0" applyFont="1" applyAlignment="1">
      <alignment horizontal="center"/>
    </xf>
    <xf numFmtId="164" fontId="0" fillId="0" borderId="0" xfId="1" applyFont="1" applyAlignment="1">
      <alignment vertical="center"/>
    </xf>
    <xf numFmtId="164" fontId="0" fillId="0" borderId="1" xfId="1" applyFont="1" applyBorder="1" applyAlignment="1">
      <alignment vertical="center"/>
    </xf>
    <xf numFmtId="173" fontId="0" fillId="0" borderId="1" xfId="1" applyNumberFormat="1" applyFont="1" applyBorder="1" applyAlignment="1">
      <alignment vertical="center"/>
    </xf>
    <xf numFmtId="173" fontId="0" fillId="0" borderId="0" xfId="1" applyNumberFormat="1" applyFont="1" applyAlignment="1">
      <alignment vertical="center"/>
    </xf>
    <xf numFmtId="10" fontId="0" fillId="0" borderId="1" xfId="2" applyNumberFormat="1" applyFont="1" applyBorder="1" applyAlignment="1">
      <alignment vertical="center"/>
    </xf>
    <xf numFmtId="0" fontId="0" fillId="0" borderId="0" xfId="1" applyNumberFormat="1" applyFont="1" applyAlignment="1">
      <alignment horizontal="center" vertical="center"/>
    </xf>
    <xf numFmtId="164" fontId="0" fillId="0" borderId="2" xfId="1" applyFont="1" applyBorder="1" applyAlignment="1">
      <alignment vertical="center"/>
    </xf>
    <xf numFmtId="173" fontId="0" fillId="0" borderId="2" xfId="1" applyNumberFormat="1" applyFont="1" applyBorder="1" applyAlignment="1">
      <alignment vertical="center"/>
    </xf>
    <xf numFmtId="175" fontId="0" fillId="0" borderId="0" xfId="1" applyNumberFormat="1" applyFont="1" applyAlignment="1">
      <alignment vertical="center"/>
    </xf>
    <xf numFmtId="170" fontId="0" fillId="0" borderId="0" xfId="2" applyNumberFormat="1" applyFont="1" applyAlignment="1">
      <alignment vertical="center"/>
    </xf>
    <xf numFmtId="176" fontId="0" fillId="0" borderId="0" xfId="1" applyNumberFormat="1" applyFont="1" applyAlignment="1">
      <alignment vertical="center"/>
    </xf>
    <xf numFmtId="164" fontId="0" fillId="0" borderId="0" xfId="1" applyNumberFormat="1" applyFont="1" applyAlignment="1">
      <alignment vertical="center"/>
    </xf>
    <xf numFmtId="164" fontId="5" fillId="0" borderId="0" xfId="1" applyFont="1" applyAlignment="1">
      <alignment vertical="center"/>
    </xf>
    <xf numFmtId="164" fontId="0" fillId="0" borderId="2" xfId="1" applyFont="1" applyBorder="1" applyAlignment="1" applyProtection="1">
      <alignment vertical="center"/>
      <protection locked="0"/>
    </xf>
    <xf numFmtId="0" fontId="0" fillId="0" borderId="2" xfId="1" applyNumberFormat="1" applyFont="1" applyBorder="1" applyAlignment="1" applyProtection="1">
      <alignment horizontal="center" vertical="center"/>
      <protection locked="0"/>
    </xf>
    <xf numFmtId="164" fontId="3" fillId="2" borderId="3" xfId="1" applyFont="1" applyFill="1" applyBorder="1" applyAlignment="1">
      <alignment vertical="center"/>
    </xf>
    <xf numFmtId="168" fontId="0" fillId="0" borderId="0" xfId="2" applyNumberFormat="1" applyFont="1" applyAlignment="1">
      <alignment vertical="center"/>
    </xf>
    <xf numFmtId="164" fontId="0" fillId="0" borderId="2" xfId="1" quotePrefix="1" applyFont="1" applyBorder="1" applyAlignment="1" applyProtection="1">
      <alignment horizontal="center" vertical="center"/>
      <protection locked="0"/>
    </xf>
    <xf numFmtId="168" fontId="3" fillId="2" borderId="3" xfId="2" quotePrefix="1" applyNumberFormat="1" applyFont="1" applyFill="1" applyBorder="1" applyAlignment="1">
      <alignment horizontal="center" vertical="center"/>
    </xf>
    <xf numFmtId="164" fontId="0" fillId="0" borderId="5" xfId="1" quotePrefix="1" applyFont="1" applyBorder="1" applyAlignment="1">
      <alignment horizontal="center" vertical="center" wrapText="1"/>
    </xf>
    <xf numFmtId="164" fontId="0" fillId="0" borderId="6" xfId="1" applyFont="1" applyBorder="1" applyAlignment="1">
      <alignment horizontal="center" vertical="center" wrapText="1"/>
    </xf>
    <xf numFmtId="164" fontId="3" fillId="3" borderId="3" xfId="1" applyFont="1" applyFill="1" applyBorder="1" applyAlignment="1">
      <alignment horizontal="center" vertical="center"/>
    </xf>
    <xf numFmtId="174" fontId="4" fillId="3" borderId="4" xfId="1" applyNumberFormat="1" applyFont="1" applyFill="1" applyBorder="1" applyAlignment="1">
      <alignment horizontal="center" vertical="center"/>
    </xf>
    <xf numFmtId="164" fontId="3" fillId="3" borderId="3" xfId="1" applyFont="1" applyFill="1" applyBorder="1" applyAlignment="1">
      <alignment horizontal="center" vertical="center" wrapText="1"/>
    </xf>
    <xf numFmtId="164" fontId="3" fillId="3" borderId="4" xfId="1" applyFont="1" applyFill="1" applyBorder="1" applyAlignment="1">
      <alignment horizontal="center" vertical="center" wrapText="1"/>
    </xf>
    <xf numFmtId="0" fontId="3" fillId="3" borderId="3" xfId="1" applyNumberFormat="1" applyFont="1" applyFill="1" applyBorder="1" applyAlignment="1">
      <alignment horizontal="center" vertical="center" wrapText="1"/>
    </xf>
    <xf numFmtId="0" fontId="3" fillId="3" borderId="4" xfId="1" applyNumberFormat="1" applyFont="1" applyFill="1" applyBorder="1" applyAlignment="1">
      <alignment horizontal="center" vertical="center" wrapText="1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4"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m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tmp"/><Relationship Id="rId1" Type="http://schemas.openxmlformats.org/officeDocument/2006/relationships/image" Target="../media/image4.tmp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895350</xdr:colOff>
      <xdr:row>5</xdr:row>
      <xdr:rowOff>76200</xdr:rowOff>
    </xdr:from>
    <xdr:to>
      <xdr:col>14</xdr:col>
      <xdr:colOff>77003</xdr:colOff>
      <xdr:row>21</xdr:row>
      <xdr:rowOff>9941</xdr:rowOff>
    </xdr:to>
    <xdr:pic>
      <xdr:nvPicPr>
        <xdr:cNvPr id="2" name="Imagem 1" descr="Recorte de Tel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0" y="1028700"/>
          <a:ext cx="5753903" cy="29817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209550</xdr:colOff>
      <xdr:row>2</xdr:row>
      <xdr:rowOff>76200</xdr:rowOff>
    </xdr:from>
    <xdr:to>
      <xdr:col>18</xdr:col>
      <xdr:colOff>76777</xdr:colOff>
      <xdr:row>5</xdr:row>
      <xdr:rowOff>162017</xdr:rowOff>
    </xdr:to>
    <xdr:pic>
      <xdr:nvPicPr>
        <xdr:cNvPr id="2" name="Imagem 1" descr="Recorte de Tela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457200"/>
          <a:ext cx="4134427" cy="6573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18</xdr:col>
      <xdr:colOff>277199</xdr:colOff>
      <xdr:row>23</xdr:row>
      <xdr:rowOff>152980</xdr:rowOff>
    </xdr:to>
    <xdr:pic>
      <xdr:nvPicPr>
        <xdr:cNvPr id="2" name="Imagem 1" descr="Recorte de Tela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381000"/>
          <a:ext cx="6982799" cy="41534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1</xdr:row>
      <xdr:rowOff>19050</xdr:rowOff>
    </xdr:from>
    <xdr:to>
      <xdr:col>18</xdr:col>
      <xdr:colOff>486861</xdr:colOff>
      <xdr:row>6</xdr:row>
      <xdr:rowOff>181131</xdr:rowOff>
    </xdr:to>
    <xdr:pic>
      <xdr:nvPicPr>
        <xdr:cNvPr id="2" name="Imagem 1" descr="Recorte de Tel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6650" y="209550"/>
          <a:ext cx="7783011" cy="111458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11</xdr:col>
      <xdr:colOff>486183</xdr:colOff>
      <xdr:row>14</xdr:row>
      <xdr:rowOff>19132</xdr:rowOff>
    </xdr:to>
    <xdr:pic>
      <xdr:nvPicPr>
        <xdr:cNvPr id="3" name="Imagem 2" descr="Recorte de Tel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2095500"/>
          <a:ext cx="2924583" cy="590632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9</xdr:row>
      <xdr:rowOff>19050</xdr:rowOff>
    </xdr:from>
    <xdr:to>
      <xdr:col>5</xdr:col>
      <xdr:colOff>457200</xdr:colOff>
      <xdr:row>16</xdr:row>
      <xdr:rowOff>66675</xdr:rowOff>
    </xdr:to>
    <xdr:pic>
      <xdr:nvPicPr>
        <xdr:cNvPr id="4" name="Imagem 2" descr="http://formula-tabela-price.zip.net/images/formulaalter2.jp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733550"/>
          <a:ext cx="3267075" cy="1381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2</xdr:row>
      <xdr:rowOff>28575</xdr:rowOff>
    </xdr:from>
    <xdr:to>
      <xdr:col>1</xdr:col>
      <xdr:colOff>95250</xdr:colOff>
      <xdr:row>12</xdr:row>
      <xdr:rowOff>28575</xdr:rowOff>
    </xdr:to>
    <xdr:sp macro="[0]!Abrir_Formulario" textlink="">
      <xdr:nvSpPr>
        <xdr:cNvPr id="2" name="CaixaDeTexto 1">
          <a:extLst>
            <a:ext uri="{FF2B5EF4-FFF2-40B4-BE49-F238E27FC236}">
              <a16:creationId xmlns:a16="http://schemas.microsoft.com/office/drawing/2014/main" id="{F87AD12C-359E-48CF-B10D-832F797FA52B}"/>
            </a:ext>
          </a:extLst>
        </xdr:cNvPr>
        <xdr:cNvSpPr txBox="1"/>
      </xdr:nvSpPr>
      <xdr:spPr>
        <a:xfrm>
          <a:off x="342900" y="171450"/>
          <a:ext cx="438150" cy="23622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softEdge rad="12700"/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" wrap="square" rtlCol="0" anchor="ctr"/>
        <a:lstStyle/>
        <a:p>
          <a:pPr algn="ctr"/>
          <a:r>
            <a:rPr lang="pt-BR" sz="1100" b="1">
              <a:solidFill>
                <a:srgbClr val="C00000"/>
              </a:solidFill>
            </a:rPr>
            <a:t>CALCULADORA</a:t>
          </a:r>
        </a:p>
      </xdr:txBody>
    </xdr:sp>
    <xdr:clientData fPrintsWithSheet="0"/>
  </xdr:twoCellAnchor>
  <xdr:twoCellAnchor>
    <xdr:from>
      <xdr:col>1</xdr:col>
      <xdr:colOff>145387</xdr:colOff>
      <xdr:row>17</xdr:row>
      <xdr:rowOff>170464</xdr:rowOff>
    </xdr:from>
    <xdr:to>
      <xdr:col>6</xdr:col>
      <xdr:colOff>66675</xdr:colOff>
      <xdr:row>20</xdr:row>
      <xdr:rowOff>180975</xdr:rowOff>
    </xdr:to>
    <xdr:grpSp>
      <xdr:nvGrpSpPr>
        <xdr:cNvPr id="8" name="Shp_Aviso" hidden="1">
          <a:extLst>
            <a:ext uri="{FF2B5EF4-FFF2-40B4-BE49-F238E27FC236}">
              <a16:creationId xmlns:a16="http://schemas.microsoft.com/office/drawing/2014/main" id="{C71812ED-EDD8-40A2-ACF7-63BD4BD5D447}"/>
            </a:ext>
          </a:extLst>
        </xdr:cNvPr>
        <xdr:cNvGrpSpPr/>
      </xdr:nvGrpSpPr>
      <xdr:grpSpPr>
        <a:xfrm>
          <a:off x="831187" y="3913789"/>
          <a:ext cx="2788313" cy="753461"/>
          <a:chOff x="831187" y="3913789"/>
          <a:chExt cx="2788313" cy="753461"/>
        </a:xfrm>
      </xdr:grpSpPr>
      <xdr:sp macro="" textlink="">
        <xdr:nvSpPr>
          <xdr:cNvPr id="3" name="Shp_Aviso_Escrito" hidden="1">
            <a:extLst>
              <a:ext uri="{FF2B5EF4-FFF2-40B4-BE49-F238E27FC236}">
                <a16:creationId xmlns:a16="http://schemas.microsoft.com/office/drawing/2014/main" id="{FDAABBBF-4CC9-413B-89C9-C07469215D4F}"/>
              </a:ext>
            </a:extLst>
          </xdr:cNvPr>
          <xdr:cNvSpPr/>
        </xdr:nvSpPr>
        <xdr:spPr>
          <a:xfrm>
            <a:off x="914400" y="4114800"/>
            <a:ext cx="2705100" cy="552450"/>
          </a:xfrm>
          <a:prstGeom prst="roundRect">
            <a:avLst/>
          </a:prstGeom>
          <a:solidFill>
            <a:schemeClr val="accent2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C00000"/>
                </a:solidFill>
              </a:rPr>
              <a:t>Feche </a:t>
            </a:r>
            <a:r>
              <a:rPr lang="pt-BR" sz="1200" b="1" baseline="0">
                <a:solidFill>
                  <a:srgbClr val="C00000"/>
                </a:solidFill>
              </a:rPr>
              <a:t>a Calculadora Financeira</a:t>
            </a:r>
          </a:p>
          <a:p>
            <a:pPr algn="ctr"/>
            <a:r>
              <a:rPr lang="pt-BR" sz="1200" b="1" baseline="0">
                <a:solidFill>
                  <a:srgbClr val="C00000"/>
                </a:solidFill>
              </a:rPr>
              <a:t>para desbloquear o Excel.</a:t>
            </a:r>
            <a:endParaRPr lang="pt-BR" sz="1200" b="1">
              <a:solidFill>
                <a:srgbClr val="C00000"/>
              </a:solidFill>
            </a:endParaRPr>
          </a:p>
        </xdr:txBody>
      </xdr:sp>
      <xdr:pic>
        <xdr:nvPicPr>
          <xdr:cNvPr id="7" name="Imagem 6" descr="Resultado de imagem para imagem de aviso" hidden="1">
            <a:extLst>
              <a:ext uri="{FF2B5EF4-FFF2-40B4-BE49-F238E27FC236}">
                <a16:creationId xmlns:a16="http://schemas.microsoft.com/office/drawing/2014/main" id="{56505C05-6BD1-4F22-ADC2-744CB33A8E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20824008">
            <a:off x="831187" y="3913789"/>
            <a:ext cx="559743" cy="30857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CaixaDeTexto 3" hidden="1">
            <a:extLst>
              <a:ext uri="{FF2B5EF4-FFF2-40B4-BE49-F238E27FC236}">
                <a16:creationId xmlns:a16="http://schemas.microsoft.com/office/drawing/2014/main" id="{FC4E2B8D-5338-434E-8332-B399F5D42FBB}"/>
              </a:ext>
            </a:extLst>
          </xdr:cNvPr>
          <xdr:cNvSpPr txBox="1"/>
        </xdr:nvSpPr>
        <xdr:spPr>
          <a:xfrm>
            <a:off x="3343275" y="4362450"/>
            <a:ext cx="219075" cy="219076"/>
          </a:xfrm>
          <a:prstGeom prst="rect">
            <a:avLst/>
          </a:prstGeom>
          <a:solidFill>
            <a:srgbClr val="FF000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X</a:t>
            </a:r>
          </a:p>
        </xdr:txBody>
      </xdr:sp>
      <xdr:sp macro="" textlink="">
        <xdr:nvSpPr>
          <xdr:cNvPr id="6" name="Seta: para Cima 5" hidden="1">
            <a:extLst>
              <a:ext uri="{FF2B5EF4-FFF2-40B4-BE49-F238E27FC236}">
                <a16:creationId xmlns:a16="http://schemas.microsoft.com/office/drawing/2014/main" id="{D1E778BE-266B-44F6-981D-E85838608F97}"/>
              </a:ext>
            </a:extLst>
          </xdr:cNvPr>
          <xdr:cNvSpPr/>
        </xdr:nvSpPr>
        <xdr:spPr>
          <a:xfrm>
            <a:off x="3362325" y="4210051"/>
            <a:ext cx="190500" cy="114300"/>
          </a:xfrm>
          <a:prstGeom prst="up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K22"/>
  <sheetViews>
    <sheetView workbookViewId="0">
      <selection activeCell="C1" sqref="C1"/>
    </sheetView>
  </sheetViews>
  <sheetFormatPr defaultRowHeight="15"/>
  <cols>
    <col min="1" max="1" width="3" customWidth="1"/>
    <col min="2" max="2" width="26.5703125" customWidth="1"/>
    <col min="3" max="3" width="19.85546875" customWidth="1"/>
    <col min="4" max="4" width="9.85546875" bestFit="1" customWidth="1"/>
    <col min="5" max="5" width="17.28515625" customWidth="1"/>
    <col min="6" max="6" width="19.85546875" bestFit="1" customWidth="1"/>
    <col min="7" max="7" width="10.140625" bestFit="1" customWidth="1"/>
    <col min="8" max="8" width="10.7109375" bestFit="1" customWidth="1"/>
    <col min="11" max="11" width="12.140625" bestFit="1" customWidth="1"/>
  </cols>
  <sheetData>
    <row r="1" spans="2:11">
      <c r="B1" t="s">
        <v>0</v>
      </c>
      <c r="C1" s="8">
        <v>1000</v>
      </c>
      <c r="E1" t="s">
        <v>5</v>
      </c>
      <c r="F1" t="s">
        <v>6</v>
      </c>
      <c r="G1">
        <f>VF/VP</f>
        <v>2.8103600000000002</v>
      </c>
    </row>
    <row r="2" spans="2:11">
      <c r="B2" t="s">
        <v>2</v>
      </c>
      <c r="C2">
        <v>10</v>
      </c>
      <c r="E2" t="s">
        <v>7</v>
      </c>
      <c r="F2" t="s">
        <v>8</v>
      </c>
      <c r="G2" s="4">
        <f>(1/PRAZO)</f>
        <v>0.1</v>
      </c>
    </row>
    <row r="3" spans="2:11">
      <c r="B3" t="s">
        <v>1</v>
      </c>
      <c r="C3" s="7">
        <v>0</v>
      </c>
      <c r="E3" t="s">
        <v>9</v>
      </c>
      <c r="F3" t="s">
        <v>10</v>
      </c>
      <c r="G3" s="13">
        <f>G1^G2-1</f>
        <v>0.10885866754837936</v>
      </c>
    </row>
    <row r="4" spans="2:11">
      <c r="B4" t="s">
        <v>3</v>
      </c>
      <c r="C4" s="3">
        <f>RATE(PRAZO,C3,VP,-VF)</f>
        <v>0.10885866754880009</v>
      </c>
    </row>
    <row r="5" spans="2:11">
      <c r="B5" t="s">
        <v>4</v>
      </c>
      <c r="C5" s="8">
        <v>2810.36</v>
      </c>
      <c r="G5" s="6"/>
      <c r="H5" s="7"/>
    </row>
    <row r="6" spans="2:11">
      <c r="H6" s="11"/>
      <c r="K6" s="12"/>
    </row>
    <row r="7" spans="2:11">
      <c r="K7" s="6"/>
    </row>
    <row r="8" spans="2:11">
      <c r="C8" s="13">
        <f>(VF/VP)^(1/PRAZO)-1</f>
        <v>0.10885866754837936</v>
      </c>
    </row>
    <row r="9" spans="2:11">
      <c r="F9" s="14"/>
    </row>
    <row r="11" spans="2:11">
      <c r="C11" s="7">
        <f>FV(TX_JUROS,PRAZO,C3,-VP)</f>
        <v>2810.3600000106662</v>
      </c>
    </row>
    <row r="13" spans="2:11">
      <c r="C13" s="3">
        <v>0.12</v>
      </c>
    </row>
    <row r="14" spans="2:11">
      <c r="C14" s="10">
        <f>(1+C13)^(1/12)-1</f>
        <v>9.4887929345830457E-3</v>
      </c>
    </row>
    <row r="15" spans="2:11">
      <c r="C15" s="10">
        <f>(1+C14)^12-1</f>
        <v>0.12000000000000144</v>
      </c>
    </row>
    <row r="19" spans="6:6">
      <c r="F19" s="2"/>
    </row>
    <row r="21" spans="6:6">
      <c r="F21" s="6"/>
    </row>
    <row r="22" spans="6:6">
      <c r="F22" s="1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C2:K15"/>
  <sheetViews>
    <sheetView workbookViewId="0">
      <selection activeCell="D12" sqref="D12"/>
    </sheetView>
  </sheetViews>
  <sheetFormatPr defaultRowHeight="15"/>
  <cols>
    <col min="4" max="4" width="13.7109375" customWidth="1"/>
    <col min="6" max="6" width="9.5703125" style="1" bestFit="1" customWidth="1"/>
    <col min="7" max="7" width="10.5703125" style="1" bestFit="1" customWidth="1"/>
    <col min="8" max="8" width="9.5703125" bestFit="1" customWidth="1"/>
    <col min="9" max="9" width="9.5703125" customWidth="1"/>
    <col min="11" max="11" width="10.5703125" bestFit="1" customWidth="1"/>
  </cols>
  <sheetData>
    <row r="2" spans="3:11">
      <c r="C2" t="s">
        <v>11</v>
      </c>
      <c r="D2" s="17">
        <v>1000</v>
      </c>
      <c r="F2" s="1">
        <v>0</v>
      </c>
      <c r="H2" s="1">
        <v>1000</v>
      </c>
      <c r="I2" s="1">
        <v>0</v>
      </c>
      <c r="J2" s="20">
        <f t="shared" ref="J2:J11" si="0">(H2+G2+I2)*VF_i</f>
        <v>34.602000000000004</v>
      </c>
      <c r="K2" s="20">
        <f>G2+H2+J2+I2</f>
        <v>1034.6020000000001</v>
      </c>
    </row>
    <row r="3" spans="3:11">
      <c r="C3" t="s">
        <v>13</v>
      </c>
      <c r="D3">
        <v>10</v>
      </c>
      <c r="F3" s="1">
        <v>1</v>
      </c>
      <c r="G3" s="1">
        <f>K2</f>
        <v>1034.6020000000001</v>
      </c>
      <c r="H3" s="1">
        <v>0</v>
      </c>
      <c r="I3" s="1">
        <v>120</v>
      </c>
      <c r="J3" s="20">
        <f t="shared" si="0"/>
        <v>39.951538404000004</v>
      </c>
      <c r="K3" s="20">
        <f t="shared" ref="K3:K11" si="1">G3+H3+J3+I3</f>
        <v>1194.5535384040002</v>
      </c>
    </row>
    <row r="4" spans="3:11">
      <c r="C4" t="s">
        <v>17</v>
      </c>
      <c r="D4" s="17">
        <v>120</v>
      </c>
      <c r="F4" s="1">
        <v>2</v>
      </c>
      <c r="G4" s="1">
        <f t="shared" ref="G4:G12" si="2">K3</f>
        <v>1194.5535384040002</v>
      </c>
      <c r="H4" s="1">
        <v>0</v>
      </c>
      <c r="I4" s="1">
        <v>120</v>
      </c>
      <c r="J4" s="20">
        <f t="shared" si="0"/>
        <v>45.486181535855216</v>
      </c>
      <c r="K4" s="20">
        <f t="shared" si="1"/>
        <v>1360.0397199398553</v>
      </c>
    </row>
    <row r="5" spans="3:11">
      <c r="C5" t="s">
        <v>14</v>
      </c>
      <c r="D5" s="15">
        <v>3.4602000000000001E-2</v>
      </c>
      <c r="F5" s="1">
        <v>3</v>
      </c>
      <c r="G5" s="1">
        <f t="shared" si="2"/>
        <v>1360.0397199398553</v>
      </c>
      <c r="H5" s="1">
        <v>0</v>
      </c>
      <c r="I5" s="1">
        <v>120</v>
      </c>
      <c r="J5" s="20">
        <f t="shared" si="0"/>
        <v>51.212334389358872</v>
      </c>
      <c r="K5" s="20">
        <f t="shared" si="1"/>
        <v>1531.2520543292142</v>
      </c>
    </row>
    <row r="6" spans="3:11">
      <c r="C6" t="s">
        <v>16</v>
      </c>
      <c r="D6" s="17">
        <f>VF_VP*(1+VF_i)^VF_n+VF_m*((1+VF_i)^VF_n-1)/((1+VF_i)-1)</f>
        <v>2810.3643365524667</v>
      </c>
      <c r="F6" s="1">
        <v>4</v>
      </c>
      <c r="G6" s="1">
        <f t="shared" si="2"/>
        <v>1531.2520543292142</v>
      </c>
      <c r="H6" s="1">
        <v>0</v>
      </c>
      <c r="I6" s="1">
        <v>120</v>
      </c>
      <c r="J6" s="20">
        <f t="shared" si="0"/>
        <v>57.136623583899471</v>
      </c>
      <c r="K6" s="20">
        <f t="shared" si="1"/>
        <v>1708.3886779131137</v>
      </c>
    </row>
    <row r="7" spans="3:11">
      <c r="D7" s="18">
        <f>FV(VF_i,VF_n,VF_m,VF_VP)</f>
        <v>-2810.3643365524676</v>
      </c>
      <c r="F7" s="1">
        <v>5</v>
      </c>
      <c r="G7" s="1">
        <f t="shared" si="2"/>
        <v>1708.3886779131137</v>
      </c>
      <c r="H7" s="1">
        <v>0</v>
      </c>
      <c r="I7" s="1">
        <v>120</v>
      </c>
      <c r="J7" s="20">
        <f t="shared" si="0"/>
        <v>63.265905033149565</v>
      </c>
      <c r="K7" s="20">
        <f t="shared" si="1"/>
        <v>1891.6545829462632</v>
      </c>
    </row>
    <row r="8" spans="3:11">
      <c r="F8" s="1">
        <v>6</v>
      </c>
      <c r="G8" s="1">
        <f t="shared" si="2"/>
        <v>1891.6545829462632</v>
      </c>
      <c r="H8" s="1">
        <v>0</v>
      </c>
      <c r="I8" s="1">
        <v>120</v>
      </c>
      <c r="J8" s="20">
        <f t="shared" si="0"/>
        <v>69.607271879106605</v>
      </c>
      <c r="K8" s="20">
        <f t="shared" si="1"/>
        <v>2081.2618548253695</v>
      </c>
    </row>
    <row r="9" spans="3:11">
      <c r="D9" s="19">
        <f>D6+D7</f>
        <v>0</v>
      </c>
      <c r="F9" s="1">
        <v>7</v>
      </c>
      <c r="G9" s="1">
        <f t="shared" si="2"/>
        <v>2081.2618548253695</v>
      </c>
      <c r="H9" s="1">
        <v>0</v>
      </c>
      <c r="I9" s="1">
        <v>120</v>
      </c>
      <c r="J9" s="20">
        <f t="shared" si="0"/>
        <v>76.168062700667434</v>
      </c>
      <c r="K9" s="20">
        <f t="shared" si="1"/>
        <v>2277.4299175260371</v>
      </c>
    </row>
    <row r="10" spans="3:11">
      <c r="D10" s="16"/>
      <c r="F10" s="1">
        <v>8</v>
      </c>
      <c r="G10" s="1">
        <f t="shared" si="2"/>
        <v>2277.4299175260371</v>
      </c>
      <c r="H10" s="1">
        <v>0</v>
      </c>
      <c r="I10" s="1">
        <v>120</v>
      </c>
      <c r="J10" s="20">
        <f t="shared" si="0"/>
        <v>82.955870006235941</v>
      </c>
      <c r="K10" s="20">
        <f t="shared" si="1"/>
        <v>2480.3857875322728</v>
      </c>
    </row>
    <row r="11" spans="3:11">
      <c r="F11" s="1">
        <v>9</v>
      </c>
      <c r="G11" s="1">
        <f t="shared" si="2"/>
        <v>2480.3857875322728</v>
      </c>
      <c r="H11" s="1">
        <v>0</v>
      </c>
      <c r="I11" s="1">
        <v>120</v>
      </c>
      <c r="J11" s="20">
        <f t="shared" si="0"/>
        <v>89.978549020191707</v>
      </c>
      <c r="K11" s="20">
        <f t="shared" si="1"/>
        <v>2690.3643365524645</v>
      </c>
    </row>
    <row r="12" spans="3:11">
      <c r="D12">
        <f>VF_VP*(1+VF_i)^VF_n+VF_m*((1+VF_i)^VF_n-1)/((1+VF_i)-1)</f>
        <v>2810.3643365524667</v>
      </c>
      <c r="F12" s="1">
        <v>10</v>
      </c>
      <c r="G12" s="1">
        <f t="shared" si="2"/>
        <v>2690.3643365524645</v>
      </c>
      <c r="I12" s="1">
        <v>120</v>
      </c>
      <c r="J12" s="20"/>
      <c r="K12" s="20">
        <f t="shared" ref="K12" si="3">G12+H12+J12+I12</f>
        <v>2810.3643365524645</v>
      </c>
    </row>
    <row r="14" spans="3:11">
      <c r="K14" s="7">
        <f>-D7</f>
        <v>2810.3643365524676</v>
      </c>
    </row>
    <row r="15" spans="3:11">
      <c r="K15" s="20">
        <f>K11-K14</f>
        <v>-120.00000000000318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15"/>
  <sheetViews>
    <sheetView workbookViewId="0">
      <selection activeCell="J16" sqref="J16"/>
    </sheetView>
  </sheetViews>
  <sheetFormatPr defaultRowHeight="15"/>
  <cols>
    <col min="1" max="1" width="14.7109375" bestFit="1" customWidth="1"/>
    <col min="2" max="2" width="13.28515625" bestFit="1" customWidth="1"/>
    <col min="4" max="5" width="10.7109375" bestFit="1" customWidth="1"/>
  </cols>
  <sheetData>
    <row r="1" spans="1:5">
      <c r="A1" t="s">
        <v>0</v>
      </c>
      <c r="B1" s="1">
        <v>1000</v>
      </c>
    </row>
    <row r="2" spans="1:5">
      <c r="A2" t="s">
        <v>2</v>
      </c>
      <c r="B2">
        <v>10</v>
      </c>
    </row>
    <row r="3" spans="1:5">
      <c r="A3" t="s">
        <v>1</v>
      </c>
      <c r="B3" s="1">
        <v>0</v>
      </c>
    </row>
    <row r="4" spans="1:5">
      <c r="A4" t="s">
        <v>3</v>
      </c>
      <c r="B4" s="5">
        <v>0.01</v>
      </c>
    </row>
    <row r="5" spans="1:5">
      <c r="A5" t="s">
        <v>4</v>
      </c>
      <c r="B5" s="9">
        <f>FV(i,n,,-P)</f>
        <v>1104.6221254112047</v>
      </c>
    </row>
    <row r="14" spans="1:5">
      <c r="C14" t="s">
        <v>11</v>
      </c>
      <c r="D14" s="1">
        <f>F/(1+i)^n+M*((1+i)^n-1)/((1+i)^n+1-(1+i)^n)</f>
        <v>1000</v>
      </c>
      <c r="E14" s="7">
        <f>FV(i,n,M,-P)</f>
        <v>1104.6221254112047</v>
      </c>
    </row>
    <row r="15" spans="1:5">
      <c r="C15" t="s">
        <v>12</v>
      </c>
      <c r="D15" s="1">
        <f>F*(1+i)^n+M*((1+i)^n-1^n+1-(1+i)^n)</f>
        <v>1220.1900399479673</v>
      </c>
      <c r="E15" s="7">
        <f>FV(i,n,,-F)</f>
        <v>1220.1900399479673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J21"/>
  <sheetViews>
    <sheetView workbookViewId="0">
      <selection activeCell="J16" sqref="J16"/>
    </sheetView>
  </sheetViews>
  <sheetFormatPr defaultRowHeight="15"/>
  <cols>
    <col min="3" max="3" width="15" customWidth="1"/>
  </cols>
  <sheetData>
    <row r="2" spans="2:10">
      <c r="B2" t="s">
        <v>11</v>
      </c>
      <c r="C2" s="1">
        <v>1000</v>
      </c>
    </row>
    <row r="3" spans="2:10">
      <c r="B3" t="s">
        <v>13</v>
      </c>
      <c r="C3">
        <v>10</v>
      </c>
    </row>
    <row r="4" spans="2:10">
      <c r="B4" t="s">
        <v>14</v>
      </c>
      <c r="C4" s="13">
        <v>0.151</v>
      </c>
    </row>
    <row r="5" spans="2:10">
      <c r="B5" t="s">
        <v>12</v>
      </c>
      <c r="C5">
        <v>0</v>
      </c>
    </row>
    <row r="6" spans="2:10">
      <c r="B6" t="s">
        <v>15</v>
      </c>
      <c r="C6" s="7">
        <f>PMT(C4,C3,C2,pmt_f,)</f>
        <v>-200.01205851047354</v>
      </c>
    </row>
    <row r="8" spans="2:10">
      <c r="B8" t="s">
        <v>15</v>
      </c>
      <c r="C8" s="1">
        <f>(pmt_p*((pmt_i+1)^pmt_n)/((1+pmt_i)^pmt_n-1))/100</f>
        <v>13.245831689435333</v>
      </c>
    </row>
    <row r="16" spans="2:10">
      <c r="J16" s="3">
        <v>3.61E-2</v>
      </c>
    </row>
    <row r="19" spans="3:3">
      <c r="C19" s="1">
        <f>(((1+pmt_i)^pmt_n*pmt_i)/((1+pmt_i)^pmt_n-1))*pmt_p</f>
        <v>200.01205851047351</v>
      </c>
    </row>
    <row r="21" spans="3:3">
      <c r="C21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Calculadora">
    <tabColor rgb="FF0070C0"/>
    <pageSetUpPr fitToPage="1"/>
  </sheetPr>
  <dimension ref="B1:S403"/>
  <sheetViews>
    <sheetView showGridLines="0" showRowColHeaders="0" tabSelected="1" zoomScaleNormal="100" workbookViewId="0">
      <selection activeCell="A3" sqref="A3"/>
    </sheetView>
  </sheetViews>
  <sheetFormatPr defaultRowHeight="15"/>
  <cols>
    <col min="1" max="1" width="10.28515625" style="22" customWidth="1"/>
    <col min="2" max="5" width="9.140625" style="22" customWidth="1"/>
    <col min="6" max="7" width="6.42578125" style="22" customWidth="1"/>
    <col min="8" max="8" width="21.7109375" style="22" hidden="1" customWidth="1"/>
    <col min="9" max="9" width="16.85546875" style="22" hidden="1" customWidth="1"/>
    <col min="10" max="10" width="3.140625" style="22" hidden="1" customWidth="1"/>
    <col min="11" max="11" width="6.140625" style="27" hidden="1" customWidth="1"/>
    <col min="12" max="12" width="14.5703125" style="22" hidden="1" customWidth="1"/>
    <col min="13" max="13" width="14.42578125" style="22" hidden="1" customWidth="1"/>
    <col min="14" max="14" width="11.5703125" style="22" hidden="1" customWidth="1"/>
    <col min="15" max="15" width="14.7109375" style="22" hidden="1" customWidth="1"/>
    <col min="16" max="16" width="9.140625" style="22"/>
    <col min="17" max="17" width="9.140625" style="22" customWidth="1"/>
    <col min="18" max="18" width="22" style="22" hidden="1" customWidth="1"/>
    <col min="19" max="19" width="10.5703125" style="22" hidden="1" customWidth="1"/>
    <col min="20" max="20" width="9.140625" style="22" customWidth="1"/>
    <col min="21" max="16384" width="9.140625" style="22"/>
  </cols>
  <sheetData>
    <row r="1" spans="5:19" ht="3.75" customHeight="1"/>
    <row r="2" spans="5:19" ht="7.5" customHeight="1"/>
    <row r="3" spans="5:19">
      <c r="H3" s="43" t="s">
        <v>37</v>
      </c>
      <c r="I3" s="43"/>
      <c r="K3" s="47" t="s">
        <v>30</v>
      </c>
      <c r="L3" s="45" t="s">
        <v>35</v>
      </c>
      <c r="M3" s="45" t="s">
        <v>33</v>
      </c>
      <c r="N3" s="45" t="s">
        <v>31</v>
      </c>
      <c r="O3" s="45" t="s">
        <v>32</v>
      </c>
    </row>
    <row r="4" spans="5:19">
      <c r="H4" s="44"/>
      <c r="I4" s="44"/>
      <c r="K4" s="48"/>
      <c r="L4" s="46"/>
      <c r="M4" s="46"/>
      <c r="N4" s="46"/>
      <c r="O4" s="46"/>
    </row>
    <row r="5" spans="5:19" ht="20.100000000000001" customHeight="1">
      <c r="H5" s="28" t="s">
        <v>27</v>
      </c>
      <c r="I5" s="35"/>
      <c r="K5" s="27">
        <f>IF(H3="","",0)</f>
        <v>0</v>
      </c>
      <c r="L5" s="22">
        <f>IF(K5="","",IF(ROW()=5,IF(R5="Valor Presente (pv):",$S$5,$S$8),0))</f>
        <v>0</v>
      </c>
      <c r="M5" s="22">
        <f>IF(K5=0,0,IF(K5="","",$S$6))</f>
        <v>0</v>
      </c>
      <c r="N5" s="22">
        <f>IF(K5="","",IF(K5=0,0,(L5*$S$9)))</f>
        <v>0</v>
      </c>
      <c r="O5" s="22">
        <f>IF(K5="","",SUM(L5:N5))</f>
        <v>0</v>
      </c>
      <c r="R5" s="23" t="s">
        <v>27</v>
      </c>
      <c r="S5" s="23">
        <f>VLOOKUP(R5,$H$5:$I$9,2,FALSE)</f>
        <v>0</v>
      </c>
    </row>
    <row r="6" spans="5:19" ht="20.100000000000001" customHeight="1">
      <c r="H6" s="28" t="s">
        <v>28</v>
      </c>
      <c r="I6" s="39"/>
      <c r="K6" s="27" t="str">
        <f>IF(K5&gt;=$S$7,"",K5+1)</f>
        <v/>
      </c>
      <c r="L6" s="22" t="str">
        <f>IF(K6="","",O5)</f>
        <v/>
      </c>
      <c r="M6" s="22" t="str">
        <f t="shared" ref="M6:M25" si="0">IF(K6=0,0,IF(K6="","",$S$6))</f>
        <v/>
      </c>
      <c r="N6" s="22" t="str">
        <f t="shared" ref="N6:N69" si="1">IF(K6="","",IF(K6=0,0,(L6*$S$9)))</f>
        <v/>
      </c>
      <c r="O6" s="22" t="str">
        <f t="shared" ref="O6:O25" si="2">IF(K6="","",SUM(L6:N6))</f>
        <v/>
      </c>
      <c r="R6" s="23" t="s">
        <v>28</v>
      </c>
      <c r="S6" s="23">
        <f t="shared" ref="S6:S9" si="3">VLOOKUP(R6,$H$5:$I$9,2,FALSE)</f>
        <v>0</v>
      </c>
    </row>
    <row r="7" spans="5:19" ht="20.100000000000001" customHeight="1">
      <c r="G7" s="22" t="s">
        <v>18</v>
      </c>
      <c r="H7" s="29" t="s">
        <v>36</v>
      </c>
      <c r="I7" s="36"/>
      <c r="K7" s="27" t="str">
        <f>IF(K6&gt;=$S$7,"",K6+1)</f>
        <v/>
      </c>
      <c r="L7" s="22" t="str">
        <f t="shared" ref="L7:L70" si="4">IF(K7="","",O6)</f>
        <v/>
      </c>
      <c r="M7" s="22" t="str">
        <f t="shared" si="0"/>
        <v/>
      </c>
      <c r="N7" s="22" t="str">
        <f t="shared" si="1"/>
        <v/>
      </c>
      <c r="O7" s="22" t="str">
        <f t="shared" si="2"/>
        <v/>
      </c>
      <c r="R7" s="24" t="s">
        <v>36</v>
      </c>
      <c r="S7" s="23">
        <f t="shared" si="3"/>
        <v>0</v>
      </c>
    </row>
    <row r="8" spans="5:19" ht="20.100000000000001" customHeight="1">
      <c r="H8" s="28" t="s">
        <v>29</v>
      </c>
      <c r="I8" s="35"/>
      <c r="K8" s="27" t="str">
        <f>IF(K7&gt;=$S$7,"",K7+1)</f>
        <v/>
      </c>
      <c r="L8" s="22" t="str">
        <f t="shared" si="4"/>
        <v/>
      </c>
      <c r="M8" s="22" t="str">
        <f t="shared" si="0"/>
        <v/>
      </c>
      <c r="N8" s="22" t="str">
        <f t="shared" si="1"/>
        <v/>
      </c>
      <c r="O8" s="22" t="str">
        <f t="shared" si="2"/>
        <v/>
      </c>
      <c r="R8" s="23" t="s">
        <v>29</v>
      </c>
      <c r="S8" s="23">
        <f t="shared" si="3"/>
        <v>0</v>
      </c>
    </row>
    <row r="9" spans="5:19" ht="20.100000000000001" customHeight="1">
      <c r="H9" s="37" t="s">
        <v>34</v>
      </c>
      <c r="I9" s="40"/>
      <c r="K9" s="27" t="str">
        <f t="shared" ref="K9:K72" si="5">IF(K8&gt;=$S$7,"",K8+1)</f>
        <v/>
      </c>
      <c r="L9" s="22" t="str">
        <f t="shared" si="4"/>
        <v/>
      </c>
      <c r="M9" s="22" t="str">
        <f t="shared" si="0"/>
        <v/>
      </c>
      <c r="N9" s="22" t="str">
        <f t="shared" si="1"/>
        <v/>
      </c>
      <c r="O9" s="22" t="str">
        <f t="shared" si="2"/>
        <v/>
      </c>
      <c r="R9" s="23" t="s">
        <v>34</v>
      </c>
      <c r="S9" s="26">
        <f t="shared" si="3"/>
        <v>0</v>
      </c>
    </row>
    <row r="10" spans="5:19" ht="20.100000000000001" customHeight="1">
      <c r="H10" s="41"/>
      <c r="I10" s="42"/>
      <c r="K10" s="27" t="str">
        <f t="shared" si="5"/>
        <v/>
      </c>
      <c r="L10" s="22" t="str">
        <f t="shared" si="4"/>
        <v/>
      </c>
      <c r="M10" s="22" t="str">
        <f t="shared" si="0"/>
        <v/>
      </c>
      <c r="N10" s="22" t="str">
        <f t="shared" si="1"/>
        <v/>
      </c>
      <c r="O10" s="22" t="str">
        <f t="shared" si="2"/>
        <v/>
      </c>
    </row>
    <row r="11" spans="5:19" ht="20.100000000000001" customHeight="1">
      <c r="I11" s="33"/>
      <c r="K11" s="27" t="str">
        <f t="shared" si="5"/>
        <v/>
      </c>
      <c r="L11" s="22" t="str">
        <f t="shared" si="4"/>
        <v/>
      </c>
      <c r="M11" s="22" t="str">
        <f t="shared" si="0"/>
        <v/>
      </c>
      <c r="N11" s="22" t="str">
        <f t="shared" si="1"/>
        <v/>
      </c>
      <c r="O11" s="22" t="str">
        <f t="shared" si="2"/>
        <v/>
      </c>
    </row>
    <row r="12" spans="5:19" ht="20.100000000000001" customHeight="1">
      <c r="E12"/>
      <c r="G12" s="30"/>
      <c r="H12" s="38"/>
      <c r="K12" s="27" t="str">
        <f t="shared" si="5"/>
        <v/>
      </c>
      <c r="L12" s="22" t="str">
        <f t="shared" si="4"/>
        <v/>
      </c>
      <c r="M12" s="22" t="str">
        <f t="shared" si="0"/>
        <v/>
      </c>
      <c r="N12" s="22" t="str">
        <f t="shared" si="1"/>
        <v/>
      </c>
      <c r="O12" s="22" t="str">
        <f t="shared" si="2"/>
        <v/>
      </c>
    </row>
    <row r="13" spans="5:19" ht="20.100000000000001" customHeight="1">
      <c r="K13" s="27" t="str">
        <f t="shared" si="5"/>
        <v/>
      </c>
      <c r="L13" s="22" t="str">
        <f t="shared" si="4"/>
        <v/>
      </c>
      <c r="M13" s="22" t="str">
        <f t="shared" si="0"/>
        <v/>
      </c>
      <c r="N13" s="22" t="str">
        <f t="shared" si="1"/>
        <v/>
      </c>
      <c r="O13" s="22" t="str">
        <f t="shared" si="2"/>
        <v/>
      </c>
    </row>
    <row r="14" spans="5:19" ht="20.100000000000001" customHeight="1">
      <c r="K14" s="27" t="str">
        <f t="shared" si="5"/>
        <v/>
      </c>
      <c r="L14" s="22" t="str">
        <f t="shared" si="4"/>
        <v/>
      </c>
      <c r="M14" s="22" t="str">
        <f t="shared" si="0"/>
        <v/>
      </c>
      <c r="N14" s="22" t="str">
        <f t="shared" si="1"/>
        <v/>
      </c>
      <c r="O14" s="22" t="str">
        <f t="shared" si="2"/>
        <v/>
      </c>
    </row>
    <row r="15" spans="5:19" ht="20.100000000000001" customHeight="1">
      <c r="K15" s="27" t="str">
        <f t="shared" si="5"/>
        <v/>
      </c>
      <c r="L15" s="22" t="str">
        <f t="shared" si="4"/>
        <v/>
      </c>
      <c r="M15" s="22" t="str">
        <f t="shared" si="0"/>
        <v/>
      </c>
      <c r="N15" s="22" t="str">
        <f t="shared" si="1"/>
        <v/>
      </c>
      <c r="O15" s="22" t="str">
        <f t="shared" si="2"/>
        <v/>
      </c>
    </row>
    <row r="16" spans="5:19" ht="20.100000000000001" customHeight="1">
      <c r="K16" s="27" t="str">
        <f t="shared" si="5"/>
        <v/>
      </c>
      <c r="L16" s="22" t="str">
        <f t="shared" si="4"/>
        <v/>
      </c>
      <c r="M16" s="22" t="str">
        <f t="shared" si="0"/>
        <v/>
      </c>
      <c r="N16" s="22" t="str">
        <f t="shared" si="1"/>
        <v/>
      </c>
      <c r="O16" s="22" t="str">
        <f t="shared" si="2"/>
        <v/>
      </c>
    </row>
    <row r="17" spans="2:15" ht="20.100000000000001" customHeight="1">
      <c r="I17" s="32"/>
      <c r="K17" s="27" t="str">
        <f t="shared" si="5"/>
        <v/>
      </c>
      <c r="L17" s="22" t="str">
        <f t="shared" si="4"/>
        <v/>
      </c>
      <c r="M17" s="22" t="str">
        <f t="shared" si="0"/>
        <v/>
      </c>
      <c r="N17" s="22" t="str">
        <f t="shared" si="1"/>
        <v/>
      </c>
      <c r="O17" s="22" t="str">
        <f t="shared" si="2"/>
        <v/>
      </c>
    </row>
    <row r="18" spans="2:15" ht="20.100000000000001" customHeight="1">
      <c r="J18" s="25"/>
      <c r="K18" s="27" t="str">
        <f t="shared" si="5"/>
        <v/>
      </c>
      <c r="L18" s="22" t="str">
        <f t="shared" si="4"/>
        <v/>
      </c>
      <c r="M18" s="22" t="str">
        <f t="shared" si="0"/>
        <v/>
      </c>
      <c r="N18" s="22" t="str">
        <f t="shared" si="1"/>
        <v/>
      </c>
      <c r="O18" s="22" t="str">
        <f t="shared" si="2"/>
        <v/>
      </c>
    </row>
    <row r="19" spans="2:15" ht="20.100000000000001" customHeight="1">
      <c r="B19" s="34"/>
      <c r="C19" s="34"/>
      <c r="D19" s="34"/>
      <c r="E19" s="34"/>
      <c r="F19" s="34"/>
      <c r="G19" s="34"/>
      <c r="K19" s="27" t="str">
        <f t="shared" si="5"/>
        <v/>
      </c>
      <c r="L19" s="22" t="str">
        <f t="shared" si="4"/>
        <v/>
      </c>
      <c r="M19" s="22" t="str">
        <f t="shared" si="0"/>
        <v/>
      </c>
      <c r="N19" s="22" t="str">
        <f t="shared" si="1"/>
        <v/>
      </c>
      <c r="O19" s="22" t="str">
        <f t="shared" si="2"/>
        <v/>
      </c>
    </row>
    <row r="20" spans="2:15" ht="20.100000000000001" customHeight="1">
      <c r="B20" s="34"/>
      <c r="C20" s="34"/>
      <c r="D20" s="34"/>
      <c r="E20" s="34"/>
      <c r="F20" s="34"/>
      <c r="G20" s="34"/>
      <c r="I20" s="31"/>
      <c r="K20" s="27" t="str">
        <f t="shared" si="5"/>
        <v/>
      </c>
      <c r="L20" s="22" t="str">
        <f t="shared" si="4"/>
        <v/>
      </c>
      <c r="M20" s="22" t="str">
        <f t="shared" si="0"/>
        <v/>
      </c>
      <c r="N20" s="22" t="str">
        <f t="shared" si="1"/>
        <v/>
      </c>
      <c r="O20" s="22" t="str">
        <f t="shared" si="2"/>
        <v/>
      </c>
    </row>
    <row r="21" spans="2:15" ht="20.100000000000001" customHeight="1">
      <c r="H21" s="25"/>
      <c r="J21" s="25"/>
      <c r="K21" s="27" t="str">
        <f t="shared" si="5"/>
        <v/>
      </c>
      <c r="L21" s="22" t="str">
        <f t="shared" si="4"/>
        <v/>
      </c>
      <c r="M21" s="22" t="str">
        <f t="shared" si="0"/>
        <v/>
      </c>
      <c r="N21" s="22" t="str">
        <f t="shared" si="1"/>
        <v/>
      </c>
      <c r="O21" s="22" t="str">
        <f t="shared" si="2"/>
        <v/>
      </c>
    </row>
    <row r="22" spans="2:15" ht="20.100000000000001" customHeight="1">
      <c r="K22" s="27" t="str">
        <f t="shared" si="5"/>
        <v/>
      </c>
      <c r="L22" s="22" t="str">
        <f t="shared" si="4"/>
        <v/>
      </c>
      <c r="M22" s="22" t="str">
        <f t="shared" si="0"/>
        <v/>
      </c>
      <c r="N22" s="22" t="str">
        <f t="shared" si="1"/>
        <v/>
      </c>
      <c r="O22" s="22" t="str">
        <f t="shared" si="2"/>
        <v/>
      </c>
    </row>
    <row r="23" spans="2:15" ht="20.100000000000001" customHeight="1">
      <c r="K23" s="27" t="str">
        <f t="shared" si="5"/>
        <v/>
      </c>
      <c r="L23" s="22" t="str">
        <f t="shared" si="4"/>
        <v/>
      </c>
      <c r="M23" s="22" t="str">
        <f t="shared" si="0"/>
        <v/>
      </c>
      <c r="N23" s="22" t="str">
        <f t="shared" si="1"/>
        <v/>
      </c>
      <c r="O23" s="22" t="str">
        <f t="shared" si="2"/>
        <v/>
      </c>
    </row>
    <row r="24" spans="2:15" ht="20.100000000000001" customHeight="1">
      <c r="K24" s="27" t="str">
        <f t="shared" si="5"/>
        <v/>
      </c>
      <c r="L24" s="22" t="str">
        <f t="shared" si="4"/>
        <v/>
      </c>
      <c r="M24" s="22" t="str">
        <f t="shared" si="0"/>
        <v/>
      </c>
      <c r="N24" s="22" t="str">
        <f t="shared" si="1"/>
        <v/>
      </c>
      <c r="O24" s="22" t="str">
        <f t="shared" si="2"/>
        <v/>
      </c>
    </row>
    <row r="25" spans="2:15" ht="20.100000000000001" customHeight="1">
      <c r="K25" s="27" t="str">
        <f t="shared" si="5"/>
        <v/>
      </c>
      <c r="L25" s="22" t="str">
        <f t="shared" si="4"/>
        <v/>
      </c>
      <c r="M25" s="22" t="str">
        <f t="shared" si="0"/>
        <v/>
      </c>
      <c r="N25" s="22" t="str">
        <f t="shared" si="1"/>
        <v/>
      </c>
      <c r="O25" s="22" t="str">
        <f t="shared" si="2"/>
        <v/>
      </c>
    </row>
    <row r="26" spans="2:15" ht="20.100000000000001" customHeight="1">
      <c r="K26" s="27" t="str">
        <f t="shared" si="5"/>
        <v/>
      </c>
      <c r="L26" s="22" t="str">
        <f t="shared" si="4"/>
        <v/>
      </c>
      <c r="M26" s="22" t="str">
        <f t="shared" ref="M26:M89" si="6">IF(K26=0,0,IF(K26="","",$S$6))</f>
        <v/>
      </c>
      <c r="N26" s="22" t="str">
        <f t="shared" si="1"/>
        <v/>
      </c>
      <c r="O26" s="22" t="str">
        <f t="shared" ref="O26:O89" si="7">IF(K26="","",SUM(L26:N26))</f>
        <v/>
      </c>
    </row>
    <row r="27" spans="2:15" ht="20.100000000000001" customHeight="1">
      <c r="K27" s="27" t="str">
        <f t="shared" si="5"/>
        <v/>
      </c>
      <c r="L27" s="22" t="str">
        <f t="shared" si="4"/>
        <v/>
      </c>
      <c r="M27" s="22" t="str">
        <f t="shared" si="6"/>
        <v/>
      </c>
      <c r="N27" s="22" t="str">
        <f t="shared" si="1"/>
        <v/>
      </c>
      <c r="O27" s="22" t="str">
        <f t="shared" si="7"/>
        <v/>
      </c>
    </row>
    <row r="28" spans="2:15" ht="20.100000000000001" customHeight="1">
      <c r="K28" s="27" t="str">
        <f t="shared" si="5"/>
        <v/>
      </c>
      <c r="L28" s="22" t="str">
        <f t="shared" si="4"/>
        <v/>
      </c>
      <c r="M28" s="22" t="str">
        <f t="shared" si="6"/>
        <v/>
      </c>
      <c r="N28" s="22" t="str">
        <f t="shared" si="1"/>
        <v/>
      </c>
      <c r="O28" s="22" t="str">
        <f t="shared" si="7"/>
        <v/>
      </c>
    </row>
    <row r="29" spans="2:15" ht="20.100000000000001" customHeight="1">
      <c r="K29" s="27" t="str">
        <f t="shared" si="5"/>
        <v/>
      </c>
      <c r="L29" s="22" t="str">
        <f t="shared" si="4"/>
        <v/>
      </c>
      <c r="M29" s="22" t="str">
        <f t="shared" si="6"/>
        <v/>
      </c>
      <c r="N29" s="22" t="str">
        <f t="shared" si="1"/>
        <v/>
      </c>
      <c r="O29" s="22" t="str">
        <f t="shared" si="7"/>
        <v/>
      </c>
    </row>
    <row r="30" spans="2:15" ht="20.100000000000001" customHeight="1">
      <c r="K30" s="27" t="str">
        <f t="shared" si="5"/>
        <v/>
      </c>
      <c r="L30" s="22" t="str">
        <f t="shared" si="4"/>
        <v/>
      </c>
      <c r="M30" s="22" t="str">
        <f t="shared" si="6"/>
        <v/>
      </c>
      <c r="N30" s="22" t="str">
        <f t="shared" si="1"/>
        <v/>
      </c>
      <c r="O30" s="22" t="str">
        <f t="shared" si="7"/>
        <v/>
      </c>
    </row>
    <row r="31" spans="2:15" ht="20.100000000000001" customHeight="1">
      <c r="K31" s="27" t="str">
        <f t="shared" si="5"/>
        <v/>
      </c>
      <c r="L31" s="22" t="str">
        <f t="shared" si="4"/>
        <v/>
      </c>
      <c r="M31" s="22" t="str">
        <f t="shared" si="6"/>
        <v/>
      </c>
      <c r="N31" s="22" t="str">
        <f t="shared" si="1"/>
        <v/>
      </c>
      <c r="O31" s="22" t="str">
        <f t="shared" si="7"/>
        <v/>
      </c>
    </row>
    <row r="32" spans="2:15" ht="20.100000000000001" customHeight="1">
      <c r="K32" s="27" t="str">
        <f t="shared" si="5"/>
        <v/>
      </c>
      <c r="L32" s="22" t="str">
        <f t="shared" si="4"/>
        <v/>
      </c>
      <c r="M32" s="22" t="str">
        <f t="shared" si="6"/>
        <v/>
      </c>
      <c r="N32" s="22" t="str">
        <f t="shared" si="1"/>
        <v/>
      </c>
      <c r="O32" s="22" t="str">
        <f t="shared" si="7"/>
        <v/>
      </c>
    </row>
    <row r="33" spans="11:15" ht="20.100000000000001" customHeight="1">
      <c r="K33" s="27" t="str">
        <f t="shared" si="5"/>
        <v/>
      </c>
      <c r="L33" s="22" t="str">
        <f t="shared" si="4"/>
        <v/>
      </c>
      <c r="M33" s="22" t="str">
        <f t="shared" si="6"/>
        <v/>
      </c>
      <c r="N33" s="22" t="str">
        <f t="shared" si="1"/>
        <v/>
      </c>
      <c r="O33" s="22" t="str">
        <f t="shared" si="7"/>
        <v/>
      </c>
    </row>
    <row r="34" spans="11:15" ht="20.100000000000001" customHeight="1">
      <c r="K34" s="27" t="str">
        <f t="shared" si="5"/>
        <v/>
      </c>
      <c r="L34" s="22" t="str">
        <f t="shared" si="4"/>
        <v/>
      </c>
      <c r="M34" s="22" t="str">
        <f t="shared" si="6"/>
        <v/>
      </c>
      <c r="N34" s="22" t="str">
        <f t="shared" si="1"/>
        <v/>
      </c>
      <c r="O34" s="22" t="str">
        <f t="shared" si="7"/>
        <v/>
      </c>
    </row>
    <row r="35" spans="11:15" ht="20.100000000000001" customHeight="1">
      <c r="K35" s="27" t="str">
        <f t="shared" si="5"/>
        <v/>
      </c>
      <c r="L35" s="22" t="str">
        <f t="shared" si="4"/>
        <v/>
      </c>
      <c r="M35" s="22" t="str">
        <f t="shared" si="6"/>
        <v/>
      </c>
      <c r="N35" s="22" t="str">
        <f t="shared" si="1"/>
        <v/>
      </c>
      <c r="O35" s="22" t="str">
        <f t="shared" si="7"/>
        <v/>
      </c>
    </row>
    <row r="36" spans="11:15" ht="20.100000000000001" customHeight="1">
      <c r="K36" s="27" t="str">
        <f t="shared" si="5"/>
        <v/>
      </c>
      <c r="L36" s="22" t="str">
        <f t="shared" si="4"/>
        <v/>
      </c>
      <c r="M36" s="22" t="str">
        <f t="shared" si="6"/>
        <v/>
      </c>
      <c r="N36" s="22" t="str">
        <f t="shared" si="1"/>
        <v/>
      </c>
      <c r="O36" s="22" t="str">
        <f t="shared" si="7"/>
        <v/>
      </c>
    </row>
    <row r="37" spans="11:15" ht="20.100000000000001" customHeight="1">
      <c r="K37" s="27" t="str">
        <f t="shared" si="5"/>
        <v/>
      </c>
      <c r="L37" s="22" t="str">
        <f t="shared" si="4"/>
        <v/>
      </c>
      <c r="M37" s="22" t="str">
        <f t="shared" si="6"/>
        <v/>
      </c>
      <c r="N37" s="22" t="str">
        <f t="shared" si="1"/>
        <v/>
      </c>
      <c r="O37" s="22" t="str">
        <f t="shared" si="7"/>
        <v/>
      </c>
    </row>
    <row r="38" spans="11:15" ht="20.100000000000001" customHeight="1">
      <c r="K38" s="27" t="str">
        <f t="shared" si="5"/>
        <v/>
      </c>
      <c r="L38" s="22" t="str">
        <f t="shared" si="4"/>
        <v/>
      </c>
      <c r="M38" s="22" t="str">
        <f t="shared" si="6"/>
        <v/>
      </c>
      <c r="N38" s="22" t="str">
        <f t="shared" si="1"/>
        <v/>
      </c>
      <c r="O38" s="22" t="str">
        <f t="shared" si="7"/>
        <v/>
      </c>
    </row>
    <row r="39" spans="11:15" ht="20.100000000000001" customHeight="1">
      <c r="K39" s="27" t="str">
        <f t="shared" si="5"/>
        <v/>
      </c>
      <c r="L39" s="22" t="str">
        <f t="shared" si="4"/>
        <v/>
      </c>
      <c r="M39" s="22" t="str">
        <f t="shared" si="6"/>
        <v/>
      </c>
      <c r="N39" s="22" t="str">
        <f t="shared" si="1"/>
        <v/>
      </c>
      <c r="O39" s="22" t="str">
        <f t="shared" si="7"/>
        <v/>
      </c>
    </row>
    <row r="40" spans="11:15" ht="20.100000000000001" customHeight="1">
      <c r="K40" s="27" t="str">
        <f t="shared" si="5"/>
        <v/>
      </c>
      <c r="L40" s="22" t="str">
        <f t="shared" si="4"/>
        <v/>
      </c>
      <c r="M40" s="22" t="str">
        <f t="shared" si="6"/>
        <v/>
      </c>
      <c r="N40" s="22" t="str">
        <f t="shared" si="1"/>
        <v/>
      </c>
      <c r="O40" s="22" t="str">
        <f t="shared" si="7"/>
        <v/>
      </c>
    </row>
    <row r="41" spans="11:15" ht="20.100000000000001" customHeight="1">
      <c r="K41" s="27" t="str">
        <f t="shared" si="5"/>
        <v/>
      </c>
      <c r="L41" s="22" t="str">
        <f t="shared" si="4"/>
        <v/>
      </c>
      <c r="M41" s="22" t="str">
        <f t="shared" si="6"/>
        <v/>
      </c>
      <c r="N41" s="22" t="str">
        <f t="shared" si="1"/>
        <v/>
      </c>
      <c r="O41" s="22" t="str">
        <f t="shared" si="7"/>
        <v/>
      </c>
    </row>
    <row r="42" spans="11:15" ht="20.100000000000001" customHeight="1">
      <c r="K42" s="27" t="str">
        <f t="shared" si="5"/>
        <v/>
      </c>
      <c r="L42" s="22" t="str">
        <f t="shared" si="4"/>
        <v/>
      </c>
      <c r="M42" s="22" t="str">
        <f t="shared" si="6"/>
        <v/>
      </c>
      <c r="N42" s="22" t="str">
        <f t="shared" si="1"/>
        <v/>
      </c>
      <c r="O42" s="22" t="str">
        <f t="shared" si="7"/>
        <v/>
      </c>
    </row>
    <row r="43" spans="11:15" ht="20.100000000000001" customHeight="1">
      <c r="K43" s="27" t="str">
        <f t="shared" si="5"/>
        <v/>
      </c>
      <c r="L43" s="22" t="str">
        <f t="shared" si="4"/>
        <v/>
      </c>
      <c r="M43" s="22" t="str">
        <f t="shared" si="6"/>
        <v/>
      </c>
      <c r="N43" s="22" t="str">
        <f t="shared" si="1"/>
        <v/>
      </c>
      <c r="O43" s="22" t="str">
        <f t="shared" si="7"/>
        <v/>
      </c>
    </row>
    <row r="44" spans="11:15" ht="20.100000000000001" customHeight="1">
      <c r="K44" s="27" t="str">
        <f t="shared" si="5"/>
        <v/>
      </c>
      <c r="L44" s="22" t="str">
        <f t="shared" si="4"/>
        <v/>
      </c>
      <c r="M44" s="22" t="str">
        <f t="shared" si="6"/>
        <v/>
      </c>
      <c r="N44" s="22" t="str">
        <f t="shared" si="1"/>
        <v/>
      </c>
      <c r="O44" s="22" t="str">
        <f t="shared" si="7"/>
        <v/>
      </c>
    </row>
    <row r="45" spans="11:15" ht="20.100000000000001" customHeight="1">
      <c r="K45" s="27" t="str">
        <f t="shared" si="5"/>
        <v/>
      </c>
      <c r="L45" s="22" t="str">
        <f t="shared" si="4"/>
        <v/>
      </c>
      <c r="M45" s="22" t="str">
        <f t="shared" si="6"/>
        <v/>
      </c>
      <c r="N45" s="22" t="str">
        <f t="shared" si="1"/>
        <v/>
      </c>
      <c r="O45" s="22" t="str">
        <f t="shared" si="7"/>
        <v/>
      </c>
    </row>
    <row r="46" spans="11:15" ht="20.100000000000001" customHeight="1">
      <c r="K46" s="27" t="str">
        <f t="shared" si="5"/>
        <v/>
      </c>
      <c r="L46" s="22" t="str">
        <f t="shared" si="4"/>
        <v/>
      </c>
      <c r="M46" s="22" t="str">
        <f t="shared" si="6"/>
        <v/>
      </c>
      <c r="N46" s="22" t="str">
        <f t="shared" si="1"/>
        <v/>
      </c>
      <c r="O46" s="22" t="str">
        <f t="shared" si="7"/>
        <v/>
      </c>
    </row>
    <row r="47" spans="11:15" ht="20.100000000000001" customHeight="1">
      <c r="K47" s="27" t="str">
        <f t="shared" si="5"/>
        <v/>
      </c>
      <c r="L47" s="22" t="str">
        <f t="shared" si="4"/>
        <v/>
      </c>
      <c r="M47" s="22" t="str">
        <f t="shared" si="6"/>
        <v/>
      </c>
      <c r="N47" s="22" t="str">
        <f t="shared" si="1"/>
        <v/>
      </c>
      <c r="O47" s="22" t="str">
        <f t="shared" si="7"/>
        <v/>
      </c>
    </row>
    <row r="48" spans="11:15" ht="20.100000000000001" customHeight="1">
      <c r="K48" s="27" t="str">
        <f t="shared" si="5"/>
        <v/>
      </c>
      <c r="L48" s="22" t="str">
        <f t="shared" si="4"/>
        <v/>
      </c>
      <c r="M48" s="22" t="str">
        <f t="shared" si="6"/>
        <v/>
      </c>
      <c r="N48" s="22" t="str">
        <f t="shared" si="1"/>
        <v/>
      </c>
      <c r="O48" s="22" t="str">
        <f t="shared" si="7"/>
        <v/>
      </c>
    </row>
    <row r="49" spans="11:15" ht="20.100000000000001" customHeight="1">
      <c r="K49" s="27" t="str">
        <f t="shared" si="5"/>
        <v/>
      </c>
      <c r="L49" s="22" t="str">
        <f t="shared" si="4"/>
        <v/>
      </c>
      <c r="M49" s="22" t="str">
        <f t="shared" si="6"/>
        <v/>
      </c>
      <c r="N49" s="22" t="str">
        <f t="shared" si="1"/>
        <v/>
      </c>
      <c r="O49" s="22" t="str">
        <f t="shared" si="7"/>
        <v/>
      </c>
    </row>
    <row r="50" spans="11:15" ht="20.100000000000001" customHeight="1">
      <c r="K50" s="27" t="str">
        <f t="shared" si="5"/>
        <v/>
      </c>
      <c r="L50" s="22" t="str">
        <f t="shared" si="4"/>
        <v/>
      </c>
      <c r="M50" s="22" t="str">
        <f t="shared" si="6"/>
        <v/>
      </c>
      <c r="N50" s="22" t="str">
        <f t="shared" si="1"/>
        <v/>
      </c>
      <c r="O50" s="22" t="str">
        <f t="shared" si="7"/>
        <v/>
      </c>
    </row>
    <row r="51" spans="11:15" ht="20.100000000000001" customHeight="1">
      <c r="K51" s="27" t="str">
        <f t="shared" si="5"/>
        <v/>
      </c>
      <c r="L51" s="22" t="str">
        <f t="shared" si="4"/>
        <v/>
      </c>
      <c r="M51" s="22" t="str">
        <f t="shared" si="6"/>
        <v/>
      </c>
      <c r="N51" s="22" t="str">
        <f t="shared" si="1"/>
        <v/>
      </c>
      <c r="O51" s="22" t="str">
        <f t="shared" si="7"/>
        <v/>
      </c>
    </row>
    <row r="52" spans="11:15" ht="20.100000000000001" customHeight="1">
      <c r="K52" s="27" t="str">
        <f t="shared" si="5"/>
        <v/>
      </c>
      <c r="L52" s="22" t="str">
        <f t="shared" si="4"/>
        <v/>
      </c>
      <c r="M52" s="22" t="str">
        <f t="shared" si="6"/>
        <v/>
      </c>
      <c r="N52" s="22" t="str">
        <f t="shared" si="1"/>
        <v/>
      </c>
      <c r="O52" s="22" t="str">
        <f t="shared" si="7"/>
        <v/>
      </c>
    </row>
    <row r="53" spans="11:15" ht="20.100000000000001" customHeight="1">
      <c r="K53" s="27" t="str">
        <f t="shared" si="5"/>
        <v/>
      </c>
      <c r="L53" s="22" t="str">
        <f t="shared" si="4"/>
        <v/>
      </c>
      <c r="M53" s="22" t="str">
        <f t="shared" si="6"/>
        <v/>
      </c>
      <c r="N53" s="22" t="str">
        <f t="shared" si="1"/>
        <v/>
      </c>
      <c r="O53" s="22" t="str">
        <f t="shared" si="7"/>
        <v/>
      </c>
    </row>
    <row r="54" spans="11:15" ht="20.100000000000001" customHeight="1">
      <c r="K54" s="27" t="str">
        <f t="shared" si="5"/>
        <v/>
      </c>
      <c r="L54" s="22" t="str">
        <f t="shared" si="4"/>
        <v/>
      </c>
      <c r="M54" s="22" t="str">
        <f t="shared" si="6"/>
        <v/>
      </c>
      <c r="N54" s="22" t="str">
        <f t="shared" si="1"/>
        <v/>
      </c>
      <c r="O54" s="22" t="str">
        <f t="shared" si="7"/>
        <v/>
      </c>
    </row>
    <row r="55" spans="11:15" ht="20.100000000000001" customHeight="1">
      <c r="K55" s="27" t="str">
        <f t="shared" si="5"/>
        <v/>
      </c>
      <c r="L55" s="22" t="str">
        <f t="shared" si="4"/>
        <v/>
      </c>
      <c r="M55" s="22" t="str">
        <f t="shared" si="6"/>
        <v/>
      </c>
      <c r="N55" s="22" t="str">
        <f t="shared" si="1"/>
        <v/>
      </c>
      <c r="O55" s="22" t="str">
        <f t="shared" si="7"/>
        <v/>
      </c>
    </row>
    <row r="56" spans="11:15" ht="20.100000000000001" customHeight="1">
      <c r="K56" s="27" t="str">
        <f t="shared" si="5"/>
        <v/>
      </c>
      <c r="L56" s="22" t="str">
        <f t="shared" si="4"/>
        <v/>
      </c>
      <c r="M56" s="22" t="str">
        <f t="shared" si="6"/>
        <v/>
      </c>
      <c r="N56" s="22" t="str">
        <f t="shared" si="1"/>
        <v/>
      </c>
      <c r="O56" s="22" t="str">
        <f t="shared" si="7"/>
        <v/>
      </c>
    </row>
    <row r="57" spans="11:15" ht="20.100000000000001" customHeight="1">
      <c r="K57" s="27" t="str">
        <f t="shared" si="5"/>
        <v/>
      </c>
      <c r="L57" s="22" t="str">
        <f t="shared" si="4"/>
        <v/>
      </c>
      <c r="M57" s="22" t="str">
        <f t="shared" si="6"/>
        <v/>
      </c>
      <c r="N57" s="22" t="str">
        <f t="shared" si="1"/>
        <v/>
      </c>
      <c r="O57" s="22" t="str">
        <f t="shared" si="7"/>
        <v/>
      </c>
    </row>
    <row r="58" spans="11:15" ht="20.100000000000001" customHeight="1">
      <c r="K58" s="27" t="str">
        <f t="shared" si="5"/>
        <v/>
      </c>
      <c r="L58" s="22" t="str">
        <f t="shared" si="4"/>
        <v/>
      </c>
      <c r="M58" s="22" t="str">
        <f t="shared" si="6"/>
        <v/>
      </c>
      <c r="N58" s="22" t="str">
        <f t="shared" si="1"/>
        <v/>
      </c>
      <c r="O58" s="22" t="str">
        <f t="shared" si="7"/>
        <v/>
      </c>
    </row>
    <row r="59" spans="11:15" ht="20.100000000000001" customHeight="1">
      <c r="K59" s="27" t="str">
        <f t="shared" si="5"/>
        <v/>
      </c>
      <c r="L59" s="22" t="str">
        <f t="shared" si="4"/>
        <v/>
      </c>
      <c r="M59" s="22" t="str">
        <f t="shared" si="6"/>
        <v/>
      </c>
      <c r="N59" s="22" t="str">
        <f t="shared" si="1"/>
        <v/>
      </c>
      <c r="O59" s="22" t="str">
        <f t="shared" si="7"/>
        <v/>
      </c>
    </row>
    <row r="60" spans="11:15" ht="20.100000000000001" customHeight="1">
      <c r="K60" s="27" t="str">
        <f t="shared" si="5"/>
        <v/>
      </c>
      <c r="L60" s="22" t="str">
        <f t="shared" si="4"/>
        <v/>
      </c>
      <c r="M60" s="22" t="str">
        <f t="shared" si="6"/>
        <v/>
      </c>
      <c r="N60" s="22" t="str">
        <f t="shared" si="1"/>
        <v/>
      </c>
      <c r="O60" s="22" t="str">
        <f t="shared" si="7"/>
        <v/>
      </c>
    </row>
    <row r="61" spans="11:15" ht="20.100000000000001" customHeight="1">
      <c r="K61" s="27" t="str">
        <f t="shared" si="5"/>
        <v/>
      </c>
      <c r="L61" s="22" t="str">
        <f t="shared" si="4"/>
        <v/>
      </c>
      <c r="M61" s="22" t="str">
        <f t="shared" si="6"/>
        <v/>
      </c>
      <c r="N61" s="22" t="str">
        <f t="shared" si="1"/>
        <v/>
      </c>
      <c r="O61" s="22" t="str">
        <f t="shared" si="7"/>
        <v/>
      </c>
    </row>
    <row r="62" spans="11:15" ht="20.100000000000001" customHeight="1">
      <c r="K62" s="27" t="str">
        <f t="shared" si="5"/>
        <v/>
      </c>
      <c r="L62" s="22" t="str">
        <f t="shared" si="4"/>
        <v/>
      </c>
      <c r="M62" s="22" t="str">
        <f t="shared" si="6"/>
        <v/>
      </c>
      <c r="N62" s="22" t="str">
        <f t="shared" si="1"/>
        <v/>
      </c>
      <c r="O62" s="22" t="str">
        <f t="shared" si="7"/>
        <v/>
      </c>
    </row>
    <row r="63" spans="11:15" ht="20.100000000000001" customHeight="1">
      <c r="K63" s="27" t="str">
        <f t="shared" si="5"/>
        <v/>
      </c>
      <c r="L63" s="22" t="str">
        <f t="shared" si="4"/>
        <v/>
      </c>
      <c r="M63" s="22" t="str">
        <f t="shared" si="6"/>
        <v/>
      </c>
      <c r="N63" s="22" t="str">
        <f t="shared" si="1"/>
        <v/>
      </c>
      <c r="O63" s="22" t="str">
        <f t="shared" si="7"/>
        <v/>
      </c>
    </row>
    <row r="64" spans="11:15" ht="20.100000000000001" customHeight="1">
      <c r="K64" s="27" t="str">
        <f t="shared" si="5"/>
        <v/>
      </c>
      <c r="L64" s="22" t="str">
        <f t="shared" si="4"/>
        <v/>
      </c>
      <c r="M64" s="22" t="str">
        <f t="shared" si="6"/>
        <v/>
      </c>
      <c r="N64" s="22" t="str">
        <f t="shared" si="1"/>
        <v/>
      </c>
      <c r="O64" s="22" t="str">
        <f t="shared" si="7"/>
        <v/>
      </c>
    </row>
    <row r="65" spans="11:15" ht="20.100000000000001" customHeight="1">
      <c r="K65" s="27" t="str">
        <f t="shared" si="5"/>
        <v/>
      </c>
      <c r="L65" s="22" t="str">
        <f t="shared" si="4"/>
        <v/>
      </c>
      <c r="M65" s="22" t="str">
        <f t="shared" si="6"/>
        <v/>
      </c>
      <c r="N65" s="22" t="str">
        <f t="shared" si="1"/>
        <v/>
      </c>
      <c r="O65" s="22" t="str">
        <f t="shared" si="7"/>
        <v/>
      </c>
    </row>
    <row r="66" spans="11:15" ht="20.100000000000001" customHeight="1">
      <c r="K66" s="27" t="str">
        <f t="shared" si="5"/>
        <v/>
      </c>
      <c r="L66" s="22" t="str">
        <f t="shared" si="4"/>
        <v/>
      </c>
      <c r="M66" s="22" t="str">
        <f t="shared" si="6"/>
        <v/>
      </c>
      <c r="N66" s="22" t="str">
        <f t="shared" si="1"/>
        <v/>
      </c>
      <c r="O66" s="22" t="str">
        <f t="shared" si="7"/>
        <v/>
      </c>
    </row>
    <row r="67" spans="11:15" ht="20.100000000000001" customHeight="1">
      <c r="K67" s="27" t="str">
        <f t="shared" si="5"/>
        <v/>
      </c>
      <c r="L67" s="22" t="str">
        <f t="shared" si="4"/>
        <v/>
      </c>
      <c r="M67" s="22" t="str">
        <f t="shared" si="6"/>
        <v/>
      </c>
      <c r="N67" s="22" t="str">
        <f t="shared" si="1"/>
        <v/>
      </c>
      <c r="O67" s="22" t="str">
        <f t="shared" si="7"/>
        <v/>
      </c>
    </row>
    <row r="68" spans="11:15" ht="20.100000000000001" customHeight="1">
      <c r="K68" s="27" t="str">
        <f t="shared" si="5"/>
        <v/>
      </c>
      <c r="L68" s="22" t="str">
        <f t="shared" si="4"/>
        <v/>
      </c>
      <c r="M68" s="22" t="str">
        <f t="shared" si="6"/>
        <v/>
      </c>
      <c r="N68" s="22" t="str">
        <f t="shared" si="1"/>
        <v/>
      </c>
      <c r="O68" s="22" t="str">
        <f t="shared" si="7"/>
        <v/>
      </c>
    </row>
    <row r="69" spans="11:15" ht="20.100000000000001" customHeight="1">
      <c r="K69" s="27" t="str">
        <f t="shared" si="5"/>
        <v/>
      </c>
      <c r="L69" s="22" t="str">
        <f t="shared" si="4"/>
        <v/>
      </c>
      <c r="M69" s="22" t="str">
        <f t="shared" si="6"/>
        <v/>
      </c>
      <c r="N69" s="22" t="str">
        <f t="shared" si="1"/>
        <v/>
      </c>
      <c r="O69" s="22" t="str">
        <f t="shared" si="7"/>
        <v/>
      </c>
    </row>
    <row r="70" spans="11:15" ht="20.100000000000001" customHeight="1">
      <c r="K70" s="27" t="str">
        <f t="shared" si="5"/>
        <v/>
      </c>
      <c r="L70" s="22" t="str">
        <f t="shared" si="4"/>
        <v/>
      </c>
      <c r="M70" s="22" t="str">
        <f t="shared" si="6"/>
        <v/>
      </c>
      <c r="N70" s="22" t="str">
        <f t="shared" ref="N70:N133" si="8">IF(K70="","",IF(K70=0,0,(L70*$S$9)))</f>
        <v/>
      </c>
      <c r="O70" s="22" t="str">
        <f t="shared" si="7"/>
        <v/>
      </c>
    </row>
    <row r="71" spans="11:15" ht="20.100000000000001" customHeight="1">
      <c r="K71" s="27" t="str">
        <f t="shared" si="5"/>
        <v/>
      </c>
      <c r="L71" s="22" t="str">
        <f t="shared" ref="L71:L134" si="9">IF(K71="","",O70)</f>
        <v/>
      </c>
      <c r="M71" s="22" t="str">
        <f t="shared" si="6"/>
        <v/>
      </c>
      <c r="N71" s="22" t="str">
        <f t="shared" si="8"/>
        <v/>
      </c>
      <c r="O71" s="22" t="str">
        <f t="shared" si="7"/>
        <v/>
      </c>
    </row>
    <row r="72" spans="11:15" ht="20.100000000000001" customHeight="1">
      <c r="K72" s="27" t="str">
        <f t="shared" si="5"/>
        <v/>
      </c>
      <c r="L72" s="22" t="str">
        <f t="shared" si="9"/>
        <v/>
      </c>
      <c r="M72" s="22" t="str">
        <f t="shared" si="6"/>
        <v/>
      </c>
      <c r="N72" s="22" t="str">
        <f t="shared" si="8"/>
        <v/>
      </c>
      <c r="O72" s="22" t="str">
        <f t="shared" si="7"/>
        <v/>
      </c>
    </row>
    <row r="73" spans="11:15" ht="20.100000000000001" customHeight="1">
      <c r="K73" s="27" t="str">
        <f t="shared" ref="K73:K136" si="10">IF(K72&gt;=$S$7,"",K72+1)</f>
        <v/>
      </c>
      <c r="L73" s="22" t="str">
        <f t="shared" si="9"/>
        <v/>
      </c>
      <c r="M73" s="22" t="str">
        <f t="shared" si="6"/>
        <v/>
      </c>
      <c r="N73" s="22" t="str">
        <f t="shared" si="8"/>
        <v/>
      </c>
      <c r="O73" s="22" t="str">
        <f t="shared" si="7"/>
        <v/>
      </c>
    </row>
    <row r="74" spans="11:15" ht="20.100000000000001" customHeight="1">
      <c r="K74" s="27" t="str">
        <f t="shared" si="10"/>
        <v/>
      </c>
      <c r="L74" s="22" t="str">
        <f t="shared" si="9"/>
        <v/>
      </c>
      <c r="M74" s="22" t="str">
        <f t="shared" si="6"/>
        <v/>
      </c>
      <c r="N74" s="22" t="str">
        <f t="shared" si="8"/>
        <v/>
      </c>
      <c r="O74" s="22" t="str">
        <f t="shared" si="7"/>
        <v/>
      </c>
    </row>
    <row r="75" spans="11:15" ht="20.100000000000001" customHeight="1">
      <c r="K75" s="27" t="str">
        <f t="shared" si="10"/>
        <v/>
      </c>
      <c r="L75" s="22" t="str">
        <f t="shared" si="9"/>
        <v/>
      </c>
      <c r="M75" s="22" t="str">
        <f t="shared" si="6"/>
        <v/>
      </c>
      <c r="N75" s="22" t="str">
        <f t="shared" si="8"/>
        <v/>
      </c>
      <c r="O75" s="22" t="str">
        <f t="shared" si="7"/>
        <v/>
      </c>
    </row>
    <row r="76" spans="11:15" ht="20.100000000000001" customHeight="1">
      <c r="K76" s="27" t="str">
        <f t="shared" si="10"/>
        <v/>
      </c>
      <c r="L76" s="22" t="str">
        <f t="shared" si="9"/>
        <v/>
      </c>
      <c r="M76" s="22" t="str">
        <f t="shared" si="6"/>
        <v/>
      </c>
      <c r="N76" s="22" t="str">
        <f t="shared" si="8"/>
        <v/>
      </c>
      <c r="O76" s="22" t="str">
        <f t="shared" si="7"/>
        <v/>
      </c>
    </row>
    <row r="77" spans="11:15" ht="20.100000000000001" customHeight="1">
      <c r="K77" s="27" t="str">
        <f t="shared" si="10"/>
        <v/>
      </c>
      <c r="L77" s="22" t="str">
        <f t="shared" si="9"/>
        <v/>
      </c>
      <c r="M77" s="22" t="str">
        <f t="shared" si="6"/>
        <v/>
      </c>
      <c r="N77" s="22" t="str">
        <f t="shared" si="8"/>
        <v/>
      </c>
      <c r="O77" s="22" t="str">
        <f t="shared" si="7"/>
        <v/>
      </c>
    </row>
    <row r="78" spans="11:15" ht="20.100000000000001" customHeight="1">
      <c r="K78" s="27" t="str">
        <f t="shared" si="10"/>
        <v/>
      </c>
      <c r="L78" s="22" t="str">
        <f t="shared" si="9"/>
        <v/>
      </c>
      <c r="M78" s="22" t="str">
        <f t="shared" si="6"/>
        <v/>
      </c>
      <c r="N78" s="22" t="str">
        <f t="shared" si="8"/>
        <v/>
      </c>
      <c r="O78" s="22" t="str">
        <f t="shared" si="7"/>
        <v/>
      </c>
    </row>
    <row r="79" spans="11:15" ht="20.100000000000001" customHeight="1">
      <c r="K79" s="27" t="str">
        <f t="shared" si="10"/>
        <v/>
      </c>
      <c r="L79" s="22" t="str">
        <f t="shared" si="9"/>
        <v/>
      </c>
      <c r="M79" s="22" t="str">
        <f t="shared" si="6"/>
        <v/>
      </c>
      <c r="N79" s="22" t="str">
        <f t="shared" si="8"/>
        <v/>
      </c>
      <c r="O79" s="22" t="str">
        <f t="shared" si="7"/>
        <v/>
      </c>
    </row>
    <row r="80" spans="11:15" ht="20.100000000000001" customHeight="1">
      <c r="K80" s="27" t="str">
        <f t="shared" si="10"/>
        <v/>
      </c>
      <c r="L80" s="22" t="str">
        <f t="shared" si="9"/>
        <v/>
      </c>
      <c r="M80" s="22" t="str">
        <f t="shared" si="6"/>
        <v/>
      </c>
      <c r="N80" s="22" t="str">
        <f t="shared" si="8"/>
        <v/>
      </c>
      <c r="O80" s="22" t="str">
        <f t="shared" si="7"/>
        <v/>
      </c>
    </row>
    <row r="81" spans="11:15" ht="20.100000000000001" customHeight="1">
      <c r="K81" s="27" t="str">
        <f t="shared" si="10"/>
        <v/>
      </c>
      <c r="L81" s="22" t="str">
        <f t="shared" si="9"/>
        <v/>
      </c>
      <c r="M81" s="22" t="str">
        <f t="shared" si="6"/>
        <v/>
      </c>
      <c r="N81" s="22" t="str">
        <f t="shared" si="8"/>
        <v/>
      </c>
      <c r="O81" s="22" t="str">
        <f t="shared" si="7"/>
        <v/>
      </c>
    </row>
    <row r="82" spans="11:15" ht="20.100000000000001" customHeight="1">
      <c r="K82" s="27" t="str">
        <f t="shared" si="10"/>
        <v/>
      </c>
      <c r="L82" s="22" t="str">
        <f t="shared" si="9"/>
        <v/>
      </c>
      <c r="M82" s="22" t="str">
        <f t="shared" si="6"/>
        <v/>
      </c>
      <c r="N82" s="22" t="str">
        <f t="shared" si="8"/>
        <v/>
      </c>
      <c r="O82" s="22" t="str">
        <f t="shared" si="7"/>
        <v/>
      </c>
    </row>
    <row r="83" spans="11:15" ht="20.100000000000001" customHeight="1">
      <c r="K83" s="27" t="str">
        <f t="shared" si="10"/>
        <v/>
      </c>
      <c r="L83" s="22" t="str">
        <f t="shared" si="9"/>
        <v/>
      </c>
      <c r="M83" s="22" t="str">
        <f t="shared" si="6"/>
        <v/>
      </c>
      <c r="N83" s="22" t="str">
        <f t="shared" si="8"/>
        <v/>
      </c>
      <c r="O83" s="22" t="str">
        <f t="shared" si="7"/>
        <v/>
      </c>
    </row>
    <row r="84" spans="11:15" ht="20.100000000000001" customHeight="1">
      <c r="K84" s="27" t="str">
        <f t="shared" si="10"/>
        <v/>
      </c>
      <c r="L84" s="22" t="str">
        <f t="shared" si="9"/>
        <v/>
      </c>
      <c r="M84" s="22" t="str">
        <f t="shared" si="6"/>
        <v/>
      </c>
      <c r="N84" s="22" t="str">
        <f t="shared" si="8"/>
        <v/>
      </c>
      <c r="O84" s="22" t="str">
        <f t="shared" si="7"/>
        <v/>
      </c>
    </row>
    <row r="85" spans="11:15" ht="20.100000000000001" customHeight="1">
      <c r="K85" s="27" t="str">
        <f t="shared" si="10"/>
        <v/>
      </c>
      <c r="L85" s="22" t="str">
        <f t="shared" si="9"/>
        <v/>
      </c>
      <c r="M85" s="22" t="str">
        <f t="shared" si="6"/>
        <v/>
      </c>
      <c r="N85" s="22" t="str">
        <f t="shared" si="8"/>
        <v/>
      </c>
      <c r="O85" s="22" t="str">
        <f t="shared" si="7"/>
        <v/>
      </c>
    </row>
    <row r="86" spans="11:15" ht="20.100000000000001" customHeight="1">
      <c r="K86" s="27" t="str">
        <f t="shared" si="10"/>
        <v/>
      </c>
      <c r="L86" s="22" t="str">
        <f t="shared" si="9"/>
        <v/>
      </c>
      <c r="M86" s="22" t="str">
        <f t="shared" si="6"/>
        <v/>
      </c>
      <c r="N86" s="22" t="str">
        <f t="shared" si="8"/>
        <v/>
      </c>
      <c r="O86" s="22" t="str">
        <f t="shared" si="7"/>
        <v/>
      </c>
    </row>
    <row r="87" spans="11:15" ht="20.100000000000001" customHeight="1">
      <c r="K87" s="27" t="str">
        <f t="shared" si="10"/>
        <v/>
      </c>
      <c r="L87" s="22" t="str">
        <f t="shared" si="9"/>
        <v/>
      </c>
      <c r="M87" s="22" t="str">
        <f t="shared" si="6"/>
        <v/>
      </c>
      <c r="N87" s="22" t="str">
        <f t="shared" si="8"/>
        <v/>
      </c>
      <c r="O87" s="22" t="str">
        <f t="shared" si="7"/>
        <v/>
      </c>
    </row>
    <row r="88" spans="11:15" ht="20.100000000000001" customHeight="1">
      <c r="K88" s="27" t="str">
        <f t="shared" si="10"/>
        <v/>
      </c>
      <c r="L88" s="22" t="str">
        <f t="shared" si="9"/>
        <v/>
      </c>
      <c r="M88" s="22" t="str">
        <f t="shared" si="6"/>
        <v/>
      </c>
      <c r="N88" s="22" t="str">
        <f t="shared" si="8"/>
        <v/>
      </c>
      <c r="O88" s="22" t="str">
        <f t="shared" si="7"/>
        <v/>
      </c>
    </row>
    <row r="89" spans="11:15" ht="20.100000000000001" customHeight="1">
      <c r="K89" s="27" t="str">
        <f t="shared" si="10"/>
        <v/>
      </c>
      <c r="L89" s="22" t="str">
        <f t="shared" si="9"/>
        <v/>
      </c>
      <c r="M89" s="22" t="str">
        <f t="shared" si="6"/>
        <v/>
      </c>
      <c r="N89" s="22" t="str">
        <f t="shared" si="8"/>
        <v/>
      </c>
      <c r="O89" s="22" t="str">
        <f t="shared" si="7"/>
        <v/>
      </c>
    </row>
    <row r="90" spans="11:15" ht="20.100000000000001" customHeight="1">
      <c r="K90" s="27" t="str">
        <f t="shared" si="10"/>
        <v/>
      </c>
      <c r="L90" s="22" t="str">
        <f t="shared" si="9"/>
        <v/>
      </c>
      <c r="M90" s="22" t="str">
        <f t="shared" ref="M90:M153" si="11">IF(K90=0,0,IF(K90="","",$S$6))</f>
        <v/>
      </c>
      <c r="N90" s="22" t="str">
        <f t="shared" si="8"/>
        <v/>
      </c>
      <c r="O90" s="22" t="str">
        <f t="shared" ref="O90:O153" si="12">IF(K90="","",SUM(L90:N90))</f>
        <v/>
      </c>
    </row>
    <row r="91" spans="11:15" ht="20.100000000000001" customHeight="1">
      <c r="K91" s="27" t="str">
        <f t="shared" si="10"/>
        <v/>
      </c>
      <c r="L91" s="22" t="str">
        <f t="shared" si="9"/>
        <v/>
      </c>
      <c r="M91" s="22" t="str">
        <f t="shared" si="11"/>
        <v/>
      </c>
      <c r="N91" s="22" t="str">
        <f t="shared" si="8"/>
        <v/>
      </c>
      <c r="O91" s="22" t="str">
        <f t="shared" si="12"/>
        <v/>
      </c>
    </row>
    <row r="92" spans="11:15" ht="20.100000000000001" customHeight="1">
      <c r="K92" s="27" t="str">
        <f t="shared" si="10"/>
        <v/>
      </c>
      <c r="L92" s="22" t="str">
        <f t="shared" si="9"/>
        <v/>
      </c>
      <c r="M92" s="22" t="str">
        <f t="shared" si="11"/>
        <v/>
      </c>
      <c r="N92" s="22" t="str">
        <f t="shared" si="8"/>
        <v/>
      </c>
      <c r="O92" s="22" t="str">
        <f t="shared" si="12"/>
        <v/>
      </c>
    </row>
    <row r="93" spans="11:15" ht="20.100000000000001" customHeight="1">
      <c r="K93" s="27" t="str">
        <f t="shared" si="10"/>
        <v/>
      </c>
      <c r="L93" s="22" t="str">
        <f t="shared" si="9"/>
        <v/>
      </c>
      <c r="M93" s="22" t="str">
        <f t="shared" si="11"/>
        <v/>
      </c>
      <c r="N93" s="22" t="str">
        <f t="shared" si="8"/>
        <v/>
      </c>
      <c r="O93" s="22" t="str">
        <f t="shared" si="12"/>
        <v/>
      </c>
    </row>
    <row r="94" spans="11:15" ht="20.100000000000001" customHeight="1">
      <c r="K94" s="27" t="str">
        <f t="shared" si="10"/>
        <v/>
      </c>
      <c r="L94" s="22" t="str">
        <f t="shared" si="9"/>
        <v/>
      </c>
      <c r="M94" s="22" t="str">
        <f t="shared" si="11"/>
        <v/>
      </c>
      <c r="N94" s="22" t="str">
        <f t="shared" si="8"/>
        <v/>
      </c>
      <c r="O94" s="22" t="str">
        <f t="shared" si="12"/>
        <v/>
      </c>
    </row>
    <row r="95" spans="11:15" ht="20.100000000000001" customHeight="1">
      <c r="K95" s="27" t="str">
        <f t="shared" si="10"/>
        <v/>
      </c>
      <c r="L95" s="22" t="str">
        <f t="shared" si="9"/>
        <v/>
      </c>
      <c r="M95" s="22" t="str">
        <f t="shared" si="11"/>
        <v/>
      </c>
      <c r="N95" s="22" t="str">
        <f t="shared" si="8"/>
        <v/>
      </c>
      <c r="O95" s="22" t="str">
        <f t="shared" si="12"/>
        <v/>
      </c>
    </row>
    <row r="96" spans="11:15" ht="20.100000000000001" customHeight="1">
      <c r="K96" s="27" t="str">
        <f t="shared" si="10"/>
        <v/>
      </c>
      <c r="L96" s="22" t="str">
        <f t="shared" si="9"/>
        <v/>
      </c>
      <c r="M96" s="22" t="str">
        <f t="shared" si="11"/>
        <v/>
      </c>
      <c r="N96" s="22" t="str">
        <f t="shared" si="8"/>
        <v/>
      </c>
      <c r="O96" s="22" t="str">
        <f t="shared" si="12"/>
        <v/>
      </c>
    </row>
    <row r="97" spans="11:15" ht="20.100000000000001" customHeight="1">
      <c r="K97" s="27" t="str">
        <f t="shared" si="10"/>
        <v/>
      </c>
      <c r="L97" s="22" t="str">
        <f t="shared" si="9"/>
        <v/>
      </c>
      <c r="M97" s="22" t="str">
        <f t="shared" si="11"/>
        <v/>
      </c>
      <c r="N97" s="22" t="str">
        <f t="shared" si="8"/>
        <v/>
      </c>
      <c r="O97" s="22" t="str">
        <f t="shared" si="12"/>
        <v/>
      </c>
    </row>
    <row r="98" spans="11:15" ht="20.100000000000001" customHeight="1">
      <c r="K98" s="27" t="str">
        <f t="shared" si="10"/>
        <v/>
      </c>
      <c r="L98" s="22" t="str">
        <f t="shared" si="9"/>
        <v/>
      </c>
      <c r="M98" s="22" t="str">
        <f t="shared" si="11"/>
        <v/>
      </c>
      <c r="N98" s="22" t="str">
        <f t="shared" si="8"/>
        <v/>
      </c>
      <c r="O98" s="22" t="str">
        <f t="shared" si="12"/>
        <v/>
      </c>
    </row>
    <row r="99" spans="11:15" ht="20.100000000000001" customHeight="1">
      <c r="K99" s="27" t="str">
        <f t="shared" si="10"/>
        <v/>
      </c>
      <c r="L99" s="22" t="str">
        <f t="shared" si="9"/>
        <v/>
      </c>
      <c r="M99" s="22" t="str">
        <f t="shared" si="11"/>
        <v/>
      </c>
      <c r="N99" s="22" t="str">
        <f t="shared" si="8"/>
        <v/>
      </c>
      <c r="O99" s="22" t="str">
        <f t="shared" si="12"/>
        <v/>
      </c>
    </row>
    <row r="100" spans="11:15" ht="20.100000000000001" customHeight="1">
      <c r="K100" s="27" t="str">
        <f t="shared" si="10"/>
        <v/>
      </c>
      <c r="L100" s="22" t="str">
        <f t="shared" si="9"/>
        <v/>
      </c>
      <c r="M100" s="22" t="str">
        <f t="shared" si="11"/>
        <v/>
      </c>
      <c r="N100" s="22" t="str">
        <f t="shared" si="8"/>
        <v/>
      </c>
      <c r="O100" s="22" t="str">
        <f t="shared" si="12"/>
        <v/>
      </c>
    </row>
    <row r="101" spans="11:15" ht="20.100000000000001" customHeight="1">
      <c r="K101" s="27" t="str">
        <f t="shared" si="10"/>
        <v/>
      </c>
      <c r="L101" s="22" t="str">
        <f t="shared" si="9"/>
        <v/>
      </c>
      <c r="M101" s="22" t="str">
        <f t="shared" si="11"/>
        <v/>
      </c>
      <c r="N101" s="22" t="str">
        <f t="shared" si="8"/>
        <v/>
      </c>
      <c r="O101" s="22" t="str">
        <f t="shared" si="12"/>
        <v/>
      </c>
    </row>
    <row r="102" spans="11:15" ht="20.100000000000001" customHeight="1">
      <c r="K102" s="27" t="str">
        <f t="shared" si="10"/>
        <v/>
      </c>
      <c r="L102" s="22" t="str">
        <f t="shared" si="9"/>
        <v/>
      </c>
      <c r="M102" s="22" t="str">
        <f t="shared" si="11"/>
        <v/>
      </c>
      <c r="N102" s="22" t="str">
        <f t="shared" si="8"/>
        <v/>
      </c>
      <c r="O102" s="22" t="str">
        <f t="shared" si="12"/>
        <v/>
      </c>
    </row>
    <row r="103" spans="11:15" ht="20.100000000000001" customHeight="1">
      <c r="K103" s="27" t="str">
        <f t="shared" si="10"/>
        <v/>
      </c>
      <c r="L103" s="22" t="str">
        <f t="shared" si="9"/>
        <v/>
      </c>
      <c r="M103" s="22" t="str">
        <f t="shared" si="11"/>
        <v/>
      </c>
      <c r="N103" s="22" t="str">
        <f t="shared" si="8"/>
        <v/>
      </c>
      <c r="O103" s="22" t="str">
        <f t="shared" si="12"/>
        <v/>
      </c>
    </row>
    <row r="104" spans="11:15" ht="20.100000000000001" customHeight="1">
      <c r="K104" s="27" t="str">
        <f t="shared" si="10"/>
        <v/>
      </c>
      <c r="L104" s="22" t="str">
        <f t="shared" si="9"/>
        <v/>
      </c>
      <c r="M104" s="22" t="str">
        <f t="shared" si="11"/>
        <v/>
      </c>
      <c r="N104" s="22" t="str">
        <f t="shared" si="8"/>
        <v/>
      </c>
      <c r="O104" s="22" t="str">
        <f t="shared" si="12"/>
        <v/>
      </c>
    </row>
    <row r="105" spans="11:15" ht="20.100000000000001" customHeight="1">
      <c r="K105" s="27" t="str">
        <f t="shared" si="10"/>
        <v/>
      </c>
      <c r="L105" s="22" t="str">
        <f t="shared" si="9"/>
        <v/>
      </c>
      <c r="M105" s="22" t="str">
        <f t="shared" si="11"/>
        <v/>
      </c>
      <c r="N105" s="22" t="str">
        <f t="shared" si="8"/>
        <v/>
      </c>
      <c r="O105" s="22" t="str">
        <f t="shared" si="12"/>
        <v/>
      </c>
    </row>
    <row r="106" spans="11:15" ht="20.100000000000001" customHeight="1">
      <c r="K106" s="27" t="str">
        <f t="shared" si="10"/>
        <v/>
      </c>
      <c r="L106" s="22" t="str">
        <f t="shared" si="9"/>
        <v/>
      </c>
      <c r="M106" s="22" t="str">
        <f t="shared" si="11"/>
        <v/>
      </c>
      <c r="N106" s="22" t="str">
        <f t="shared" si="8"/>
        <v/>
      </c>
      <c r="O106" s="22" t="str">
        <f t="shared" si="12"/>
        <v/>
      </c>
    </row>
    <row r="107" spans="11:15" ht="20.100000000000001" customHeight="1">
      <c r="K107" s="27" t="str">
        <f t="shared" si="10"/>
        <v/>
      </c>
      <c r="L107" s="22" t="str">
        <f t="shared" si="9"/>
        <v/>
      </c>
      <c r="M107" s="22" t="str">
        <f t="shared" si="11"/>
        <v/>
      </c>
      <c r="N107" s="22" t="str">
        <f t="shared" si="8"/>
        <v/>
      </c>
      <c r="O107" s="22" t="str">
        <f t="shared" si="12"/>
        <v/>
      </c>
    </row>
    <row r="108" spans="11:15" ht="20.100000000000001" customHeight="1">
      <c r="K108" s="27" t="str">
        <f t="shared" si="10"/>
        <v/>
      </c>
      <c r="L108" s="22" t="str">
        <f t="shared" si="9"/>
        <v/>
      </c>
      <c r="M108" s="22" t="str">
        <f t="shared" si="11"/>
        <v/>
      </c>
      <c r="N108" s="22" t="str">
        <f t="shared" si="8"/>
        <v/>
      </c>
      <c r="O108" s="22" t="str">
        <f t="shared" si="12"/>
        <v/>
      </c>
    </row>
    <row r="109" spans="11:15" ht="20.100000000000001" customHeight="1">
      <c r="K109" s="27" t="str">
        <f t="shared" si="10"/>
        <v/>
      </c>
      <c r="L109" s="22" t="str">
        <f t="shared" si="9"/>
        <v/>
      </c>
      <c r="M109" s="22" t="str">
        <f t="shared" si="11"/>
        <v/>
      </c>
      <c r="N109" s="22" t="str">
        <f t="shared" si="8"/>
        <v/>
      </c>
      <c r="O109" s="22" t="str">
        <f t="shared" si="12"/>
        <v/>
      </c>
    </row>
    <row r="110" spans="11:15" ht="20.100000000000001" customHeight="1">
      <c r="K110" s="27" t="str">
        <f t="shared" si="10"/>
        <v/>
      </c>
      <c r="L110" s="22" t="str">
        <f t="shared" si="9"/>
        <v/>
      </c>
      <c r="M110" s="22" t="str">
        <f t="shared" si="11"/>
        <v/>
      </c>
      <c r="N110" s="22" t="str">
        <f t="shared" si="8"/>
        <v/>
      </c>
      <c r="O110" s="22" t="str">
        <f t="shared" si="12"/>
        <v/>
      </c>
    </row>
    <row r="111" spans="11:15" ht="20.100000000000001" customHeight="1">
      <c r="K111" s="27" t="str">
        <f t="shared" si="10"/>
        <v/>
      </c>
      <c r="L111" s="22" t="str">
        <f t="shared" si="9"/>
        <v/>
      </c>
      <c r="M111" s="22" t="str">
        <f t="shared" si="11"/>
        <v/>
      </c>
      <c r="N111" s="22" t="str">
        <f t="shared" si="8"/>
        <v/>
      </c>
      <c r="O111" s="22" t="str">
        <f t="shared" si="12"/>
        <v/>
      </c>
    </row>
    <row r="112" spans="11:15" ht="20.100000000000001" customHeight="1">
      <c r="K112" s="27" t="str">
        <f t="shared" si="10"/>
        <v/>
      </c>
      <c r="L112" s="22" t="str">
        <f t="shared" si="9"/>
        <v/>
      </c>
      <c r="M112" s="22" t="str">
        <f t="shared" si="11"/>
        <v/>
      </c>
      <c r="N112" s="22" t="str">
        <f t="shared" si="8"/>
        <v/>
      </c>
      <c r="O112" s="22" t="str">
        <f t="shared" si="12"/>
        <v/>
      </c>
    </row>
    <row r="113" spans="11:15" ht="20.100000000000001" customHeight="1">
      <c r="K113" s="27" t="str">
        <f t="shared" si="10"/>
        <v/>
      </c>
      <c r="L113" s="22" t="str">
        <f t="shared" si="9"/>
        <v/>
      </c>
      <c r="M113" s="22" t="str">
        <f t="shared" si="11"/>
        <v/>
      </c>
      <c r="N113" s="22" t="str">
        <f t="shared" si="8"/>
        <v/>
      </c>
      <c r="O113" s="22" t="str">
        <f t="shared" si="12"/>
        <v/>
      </c>
    </row>
    <row r="114" spans="11:15" ht="20.100000000000001" customHeight="1">
      <c r="K114" s="27" t="str">
        <f t="shared" si="10"/>
        <v/>
      </c>
      <c r="L114" s="22" t="str">
        <f t="shared" si="9"/>
        <v/>
      </c>
      <c r="M114" s="22" t="str">
        <f t="shared" si="11"/>
        <v/>
      </c>
      <c r="N114" s="22" t="str">
        <f t="shared" si="8"/>
        <v/>
      </c>
      <c r="O114" s="22" t="str">
        <f t="shared" si="12"/>
        <v/>
      </c>
    </row>
    <row r="115" spans="11:15" ht="20.100000000000001" customHeight="1">
      <c r="K115" s="27" t="str">
        <f t="shared" si="10"/>
        <v/>
      </c>
      <c r="L115" s="22" t="str">
        <f t="shared" si="9"/>
        <v/>
      </c>
      <c r="M115" s="22" t="str">
        <f t="shared" si="11"/>
        <v/>
      </c>
      <c r="N115" s="22" t="str">
        <f t="shared" si="8"/>
        <v/>
      </c>
      <c r="O115" s="22" t="str">
        <f t="shared" si="12"/>
        <v/>
      </c>
    </row>
    <row r="116" spans="11:15" ht="20.100000000000001" customHeight="1">
      <c r="K116" s="27" t="str">
        <f t="shared" si="10"/>
        <v/>
      </c>
      <c r="L116" s="22" t="str">
        <f t="shared" si="9"/>
        <v/>
      </c>
      <c r="M116" s="22" t="str">
        <f t="shared" si="11"/>
        <v/>
      </c>
      <c r="N116" s="22" t="str">
        <f t="shared" si="8"/>
        <v/>
      </c>
      <c r="O116" s="22" t="str">
        <f t="shared" si="12"/>
        <v/>
      </c>
    </row>
    <row r="117" spans="11:15" ht="20.100000000000001" customHeight="1">
      <c r="K117" s="27" t="str">
        <f t="shared" si="10"/>
        <v/>
      </c>
      <c r="L117" s="22" t="str">
        <f t="shared" si="9"/>
        <v/>
      </c>
      <c r="M117" s="22" t="str">
        <f t="shared" si="11"/>
        <v/>
      </c>
      <c r="N117" s="22" t="str">
        <f t="shared" si="8"/>
        <v/>
      </c>
      <c r="O117" s="22" t="str">
        <f t="shared" si="12"/>
        <v/>
      </c>
    </row>
    <row r="118" spans="11:15" ht="20.100000000000001" customHeight="1">
      <c r="K118" s="27" t="str">
        <f t="shared" si="10"/>
        <v/>
      </c>
      <c r="L118" s="22" t="str">
        <f t="shared" si="9"/>
        <v/>
      </c>
      <c r="M118" s="22" t="str">
        <f t="shared" si="11"/>
        <v/>
      </c>
      <c r="N118" s="22" t="str">
        <f t="shared" si="8"/>
        <v/>
      </c>
      <c r="O118" s="22" t="str">
        <f t="shared" si="12"/>
        <v/>
      </c>
    </row>
    <row r="119" spans="11:15" ht="20.100000000000001" customHeight="1">
      <c r="K119" s="27" t="str">
        <f t="shared" si="10"/>
        <v/>
      </c>
      <c r="L119" s="22" t="str">
        <f t="shared" si="9"/>
        <v/>
      </c>
      <c r="M119" s="22" t="str">
        <f t="shared" si="11"/>
        <v/>
      </c>
      <c r="N119" s="22" t="str">
        <f t="shared" si="8"/>
        <v/>
      </c>
      <c r="O119" s="22" t="str">
        <f t="shared" si="12"/>
        <v/>
      </c>
    </row>
    <row r="120" spans="11:15" ht="20.100000000000001" customHeight="1">
      <c r="K120" s="27" t="str">
        <f t="shared" si="10"/>
        <v/>
      </c>
      <c r="L120" s="22" t="str">
        <f t="shared" si="9"/>
        <v/>
      </c>
      <c r="M120" s="22" t="str">
        <f t="shared" si="11"/>
        <v/>
      </c>
      <c r="N120" s="22" t="str">
        <f t="shared" si="8"/>
        <v/>
      </c>
      <c r="O120" s="22" t="str">
        <f t="shared" si="12"/>
        <v/>
      </c>
    </row>
    <row r="121" spans="11:15" ht="20.100000000000001" customHeight="1">
      <c r="K121" s="27" t="str">
        <f t="shared" si="10"/>
        <v/>
      </c>
      <c r="L121" s="22" t="str">
        <f t="shared" si="9"/>
        <v/>
      </c>
      <c r="M121" s="22" t="str">
        <f t="shared" si="11"/>
        <v/>
      </c>
      <c r="N121" s="22" t="str">
        <f t="shared" si="8"/>
        <v/>
      </c>
      <c r="O121" s="22" t="str">
        <f t="shared" si="12"/>
        <v/>
      </c>
    </row>
    <row r="122" spans="11:15" ht="20.100000000000001" customHeight="1">
      <c r="K122" s="27" t="str">
        <f t="shared" si="10"/>
        <v/>
      </c>
      <c r="L122" s="22" t="str">
        <f t="shared" si="9"/>
        <v/>
      </c>
      <c r="M122" s="22" t="str">
        <f t="shared" si="11"/>
        <v/>
      </c>
      <c r="N122" s="22" t="str">
        <f t="shared" si="8"/>
        <v/>
      </c>
      <c r="O122" s="22" t="str">
        <f t="shared" si="12"/>
        <v/>
      </c>
    </row>
    <row r="123" spans="11:15" ht="20.100000000000001" customHeight="1">
      <c r="K123" s="27" t="str">
        <f t="shared" si="10"/>
        <v/>
      </c>
      <c r="L123" s="22" t="str">
        <f t="shared" si="9"/>
        <v/>
      </c>
      <c r="M123" s="22" t="str">
        <f t="shared" si="11"/>
        <v/>
      </c>
      <c r="N123" s="22" t="str">
        <f t="shared" si="8"/>
        <v/>
      </c>
      <c r="O123" s="22" t="str">
        <f t="shared" si="12"/>
        <v/>
      </c>
    </row>
    <row r="124" spans="11:15" ht="20.100000000000001" customHeight="1">
      <c r="K124" s="27" t="str">
        <f t="shared" si="10"/>
        <v/>
      </c>
      <c r="L124" s="22" t="str">
        <f t="shared" si="9"/>
        <v/>
      </c>
      <c r="M124" s="22" t="str">
        <f t="shared" si="11"/>
        <v/>
      </c>
      <c r="N124" s="22" t="str">
        <f t="shared" si="8"/>
        <v/>
      </c>
      <c r="O124" s="22" t="str">
        <f t="shared" si="12"/>
        <v/>
      </c>
    </row>
    <row r="125" spans="11:15" ht="20.100000000000001" customHeight="1">
      <c r="K125" s="27" t="str">
        <f t="shared" si="10"/>
        <v/>
      </c>
      <c r="L125" s="22" t="str">
        <f t="shared" si="9"/>
        <v/>
      </c>
      <c r="M125" s="22" t="str">
        <f t="shared" si="11"/>
        <v/>
      </c>
      <c r="N125" s="22" t="str">
        <f t="shared" si="8"/>
        <v/>
      </c>
      <c r="O125" s="22" t="str">
        <f t="shared" si="12"/>
        <v/>
      </c>
    </row>
    <row r="126" spans="11:15" ht="20.100000000000001" customHeight="1">
      <c r="K126" s="27" t="str">
        <f t="shared" si="10"/>
        <v/>
      </c>
      <c r="L126" s="22" t="str">
        <f t="shared" si="9"/>
        <v/>
      </c>
      <c r="M126" s="22" t="str">
        <f t="shared" si="11"/>
        <v/>
      </c>
      <c r="N126" s="22" t="str">
        <f t="shared" si="8"/>
        <v/>
      </c>
      <c r="O126" s="22" t="str">
        <f t="shared" si="12"/>
        <v/>
      </c>
    </row>
    <row r="127" spans="11:15" ht="20.100000000000001" customHeight="1">
      <c r="K127" s="27" t="str">
        <f t="shared" si="10"/>
        <v/>
      </c>
      <c r="L127" s="22" t="str">
        <f t="shared" si="9"/>
        <v/>
      </c>
      <c r="M127" s="22" t="str">
        <f t="shared" si="11"/>
        <v/>
      </c>
      <c r="N127" s="22" t="str">
        <f t="shared" si="8"/>
        <v/>
      </c>
      <c r="O127" s="22" t="str">
        <f t="shared" si="12"/>
        <v/>
      </c>
    </row>
    <row r="128" spans="11:15" ht="20.100000000000001" customHeight="1">
      <c r="K128" s="27" t="str">
        <f t="shared" si="10"/>
        <v/>
      </c>
      <c r="L128" s="22" t="str">
        <f t="shared" si="9"/>
        <v/>
      </c>
      <c r="M128" s="22" t="str">
        <f t="shared" si="11"/>
        <v/>
      </c>
      <c r="N128" s="22" t="str">
        <f t="shared" si="8"/>
        <v/>
      </c>
      <c r="O128" s="22" t="str">
        <f t="shared" si="12"/>
        <v/>
      </c>
    </row>
    <row r="129" spans="11:15" ht="20.100000000000001" customHeight="1">
      <c r="K129" s="27" t="str">
        <f t="shared" si="10"/>
        <v/>
      </c>
      <c r="L129" s="22" t="str">
        <f t="shared" si="9"/>
        <v/>
      </c>
      <c r="M129" s="22" t="str">
        <f t="shared" si="11"/>
        <v/>
      </c>
      <c r="N129" s="22" t="str">
        <f t="shared" si="8"/>
        <v/>
      </c>
      <c r="O129" s="22" t="str">
        <f t="shared" si="12"/>
        <v/>
      </c>
    </row>
    <row r="130" spans="11:15" ht="20.100000000000001" customHeight="1">
      <c r="K130" s="27" t="str">
        <f t="shared" si="10"/>
        <v/>
      </c>
      <c r="L130" s="22" t="str">
        <f t="shared" si="9"/>
        <v/>
      </c>
      <c r="M130" s="22" t="str">
        <f t="shared" si="11"/>
        <v/>
      </c>
      <c r="N130" s="22" t="str">
        <f t="shared" si="8"/>
        <v/>
      </c>
      <c r="O130" s="22" t="str">
        <f t="shared" si="12"/>
        <v/>
      </c>
    </row>
    <row r="131" spans="11:15" ht="20.100000000000001" customHeight="1">
      <c r="K131" s="27" t="str">
        <f t="shared" si="10"/>
        <v/>
      </c>
      <c r="L131" s="22" t="str">
        <f t="shared" si="9"/>
        <v/>
      </c>
      <c r="M131" s="22" t="str">
        <f t="shared" si="11"/>
        <v/>
      </c>
      <c r="N131" s="22" t="str">
        <f t="shared" si="8"/>
        <v/>
      </c>
      <c r="O131" s="22" t="str">
        <f t="shared" si="12"/>
        <v/>
      </c>
    </row>
    <row r="132" spans="11:15" ht="20.100000000000001" customHeight="1">
      <c r="K132" s="27" t="str">
        <f t="shared" si="10"/>
        <v/>
      </c>
      <c r="L132" s="22" t="str">
        <f t="shared" si="9"/>
        <v/>
      </c>
      <c r="M132" s="22" t="str">
        <f t="shared" si="11"/>
        <v/>
      </c>
      <c r="N132" s="22" t="str">
        <f t="shared" si="8"/>
        <v/>
      </c>
      <c r="O132" s="22" t="str">
        <f t="shared" si="12"/>
        <v/>
      </c>
    </row>
    <row r="133" spans="11:15" ht="20.100000000000001" customHeight="1">
      <c r="K133" s="27" t="str">
        <f t="shared" si="10"/>
        <v/>
      </c>
      <c r="L133" s="22" t="str">
        <f t="shared" si="9"/>
        <v/>
      </c>
      <c r="M133" s="22" t="str">
        <f t="shared" si="11"/>
        <v/>
      </c>
      <c r="N133" s="22" t="str">
        <f t="shared" si="8"/>
        <v/>
      </c>
      <c r="O133" s="22" t="str">
        <f t="shared" si="12"/>
        <v/>
      </c>
    </row>
    <row r="134" spans="11:15" ht="20.100000000000001" customHeight="1">
      <c r="K134" s="27" t="str">
        <f t="shared" si="10"/>
        <v/>
      </c>
      <c r="L134" s="22" t="str">
        <f t="shared" si="9"/>
        <v/>
      </c>
      <c r="M134" s="22" t="str">
        <f t="shared" si="11"/>
        <v/>
      </c>
      <c r="N134" s="22" t="str">
        <f t="shared" ref="N134:N197" si="13">IF(K134="","",IF(K134=0,0,(L134*$S$9)))</f>
        <v/>
      </c>
      <c r="O134" s="22" t="str">
        <f t="shared" si="12"/>
        <v/>
      </c>
    </row>
    <row r="135" spans="11:15" ht="20.100000000000001" customHeight="1">
      <c r="K135" s="27" t="str">
        <f t="shared" si="10"/>
        <v/>
      </c>
      <c r="L135" s="22" t="str">
        <f t="shared" ref="L135:L198" si="14">IF(K135="","",O134)</f>
        <v/>
      </c>
      <c r="M135" s="22" t="str">
        <f t="shared" si="11"/>
        <v/>
      </c>
      <c r="N135" s="22" t="str">
        <f t="shared" si="13"/>
        <v/>
      </c>
      <c r="O135" s="22" t="str">
        <f t="shared" si="12"/>
        <v/>
      </c>
    </row>
    <row r="136" spans="11:15" ht="20.100000000000001" customHeight="1">
      <c r="K136" s="27" t="str">
        <f t="shared" si="10"/>
        <v/>
      </c>
      <c r="L136" s="22" t="str">
        <f t="shared" si="14"/>
        <v/>
      </c>
      <c r="M136" s="22" t="str">
        <f t="shared" si="11"/>
        <v/>
      </c>
      <c r="N136" s="22" t="str">
        <f t="shared" si="13"/>
        <v/>
      </c>
      <c r="O136" s="22" t="str">
        <f t="shared" si="12"/>
        <v/>
      </c>
    </row>
    <row r="137" spans="11:15" ht="20.100000000000001" customHeight="1">
      <c r="K137" s="27" t="str">
        <f t="shared" ref="K137:K200" si="15">IF(K136&gt;=$S$7,"",K136+1)</f>
        <v/>
      </c>
      <c r="L137" s="22" t="str">
        <f t="shared" si="14"/>
        <v/>
      </c>
      <c r="M137" s="22" t="str">
        <f t="shared" si="11"/>
        <v/>
      </c>
      <c r="N137" s="22" t="str">
        <f t="shared" si="13"/>
        <v/>
      </c>
      <c r="O137" s="22" t="str">
        <f t="shared" si="12"/>
        <v/>
      </c>
    </row>
    <row r="138" spans="11:15" ht="20.100000000000001" customHeight="1">
      <c r="K138" s="27" t="str">
        <f t="shared" si="15"/>
        <v/>
      </c>
      <c r="L138" s="22" t="str">
        <f t="shared" si="14"/>
        <v/>
      </c>
      <c r="M138" s="22" t="str">
        <f t="shared" si="11"/>
        <v/>
      </c>
      <c r="N138" s="22" t="str">
        <f t="shared" si="13"/>
        <v/>
      </c>
      <c r="O138" s="22" t="str">
        <f t="shared" si="12"/>
        <v/>
      </c>
    </row>
    <row r="139" spans="11:15" ht="20.100000000000001" customHeight="1">
      <c r="K139" s="27" t="str">
        <f t="shared" si="15"/>
        <v/>
      </c>
      <c r="L139" s="22" t="str">
        <f t="shared" si="14"/>
        <v/>
      </c>
      <c r="M139" s="22" t="str">
        <f t="shared" si="11"/>
        <v/>
      </c>
      <c r="N139" s="22" t="str">
        <f t="shared" si="13"/>
        <v/>
      </c>
      <c r="O139" s="22" t="str">
        <f t="shared" si="12"/>
        <v/>
      </c>
    </row>
    <row r="140" spans="11:15" ht="20.100000000000001" customHeight="1">
      <c r="K140" s="27" t="str">
        <f t="shared" si="15"/>
        <v/>
      </c>
      <c r="L140" s="22" t="str">
        <f t="shared" si="14"/>
        <v/>
      </c>
      <c r="M140" s="22" t="str">
        <f t="shared" si="11"/>
        <v/>
      </c>
      <c r="N140" s="22" t="str">
        <f t="shared" si="13"/>
        <v/>
      </c>
      <c r="O140" s="22" t="str">
        <f t="shared" si="12"/>
        <v/>
      </c>
    </row>
    <row r="141" spans="11:15" ht="20.100000000000001" customHeight="1">
      <c r="K141" s="27" t="str">
        <f t="shared" si="15"/>
        <v/>
      </c>
      <c r="L141" s="22" t="str">
        <f t="shared" si="14"/>
        <v/>
      </c>
      <c r="M141" s="22" t="str">
        <f t="shared" si="11"/>
        <v/>
      </c>
      <c r="N141" s="22" t="str">
        <f t="shared" si="13"/>
        <v/>
      </c>
      <c r="O141" s="22" t="str">
        <f t="shared" si="12"/>
        <v/>
      </c>
    </row>
    <row r="142" spans="11:15" ht="20.100000000000001" customHeight="1">
      <c r="K142" s="27" t="str">
        <f t="shared" si="15"/>
        <v/>
      </c>
      <c r="L142" s="22" t="str">
        <f t="shared" si="14"/>
        <v/>
      </c>
      <c r="M142" s="22" t="str">
        <f t="shared" si="11"/>
        <v/>
      </c>
      <c r="N142" s="22" t="str">
        <f t="shared" si="13"/>
        <v/>
      </c>
      <c r="O142" s="22" t="str">
        <f t="shared" si="12"/>
        <v/>
      </c>
    </row>
    <row r="143" spans="11:15" ht="20.100000000000001" customHeight="1">
      <c r="K143" s="27" t="str">
        <f t="shared" si="15"/>
        <v/>
      </c>
      <c r="L143" s="22" t="str">
        <f t="shared" si="14"/>
        <v/>
      </c>
      <c r="M143" s="22" t="str">
        <f t="shared" si="11"/>
        <v/>
      </c>
      <c r="N143" s="22" t="str">
        <f t="shared" si="13"/>
        <v/>
      </c>
      <c r="O143" s="22" t="str">
        <f t="shared" si="12"/>
        <v/>
      </c>
    </row>
    <row r="144" spans="11:15" ht="20.100000000000001" customHeight="1">
      <c r="K144" s="27" t="str">
        <f t="shared" si="15"/>
        <v/>
      </c>
      <c r="L144" s="22" t="str">
        <f t="shared" si="14"/>
        <v/>
      </c>
      <c r="M144" s="22" t="str">
        <f t="shared" si="11"/>
        <v/>
      </c>
      <c r="N144" s="22" t="str">
        <f t="shared" si="13"/>
        <v/>
      </c>
      <c r="O144" s="22" t="str">
        <f t="shared" si="12"/>
        <v/>
      </c>
    </row>
    <row r="145" spans="11:15" ht="20.100000000000001" customHeight="1">
      <c r="K145" s="27" t="str">
        <f t="shared" si="15"/>
        <v/>
      </c>
      <c r="L145" s="22" t="str">
        <f t="shared" si="14"/>
        <v/>
      </c>
      <c r="M145" s="22" t="str">
        <f t="shared" si="11"/>
        <v/>
      </c>
      <c r="N145" s="22" t="str">
        <f t="shared" si="13"/>
        <v/>
      </c>
      <c r="O145" s="22" t="str">
        <f t="shared" si="12"/>
        <v/>
      </c>
    </row>
    <row r="146" spans="11:15" ht="20.100000000000001" customHeight="1">
      <c r="K146" s="27" t="str">
        <f t="shared" si="15"/>
        <v/>
      </c>
      <c r="L146" s="22" t="str">
        <f t="shared" si="14"/>
        <v/>
      </c>
      <c r="M146" s="22" t="str">
        <f t="shared" si="11"/>
        <v/>
      </c>
      <c r="N146" s="22" t="str">
        <f t="shared" si="13"/>
        <v/>
      </c>
      <c r="O146" s="22" t="str">
        <f t="shared" si="12"/>
        <v/>
      </c>
    </row>
    <row r="147" spans="11:15" ht="20.100000000000001" customHeight="1">
      <c r="K147" s="27" t="str">
        <f t="shared" si="15"/>
        <v/>
      </c>
      <c r="L147" s="22" t="str">
        <f t="shared" si="14"/>
        <v/>
      </c>
      <c r="M147" s="22" t="str">
        <f t="shared" si="11"/>
        <v/>
      </c>
      <c r="N147" s="22" t="str">
        <f t="shared" si="13"/>
        <v/>
      </c>
      <c r="O147" s="22" t="str">
        <f t="shared" si="12"/>
        <v/>
      </c>
    </row>
    <row r="148" spans="11:15" ht="20.100000000000001" customHeight="1">
      <c r="K148" s="27" t="str">
        <f t="shared" si="15"/>
        <v/>
      </c>
      <c r="L148" s="22" t="str">
        <f t="shared" si="14"/>
        <v/>
      </c>
      <c r="M148" s="22" t="str">
        <f t="shared" si="11"/>
        <v/>
      </c>
      <c r="N148" s="22" t="str">
        <f t="shared" si="13"/>
        <v/>
      </c>
      <c r="O148" s="22" t="str">
        <f t="shared" si="12"/>
        <v/>
      </c>
    </row>
    <row r="149" spans="11:15" ht="20.100000000000001" customHeight="1">
      <c r="K149" s="27" t="str">
        <f t="shared" si="15"/>
        <v/>
      </c>
      <c r="L149" s="22" t="str">
        <f t="shared" si="14"/>
        <v/>
      </c>
      <c r="M149" s="22" t="str">
        <f t="shared" si="11"/>
        <v/>
      </c>
      <c r="N149" s="22" t="str">
        <f t="shared" si="13"/>
        <v/>
      </c>
      <c r="O149" s="22" t="str">
        <f t="shared" si="12"/>
        <v/>
      </c>
    </row>
    <row r="150" spans="11:15" ht="20.100000000000001" customHeight="1">
      <c r="K150" s="27" t="str">
        <f t="shared" si="15"/>
        <v/>
      </c>
      <c r="L150" s="22" t="str">
        <f t="shared" si="14"/>
        <v/>
      </c>
      <c r="M150" s="22" t="str">
        <f t="shared" si="11"/>
        <v/>
      </c>
      <c r="N150" s="22" t="str">
        <f t="shared" si="13"/>
        <v/>
      </c>
      <c r="O150" s="22" t="str">
        <f t="shared" si="12"/>
        <v/>
      </c>
    </row>
    <row r="151" spans="11:15" ht="20.100000000000001" customHeight="1">
      <c r="K151" s="27" t="str">
        <f t="shared" si="15"/>
        <v/>
      </c>
      <c r="L151" s="22" t="str">
        <f t="shared" si="14"/>
        <v/>
      </c>
      <c r="M151" s="22" t="str">
        <f t="shared" si="11"/>
        <v/>
      </c>
      <c r="N151" s="22" t="str">
        <f t="shared" si="13"/>
        <v/>
      </c>
      <c r="O151" s="22" t="str">
        <f t="shared" si="12"/>
        <v/>
      </c>
    </row>
    <row r="152" spans="11:15" ht="20.100000000000001" customHeight="1">
      <c r="K152" s="27" t="str">
        <f t="shared" si="15"/>
        <v/>
      </c>
      <c r="L152" s="22" t="str">
        <f t="shared" si="14"/>
        <v/>
      </c>
      <c r="M152" s="22" t="str">
        <f t="shared" si="11"/>
        <v/>
      </c>
      <c r="N152" s="22" t="str">
        <f t="shared" si="13"/>
        <v/>
      </c>
      <c r="O152" s="22" t="str">
        <f t="shared" si="12"/>
        <v/>
      </c>
    </row>
    <row r="153" spans="11:15" ht="20.100000000000001" customHeight="1">
      <c r="K153" s="27" t="str">
        <f t="shared" si="15"/>
        <v/>
      </c>
      <c r="L153" s="22" t="str">
        <f t="shared" si="14"/>
        <v/>
      </c>
      <c r="M153" s="22" t="str">
        <f t="shared" si="11"/>
        <v/>
      </c>
      <c r="N153" s="22" t="str">
        <f t="shared" si="13"/>
        <v/>
      </c>
      <c r="O153" s="22" t="str">
        <f t="shared" si="12"/>
        <v/>
      </c>
    </row>
    <row r="154" spans="11:15" ht="20.100000000000001" customHeight="1">
      <c r="K154" s="27" t="str">
        <f t="shared" si="15"/>
        <v/>
      </c>
      <c r="L154" s="22" t="str">
        <f t="shared" si="14"/>
        <v/>
      </c>
      <c r="M154" s="22" t="str">
        <f t="shared" ref="M154:M217" si="16">IF(K154=0,0,IF(K154="","",$S$6))</f>
        <v/>
      </c>
      <c r="N154" s="22" t="str">
        <f t="shared" si="13"/>
        <v/>
      </c>
      <c r="O154" s="22" t="str">
        <f t="shared" ref="O154:O217" si="17">IF(K154="","",SUM(L154:N154))</f>
        <v/>
      </c>
    </row>
    <row r="155" spans="11:15" ht="20.100000000000001" customHeight="1">
      <c r="K155" s="27" t="str">
        <f t="shared" si="15"/>
        <v/>
      </c>
      <c r="L155" s="22" t="str">
        <f t="shared" si="14"/>
        <v/>
      </c>
      <c r="M155" s="22" t="str">
        <f t="shared" si="16"/>
        <v/>
      </c>
      <c r="N155" s="22" t="str">
        <f t="shared" si="13"/>
        <v/>
      </c>
      <c r="O155" s="22" t="str">
        <f t="shared" si="17"/>
        <v/>
      </c>
    </row>
    <row r="156" spans="11:15" ht="20.100000000000001" customHeight="1">
      <c r="K156" s="27" t="str">
        <f t="shared" si="15"/>
        <v/>
      </c>
      <c r="L156" s="22" t="str">
        <f t="shared" si="14"/>
        <v/>
      </c>
      <c r="M156" s="22" t="str">
        <f t="shared" si="16"/>
        <v/>
      </c>
      <c r="N156" s="22" t="str">
        <f t="shared" si="13"/>
        <v/>
      </c>
      <c r="O156" s="22" t="str">
        <f t="shared" si="17"/>
        <v/>
      </c>
    </row>
    <row r="157" spans="11:15" ht="20.100000000000001" customHeight="1">
      <c r="K157" s="27" t="str">
        <f t="shared" si="15"/>
        <v/>
      </c>
      <c r="L157" s="22" t="str">
        <f t="shared" si="14"/>
        <v/>
      </c>
      <c r="M157" s="22" t="str">
        <f t="shared" si="16"/>
        <v/>
      </c>
      <c r="N157" s="22" t="str">
        <f t="shared" si="13"/>
        <v/>
      </c>
      <c r="O157" s="22" t="str">
        <f t="shared" si="17"/>
        <v/>
      </c>
    </row>
    <row r="158" spans="11:15" ht="20.100000000000001" customHeight="1">
      <c r="K158" s="27" t="str">
        <f t="shared" si="15"/>
        <v/>
      </c>
      <c r="L158" s="22" t="str">
        <f t="shared" si="14"/>
        <v/>
      </c>
      <c r="M158" s="22" t="str">
        <f t="shared" si="16"/>
        <v/>
      </c>
      <c r="N158" s="22" t="str">
        <f t="shared" si="13"/>
        <v/>
      </c>
      <c r="O158" s="22" t="str">
        <f t="shared" si="17"/>
        <v/>
      </c>
    </row>
    <row r="159" spans="11:15" ht="20.100000000000001" customHeight="1">
      <c r="K159" s="27" t="str">
        <f t="shared" si="15"/>
        <v/>
      </c>
      <c r="L159" s="22" t="str">
        <f t="shared" si="14"/>
        <v/>
      </c>
      <c r="M159" s="22" t="str">
        <f t="shared" si="16"/>
        <v/>
      </c>
      <c r="N159" s="22" t="str">
        <f t="shared" si="13"/>
        <v/>
      </c>
      <c r="O159" s="22" t="str">
        <f t="shared" si="17"/>
        <v/>
      </c>
    </row>
    <row r="160" spans="11:15" ht="20.100000000000001" customHeight="1">
      <c r="K160" s="27" t="str">
        <f t="shared" si="15"/>
        <v/>
      </c>
      <c r="L160" s="22" t="str">
        <f t="shared" si="14"/>
        <v/>
      </c>
      <c r="M160" s="22" t="str">
        <f t="shared" si="16"/>
        <v/>
      </c>
      <c r="N160" s="22" t="str">
        <f t="shared" si="13"/>
        <v/>
      </c>
      <c r="O160" s="22" t="str">
        <f t="shared" si="17"/>
        <v/>
      </c>
    </row>
    <row r="161" spans="11:15" ht="20.100000000000001" customHeight="1">
      <c r="K161" s="27" t="str">
        <f t="shared" si="15"/>
        <v/>
      </c>
      <c r="L161" s="22" t="str">
        <f t="shared" si="14"/>
        <v/>
      </c>
      <c r="M161" s="22" t="str">
        <f t="shared" si="16"/>
        <v/>
      </c>
      <c r="N161" s="22" t="str">
        <f t="shared" si="13"/>
        <v/>
      </c>
      <c r="O161" s="22" t="str">
        <f t="shared" si="17"/>
        <v/>
      </c>
    </row>
    <row r="162" spans="11:15" ht="20.100000000000001" customHeight="1">
      <c r="K162" s="27" t="str">
        <f t="shared" si="15"/>
        <v/>
      </c>
      <c r="L162" s="22" t="str">
        <f t="shared" si="14"/>
        <v/>
      </c>
      <c r="M162" s="22" t="str">
        <f t="shared" si="16"/>
        <v/>
      </c>
      <c r="N162" s="22" t="str">
        <f t="shared" si="13"/>
        <v/>
      </c>
      <c r="O162" s="22" t="str">
        <f t="shared" si="17"/>
        <v/>
      </c>
    </row>
    <row r="163" spans="11:15" ht="20.100000000000001" customHeight="1">
      <c r="K163" s="27" t="str">
        <f t="shared" si="15"/>
        <v/>
      </c>
      <c r="L163" s="22" t="str">
        <f t="shared" si="14"/>
        <v/>
      </c>
      <c r="M163" s="22" t="str">
        <f t="shared" si="16"/>
        <v/>
      </c>
      <c r="N163" s="22" t="str">
        <f t="shared" si="13"/>
        <v/>
      </c>
      <c r="O163" s="22" t="str">
        <f t="shared" si="17"/>
        <v/>
      </c>
    </row>
    <row r="164" spans="11:15" ht="20.100000000000001" customHeight="1">
      <c r="K164" s="27" t="str">
        <f t="shared" si="15"/>
        <v/>
      </c>
      <c r="L164" s="22" t="str">
        <f t="shared" si="14"/>
        <v/>
      </c>
      <c r="M164" s="22" t="str">
        <f t="shared" si="16"/>
        <v/>
      </c>
      <c r="N164" s="22" t="str">
        <f t="shared" si="13"/>
        <v/>
      </c>
      <c r="O164" s="22" t="str">
        <f t="shared" si="17"/>
        <v/>
      </c>
    </row>
    <row r="165" spans="11:15" ht="20.100000000000001" customHeight="1">
      <c r="K165" s="27" t="str">
        <f t="shared" si="15"/>
        <v/>
      </c>
      <c r="L165" s="22" t="str">
        <f t="shared" si="14"/>
        <v/>
      </c>
      <c r="M165" s="22" t="str">
        <f t="shared" si="16"/>
        <v/>
      </c>
      <c r="N165" s="22" t="str">
        <f t="shared" si="13"/>
        <v/>
      </c>
      <c r="O165" s="22" t="str">
        <f t="shared" si="17"/>
        <v/>
      </c>
    </row>
    <row r="166" spans="11:15" ht="20.100000000000001" customHeight="1">
      <c r="K166" s="27" t="str">
        <f t="shared" si="15"/>
        <v/>
      </c>
      <c r="L166" s="22" t="str">
        <f t="shared" si="14"/>
        <v/>
      </c>
      <c r="M166" s="22" t="str">
        <f t="shared" si="16"/>
        <v/>
      </c>
      <c r="N166" s="22" t="str">
        <f t="shared" si="13"/>
        <v/>
      </c>
      <c r="O166" s="22" t="str">
        <f t="shared" si="17"/>
        <v/>
      </c>
    </row>
    <row r="167" spans="11:15" ht="20.100000000000001" customHeight="1">
      <c r="K167" s="27" t="str">
        <f t="shared" si="15"/>
        <v/>
      </c>
      <c r="L167" s="22" t="str">
        <f t="shared" si="14"/>
        <v/>
      </c>
      <c r="M167" s="22" t="str">
        <f t="shared" si="16"/>
        <v/>
      </c>
      <c r="N167" s="22" t="str">
        <f t="shared" si="13"/>
        <v/>
      </c>
      <c r="O167" s="22" t="str">
        <f t="shared" si="17"/>
        <v/>
      </c>
    </row>
    <row r="168" spans="11:15" ht="20.100000000000001" customHeight="1">
      <c r="K168" s="27" t="str">
        <f t="shared" si="15"/>
        <v/>
      </c>
      <c r="L168" s="22" t="str">
        <f t="shared" si="14"/>
        <v/>
      </c>
      <c r="M168" s="22" t="str">
        <f t="shared" si="16"/>
        <v/>
      </c>
      <c r="N168" s="22" t="str">
        <f t="shared" si="13"/>
        <v/>
      </c>
      <c r="O168" s="22" t="str">
        <f t="shared" si="17"/>
        <v/>
      </c>
    </row>
    <row r="169" spans="11:15" ht="20.100000000000001" customHeight="1">
      <c r="K169" s="27" t="str">
        <f t="shared" si="15"/>
        <v/>
      </c>
      <c r="L169" s="22" t="str">
        <f t="shared" si="14"/>
        <v/>
      </c>
      <c r="M169" s="22" t="str">
        <f t="shared" si="16"/>
        <v/>
      </c>
      <c r="N169" s="22" t="str">
        <f t="shared" si="13"/>
        <v/>
      </c>
      <c r="O169" s="22" t="str">
        <f t="shared" si="17"/>
        <v/>
      </c>
    </row>
    <row r="170" spans="11:15" ht="20.100000000000001" customHeight="1">
      <c r="K170" s="27" t="str">
        <f t="shared" si="15"/>
        <v/>
      </c>
      <c r="L170" s="22" t="str">
        <f t="shared" si="14"/>
        <v/>
      </c>
      <c r="M170" s="22" t="str">
        <f t="shared" si="16"/>
        <v/>
      </c>
      <c r="N170" s="22" t="str">
        <f t="shared" si="13"/>
        <v/>
      </c>
      <c r="O170" s="22" t="str">
        <f t="shared" si="17"/>
        <v/>
      </c>
    </row>
    <row r="171" spans="11:15" ht="20.100000000000001" customHeight="1">
      <c r="K171" s="27" t="str">
        <f t="shared" si="15"/>
        <v/>
      </c>
      <c r="L171" s="22" t="str">
        <f t="shared" si="14"/>
        <v/>
      </c>
      <c r="M171" s="22" t="str">
        <f t="shared" si="16"/>
        <v/>
      </c>
      <c r="N171" s="22" t="str">
        <f t="shared" si="13"/>
        <v/>
      </c>
      <c r="O171" s="22" t="str">
        <f t="shared" si="17"/>
        <v/>
      </c>
    </row>
    <row r="172" spans="11:15" ht="20.100000000000001" customHeight="1">
      <c r="K172" s="27" t="str">
        <f t="shared" si="15"/>
        <v/>
      </c>
      <c r="L172" s="22" t="str">
        <f t="shared" si="14"/>
        <v/>
      </c>
      <c r="M172" s="22" t="str">
        <f t="shared" si="16"/>
        <v/>
      </c>
      <c r="N172" s="22" t="str">
        <f t="shared" si="13"/>
        <v/>
      </c>
      <c r="O172" s="22" t="str">
        <f t="shared" si="17"/>
        <v/>
      </c>
    </row>
    <row r="173" spans="11:15" ht="20.100000000000001" customHeight="1">
      <c r="K173" s="27" t="str">
        <f t="shared" si="15"/>
        <v/>
      </c>
      <c r="L173" s="22" t="str">
        <f t="shared" si="14"/>
        <v/>
      </c>
      <c r="M173" s="22" t="str">
        <f t="shared" si="16"/>
        <v/>
      </c>
      <c r="N173" s="22" t="str">
        <f t="shared" si="13"/>
        <v/>
      </c>
      <c r="O173" s="22" t="str">
        <f t="shared" si="17"/>
        <v/>
      </c>
    </row>
    <row r="174" spans="11:15" ht="20.100000000000001" customHeight="1">
      <c r="K174" s="27" t="str">
        <f t="shared" si="15"/>
        <v/>
      </c>
      <c r="L174" s="22" t="str">
        <f t="shared" si="14"/>
        <v/>
      </c>
      <c r="M174" s="22" t="str">
        <f t="shared" si="16"/>
        <v/>
      </c>
      <c r="N174" s="22" t="str">
        <f t="shared" si="13"/>
        <v/>
      </c>
      <c r="O174" s="22" t="str">
        <f t="shared" si="17"/>
        <v/>
      </c>
    </row>
    <row r="175" spans="11:15" ht="20.100000000000001" customHeight="1">
      <c r="K175" s="27" t="str">
        <f t="shared" si="15"/>
        <v/>
      </c>
      <c r="L175" s="22" t="str">
        <f t="shared" si="14"/>
        <v/>
      </c>
      <c r="M175" s="22" t="str">
        <f t="shared" si="16"/>
        <v/>
      </c>
      <c r="N175" s="22" t="str">
        <f t="shared" si="13"/>
        <v/>
      </c>
      <c r="O175" s="22" t="str">
        <f t="shared" si="17"/>
        <v/>
      </c>
    </row>
    <row r="176" spans="11:15" ht="20.100000000000001" customHeight="1">
      <c r="K176" s="27" t="str">
        <f t="shared" si="15"/>
        <v/>
      </c>
      <c r="L176" s="22" t="str">
        <f t="shared" si="14"/>
        <v/>
      </c>
      <c r="M176" s="22" t="str">
        <f t="shared" si="16"/>
        <v/>
      </c>
      <c r="N176" s="22" t="str">
        <f t="shared" si="13"/>
        <v/>
      </c>
      <c r="O176" s="22" t="str">
        <f t="shared" si="17"/>
        <v/>
      </c>
    </row>
    <row r="177" spans="11:15" ht="20.100000000000001" customHeight="1">
      <c r="K177" s="27" t="str">
        <f t="shared" si="15"/>
        <v/>
      </c>
      <c r="L177" s="22" t="str">
        <f t="shared" si="14"/>
        <v/>
      </c>
      <c r="M177" s="22" t="str">
        <f t="shared" si="16"/>
        <v/>
      </c>
      <c r="N177" s="22" t="str">
        <f t="shared" si="13"/>
        <v/>
      </c>
      <c r="O177" s="22" t="str">
        <f t="shared" si="17"/>
        <v/>
      </c>
    </row>
    <row r="178" spans="11:15" ht="20.100000000000001" customHeight="1">
      <c r="K178" s="27" t="str">
        <f t="shared" si="15"/>
        <v/>
      </c>
      <c r="L178" s="22" t="str">
        <f t="shared" si="14"/>
        <v/>
      </c>
      <c r="M178" s="22" t="str">
        <f t="shared" si="16"/>
        <v/>
      </c>
      <c r="N178" s="22" t="str">
        <f t="shared" si="13"/>
        <v/>
      </c>
      <c r="O178" s="22" t="str">
        <f t="shared" si="17"/>
        <v/>
      </c>
    </row>
    <row r="179" spans="11:15" ht="20.100000000000001" customHeight="1">
      <c r="K179" s="27" t="str">
        <f t="shared" si="15"/>
        <v/>
      </c>
      <c r="L179" s="22" t="str">
        <f t="shared" si="14"/>
        <v/>
      </c>
      <c r="M179" s="22" t="str">
        <f t="shared" si="16"/>
        <v/>
      </c>
      <c r="N179" s="22" t="str">
        <f t="shared" si="13"/>
        <v/>
      </c>
      <c r="O179" s="22" t="str">
        <f t="shared" si="17"/>
        <v/>
      </c>
    </row>
    <row r="180" spans="11:15" ht="20.100000000000001" customHeight="1">
      <c r="K180" s="27" t="str">
        <f t="shared" si="15"/>
        <v/>
      </c>
      <c r="L180" s="22" t="str">
        <f t="shared" si="14"/>
        <v/>
      </c>
      <c r="M180" s="22" t="str">
        <f t="shared" si="16"/>
        <v/>
      </c>
      <c r="N180" s="22" t="str">
        <f t="shared" si="13"/>
        <v/>
      </c>
      <c r="O180" s="22" t="str">
        <f t="shared" si="17"/>
        <v/>
      </c>
    </row>
    <row r="181" spans="11:15" ht="20.100000000000001" customHeight="1">
      <c r="K181" s="27" t="str">
        <f t="shared" si="15"/>
        <v/>
      </c>
      <c r="L181" s="22" t="str">
        <f t="shared" si="14"/>
        <v/>
      </c>
      <c r="M181" s="22" t="str">
        <f t="shared" si="16"/>
        <v/>
      </c>
      <c r="N181" s="22" t="str">
        <f t="shared" si="13"/>
        <v/>
      </c>
      <c r="O181" s="22" t="str">
        <f t="shared" si="17"/>
        <v/>
      </c>
    </row>
    <row r="182" spans="11:15" ht="20.100000000000001" customHeight="1">
      <c r="K182" s="27" t="str">
        <f t="shared" si="15"/>
        <v/>
      </c>
      <c r="L182" s="22" t="str">
        <f t="shared" si="14"/>
        <v/>
      </c>
      <c r="M182" s="22" t="str">
        <f t="shared" si="16"/>
        <v/>
      </c>
      <c r="N182" s="22" t="str">
        <f t="shared" si="13"/>
        <v/>
      </c>
      <c r="O182" s="22" t="str">
        <f t="shared" si="17"/>
        <v/>
      </c>
    </row>
    <row r="183" spans="11:15" ht="20.100000000000001" customHeight="1">
      <c r="K183" s="27" t="str">
        <f t="shared" si="15"/>
        <v/>
      </c>
      <c r="L183" s="22" t="str">
        <f t="shared" si="14"/>
        <v/>
      </c>
      <c r="M183" s="22" t="str">
        <f t="shared" si="16"/>
        <v/>
      </c>
      <c r="N183" s="22" t="str">
        <f t="shared" si="13"/>
        <v/>
      </c>
      <c r="O183" s="22" t="str">
        <f t="shared" si="17"/>
        <v/>
      </c>
    </row>
    <row r="184" spans="11:15" ht="20.100000000000001" customHeight="1">
      <c r="K184" s="27" t="str">
        <f t="shared" si="15"/>
        <v/>
      </c>
      <c r="L184" s="22" t="str">
        <f t="shared" si="14"/>
        <v/>
      </c>
      <c r="M184" s="22" t="str">
        <f t="shared" si="16"/>
        <v/>
      </c>
      <c r="N184" s="22" t="str">
        <f t="shared" si="13"/>
        <v/>
      </c>
      <c r="O184" s="22" t="str">
        <f t="shared" si="17"/>
        <v/>
      </c>
    </row>
    <row r="185" spans="11:15" ht="20.100000000000001" customHeight="1">
      <c r="K185" s="27" t="str">
        <f t="shared" si="15"/>
        <v/>
      </c>
      <c r="L185" s="22" t="str">
        <f t="shared" si="14"/>
        <v/>
      </c>
      <c r="M185" s="22" t="str">
        <f t="shared" si="16"/>
        <v/>
      </c>
      <c r="N185" s="22" t="str">
        <f t="shared" si="13"/>
        <v/>
      </c>
      <c r="O185" s="22" t="str">
        <f t="shared" si="17"/>
        <v/>
      </c>
    </row>
    <row r="186" spans="11:15" ht="20.100000000000001" customHeight="1">
      <c r="K186" s="27" t="str">
        <f t="shared" si="15"/>
        <v/>
      </c>
      <c r="L186" s="22" t="str">
        <f t="shared" si="14"/>
        <v/>
      </c>
      <c r="M186" s="22" t="str">
        <f t="shared" si="16"/>
        <v/>
      </c>
      <c r="N186" s="22" t="str">
        <f t="shared" si="13"/>
        <v/>
      </c>
      <c r="O186" s="22" t="str">
        <f t="shared" si="17"/>
        <v/>
      </c>
    </row>
    <row r="187" spans="11:15" ht="20.100000000000001" customHeight="1">
      <c r="K187" s="27" t="str">
        <f t="shared" si="15"/>
        <v/>
      </c>
      <c r="L187" s="22" t="str">
        <f t="shared" si="14"/>
        <v/>
      </c>
      <c r="M187" s="22" t="str">
        <f t="shared" si="16"/>
        <v/>
      </c>
      <c r="N187" s="22" t="str">
        <f t="shared" si="13"/>
        <v/>
      </c>
      <c r="O187" s="22" t="str">
        <f t="shared" si="17"/>
        <v/>
      </c>
    </row>
    <row r="188" spans="11:15" ht="20.100000000000001" customHeight="1">
      <c r="K188" s="27" t="str">
        <f t="shared" si="15"/>
        <v/>
      </c>
      <c r="L188" s="22" t="str">
        <f t="shared" si="14"/>
        <v/>
      </c>
      <c r="M188" s="22" t="str">
        <f t="shared" si="16"/>
        <v/>
      </c>
      <c r="N188" s="22" t="str">
        <f t="shared" si="13"/>
        <v/>
      </c>
      <c r="O188" s="22" t="str">
        <f t="shared" si="17"/>
        <v/>
      </c>
    </row>
    <row r="189" spans="11:15" ht="20.100000000000001" customHeight="1">
      <c r="K189" s="27" t="str">
        <f t="shared" si="15"/>
        <v/>
      </c>
      <c r="L189" s="22" t="str">
        <f t="shared" si="14"/>
        <v/>
      </c>
      <c r="M189" s="22" t="str">
        <f t="shared" si="16"/>
        <v/>
      </c>
      <c r="N189" s="22" t="str">
        <f t="shared" si="13"/>
        <v/>
      </c>
      <c r="O189" s="22" t="str">
        <f t="shared" si="17"/>
        <v/>
      </c>
    </row>
    <row r="190" spans="11:15" ht="20.100000000000001" customHeight="1">
      <c r="K190" s="27" t="str">
        <f t="shared" si="15"/>
        <v/>
      </c>
      <c r="L190" s="22" t="str">
        <f t="shared" si="14"/>
        <v/>
      </c>
      <c r="M190" s="22" t="str">
        <f t="shared" si="16"/>
        <v/>
      </c>
      <c r="N190" s="22" t="str">
        <f t="shared" si="13"/>
        <v/>
      </c>
      <c r="O190" s="22" t="str">
        <f t="shared" si="17"/>
        <v/>
      </c>
    </row>
    <row r="191" spans="11:15" ht="20.100000000000001" customHeight="1">
      <c r="K191" s="27" t="str">
        <f t="shared" si="15"/>
        <v/>
      </c>
      <c r="L191" s="22" t="str">
        <f t="shared" si="14"/>
        <v/>
      </c>
      <c r="M191" s="22" t="str">
        <f t="shared" si="16"/>
        <v/>
      </c>
      <c r="N191" s="22" t="str">
        <f t="shared" si="13"/>
        <v/>
      </c>
      <c r="O191" s="22" t="str">
        <f t="shared" si="17"/>
        <v/>
      </c>
    </row>
    <row r="192" spans="11:15" ht="20.100000000000001" customHeight="1">
      <c r="K192" s="27" t="str">
        <f t="shared" si="15"/>
        <v/>
      </c>
      <c r="L192" s="22" t="str">
        <f t="shared" si="14"/>
        <v/>
      </c>
      <c r="M192" s="22" t="str">
        <f t="shared" si="16"/>
        <v/>
      </c>
      <c r="N192" s="22" t="str">
        <f t="shared" si="13"/>
        <v/>
      </c>
      <c r="O192" s="22" t="str">
        <f t="shared" si="17"/>
        <v/>
      </c>
    </row>
    <row r="193" spans="11:15" ht="20.100000000000001" customHeight="1">
      <c r="K193" s="27" t="str">
        <f t="shared" si="15"/>
        <v/>
      </c>
      <c r="L193" s="22" t="str">
        <f t="shared" si="14"/>
        <v/>
      </c>
      <c r="M193" s="22" t="str">
        <f t="shared" si="16"/>
        <v/>
      </c>
      <c r="N193" s="22" t="str">
        <f t="shared" si="13"/>
        <v/>
      </c>
      <c r="O193" s="22" t="str">
        <f t="shared" si="17"/>
        <v/>
      </c>
    </row>
    <row r="194" spans="11:15" ht="20.100000000000001" customHeight="1">
      <c r="K194" s="27" t="str">
        <f t="shared" si="15"/>
        <v/>
      </c>
      <c r="L194" s="22" t="str">
        <f t="shared" si="14"/>
        <v/>
      </c>
      <c r="M194" s="22" t="str">
        <f t="shared" si="16"/>
        <v/>
      </c>
      <c r="N194" s="22" t="str">
        <f t="shared" si="13"/>
        <v/>
      </c>
      <c r="O194" s="22" t="str">
        <f t="shared" si="17"/>
        <v/>
      </c>
    </row>
    <row r="195" spans="11:15" ht="20.100000000000001" customHeight="1">
      <c r="K195" s="27" t="str">
        <f t="shared" si="15"/>
        <v/>
      </c>
      <c r="L195" s="22" t="str">
        <f t="shared" si="14"/>
        <v/>
      </c>
      <c r="M195" s="22" t="str">
        <f t="shared" si="16"/>
        <v/>
      </c>
      <c r="N195" s="22" t="str">
        <f t="shared" si="13"/>
        <v/>
      </c>
      <c r="O195" s="22" t="str">
        <f t="shared" si="17"/>
        <v/>
      </c>
    </row>
    <row r="196" spans="11:15" ht="20.100000000000001" customHeight="1">
      <c r="K196" s="27" t="str">
        <f t="shared" si="15"/>
        <v/>
      </c>
      <c r="L196" s="22" t="str">
        <f t="shared" si="14"/>
        <v/>
      </c>
      <c r="M196" s="22" t="str">
        <f t="shared" si="16"/>
        <v/>
      </c>
      <c r="N196" s="22" t="str">
        <f t="shared" si="13"/>
        <v/>
      </c>
      <c r="O196" s="22" t="str">
        <f t="shared" si="17"/>
        <v/>
      </c>
    </row>
    <row r="197" spans="11:15" ht="20.100000000000001" customHeight="1">
      <c r="K197" s="27" t="str">
        <f t="shared" si="15"/>
        <v/>
      </c>
      <c r="L197" s="22" t="str">
        <f t="shared" si="14"/>
        <v/>
      </c>
      <c r="M197" s="22" t="str">
        <f t="shared" si="16"/>
        <v/>
      </c>
      <c r="N197" s="22" t="str">
        <f t="shared" si="13"/>
        <v/>
      </c>
      <c r="O197" s="22" t="str">
        <f t="shared" si="17"/>
        <v/>
      </c>
    </row>
    <row r="198" spans="11:15" ht="20.100000000000001" customHeight="1">
      <c r="K198" s="27" t="str">
        <f t="shared" si="15"/>
        <v/>
      </c>
      <c r="L198" s="22" t="str">
        <f t="shared" si="14"/>
        <v/>
      </c>
      <c r="M198" s="22" t="str">
        <f t="shared" si="16"/>
        <v/>
      </c>
      <c r="N198" s="22" t="str">
        <f t="shared" ref="N198:N254" si="18">IF(K198="","",IF(K198=0,0,(L198*$S$9)))</f>
        <v/>
      </c>
      <c r="O198" s="22" t="str">
        <f t="shared" si="17"/>
        <v/>
      </c>
    </row>
    <row r="199" spans="11:15" ht="20.100000000000001" customHeight="1">
      <c r="K199" s="27" t="str">
        <f t="shared" si="15"/>
        <v/>
      </c>
      <c r="L199" s="22" t="str">
        <f t="shared" ref="L199:L254" si="19">IF(K199="","",O198)</f>
        <v/>
      </c>
      <c r="M199" s="22" t="str">
        <f t="shared" si="16"/>
        <v/>
      </c>
      <c r="N199" s="22" t="str">
        <f t="shared" si="18"/>
        <v/>
      </c>
      <c r="O199" s="22" t="str">
        <f t="shared" si="17"/>
        <v/>
      </c>
    </row>
    <row r="200" spans="11:15" ht="20.100000000000001" customHeight="1">
      <c r="K200" s="27" t="str">
        <f t="shared" si="15"/>
        <v/>
      </c>
      <c r="L200" s="22" t="str">
        <f t="shared" si="19"/>
        <v/>
      </c>
      <c r="M200" s="22" t="str">
        <f t="shared" si="16"/>
        <v/>
      </c>
      <c r="N200" s="22" t="str">
        <f t="shared" si="18"/>
        <v/>
      </c>
      <c r="O200" s="22" t="str">
        <f t="shared" si="17"/>
        <v/>
      </c>
    </row>
    <row r="201" spans="11:15" ht="20.100000000000001" customHeight="1">
      <c r="K201" s="27" t="str">
        <f t="shared" ref="K201:K264" si="20">IF(K200&gt;=$S$7,"",K200+1)</f>
        <v/>
      </c>
      <c r="L201" s="22" t="str">
        <f t="shared" si="19"/>
        <v/>
      </c>
      <c r="M201" s="22" t="str">
        <f t="shared" si="16"/>
        <v/>
      </c>
      <c r="N201" s="22" t="str">
        <f t="shared" si="18"/>
        <v/>
      </c>
      <c r="O201" s="22" t="str">
        <f t="shared" si="17"/>
        <v/>
      </c>
    </row>
    <row r="202" spans="11:15" ht="20.100000000000001" customHeight="1">
      <c r="K202" s="27" t="str">
        <f t="shared" si="20"/>
        <v/>
      </c>
      <c r="L202" s="22" t="str">
        <f t="shared" si="19"/>
        <v/>
      </c>
      <c r="M202" s="22" t="str">
        <f t="shared" si="16"/>
        <v/>
      </c>
      <c r="N202" s="22" t="str">
        <f t="shared" si="18"/>
        <v/>
      </c>
      <c r="O202" s="22" t="str">
        <f t="shared" si="17"/>
        <v/>
      </c>
    </row>
    <row r="203" spans="11:15" ht="20.100000000000001" customHeight="1">
      <c r="K203" s="27" t="str">
        <f t="shared" si="20"/>
        <v/>
      </c>
      <c r="L203" s="22" t="str">
        <f t="shared" si="19"/>
        <v/>
      </c>
      <c r="M203" s="22" t="str">
        <f t="shared" si="16"/>
        <v/>
      </c>
      <c r="N203" s="22" t="str">
        <f t="shared" si="18"/>
        <v/>
      </c>
      <c r="O203" s="22" t="str">
        <f t="shared" si="17"/>
        <v/>
      </c>
    </row>
    <row r="204" spans="11:15" ht="20.100000000000001" customHeight="1">
      <c r="K204" s="27" t="str">
        <f t="shared" si="20"/>
        <v/>
      </c>
      <c r="L204" s="22" t="str">
        <f t="shared" si="19"/>
        <v/>
      </c>
      <c r="M204" s="22" t="str">
        <f t="shared" si="16"/>
        <v/>
      </c>
      <c r="N204" s="22" t="str">
        <f t="shared" si="18"/>
        <v/>
      </c>
      <c r="O204" s="22" t="str">
        <f t="shared" si="17"/>
        <v/>
      </c>
    </row>
    <row r="205" spans="11:15" ht="20.100000000000001" customHeight="1">
      <c r="K205" s="27" t="str">
        <f t="shared" si="20"/>
        <v/>
      </c>
      <c r="L205" s="22" t="str">
        <f t="shared" si="19"/>
        <v/>
      </c>
      <c r="M205" s="22" t="str">
        <f t="shared" si="16"/>
        <v/>
      </c>
      <c r="N205" s="22" t="str">
        <f t="shared" si="18"/>
        <v/>
      </c>
      <c r="O205" s="22" t="str">
        <f t="shared" si="17"/>
        <v/>
      </c>
    </row>
    <row r="206" spans="11:15" ht="20.100000000000001" customHeight="1">
      <c r="K206" s="27" t="str">
        <f t="shared" si="20"/>
        <v/>
      </c>
      <c r="L206" s="22" t="str">
        <f t="shared" si="19"/>
        <v/>
      </c>
      <c r="M206" s="22" t="str">
        <f t="shared" si="16"/>
        <v/>
      </c>
      <c r="N206" s="22" t="str">
        <f t="shared" si="18"/>
        <v/>
      </c>
      <c r="O206" s="22" t="str">
        <f t="shared" si="17"/>
        <v/>
      </c>
    </row>
    <row r="207" spans="11:15" ht="20.100000000000001" customHeight="1">
      <c r="K207" s="27" t="str">
        <f t="shared" si="20"/>
        <v/>
      </c>
      <c r="L207" s="22" t="str">
        <f t="shared" si="19"/>
        <v/>
      </c>
      <c r="M207" s="22" t="str">
        <f t="shared" si="16"/>
        <v/>
      </c>
      <c r="N207" s="22" t="str">
        <f t="shared" si="18"/>
        <v/>
      </c>
      <c r="O207" s="22" t="str">
        <f t="shared" si="17"/>
        <v/>
      </c>
    </row>
    <row r="208" spans="11:15" ht="20.100000000000001" customHeight="1">
      <c r="K208" s="27" t="str">
        <f t="shared" si="20"/>
        <v/>
      </c>
      <c r="L208" s="22" t="str">
        <f t="shared" si="19"/>
        <v/>
      </c>
      <c r="M208" s="22" t="str">
        <f t="shared" si="16"/>
        <v/>
      </c>
      <c r="N208" s="22" t="str">
        <f t="shared" si="18"/>
        <v/>
      </c>
      <c r="O208" s="22" t="str">
        <f t="shared" si="17"/>
        <v/>
      </c>
    </row>
    <row r="209" spans="11:15" ht="20.100000000000001" customHeight="1">
      <c r="K209" s="27" t="str">
        <f t="shared" si="20"/>
        <v/>
      </c>
      <c r="L209" s="22" t="str">
        <f t="shared" si="19"/>
        <v/>
      </c>
      <c r="M209" s="22" t="str">
        <f t="shared" si="16"/>
        <v/>
      </c>
      <c r="N209" s="22" t="str">
        <f t="shared" si="18"/>
        <v/>
      </c>
      <c r="O209" s="22" t="str">
        <f t="shared" si="17"/>
        <v/>
      </c>
    </row>
    <row r="210" spans="11:15" ht="20.100000000000001" customHeight="1">
      <c r="K210" s="27" t="str">
        <f t="shared" si="20"/>
        <v/>
      </c>
      <c r="L210" s="22" t="str">
        <f t="shared" si="19"/>
        <v/>
      </c>
      <c r="M210" s="22" t="str">
        <f t="shared" si="16"/>
        <v/>
      </c>
      <c r="N210" s="22" t="str">
        <f t="shared" si="18"/>
        <v/>
      </c>
      <c r="O210" s="22" t="str">
        <f t="shared" si="17"/>
        <v/>
      </c>
    </row>
    <row r="211" spans="11:15" ht="20.100000000000001" customHeight="1">
      <c r="K211" s="27" t="str">
        <f t="shared" si="20"/>
        <v/>
      </c>
      <c r="L211" s="22" t="str">
        <f t="shared" si="19"/>
        <v/>
      </c>
      <c r="M211" s="22" t="str">
        <f t="shared" si="16"/>
        <v/>
      </c>
      <c r="N211" s="22" t="str">
        <f t="shared" si="18"/>
        <v/>
      </c>
      <c r="O211" s="22" t="str">
        <f t="shared" si="17"/>
        <v/>
      </c>
    </row>
    <row r="212" spans="11:15" ht="20.100000000000001" customHeight="1">
      <c r="K212" s="27" t="str">
        <f t="shared" si="20"/>
        <v/>
      </c>
      <c r="L212" s="22" t="str">
        <f t="shared" si="19"/>
        <v/>
      </c>
      <c r="M212" s="22" t="str">
        <f t="shared" si="16"/>
        <v/>
      </c>
      <c r="N212" s="22" t="str">
        <f t="shared" si="18"/>
        <v/>
      </c>
      <c r="O212" s="22" t="str">
        <f t="shared" si="17"/>
        <v/>
      </c>
    </row>
    <row r="213" spans="11:15" ht="20.100000000000001" customHeight="1">
      <c r="K213" s="27" t="str">
        <f t="shared" si="20"/>
        <v/>
      </c>
      <c r="L213" s="22" t="str">
        <f t="shared" si="19"/>
        <v/>
      </c>
      <c r="M213" s="22" t="str">
        <f t="shared" si="16"/>
        <v/>
      </c>
      <c r="N213" s="22" t="str">
        <f t="shared" si="18"/>
        <v/>
      </c>
      <c r="O213" s="22" t="str">
        <f t="shared" si="17"/>
        <v/>
      </c>
    </row>
    <row r="214" spans="11:15" ht="20.100000000000001" customHeight="1">
      <c r="K214" s="27" t="str">
        <f t="shared" si="20"/>
        <v/>
      </c>
      <c r="L214" s="22" t="str">
        <f t="shared" si="19"/>
        <v/>
      </c>
      <c r="M214" s="22" t="str">
        <f t="shared" si="16"/>
        <v/>
      </c>
      <c r="N214" s="22" t="str">
        <f t="shared" si="18"/>
        <v/>
      </c>
      <c r="O214" s="22" t="str">
        <f t="shared" si="17"/>
        <v/>
      </c>
    </row>
    <row r="215" spans="11:15" ht="20.100000000000001" customHeight="1">
      <c r="K215" s="27" t="str">
        <f t="shared" si="20"/>
        <v/>
      </c>
      <c r="L215" s="22" t="str">
        <f t="shared" si="19"/>
        <v/>
      </c>
      <c r="M215" s="22" t="str">
        <f t="shared" si="16"/>
        <v/>
      </c>
      <c r="N215" s="22" t="str">
        <f t="shared" si="18"/>
        <v/>
      </c>
      <c r="O215" s="22" t="str">
        <f t="shared" si="17"/>
        <v/>
      </c>
    </row>
    <row r="216" spans="11:15" ht="20.100000000000001" customHeight="1">
      <c r="K216" s="27" t="str">
        <f t="shared" si="20"/>
        <v/>
      </c>
      <c r="L216" s="22" t="str">
        <f t="shared" si="19"/>
        <v/>
      </c>
      <c r="M216" s="22" t="str">
        <f t="shared" si="16"/>
        <v/>
      </c>
      <c r="N216" s="22" t="str">
        <f t="shared" si="18"/>
        <v/>
      </c>
      <c r="O216" s="22" t="str">
        <f t="shared" si="17"/>
        <v/>
      </c>
    </row>
    <row r="217" spans="11:15" ht="20.100000000000001" customHeight="1">
      <c r="K217" s="27" t="str">
        <f t="shared" si="20"/>
        <v/>
      </c>
      <c r="L217" s="22" t="str">
        <f t="shared" si="19"/>
        <v/>
      </c>
      <c r="M217" s="22" t="str">
        <f t="shared" si="16"/>
        <v/>
      </c>
      <c r="N217" s="22" t="str">
        <f t="shared" si="18"/>
        <v/>
      </c>
      <c r="O217" s="22" t="str">
        <f t="shared" si="17"/>
        <v/>
      </c>
    </row>
    <row r="218" spans="11:15" ht="20.100000000000001" customHeight="1">
      <c r="K218" s="27" t="str">
        <f t="shared" si="20"/>
        <v/>
      </c>
      <c r="L218" s="22" t="str">
        <f t="shared" si="19"/>
        <v/>
      </c>
      <c r="M218" s="22" t="str">
        <f t="shared" ref="M218:M236" si="21">IF(K218=0,0,IF(K218="","",$S$6))</f>
        <v/>
      </c>
      <c r="N218" s="22" t="str">
        <f t="shared" si="18"/>
        <v/>
      </c>
      <c r="O218" s="22" t="str">
        <f t="shared" ref="O218:O236" si="22">IF(K218="","",SUM(L218:N218))</f>
        <v/>
      </c>
    </row>
    <row r="219" spans="11:15" ht="20.100000000000001" customHeight="1">
      <c r="K219" s="27" t="str">
        <f t="shared" si="20"/>
        <v/>
      </c>
      <c r="L219" s="22" t="str">
        <f t="shared" si="19"/>
        <v/>
      </c>
      <c r="M219" s="22" t="str">
        <f t="shared" si="21"/>
        <v/>
      </c>
      <c r="N219" s="22" t="str">
        <f t="shared" si="18"/>
        <v/>
      </c>
      <c r="O219" s="22" t="str">
        <f t="shared" si="22"/>
        <v/>
      </c>
    </row>
    <row r="220" spans="11:15" ht="20.100000000000001" customHeight="1">
      <c r="K220" s="27" t="str">
        <f t="shared" si="20"/>
        <v/>
      </c>
      <c r="L220" s="22" t="str">
        <f t="shared" si="19"/>
        <v/>
      </c>
      <c r="M220" s="22" t="str">
        <f t="shared" si="21"/>
        <v/>
      </c>
      <c r="N220" s="22" t="str">
        <f t="shared" si="18"/>
        <v/>
      </c>
      <c r="O220" s="22" t="str">
        <f t="shared" si="22"/>
        <v/>
      </c>
    </row>
    <row r="221" spans="11:15" ht="20.100000000000001" customHeight="1">
      <c r="K221" s="27" t="str">
        <f t="shared" si="20"/>
        <v/>
      </c>
      <c r="L221" s="22" t="str">
        <f t="shared" si="19"/>
        <v/>
      </c>
      <c r="M221" s="22" t="str">
        <f t="shared" si="21"/>
        <v/>
      </c>
      <c r="N221" s="22" t="str">
        <f t="shared" si="18"/>
        <v/>
      </c>
      <c r="O221" s="22" t="str">
        <f t="shared" si="22"/>
        <v/>
      </c>
    </row>
    <row r="222" spans="11:15" ht="20.100000000000001" customHeight="1">
      <c r="K222" s="27" t="str">
        <f t="shared" si="20"/>
        <v/>
      </c>
      <c r="L222" s="22" t="str">
        <f t="shared" si="19"/>
        <v/>
      </c>
      <c r="M222" s="22" t="str">
        <f t="shared" si="21"/>
        <v/>
      </c>
      <c r="N222" s="22" t="str">
        <f t="shared" si="18"/>
        <v/>
      </c>
      <c r="O222" s="22" t="str">
        <f t="shared" si="22"/>
        <v/>
      </c>
    </row>
    <row r="223" spans="11:15" ht="20.100000000000001" customHeight="1">
      <c r="K223" s="27" t="str">
        <f t="shared" si="20"/>
        <v/>
      </c>
      <c r="L223" s="22" t="str">
        <f t="shared" si="19"/>
        <v/>
      </c>
      <c r="M223" s="22" t="str">
        <f t="shared" si="21"/>
        <v/>
      </c>
      <c r="N223" s="22" t="str">
        <f t="shared" si="18"/>
        <v/>
      </c>
      <c r="O223" s="22" t="str">
        <f t="shared" si="22"/>
        <v/>
      </c>
    </row>
    <row r="224" spans="11:15" ht="20.100000000000001" customHeight="1">
      <c r="K224" s="27" t="str">
        <f t="shared" si="20"/>
        <v/>
      </c>
      <c r="L224" s="22" t="str">
        <f t="shared" si="19"/>
        <v/>
      </c>
      <c r="M224" s="22" t="str">
        <f t="shared" si="21"/>
        <v/>
      </c>
      <c r="N224" s="22" t="str">
        <f t="shared" si="18"/>
        <v/>
      </c>
      <c r="O224" s="22" t="str">
        <f t="shared" si="22"/>
        <v/>
      </c>
    </row>
    <row r="225" spans="11:15" ht="20.100000000000001" customHeight="1">
      <c r="K225" s="27" t="str">
        <f t="shared" si="20"/>
        <v/>
      </c>
      <c r="L225" s="22" t="str">
        <f t="shared" si="19"/>
        <v/>
      </c>
      <c r="M225" s="22" t="str">
        <f t="shared" si="21"/>
        <v/>
      </c>
      <c r="N225" s="22" t="str">
        <f t="shared" si="18"/>
        <v/>
      </c>
      <c r="O225" s="22" t="str">
        <f t="shared" si="22"/>
        <v/>
      </c>
    </row>
    <row r="226" spans="11:15" ht="20.100000000000001" customHeight="1">
      <c r="K226" s="27" t="str">
        <f t="shared" si="20"/>
        <v/>
      </c>
      <c r="L226" s="22" t="str">
        <f t="shared" si="19"/>
        <v/>
      </c>
      <c r="M226" s="22" t="str">
        <f t="shared" si="21"/>
        <v/>
      </c>
      <c r="N226" s="22" t="str">
        <f t="shared" si="18"/>
        <v/>
      </c>
      <c r="O226" s="22" t="str">
        <f t="shared" si="22"/>
        <v/>
      </c>
    </row>
    <row r="227" spans="11:15" ht="20.100000000000001" customHeight="1">
      <c r="K227" s="27" t="str">
        <f t="shared" si="20"/>
        <v/>
      </c>
      <c r="L227" s="22" t="str">
        <f t="shared" si="19"/>
        <v/>
      </c>
      <c r="M227" s="22" t="str">
        <f t="shared" si="21"/>
        <v/>
      </c>
      <c r="N227" s="22" t="str">
        <f t="shared" si="18"/>
        <v/>
      </c>
      <c r="O227" s="22" t="str">
        <f t="shared" si="22"/>
        <v/>
      </c>
    </row>
    <row r="228" spans="11:15" ht="20.100000000000001" customHeight="1">
      <c r="K228" s="27" t="str">
        <f t="shared" si="20"/>
        <v/>
      </c>
      <c r="L228" s="22" t="str">
        <f t="shared" si="19"/>
        <v/>
      </c>
      <c r="M228" s="22" t="str">
        <f t="shared" si="21"/>
        <v/>
      </c>
      <c r="N228" s="22" t="str">
        <f t="shared" si="18"/>
        <v/>
      </c>
      <c r="O228" s="22" t="str">
        <f t="shared" si="22"/>
        <v/>
      </c>
    </row>
    <row r="229" spans="11:15" ht="20.100000000000001" customHeight="1">
      <c r="K229" s="27" t="str">
        <f t="shared" si="20"/>
        <v/>
      </c>
      <c r="L229" s="22" t="str">
        <f t="shared" si="19"/>
        <v/>
      </c>
      <c r="M229" s="22" t="str">
        <f t="shared" si="21"/>
        <v/>
      </c>
      <c r="N229" s="22" t="str">
        <f t="shared" si="18"/>
        <v/>
      </c>
      <c r="O229" s="22" t="str">
        <f t="shared" si="22"/>
        <v/>
      </c>
    </row>
    <row r="230" spans="11:15" ht="20.100000000000001" customHeight="1">
      <c r="K230" s="27" t="str">
        <f t="shared" si="20"/>
        <v/>
      </c>
      <c r="L230" s="22" t="str">
        <f t="shared" si="19"/>
        <v/>
      </c>
      <c r="M230" s="22" t="str">
        <f t="shared" si="21"/>
        <v/>
      </c>
      <c r="N230" s="22" t="str">
        <f t="shared" si="18"/>
        <v/>
      </c>
      <c r="O230" s="22" t="str">
        <f t="shared" si="22"/>
        <v/>
      </c>
    </row>
    <row r="231" spans="11:15" ht="20.100000000000001" customHeight="1">
      <c r="K231" s="27" t="str">
        <f t="shared" si="20"/>
        <v/>
      </c>
      <c r="L231" s="22" t="str">
        <f t="shared" si="19"/>
        <v/>
      </c>
      <c r="M231" s="22" t="str">
        <f t="shared" si="21"/>
        <v/>
      </c>
      <c r="N231" s="22" t="str">
        <f t="shared" si="18"/>
        <v/>
      </c>
      <c r="O231" s="22" t="str">
        <f t="shared" si="22"/>
        <v/>
      </c>
    </row>
    <row r="232" spans="11:15" ht="20.100000000000001" customHeight="1">
      <c r="K232" s="27" t="str">
        <f t="shared" si="20"/>
        <v/>
      </c>
      <c r="L232" s="22" t="str">
        <f t="shared" si="19"/>
        <v/>
      </c>
      <c r="M232" s="22" t="str">
        <f t="shared" si="21"/>
        <v/>
      </c>
      <c r="N232" s="22" t="str">
        <f t="shared" si="18"/>
        <v/>
      </c>
      <c r="O232" s="22" t="str">
        <f t="shared" si="22"/>
        <v/>
      </c>
    </row>
    <row r="233" spans="11:15" ht="20.100000000000001" customHeight="1">
      <c r="K233" s="27" t="str">
        <f t="shared" si="20"/>
        <v/>
      </c>
      <c r="L233" s="22" t="str">
        <f t="shared" si="19"/>
        <v/>
      </c>
      <c r="M233" s="22" t="str">
        <f t="shared" si="21"/>
        <v/>
      </c>
      <c r="N233" s="22" t="str">
        <f t="shared" si="18"/>
        <v/>
      </c>
      <c r="O233" s="22" t="str">
        <f t="shared" si="22"/>
        <v/>
      </c>
    </row>
    <row r="234" spans="11:15" ht="20.100000000000001" customHeight="1">
      <c r="K234" s="27" t="str">
        <f t="shared" si="20"/>
        <v/>
      </c>
      <c r="L234" s="22" t="str">
        <f t="shared" si="19"/>
        <v/>
      </c>
      <c r="M234" s="22" t="str">
        <f t="shared" si="21"/>
        <v/>
      </c>
      <c r="N234" s="22" t="str">
        <f t="shared" si="18"/>
        <v/>
      </c>
      <c r="O234" s="22" t="str">
        <f t="shared" si="22"/>
        <v/>
      </c>
    </row>
    <row r="235" spans="11:15" ht="20.100000000000001" customHeight="1">
      <c r="K235" s="27" t="str">
        <f t="shared" si="20"/>
        <v/>
      </c>
      <c r="L235" s="22" t="str">
        <f t="shared" si="19"/>
        <v/>
      </c>
      <c r="M235" s="22" t="str">
        <f t="shared" si="21"/>
        <v/>
      </c>
      <c r="N235" s="22" t="str">
        <f t="shared" si="18"/>
        <v/>
      </c>
      <c r="O235" s="22" t="str">
        <f t="shared" si="22"/>
        <v/>
      </c>
    </row>
    <row r="236" spans="11:15" ht="20.100000000000001" customHeight="1">
      <c r="K236" s="27" t="str">
        <f t="shared" si="20"/>
        <v/>
      </c>
      <c r="L236" s="22" t="str">
        <f t="shared" si="19"/>
        <v/>
      </c>
      <c r="M236" s="22" t="str">
        <f t="shared" si="21"/>
        <v/>
      </c>
      <c r="N236" s="22" t="str">
        <f t="shared" si="18"/>
        <v/>
      </c>
      <c r="O236" s="22" t="str">
        <f t="shared" si="22"/>
        <v/>
      </c>
    </row>
    <row r="237" spans="11:15" ht="20.100000000000001" customHeight="1">
      <c r="K237" s="27" t="str">
        <f t="shared" si="20"/>
        <v/>
      </c>
      <c r="L237" s="22" t="str">
        <f t="shared" si="19"/>
        <v/>
      </c>
      <c r="M237" s="22" t="str">
        <f t="shared" ref="M237:M254" si="23">IF(K237=0,0,IF(K237="","",$S$6))</f>
        <v/>
      </c>
      <c r="N237" s="22" t="str">
        <f t="shared" si="18"/>
        <v/>
      </c>
      <c r="O237" s="22" t="str">
        <f t="shared" ref="O237:O254" si="24">IF(K237="","",SUM(L237:N237))</f>
        <v/>
      </c>
    </row>
    <row r="238" spans="11:15" ht="20.100000000000001" customHeight="1">
      <c r="K238" s="27" t="str">
        <f t="shared" si="20"/>
        <v/>
      </c>
      <c r="L238" s="22" t="str">
        <f t="shared" si="19"/>
        <v/>
      </c>
      <c r="M238" s="22" t="str">
        <f t="shared" si="23"/>
        <v/>
      </c>
      <c r="N238" s="22" t="str">
        <f t="shared" si="18"/>
        <v/>
      </c>
      <c r="O238" s="22" t="str">
        <f t="shared" si="24"/>
        <v/>
      </c>
    </row>
    <row r="239" spans="11:15" ht="20.100000000000001" customHeight="1">
      <c r="K239" s="27" t="str">
        <f t="shared" si="20"/>
        <v/>
      </c>
      <c r="L239" s="22" t="str">
        <f t="shared" si="19"/>
        <v/>
      </c>
      <c r="M239" s="22" t="str">
        <f t="shared" si="23"/>
        <v/>
      </c>
      <c r="N239" s="22" t="str">
        <f t="shared" si="18"/>
        <v/>
      </c>
      <c r="O239" s="22" t="str">
        <f t="shared" si="24"/>
        <v/>
      </c>
    </row>
    <row r="240" spans="11:15" ht="20.100000000000001" customHeight="1">
      <c r="K240" s="27" t="str">
        <f t="shared" si="20"/>
        <v/>
      </c>
      <c r="L240" s="22" t="str">
        <f t="shared" si="19"/>
        <v/>
      </c>
      <c r="M240" s="22" t="str">
        <f t="shared" si="23"/>
        <v/>
      </c>
      <c r="N240" s="22" t="str">
        <f t="shared" si="18"/>
        <v/>
      </c>
      <c r="O240" s="22" t="str">
        <f t="shared" si="24"/>
        <v/>
      </c>
    </row>
    <row r="241" spans="11:15" ht="20.100000000000001" customHeight="1">
      <c r="K241" s="27" t="str">
        <f t="shared" si="20"/>
        <v/>
      </c>
      <c r="L241" s="22" t="str">
        <f t="shared" si="19"/>
        <v/>
      </c>
      <c r="M241" s="22" t="str">
        <f t="shared" si="23"/>
        <v/>
      </c>
      <c r="N241" s="22" t="str">
        <f t="shared" si="18"/>
        <v/>
      </c>
      <c r="O241" s="22" t="str">
        <f t="shared" si="24"/>
        <v/>
      </c>
    </row>
    <row r="242" spans="11:15" ht="20.100000000000001" customHeight="1">
      <c r="K242" s="27" t="str">
        <f t="shared" si="20"/>
        <v/>
      </c>
      <c r="L242" s="22" t="str">
        <f t="shared" si="19"/>
        <v/>
      </c>
      <c r="M242" s="22" t="str">
        <f t="shared" si="23"/>
        <v/>
      </c>
      <c r="N242" s="22" t="str">
        <f t="shared" si="18"/>
        <v/>
      </c>
      <c r="O242" s="22" t="str">
        <f t="shared" si="24"/>
        <v/>
      </c>
    </row>
    <row r="243" spans="11:15" ht="20.100000000000001" customHeight="1">
      <c r="K243" s="27" t="str">
        <f t="shared" si="20"/>
        <v/>
      </c>
      <c r="L243" s="22" t="str">
        <f t="shared" si="19"/>
        <v/>
      </c>
      <c r="M243" s="22" t="str">
        <f t="shared" si="23"/>
        <v/>
      </c>
      <c r="N243" s="22" t="str">
        <f t="shared" si="18"/>
        <v/>
      </c>
      <c r="O243" s="22" t="str">
        <f t="shared" si="24"/>
        <v/>
      </c>
    </row>
    <row r="244" spans="11:15" ht="20.100000000000001" customHeight="1">
      <c r="K244" s="27" t="str">
        <f t="shared" si="20"/>
        <v/>
      </c>
      <c r="L244" s="22" t="str">
        <f t="shared" si="19"/>
        <v/>
      </c>
      <c r="M244" s="22" t="str">
        <f t="shared" si="23"/>
        <v/>
      </c>
      <c r="N244" s="22" t="str">
        <f t="shared" si="18"/>
        <v/>
      </c>
      <c r="O244" s="22" t="str">
        <f t="shared" si="24"/>
        <v/>
      </c>
    </row>
    <row r="245" spans="11:15" ht="20.100000000000001" customHeight="1">
      <c r="K245" s="27" t="str">
        <f t="shared" si="20"/>
        <v/>
      </c>
      <c r="L245" s="22" t="str">
        <f t="shared" si="19"/>
        <v/>
      </c>
      <c r="M245" s="22" t="str">
        <f t="shared" si="23"/>
        <v/>
      </c>
      <c r="N245" s="22" t="str">
        <f t="shared" si="18"/>
        <v/>
      </c>
      <c r="O245" s="22" t="str">
        <f t="shared" si="24"/>
        <v/>
      </c>
    </row>
    <row r="246" spans="11:15" ht="20.100000000000001" customHeight="1">
      <c r="K246" s="27" t="str">
        <f t="shared" si="20"/>
        <v/>
      </c>
      <c r="L246" s="22" t="str">
        <f t="shared" si="19"/>
        <v/>
      </c>
      <c r="M246" s="22" t="str">
        <f t="shared" si="23"/>
        <v/>
      </c>
      <c r="N246" s="22" t="str">
        <f t="shared" si="18"/>
        <v/>
      </c>
      <c r="O246" s="22" t="str">
        <f t="shared" si="24"/>
        <v/>
      </c>
    </row>
    <row r="247" spans="11:15" ht="20.100000000000001" customHeight="1">
      <c r="K247" s="27" t="str">
        <f t="shared" si="20"/>
        <v/>
      </c>
      <c r="L247" s="22" t="str">
        <f t="shared" si="19"/>
        <v/>
      </c>
      <c r="M247" s="22" t="str">
        <f t="shared" si="23"/>
        <v/>
      </c>
      <c r="N247" s="22" t="str">
        <f t="shared" si="18"/>
        <v/>
      </c>
      <c r="O247" s="22" t="str">
        <f t="shared" si="24"/>
        <v/>
      </c>
    </row>
    <row r="248" spans="11:15" ht="20.100000000000001" customHeight="1">
      <c r="K248" s="27" t="str">
        <f t="shared" si="20"/>
        <v/>
      </c>
      <c r="L248" s="22" t="str">
        <f t="shared" si="19"/>
        <v/>
      </c>
      <c r="M248" s="22" t="str">
        <f t="shared" si="23"/>
        <v/>
      </c>
      <c r="N248" s="22" t="str">
        <f t="shared" si="18"/>
        <v/>
      </c>
      <c r="O248" s="22" t="str">
        <f t="shared" si="24"/>
        <v/>
      </c>
    </row>
    <row r="249" spans="11:15" ht="20.100000000000001" customHeight="1">
      <c r="K249" s="27" t="str">
        <f t="shared" si="20"/>
        <v/>
      </c>
      <c r="L249" s="22" t="str">
        <f t="shared" si="19"/>
        <v/>
      </c>
      <c r="M249" s="22" t="str">
        <f t="shared" si="23"/>
        <v/>
      </c>
      <c r="N249" s="22" t="str">
        <f t="shared" si="18"/>
        <v/>
      </c>
      <c r="O249" s="22" t="str">
        <f t="shared" si="24"/>
        <v/>
      </c>
    </row>
    <row r="250" spans="11:15" ht="20.100000000000001" customHeight="1">
      <c r="K250" s="27" t="str">
        <f t="shared" si="20"/>
        <v/>
      </c>
      <c r="L250" s="22" t="str">
        <f t="shared" si="19"/>
        <v/>
      </c>
      <c r="M250" s="22" t="str">
        <f t="shared" si="23"/>
        <v/>
      </c>
      <c r="N250" s="22" t="str">
        <f t="shared" si="18"/>
        <v/>
      </c>
      <c r="O250" s="22" t="str">
        <f t="shared" si="24"/>
        <v/>
      </c>
    </row>
    <row r="251" spans="11:15" ht="20.100000000000001" customHeight="1">
      <c r="K251" s="27" t="str">
        <f t="shared" si="20"/>
        <v/>
      </c>
      <c r="L251" s="22" t="str">
        <f t="shared" si="19"/>
        <v/>
      </c>
      <c r="M251" s="22" t="str">
        <f t="shared" si="23"/>
        <v/>
      </c>
      <c r="N251" s="22" t="str">
        <f t="shared" si="18"/>
        <v/>
      </c>
      <c r="O251" s="22" t="str">
        <f t="shared" si="24"/>
        <v/>
      </c>
    </row>
    <row r="252" spans="11:15" ht="20.100000000000001" customHeight="1">
      <c r="K252" s="27" t="str">
        <f t="shared" si="20"/>
        <v/>
      </c>
      <c r="L252" s="22" t="str">
        <f t="shared" si="19"/>
        <v/>
      </c>
      <c r="M252" s="22" t="str">
        <f t="shared" si="23"/>
        <v/>
      </c>
      <c r="N252" s="22" t="str">
        <f t="shared" si="18"/>
        <v/>
      </c>
      <c r="O252" s="22" t="str">
        <f t="shared" si="24"/>
        <v/>
      </c>
    </row>
    <row r="253" spans="11:15" ht="20.100000000000001" customHeight="1">
      <c r="K253" s="27" t="str">
        <f t="shared" si="20"/>
        <v/>
      </c>
      <c r="L253" s="22" t="str">
        <f t="shared" si="19"/>
        <v/>
      </c>
      <c r="M253" s="22" t="str">
        <f t="shared" si="23"/>
        <v/>
      </c>
      <c r="N253" s="22" t="str">
        <f t="shared" si="18"/>
        <v/>
      </c>
      <c r="O253" s="22" t="str">
        <f t="shared" si="24"/>
        <v/>
      </c>
    </row>
    <row r="254" spans="11:15" ht="20.100000000000001" customHeight="1">
      <c r="K254" s="27" t="str">
        <f t="shared" si="20"/>
        <v/>
      </c>
      <c r="L254" s="22" t="str">
        <f t="shared" si="19"/>
        <v/>
      </c>
      <c r="M254" s="22" t="str">
        <f t="shared" si="23"/>
        <v/>
      </c>
      <c r="N254" s="22" t="str">
        <f t="shared" si="18"/>
        <v/>
      </c>
      <c r="O254" s="22" t="str">
        <f t="shared" si="24"/>
        <v/>
      </c>
    </row>
    <row r="255" spans="11:15" ht="20.100000000000001" customHeight="1">
      <c r="K255" s="27" t="str">
        <f t="shared" si="20"/>
        <v/>
      </c>
      <c r="L255" s="22" t="str">
        <f t="shared" ref="L255:L318" si="25">IF(K255="","",O254)</f>
        <v/>
      </c>
      <c r="M255" s="22" t="str">
        <f t="shared" ref="M255:M318" si="26">IF(K255=0,0,IF(K255="","",$S$6))</f>
        <v/>
      </c>
      <c r="N255" s="22" t="str">
        <f t="shared" ref="N255:N318" si="27">IF(K255="","",IF(K255=0,0,(L255*$S$9)))</f>
        <v/>
      </c>
      <c r="O255" s="22" t="str">
        <f t="shared" ref="O255:O318" si="28">IF(K255="","",SUM(L255:N255))</f>
        <v/>
      </c>
    </row>
    <row r="256" spans="11:15" ht="20.100000000000001" customHeight="1">
      <c r="K256" s="27" t="str">
        <f t="shared" si="20"/>
        <v/>
      </c>
      <c r="L256" s="22" t="str">
        <f t="shared" si="25"/>
        <v/>
      </c>
      <c r="M256" s="22" t="str">
        <f t="shared" si="26"/>
        <v/>
      </c>
      <c r="N256" s="22" t="str">
        <f t="shared" si="27"/>
        <v/>
      </c>
      <c r="O256" s="22" t="str">
        <f t="shared" si="28"/>
        <v/>
      </c>
    </row>
    <row r="257" spans="11:15" ht="20.100000000000001" customHeight="1">
      <c r="K257" s="27" t="str">
        <f t="shared" si="20"/>
        <v/>
      </c>
      <c r="L257" s="22" t="str">
        <f t="shared" si="25"/>
        <v/>
      </c>
      <c r="M257" s="22" t="str">
        <f t="shared" si="26"/>
        <v/>
      </c>
      <c r="N257" s="22" t="str">
        <f t="shared" si="27"/>
        <v/>
      </c>
      <c r="O257" s="22" t="str">
        <f t="shared" si="28"/>
        <v/>
      </c>
    </row>
    <row r="258" spans="11:15" ht="20.100000000000001" customHeight="1">
      <c r="K258" s="27" t="str">
        <f t="shared" si="20"/>
        <v/>
      </c>
      <c r="L258" s="22" t="str">
        <f t="shared" si="25"/>
        <v/>
      </c>
      <c r="M258" s="22" t="str">
        <f t="shared" si="26"/>
        <v/>
      </c>
      <c r="N258" s="22" t="str">
        <f t="shared" si="27"/>
        <v/>
      </c>
      <c r="O258" s="22" t="str">
        <f t="shared" si="28"/>
        <v/>
      </c>
    </row>
    <row r="259" spans="11:15" ht="20.100000000000001" customHeight="1">
      <c r="K259" s="27" t="str">
        <f t="shared" si="20"/>
        <v/>
      </c>
      <c r="L259" s="22" t="str">
        <f t="shared" si="25"/>
        <v/>
      </c>
      <c r="M259" s="22" t="str">
        <f t="shared" si="26"/>
        <v/>
      </c>
      <c r="N259" s="22" t="str">
        <f t="shared" si="27"/>
        <v/>
      </c>
      <c r="O259" s="22" t="str">
        <f t="shared" si="28"/>
        <v/>
      </c>
    </row>
    <row r="260" spans="11:15" ht="20.100000000000001" customHeight="1">
      <c r="K260" s="27" t="str">
        <f t="shared" si="20"/>
        <v/>
      </c>
      <c r="L260" s="22" t="str">
        <f t="shared" si="25"/>
        <v/>
      </c>
      <c r="M260" s="22" t="str">
        <f t="shared" si="26"/>
        <v/>
      </c>
      <c r="N260" s="22" t="str">
        <f t="shared" si="27"/>
        <v/>
      </c>
      <c r="O260" s="22" t="str">
        <f t="shared" si="28"/>
        <v/>
      </c>
    </row>
    <row r="261" spans="11:15" ht="20.100000000000001" customHeight="1">
      <c r="K261" s="27" t="str">
        <f t="shared" si="20"/>
        <v/>
      </c>
      <c r="L261" s="22" t="str">
        <f t="shared" si="25"/>
        <v/>
      </c>
      <c r="M261" s="22" t="str">
        <f t="shared" si="26"/>
        <v/>
      </c>
      <c r="N261" s="22" t="str">
        <f t="shared" si="27"/>
        <v/>
      </c>
      <c r="O261" s="22" t="str">
        <f t="shared" si="28"/>
        <v/>
      </c>
    </row>
    <row r="262" spans="11:15" ht="20.100000000000001" customHeight="1">
      <c r="K262" s="27" t="str">
        <f t="shared" si="20"/>
        <v/>
      </c>
      <c r="L262" s="22" t="str">
        <f t="shared" si="25"/>
        <v/>
      </c>
      <c r="M262" s="22" t="str">
        <f t="shared" si="26"/>
        <v/>
      </c>
      <c r="N262" s="22" t="str">
        <f t="shared" si="27"/>
        <v/>
      </c>
      <c r="O262" s="22" t="str">
        <f t="shared" si="28"/>
        <v/>
      </c>
    </row>
    <row r="263" spans="11:15" ht="20.100000000000001" customHeight="1">
      <c r="K263" s="27" t="str">
        <f t="shared" si="20"/>
        <v/>
      </c>
      <c r="L263" s="22" t="str">
        <f t="shared" si="25"/>
        <v/>
      </c>
      <c r="M263" s="22" t="str">
        <f t="shared" si="26"/>
        <v/>
      </c>
      <c r="N263" s="22" t="str">
        <f t="shared" si="27"/>
        <v/>
      </c>
      <c r="O263" s="22" t="str">
        <f t="shared" si="28"/>
        <v/>
      </c>
    </row>
    <row r="264" spans="11:15" ht="20.100000000000001" customHeight="1">
      <c r="K264" s="27" t="str">
        <f t="shared" si="20"/>
        <v/>
      </c>
      <c r="L264" s="22" t="str">
        <f t="shared" si="25"/>
        <v/>
      </c>
      <c r="M264" s="22" t="str">
        <f t="shared" si="26"/>
        <v/>
      </c>
      <c r="N264" s="22" t="str">
        <f t="shared" si="27"/>
        <v/>
      </c>
      <c r="O264" s="22" t="str">
        <f t="shared" si="28"/>
        <v/>
      </c>
    </row>
    <row r="265" spans="11:15" ht="20.100000000000001" customHeight="1">
      <c r="K265" s="27" t="str">
        <f t="shared" ref="K265:K328" si="29">IF(K264&gt;=$S$7,"",K264+1)</f>
        <v/>
      </c>
      <c r="L265" s="22" t="str">
        <f t="shared" si="25"/>
        <v/>
      </c>
      <c r="M265" s="22" t="str">
        <f t="shared" si="26"/>
        <v/>
      </c>
      <c r="N265" s="22" t="str">
        <f t="shared" si="27"/>
        <v/>
      </c>
      <c r="O265" s="22" t="str">
        <f t="shared" si="28"/>
        <v/>
      </c>
    </row>
    <row r="266" spans="11:15" ht="20.100000000000001" customHeight="1">
      <c r="K266" s="27" t="str">
        <f t="shared" si="29"/>
        <v/>
      </c>
      <c r="L266" s="22" t="str">
        <f t="shared" si="25"/>
        <v/>
      </c>
      <c r="M266" s="22" t="str">
        <f t="shared" si="26"/>
        <v/>
      </c>
      <c r="N266" s="22" t="str">
        <f t="shared" si="27"/>
        <v/>
      </c>
      <c r="O266" s="22" t="str">
        <f t="shared" si="28"/>
        <v/>
      </c>
    </row>
    <row r="267" spans="11:15" ht="20.100000000000001" customHeight="1">
      <c r="K267" s="27" t="str">
        <f t="shared" si="29"/>
        <v/>
      </c>
      <c r="L267" s="22" t="str">
        <f t="shared" si="25"/>
        <v/>
      </c>
      <c r="M267" s="22" t="str">
        <f t="shared" si="26"/>
        <v/>
      </c>
      <c r="N267" s="22" t="str">
        <f t="shared" si="27"/>
        <v/>
      </c>
      <c r="O267" s="22" t="str">
        <f t="shared" si="28"/>
        <v/>
      </c>
    </row>
    <row r="268" spans="11:15" ht="20.100000000000001" customHeight="1">
      <c r="K268" s="27" t="str">
        <f t="shared" si="29"/>
        <v/>
      </c>
      <c r="L268" s="22" t="str">
        <f t="shared" si="25"/>
        <v/>
      </c>
      <c r="M268" s="22" t="str">
        <f t="shared" si="26"/>
        <v/>
      </c>
      <c r="N268" s="22" t="str">
        <f t="shared" si="27"/>
        <v/>
      </c>
      <c r="O268" s="22" t="str">
        <f t="shared" si="28"/>
        <v/>
      </c>
    </row>
    <row r="269" spans="11:15" ht="20.100000000000001" customHeight="1">
      <c r="K269" s="27" t="str">
        <f t="shared" si="29"/>
        <v/>
      </c>
      <c r="L269" s="22" t="str">
        <f t="shared" si="25"/>
        <v/>
      </c>
      <c r="M269" s="22" t="str">
        <f t="shared" si="26"/>
        <v/>
      </c>
      <c r="N269" s="22" t="str">
        <f t="shared" si="27"/>
        <v/>
      </c>
      <c r="O269" s="22" t="str">
        <f t="shared" si="28"/>
        <v/>
      </c>
    </row>
    <row r="270" spans="11:15" ht="20.100000000000001" customHeight="1">
      <c r="K270" s="27" t="str">
        <f t="shared" si="29"/>
        <v/>
      </c>
      <c r="L270" s="22" t="str">
        <f t="shared" si="25"/>
        <v/>
      </c>
      <c r="M270" s="22" t="str">
        <f t="shared" si="26"/>
        <v/>
      </c>
      <c r="N270" s="22" t="str">
        <f t="shared" si="27"/>
        <v/>
      </c>
      <c r="O270" s="22" t="str">
        <f t="shared" si="28"/>
        <v/>
      </c>
    </row>
    <row r="271" spans="11:15" ht="20.100000000000001" customHeight="1">
      <c r="K271" s="27" t="str">
        <f t="shared" si="29"/>
        <v/>
      </c>
      <c r="L271" s="22" t="str">
        <f t="shared" si="25"/>
        <v/>
      </c>
      <c r="M271" s="22" t="str">
        <f t="shared" si="26"/>
        <v/>
      </c>
      <c r="N271" s="22" t="str">
        <f t="shared" si="27"/>
        <v/>
      </c>
      <c r="O271" s="22" t="str">
        <f t="shared" si="28"/>
        <v/>
      </c>
    </row>
    <row r="272" spans="11:15" ht="20.100000000000001" customHeight="1">
      <c r="K272" s="27" t="str">
        <f t="shared" si="29"/>
        <v/>
      </c>
      <c r="L272" s="22" t="str">
        <f t="shared" si="25"/>
        <v/>
      </c>
      <c r="M272" s="22" t="str">
        <f t="shared" si="26"/>
        <v/>
      </c>
      <c r="N272" s="22" t="str">
        <f t="shared" si="27"/>
        <v/>
      </c>
      <c r="O272" s="22" t="str">
        <f t="shared" si="28"/>
        <v/>
      </c>
    </row>
    <row r="273" spans="11:15" ht="20.100000000000001" customHeight="1">
      <c r="K273" s="27" t="str">
        <f t="shared" si="29"/>
        <v/>
      </c>
      <c r="L273" s="22" t="str">
        <f t="shared" si="25"/>
        <v/>
      </c>
      <c r="M273" s="22" t="str">
        <f t="shared" si="26"/>
        <v/>
      </c>
      <c r="N273" s="22" t="str">
        <f t="shared" si="27"/>
        <v/>
      </c>
      <c r="O273" s="22" t="str">
        <f t="shared" si="28"/>
        <v/>
      </c>
    </row>
    <row r="274" spans="11:15" ht="20.100000000000001" customHeight="1">
      <c r="K274" s="27" t="str">
        <f t="shared" si="29"/>
        <v/>
      </c>
      <c r="L274" s="22" t="str">
        <f t="shared" si="25"/>
        <v/>
      </c>
      <c r="M274" s="22" t="str">
        <f t="shared" si="26"/>
        <v/>
      </c>
      <c r="N274" s="22" t="str">
        <f t="shared" si="27"/>
        <v/>
      </c>
      <c r="O274" s="22" t="str">
        <f t="shared" si="28"/>
        <v/>
      </c>
    </row>
    <row r="275" spans="11:15" ht="20.100000000000001" customHeight="1">
      <c r="K275" s="27" t="str">
        <f t="shared" si="29"/>
        <v/>
      </c>
      <c r="L275" s="22" t="str">
        <f t="shared" si="25"/>
        <v/>
      </c>
      <c r="M275" s="22" t="str">
        <f t="shared" si="26"/>
        <v/>
      </c>
      <c r="N275" s="22" t="str">
        <f t="shared" si="27"/>
        <v/>
      </c>
      <c r="O275" s="22" t="str">
        <f t="shared" si="28"/>
        <v/>
      </c>
    </row>
    <row r="276" spans="11:15" ht="20.100000000000001" customHeight="1">
      <c r="K276" s="27" t="str">
        <f t="shared" si="29"/>
        <v/>
      </c>
      <c r="L276" s="22" t="str">
        <f t="shared" si="25"/>
        <v/>
      </c>
      <c r="M276" s="22" t="str">
        <f t="shared" si="26"/>
        <v/>
      </c>
      <c r="N276" s="22" t="str">
        <f t="shared" si="27"/>
        <v/>
      </c>
      <c r="O276" s="22" t="str">
        <f t="shared" si="28"/>
        <v/>
      </c>
    </row>
    <row r="277" spans="11:15" ht="20.100000000000001" customHeight="1">
      <c r="K277" s="27" t="str">
        <f t="shared" si="29"/>
        <v/>
      </c>
      <c r="L277" s="22" t="str">
        <f t="shared" si="25"/>
        <v/>
      </c>
      <c r="M277" s="22" t="str">
        <f t="shared" si="26"/>
        <v/>
      </c>
      <c r="N277" s="22" t="str">
        <f t="shared" si="27"/>
        <v/>
      </c>
      <c r="O277" s="22" t="str">
        <f t="shared" si="28"/>
        <v/>
      </c>
    </row>
    <row r="278" spans="11:15" ht="20.100000000000001" customHeight="1">
      <c r="K278" s="27" t="str">
        <f t="shared" si="29"/>
        <v/>
      </c>
      <c r="L278" s="22" t="str">
        <f t="shared" si="25"/>
        <v/>
      </c>
      <c r="M278" s="22" t="str">
        <f t="shared" si="26"/>
        <v/>
      </c>
      <c r="N278" s="22" t="str">
        <f t="shared" si="27"/>
        <v/>
      </c>
      <c r="O278" s="22" t="str">
        <f t="shared" si="28"/>
        <v/>
      </c>
    </row>
    <row r="279" spans="11:15" ht="20.100000000000001" customHeight="1">
      <c r="K279" s="27" t="str">
        <f t="shared" si="29"/>
        <v/>
      </c>
      <c r="L279" s="22" t="str">
        <f t="shared" si="25"/>
        <v/>
      </c>
      <c r="M279" s="22" t="str">
        <f t="shared" si="26"/>
        <v/>
      </c>
      <c r="N279" s="22" t="str">
        <f t="shared" si="27"/>
        <v/>
      </c>
      <c r="O279" s="22" t="str">
        <f t="shared" si="28"/>
        <v/>
      </c>
    </row>
    <row r="280" spans="11:15" ht="20.100000000000001" customHeight="1">
      <c r="K280" s="27" t="str">
        <f t="shared" si="29"/>
        <v/>
      </c>
      <c r="L280" s="22" t="str">
        <f t="shared" si="25"/>
        <v/>
      </c>
      <c r="M280" s="22" t="str">
        <f t="shared" si="26"/>
        <v/>
      </c>
      <c r="N280" s="22" t="str">
        <f t="shared" si="27"/>
        <v/>
      </c>
      <c r="O280" s="22" t="str">
        <f t="shared" si="28"/>
        <v/>
      </c>
    </row>
    <row r="281" spans="11:15" ht="20.100000000000001" customHeight="1">
      <c r="K281" s="27" t="str">
        <f t="shared" si="29"/>
        <v/>
      </c>
      <c r="L281" s="22" t="str">
        <f t="shared" si="25"/>
        <v/>
      </c>
      <c r="M281" s="22" t="str">
        <f t="shared" si="26"/>
        <v/>
      </c>
      <c r="N281" s="22" t="str">
        <f t="shared" si="27"/>
        <v/>
      </c>
      <c r="O281" s="22" t="str">
        <f t="shared" si="28"/>
        <v/>
      </c>
    </row>
    <row r="282" spans="11:15" ht="20.100000000000001" customHeight="1">
      <c r="K282" s="27" t="str">
        <f t="shared" si="29"/>
        <v/>
      </c>
      <c r="L282" s="22" t="str">
        <f t="shared" si="25"/>
        <v/>
      </c>
      <c r="M282" s="22" t="str">
        <f t="shared" si="26"/>
        <v/>
      </c>
      <c r="N282" s="22" t="str">
        <f t="shared" si="27"/>
        <v/>
      </c>
      <c r="O282" s="22" t="str">
        <f t="shared" si="28"/>
        <v/>
      </c>
    </row>
    <row r="283" spans="11:15" ht="20.100000000000001" customHeight="1">
      <c r="K283" s="27" t="str">
        <f t="shared" si="29"/>
        <v/>
      </c>
      <c r="L283" s="22" t="str">
        <f t="shared" si="25"/>
        <v/>
      </c>
      <c r="M283" s="22" t="str">
        <f t="shared" si="26"/>
        <v/>
      </c>
      <c r="N283" s="22" t="str">
        <f t="shared" si="27"/>
        <v/>
      </c>
      <c r="O283" s="22" t="str">
        <f t="shared" si="28"/>
        <v/>
      </c>
    </row>
    <row r="284" spans="11:15" ht="20.100000000000001" customHeight="1">
      <c r="K284" s="27" t="str">
        <f t="shared" si="29"/>
        <v/>
      </c>
      <c r="L284" s="22" t="str">
        <f t="shared" si="25"/>
        <v/>
      </c>
      <c r="M284" s="22" t="str">
        <f t="shared" si="26"/>
        <v/>
      </c>
      <c r="N284" s="22" t="str">
        <f t="shared" si="27"/>
        <v/>
      </c>
      <c r="O284" s="22" t="str">
        <f t="shared" si="28"/>
        <v/>
      </c>
    </row>
    <row r="285" spans="11:15" ht="20.100000000000001" customHeight="1">
      <c r="K285" s="27" t="str">
        <f t="shared" si="29"/>
        <v/>
      </c>
      <c r="L285" s="22" t="str">
        <f t="shared" si="25"/>
        <v/>
      </c>
      <c r="M285" s="22" t="str">
        <f t="shared" si="26"/>
        <v/>
      </c>
      <c r="N285" s="22" t="str">
        <f t="shared" si="27"/>
        <v/>
      </c>
      <c r="O285" s="22" t="str">
        <f t="shared" si="28"/>
        <v/>
      </c>
    </row>
    <row r="286" spans="11:15" ht="20.100000000000001" customHeight="1">
      <c r="K286" s="27" t="str">
        <f t="shared" si="29"/>
        <v/>
      </c>
      <c r="L286" s="22" t="str">
        <f t="shared" si="25"/>
        <v/>
      </c>
      <c r="M286" s="22" t="str">
        <f t="shared" si="26"/>
        <v/>
      </c>
      <c r="N286" s="22" t="str">
        <f t="shared" si="27"/>
        <v/>
      </c>
      <c r="O286" s="22" t="str">
        <f t="shared" si="28"/>
        <v/>
      </c>
    </row>
    <row r="287" spans="11:15" ht="20.100000000000001" customHeight="1">
      <c r="K287" s="27" t="str">
        <f t="shared" si="29"/>
        <v/>
      </c>
      <c r="L287" s="22" t="str">
        <f t="shared" si="25"/>
        <v/>
      </c>
      <c r="M287" s="22" t="str">
        <f t="shared" si="26"/>
        <v/>
      </c>
      <c r="N287" s="22" t="str">
        <f t="shared" si="27"/>
        <v/>
      </c>
      <c r="O287" s="22" t="str">
        <f t="shared" si="28"/>
        <v/>
      </c>
    </row>
    <row r="288" spans="11:15" ht="20.100000000000001" customHeight="1">
      <c r="K288" s="27" t="str">
        <f t="shared" si="29"/>
        <v/>
      </c>
      <c r="L288" s="22" t="str">
        <f t="shared" si="25"/>
        <v/>
      </c>
      <c r="M288" s="22" t="str">
        <f t="shared" si="26"/>
        <v/>
      </c>
      <c r="N288" s="22" t="str">
        <f t="shared" si="27"/>
        <v/>
      </c>
      <c r="O288" s="22" t="str">
        <f t="shared" si="28"/>
        <v/>
      </c>
    </row>
    <row r="289" spans="11:15" ht="20.100000000000001" customHeight="1">
      <c r="K289" s="27" t="str">
        <f t="shared" si="29"/>
        <v/>
      </c>
      <c r="L289" s="22" t="str">
        <f t="shared" si="25"/>
        <v/>
      </c>
      <c r="M289" s="22" t="str">
        <f t="shared" si="26"/>
        <v/>
      </c>
      <c r="N289" s="22" t="str">
        <f t="shared" si="27"/>
        <v/>
      </c>
      <c r="O289" s="22" t="str">
        <f t="shared" si="28"/>
        <v/>
      </c>
    </row>
    <row r="290" spans="11:15" ht="20.100000000000001" customHeight="1">
      <c r="K290" s="27" t="str">
        <f t="shared" si="29"/>
        <v/>
      </c>
      <c r="L290" s="22" t="str">
        <f t="shared" si="25"/>
        <v/>
      </c>
      <c r="M290" s="22" t="str">
        <f t="shared" si="26"/>
        <v/>
      </c>
      <c r="N290" s="22" t="str">
        <f t="shared" si="27"/>
        <v/>
      </c>
      <c r="O290" s="22" t="str">
        <f t="shared" si="28"/>
        <v/>
      </c>
    </row>
    <row r="291" spans="11:15" ht="20.100000000000001" customHeight="1">
      <c r="K291" s="27" t="str">
        <f t="shared" si="29"/>
        <v/>
      </c>
      <c r="L291" s="22" t="str">
        <f t="shared" si="25"/>
        <v/>
      </c>
      <c r="M291" s="22" t="str">
        <f t="shared" si="26"/>
        <v/>
      </c>
      <c r="N291" s="22" t="str">
        <f t="shared" si="27"/>
        <v/>
      </c>
      <c r="O291" s="22" t="str">
        <f t="shared" si="28"/>
        <v/>
      </c>
    </row>
    <row r="292" spans="11:15" ht="20.100000000000001" customHeight="1">
      <c r="K292" s="27" t="str">
        <f t="shared" si="29"/>
        <v/>
      </c>
      <c r="L292" s="22" t="str">
        <f t="shared" si="25"/>
        <v/>
      </c>
      <c r="M292" s="22" t="str">
        <f t="shared" si="26"/>
        <v/>
      </c>
      <c r="N292" s="22" t="str">
        <f t="shared" si="27"/>
        <v/>
      </c>
      <c r="O292" s="22" t="str">
        <f t="shared" si="28"/>
        <v/>
      </c>
    </row>
    <row r="293" spans="11:15" ht="20.100000000000001" customHeight="1">
      <c r="K293" s="27" t="str">
        <f t="shared" si="29"/>
        <v/>
      </c>
      <c r="L293" s="22" t="str">
        <f t="shared" si="25"/>
        <v/>
      </c>
      <c r="M293" s="22" t="str">
        <f t="shared" si="26"/>
        <v/>
      </c>
      <c r="N293" s="22" t="str">
        <f t="shared" si="27"/>
        <v/>
      </c>
      <c r="O293" s="22" t="str">
        <f t="shared" si="28"/>
        <v/>
      </c>
    </row>
    <row r="294" spans="11:15" ht="20.100000000000001" customHeight="1">
      <c r="K294" s="27" t="str">
        <f t="shared" si="29"/>
        <v/>
      </c>
      <c r="L294" s="22" t="str">
        <f t="shared" si="25"/>
        <v/>
      </c>
      <c r="M294" s="22" t="str">
        <f t="shared" si="26"/>
        <v/>
      </c>
      <c r="N294" s="22" t="str">
        <f t="shared" si="27"/>
        <v/>
      </c>
      <c r="O294" s="22" t="str">
        <f t="shared" si="28"/>
        <v/>
      </c>
    </row>
    <row r="295" spans="11:15" ht="20.100000000000001" customHeight="1">
      <c r="K295" s="27" t="str">
        <f t="shared" si="29"/>
        <v/>
      </c>
      <c r="L295" s="22" t="str">
        <f t="shared" si="25"/>
        <v/>
      </c>
      <c r="M295" s="22" t="str">
        <f t="shared" si="26"/>
        <v/>
      </c>
      <c r="N295" s="22" t="str">
        <f t="shared" si="27"/>
        <v/>
      </c>
      <c r="O295" s="22" t="str">
        <f t="shared" si="28"/>
        <v/>
      </c>
    </row>
    <row r="296" spans="11:15" ht="20.100000000000001" customHeight="1">
      <c r="K296" s="27" t="str">
        <f t="shared" si="29"/>
        <v/>
      </c>
      <c r="L296" s="22" t="str">
        <f t="shared" si="25"/>
        <v/>
      </c>
      <c r="M296" s="22" t="str">
        <f t="shared" si="26"/>
        <v/>
      </c>
      <c r="N296" s="22" t="str">
        <f t="shared" si="27"/>
        <v/>
      </c>
      <c r="O296" s="22" t="str">
        <f t="shared" si="28"/>
        <v/>
      </c>
    </row>
    <row r="297" spans="11:15" ht="20.100000000000001" customHeight="1">
      <c r="K297" s="27" t="str">
        <f t="shared" si="29"/>
        <v/>
      </c>
      <c r="L297" s="22" t="str">
        <f t="shared" si="25"/>
        <v/>
      </c>
      <c r="M297" s="22" t="str">
        <f t="shared" si="26"/>
        <v/>
      </c>
      <c r="N297" s="22" t="str">
        <f t="shared" si="27"/>
        <v/>
      </c>
      <c r="O297" s="22" t="str">
        <f t="shared" si="28"/>
        <v/>
      </c>
    </row>
    <row r="298" spans="11:15" ht="20.100000000000001" customHeight="1">
      <c r="K298" s="27" t="str">
        <f t="shared" si="29"/>
        <v/>
      </c>
      <c r="L298" s="22" t="str">
        <f t="shared" si="25"/>
        <v/>
      </c>
      <c r="M298" s="22" t="str">
        <f t="shared" si="26"/>
        <v/>
      </c>
      <c r="N298" s="22" t="str">
        <f t="shared" si="27"/>
        <v/>
      </c>
      <c r="O298" s="22" t="str">
        <f t="shared" si="28"/>
        <v/>
      </c>
    </row>
    <row r="299" spans="11:15" ht="20.100000000000001" customHeight="1">
      <c r="K299" s="27" t="str">
        <f t="shared" si="29"/>
        <v/>
      </c>
      <c r="L299" s="22" t="str">
        <f t="shared" si="25"/>
        <v/>
      </c>
      <c r="M299" s="22" t="str">
        <f t="shared" si="26"/>
        <v/>
      </c>
      <c r="N299" s="22" t="str">
        <f t="shared" si="27"/>
        <v/>
      </c>
      <c r="O299" s="22" t="str">
        <f t="shared" si="28"/>
        <v/>
      </c>
    </row>
    <row r="300" spans="11:15" ht="20.100000000000001" customHeight="1">
      <c r="K300" s="27" t="str">
        <f t="shared" si="29"/>
        <v/>
      </c>
      <c r="L300" s="22" t="str">
        <f t="shared" si="25"/>
        <v/>
      </c>
      <c r="M300" s="22" t="str">
        <f t="shared" si="26"/>
        <v/>
      </c>
      <c r="N300" s="22" t="str">
        <f t="shared" si="27"/>
        <v/>
      </c>
      <c r="O300" s="22" t="str">
        <f t="shared" si="28"/>
        <v/>
      </c>
    </row>
    <row r="301" spans="11:15" ht="20.100000000000001" customHeight="1">
      <c r="K301" s="27" t="str">
        <f t="shared" si="29"/>
        <v/>
      </c>
      <c r="L301" s="22" t="str">
        <f t="shared" si="25"/>
        <v/>
      </c>
      <c r="M301" s="22" t="str">
        <f t="shared" si="26"/>
        <v/>
      </c>
      <c r="N301" s="22" t="str">
        <f t="shared" si="27"/>
        <v/>
      </c>
      <c r="O301" s="22" t="str">
        <f t="shared" si="28"/>
        <v/>
      </c>
    </row>
    <row r="302" spans="11:15" ht="20.100000000000001" customHeight="1">
      <c r="K302" s="27" t="str">
        <f t="shared" si="29"/>
        <v/>
      </c>
      <c r="L302" s="22" t="str">
        <f t="shared" si="25"/>
        <v/>
      </c>
      <c r="M302" s="22" t="str">
        <f t="shared" si="26"/>
        <v/>
      </c>
      <c r="N302" s="22" t="str">
        <f t="shared" si="27"/>
        <v/>
      </c>
      <c r="O302" s="22" t="str">
        <f t="shared" si="28"/>
        <v/>
      </c>
    </row>
    <row r="303" spans="11:15" ht="20.100000000000001" customHeight="1">
      <c r="K303" s="27" t="str">
        <f t="shared" si="29"/>
        <v/>
      </c>
      <c r="L303" s="22" t="str">
        <f t="shared" si="25"/>
        <v/>
      </c>
      <c r="M303" s="22" t="str">
        <f t="shared" si="26"/>
        <v/>
      </c>
      <c r="N303" s="22" t="str">
        <f t="shared" si="27"/>
        <v/>
      </c>
      <c r="O303" s="22" t="str">
        <f t="shared" si="28"/>
        <v/>
      </c>
    </row>
    <row r="304" spans="11:15" ht="20.100000000000001" customHeight="1">
      <c r="K304" s="27" t="str">
        <f t="shared" si="29"/>
        <v/>
      </c>
      <c r="L304" s="22" t="str">
        <f t="shared" si="25"/>
        <v/>
      </c>
      <c r="M304" s="22" t="str">
        <f t="shared" si="26"/>
        <v/>
      </c>
      <c r="N304" s="22" t="str">
        <f t="shared" si="27"/>
        <v/>
      </c>
      <c r="O304" s="22" t="str">
        <f t="shared" si="28"/>
        <v/>
      </c>
    </row>
    <row r="305" spans="11:15" ht="20.100000000000001" customHeight="1">
      <c r="K305" s="27" t="str">
        <f t="shared" si="29"/>
        <v/>
      </c>
      <c r="L305" s="22" t="str">
        <f t="shared" si="25"/>
        <v/>
      </c>
      <c r="M305" s="22" t="str">
        <f t="shared" si="26"/>
        <v/>
      </c>
      <c r="N305" s="22" t="str">
        <f t="shared" si="27"/>
        <v/>
      </c>
      <c r="O305" s="22" t="str">
        <f t="shared" si="28"/>
        <v/>
      </c>
    </row>
    <row r="306" spans="11:15" ht="20.100000000000001" customHeight="1">
      <c r="K306" s="27" t="str">
        <f t="shared" si="29"/>
        <v/>
      </c>
      <c r="L306" s="22" t="str">
        <f t="shared" si="25"/>
        <v/>
      </c>
      <c r="M306" s="22" t="str">
        <f t="shared" si="26"/>
        <v/>
      </c>
      <c r="N306" s="22" t="str">
        <f t="shared" si="27"/>
        <v/>
      </c>
      <c r="O306" s="22" t="str">
        <f t="shared" si="28"/>
        <v/>
      </c>
    </row>
    <row r="307" spans="11:15" ht="20.100000000000001" customHeight="1">
      <c r="K307" s="27" t="str">
        <f t="shared" si="29"/>
        <v/>
      </c>
      <c r="L307" s="22" t="str">
        <f t="shared" si="25"/>
        <v/>
      </c>
      <c r="M307" s="22" t="str">
        <f t="shared" si="26"/>
        <v/>
      </c>
      <c r="N307" s="22" t="str">
        <f t="shared" si="27"/>
        <v/>
      </c>
      <c r="O307" s="22" t="str">
        <f t="shared" si="28"/>
        <v/>
      </c>
    </row>
    <row r="308" spans="11:15" ht="20.100000000000001" customHeight="1">
      <c r="K308" s="27" t="str">
        <f t="shared" si="29"/>
        <v/>
      </c>
      <c r="L308" s="22" t="str">
        <f t="shared" si="25"/>
        <v/>
      </c>
      <c r="M308" s="22" t="str">
        <f t="shared" si="26"/>
        <v/>
      </c>
      <c r="N308" s="22" t="str">
        <f t="shared" si="27"/>
        <v/>
      </c>
      <c r="O308" s="22" t="str">
        <f t="shared" si="28"/>
        <v/>
      </c>
    </row>
    <row r="309" spans="11:15" ht="20.100000000000001" customHeight="1">
      <c r="K309" s="27" t="str">
        <f t="shared" si="29"/>
        <v/>
      </c>
      <c r="L309" s="22" t="str">
        <f t="shared" si="25"/>
        <v/>
      </c>
      <c r="M309" s="22" t="str">
        <f t="shared" si="26"/>
        <v/>
      </c>
      <c r="N309" s="22" t="str">
        <f t="shared" si="27"/>
        <v/>
      </c>
      <c r="O309" s="22" t="str">
        <f t="shared" si="28"/>
        <v/>
      </c>
    </row>
    <row r="310" spans="11:15" ht="20.100000000000001" customHeight="1">
      <c r="K310" s="27" t="str">
        <f t="shared" si="29"/>
        <v/>
      </c>
      <c r="L310" s="22" t="str">
        <f t="shared" si="25"/>
        <v/>
      </c>
      <c r="M310" s="22" t="str">
        <f t="shared" si="26"/>
        <v/>
      </c>
      <c r="N310" s="22" t="str">
        <f t="shared" si="27"/>
        <v/>
      </c>
      <c r="O310" s="22" t="str">
        <f t="shared" si="28"/>
        <v/>
      </c>
    </row>
    <row r="311" spans="11:15" ht="20.100000000000001" customHeight="1">
      <c r="K311" s="27" t="str">
        <f t="shared" si="29"/>
        <v/>
      </c>
      <c r="L311" s="22" t="str">
        <f t="shared" si="25"/>
        <v/>
      </c>
      <c r="M311" s="22" t="str">
        <f t="shared" si="26"/>
        <v/>
      </c>
      <c r="N311" s="22" t="str">
        <f t="shared" si="27"/>
        <v/>
      </c>
      <c r="O311" s="22" t="str">
        <f t="shared" si="28"/>
        <v/>
      </c>
    </row>
    <row r="312" spans="11:15" ht="20.100000000000001" customHeight="1">
      <c r="K312" s="27" t="str">
        <f t="shared" si="29"/>
        <v/>
      </c>
      <c r="L312" s="22" t="str">
        <f t="shared" si="25"/>
        <v/>
      </c>
      <c r="M312" s="22" t="str">
        <f t="shared" si="26"/>
        <v/>
      </c>
      <c r="N312" s="22" t="str">
        <f t="shared" si="27"/>
        <v/>
      </c>
      <c r="O312" s="22" t="str">
        <f t="shared" si="28"/>
        <v/>
      </c>
    </row>
    <row r="313" spans="11:15" ht="20.100000000000001" customHeight="1">
      <c r="K313" s="27" t="str">
        <f t="shared" si="29"/>
        <v/>
      </c>
      <c r="L313" s="22" t="str">
        <f t="shared" si="25"/>
        <v/>
      </c>
      <c r="M313" s="22" t="str">
        <f t="shared" si="26"/>
        <v/>
      </c>
      <c r="N313" s="22" t="str">
        <f t="shared" si="27"/>
        <v/>
      </c>
      <c r="O313" s="22" t="str">
        <f t="shared" si="28"/>
        <v/>
      </c>
    </row>
    <row r="314" spans="11:15" ht="20.100000000000001" customHeight="1">
      <c r="K314" s="27" t="str">
        <f t="shared" si="29"/>
        <v/>
      </c>
      <c r="L314" s="22" t="str">
        <f t="shared" si="25"/>
        <v/>
      </c>
      <c r="M314" s="22" t="str">
        <f t="shared" si="26"/>
        <v/>
      </c>
      <c r="N314" s="22" t="str">
        <f t="shared" si="27"/>
        <v/>
      </c>
      <c r="O314" s="22" t="str">
        <f t="shared" si="28"/>
        <v/>
      </c>
    </row>
    <row r="315" spans="11:15" ht="20.100000000000001" customHeight="1">
      <c r="K315" s="27" t="str">
        <f t="shared" si="29"/>
        <v/>
      </c>
      <c r="L315" s="22" t="str">
        <f t="shared" si="25"/>
        <v/>
      </c>
      <c r="M315" s="22" t="str">
        <f t="shared" si="26"/>
        <v/>
      </c>
      <c r="N315" s="22" t="str">
        <f t="shared" si="27"/>
        <v/>
      </c>
      <c r="O315" s="22" t="str">
        <f t="shared" si="28"/>
        <v/>
      </c>
    </row>
    <row r="316" spans="11:15" ht="20.100000000000001" customHeight="1">
      <c r="K316" s="27" t="str">
        <f t="shared" si="29"/>
        <v/>
      </c>
      <c r="L316" s="22" t="str">
        <f t="shared" si="25"/>
        <v/>
      </c>
      <c r="M316" s="22" t="str">
        <f t="shared" si="26"/>
        <v/>
      </c>
      <c r="N316" s="22" t="str">
        <f t="shared" si="27"/>
        <v/>
      </c>
      <c r="O316" s="22" t="str">
        <f t="shared" si="28"/>
        <v/>
      </c>
    </row>
    <row r="317" spans="11:15" ht="20.100000000000001" customHeight="1">
      <c r="K317" s="27" t="str">
        <f t="shared" si="29"/>
        <v/>
      </c>
      <c r="L317" s="22" t="str">
        <f t="shared" si="25"/>
        <v/>
      </c>
      <c r="M317" s="22" t="str">
        <f t="shared" si="26"/>
        <v/>
      </c>
      <c r="N317" s="22" t="str">
        <f t="shared" si="27"/>
        <v/>
      </c>
      <c r="O317" s="22" t="str">
        <f t="shared" si="28"/>
        <v/>
      </c>
    </row>
    <row r="318" spans="11:15" ht="20.100000000000001" customHeight="1">
      <c r="K318" s="27" t="str">
        <f t="shared" si="29"/>
        <v/>
      </c>
      <c r="L318" s="22" t="str">
        <f t="shared" si="25"/>
        <v/>
      </c>
      <c r="M318" s="22" t="str">
        <f t="shared" si="26"/>
        <v/>
      </c>
      <c r="N318" s="22" t="str">
        <f t="shared" si="27"/>
        <v/>
      </c>
      <c r="O318" s="22" t="str">
        <f t="shared" si="28"/>
        <v/>
      </c>
    </row>
    <row r="319" spans="11:15" ht="20.100000000000001" customHeight="1">
      <c r="K319" s="27" t="str">
        <f t="shared" si="29"/>
        <v/>
      </c>
      <c r="L319" s="22" t="str">
        <f t="shared" ref="L319:L339" si="30">IF(K319="","",O318)</f>
        <v/>
      </c>
      <c r="M319" s="22" t="str">
        <f t="shared" ref="M319:M339" si="31">IF(K319=0,0,IF(K319="","",$S$6))</f>
        <v/>
      </c>
      <c r="N319" s="22" t="str">
        <f t="shared" ref="N319:N339" si="32">IF(K319="","",IF(K319=0,0,(L319*$S$9)))</f>
        <v/>
      </c>
      <c r="O319" s="22" t="str">
        <f t="shared" ref="O319:O339" si="33">IF(K319="","",SUM(L319:N319))</f>
        <v/>
      </c>
    </row>
    <row r="320" spans="11:15" ht="20.100000000000001" customHeight="1">
      <c r="K320" s="27" t="str">
        <f t="shared" si="29"/>
        <v/>
      </c>
      <c r="L320" s="22" t="str">
        <f t="shared" si="30"/>
        <v/>
      </c>
      <c r="M320" s="22" t="str">
        <f t="shared" si="31"/>
        <v/>
      </c>
      <c r="N320" s="22" t="str">
        <f t="shared" si="32"/>
        <v/>
      </c>
      <c r="O320" s="22" t="str">
        <f t="shared" si="33"/>
        <v/>
      </c>
    </row>
    <row r="321" spans="11:15" ht="20.100000000000001" customHeight="1">
      <c r="K321" s="27" t="str">
        <f t="shared" si="29"/>
        <v/>
      </c>
      <c r="L321" s="22" t="str">
        <f t="shared" si="30"/>
        <v/>
      </c>
      <c r="M321" s="22" t="str">
        <f t="shared" si="31"/>
        <v/>
      </c>
      <c r="N321" s="22" t="str">
        <f t="shared" si="32"/>
        <v/>
      </c>
      <c r="O321" s="22" t="str">
        <f t="shared" si="33"/>
        <v/>
      </c>
    </row>
    <row r="322" spans="11:15" ht="20.100000000000001" customHeight="1">
      <c r="K322" s="27" t="str">
        <f t="shared" si="29"/>
        <v/>
      </c>
      <c r="L322" s="22" t="str">
        <f t="shared" si="30"/>
        <v/>
      </c>
      <c r="M322" s="22" t="str">
        <f t="shared" si="31"/>
        <v/>
      </c>
      <c r="N322" s="22" t="str">
        <f t="shared" si="32"/>
        <v/>
      </c>
      <c r="O322" s="22" t="str">
        <f t="shared" si="33"/>
        <v/>
      </c>
    </row>
    <row r="323" spans="11:15" ht="20.100000000000001" customHeight="1">
      <c r="K323" s="27" t="str">
        <f t="shared" si="29"/>
        <v/>
      </c>
      <c r="L323" s="22" t="str">
        <f t="shared" si="30"/>
        <v/>
      </c>
      <c r="M323" s="22" t="str">
        <f t="shared" si="31"/>
        <v/>
      </c>
      <c r="N323" s="22" t="str">
        <f t="shared" si="32"/>
        <v/>
      </c>
      <c r="O323" s="22" t="str">
        <f t="shared" si="33"/>
        <v/>
      </c>
    </row>
    <row r="324" spans="11:15" ht="20.100000000000001" customHeight="1">
      <c r="K324" s="27" t="str">
        <f t="shared" si="29"/>
        <v/>
      </c>
      <c r="L324" s="22" t="str">
        <f t="shared" si="30"/>
        <v/>
      </c>
      <c r="M324" s="22" t="str">
        <f t="shared" si="31"/>
        <v/>
      </c>
      <c r="N324" s="22" t="str">
        <f t="shared" si="32"/>
        <v/>
      </c>
      <c r="O324" s="22" t="str">
        <f t="shared" si="33"/>
        <v/>
      </c>
    </row>
    <row r="325" spans="11:15" ht="20.100000000000001" customHeight="1">
      <c r="K325" s="27" t="str">
        <f t="shared" si="29"/>
        <v/>
      </c>
      <c r="L325" s="22" t="str">
        <f t="shared" si="30"/>
        <v/>
      </c>
      <c r="M325" s="22" t="str">
        <f t="shared" si="31"/>
        <v/>
      </c>
      <c r="N325" s="22" t="str">
        <f t="shared" si="32"/>
        <v/>
      </c>
      <c r="O325" s="22" t="str">
        <f t="shared" si="33"/>
        <v/>
      </c>
    </row>
    <row r="326" spans="11:15" ht="20.100000000000001" customHeight="1">
      <c r="K326" s="27" t="str">
        <f t="shared" si="29"/>
        <v/>
      </c>
      <c r="L326" s="22" t="str">
        <f t="shared" si="30"/>
        <v/>
      </c>
      <c r="M326" s="22" t="str">
        <f t="shared" si="31"/>
        <v/>
      </c>
      <c r="N326" s="22" t="str">
        <f t="shared" si="32"/>
        <v/>
      </c>
      <c r="O326" s="22" t="str">
        <f t="shared" si="33"/>
        <v/>
      </c>
    </row>
    <row r="327" spans="11:15" ht="20.100000000000001" customHeight="1">
      <c r="K327" s="27" t="str">
        <f t="shared" si="29"/>
        <v/>
      </c>
      <c r="L327" s="22" t="str">
        <f t="shared" si="30"/>
        <v/>
      </c>
      <c r="M327" s="22" t="str">
        <f t="shared" si="31"/>
        <v/>
      </c>
      <c r="N327" s="22" t="str">
        <f t="shared" si="32"/>
        <v/>
      </c>
      <c r="O327" s="22" t="str">
        <f t="shared" si="33"/>
        <v/>
      </c>
    </row>
    <row r="328" spans="11:15" ht="20.100000000000001" customHeight="1">
      <c r="K328" s="27" t="str">
        <f t="shared" si="29"/>
        <v/>
      </c>
      <c r="L328" s="22" t="str">
        <f t="shared" si="30"/>
        <v/>
      </c>
      <c r="M328" s="22" t="str">
        <f t="shared" si="31"/>
        <v/>
      </c>
      <c r="N328" s="22" t="str">
        <f t="shared" si="32"/>
        <v/>
      </c>
      <c r="O328" s="22" t="str">
        <f t="shared" si="33"/>
        <v/>
      </c>
    </row>
    <row r="329" spans="11:15" ht="20.100000000000001" customHeight="1">
      <c r="K329" s="27" t="str">
        <f t="shared" ref="K329:K339" si="34">IF(K328&gt;=$S$7,"",K328+1)</f>
        <v/>
      </c>
      <c r="L329" s="22" t="str">
        <f t="shared" si="30"/>
        <v/>
      </c>
      <c r="M329" s="22" t="str">
        <f t="shared" si="31"/>
        <v/>
      </c>
      <c r="N329" s="22" t="str">
        <f t="shared" si="32"/>
        <v/>
      </c>
      <c r="O329" s="22" t="str">
        <f t="shared" si="33"/>
        <v/>
      </c>
    </row>
    <row r="330" spans="11:15" ht="20.100000000000001" customHeight="1">
      <c r="K330" s="27" t="str">
        <f t="shared" si="34"/>
        <v/>
      </c>
      <c r="L330" s="22" t="str">
        <f t="shared" si="30"/>
        <v/>
      </c>
      <c r="M330" s="22" t="str">
        <f t="shared" si="31"/>
        <v/>
      </c>
      <c r="N330" s="22" t="str">
        <f t="shared" si="32"/>
        <v/>
      </c>
      <c r="O330" s="22" t="str">
        <f t="shared" si="33"/>
        <v/>
      </c>
    </row>
    <row r="331" spans="11:15" ht="20.100000000000001" customHeight="1">
      <c r="K331" s="27" t="str">
        <f t="shared" si="34"/>
        <v/>
      </c>
      <c r="L331" s="22" t="str">
        <f t="shared" si="30"/>
        <v/>
      </c>
      <c r="M331" s="22" t="str">
        <f t="shared" si="31"/>
        <v/>
      </c>
      <c r="N331" s="22" t="str">
        <f t="shared" si="32"/>
        <v/>
      </c>
      <c r="O331" s="22" t="str">
        <f t="shared" si="33"/>
        <v/>
      </c>
    </row>
    <row r="332" spans="11:15" ht="20.100000000000001" customHeight="1">
      <c r="K332" s="27" t="str">
        <f t="shared" si="34"/>
        <v/>
      </c>
      <c r="L332" s="22" t="str">
        <f t="shared" si="30"/>
        <v/>
      </c>
      <c r="M332" s="22" t="str">
        <f t="shared" si="31"/>
        <v/>
      </c>
      <c r="N332" s="22" t="str">
        <f t="shared" si="32"/>
        <v/>
      </c>
      <c r="O332" s="22" t="str">
        <f t="shared" si="33"/>
        <v/>
      </c>
    </row>
    <row r="333" spans="11:15" ht="20.100000000000001" customHeight="1">
      <c r="K333" s="27" t="str">
        <f t="shared" si="34"/>
        <v/>
      </c>
      <c r="L333" s="22" t="str">
        <f t="shared" si="30"/>
        <v/>
      </c>
      <c r="M333" s="22" t="str">
        <f t="shared" si="31"/>
        <v/>
      </c>
      <c r="N333" s="22" t="str">
        <f t="shared" si="32"/>
        <v/>
      </c>
      <c r="O333" s="22" t="str">
        <f t="shared" si="33"/>
        <v/>
      </c>
    </row>
    <row r="334" spans="11:15" ht="20.100000000000001" customHeight="1">
      <c r="K334" s="27" t="str">
        <f t="shared" si="34"/>
        <v/>
      </c>
      <c r="L334" s="22" t="str">
        <f t="shared" si="30"/>
        <v/>
      </c>
      <c r="M334" s="22" t="str">
        <f t="shared" si="31"/>
        <v/>
      </c>
      <c r="N334" s="22" t="str">
        <f t="shared" si="32"/>
        <v/>
      </c>
      <c r="O334" s="22" t="str">
        <f t="shared" si="33"/>
        <v/>
      </c>
    </row>
    <row r="335" spans="11:15" ht="20.100000000000001" customHeight="1">
      <c r="K335" s="27" t="str">
        <f t="shared" si="34"/>
        <v/>
      </c>
      <c r="L335" s="22" t="str">
        <f t="shared" si="30"/>
        <v/>
      </c>
      <c r="M335" s="22" t="str">
        <f t="shared" si="31"/>
        <v/>
      </c>
      <c r="N335" s="22" t="str">
        <f t="shared" si="32"/>
        <v/>
      </c>
      <c r="O335" s="22" t="str">
        <f t="shared" si="33"/>
        <v/>
      </c>
    </row>
    <row r="336" spans="11:15" ht="20.100000000000001" customHeight="1">
      <c r="K336" s="27" t="str">
        <f t="shared" si="34"/>
        <v/>
      </c>
      <c r="L336" s="22" t="str">
        <f t="shared" si="30"/>
        <v/>
      </c>
      <c r="M336" s="22" t="str">
        <f t="shared" si="31"/>
        <v/>
      </c>
      <c r="N336" s="22" t="str">
        <f t="shared" si="32"/>
        <v/>
      </c>
      <c r="O336" s="22" t="str">
        <f t="shared" si="33"/>
        <v/>
      </c>
    </row>
    <row r="337" spans="11:15" ht="20.100000000000001" customHeight="1">
      <c r="K337" s="27" t="str">
        <f t="shared" si="34"/>
        <v/>
      </c>
      <c r="L337" s="22" t="str">
        <f t="shared" si="30"/>
        <v/>
      </c>
      <c r="M337" s="22" t="str">
        <f t="shared" si="31"/>
        <v/>
      </c>
      <c r="N337" s="22" t="str">
        <f t="shared" si="32"/>
        <v/>
      </c>
      <c r="O337" s="22" t="str">
        <f t="shared" si="33"/>
        <v/>
      </c>
    </row>
    <row r="338" spans="11:15" ht="20.100000000000001" customHeight="1">
      <c r="K338" s="27" t="str">
        <f t="shared" si="34"/>
        <v/>
      </c>
      <c r="L338" s="22" t="str">
        <f t="shared" si="30"/>
        <v/>
      </c>
      <c r="M338" s="22" t="str">
        <f t="shared" si="31"/>
        <v/>
      </c>
      <c r="N338" s="22" t="str">
        <f t="shared" si="32"/>
        <v/>
      </c>
      <c r="O338" s="22" t="str">
        <f t="shared" si="33"/>
        <v/>
      </c>
    </row>
    <row r="339" spans="11:15" ht="20.100000000000001" customHeight="1">
      <c r="K339" s="27" t="str">
        <f t="shared" si="34"/>
        <v/>
      </c>
      <c r="L339" s="22" t="str">
        <f t="shared" si="30"/>
        <v/>
      </c>
      <c r="M339" s="22" t="str">
        <f t="shared" si="31"/>
        <v/>
      </c>
      <c r="N339" s="22" t="str">
        <f t="shared" si="32"/>
        <v/>
      </c>
      <c r="O339" s="22" t="str">
        <f t="shared" si="33"/>
        <v/>
      </c>
    </row>
    <row r="340" spans="11:15" ht="20.100000000000001" customHeight="1"/>
    <row r="341" spans="11:15" ht="20.100000000000001" customHeight="1"/>
    <row r="342" spans="11:15" ht="20.100000000000001" customHeight="1"/>
    <row r="343" spans="11:15" ht="20.100000000000001" customHeight="1"/>
    <row r="344" spans="11:15" ht="20.100000000000001" customHeight="1"/>
    <row r="345" spans="11:15" ht="20.100000000000001" customHeight="1"/>
    <row r="346" spans="11:15" ht="20.100000000000001" customHeight="1"/>
    <row r="347" spans="11:15" ht="20.100000000000001" customHeight="1"/>
    <row r="348" spans="11:15" ht="20.100000000000001" customHeight="1"/>
    <row r="349" spans="11:15" ht="20.100000000000001" customHeight="1"/>
    <row r="350" spans="11:15" ht="20.100000000000001" customHeight="1"/>
    <row r="351" spans="11:15" ht="20.100000000000001" customHeight="1"/>
    <row r="352" spans="11:15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</sheetData>
  <sheetProtection sheet="1" objects="1" scenarios="1"/>
  <mergeCells count="8">
    <mergeCell ref="H10:I10"/>
    <mergeCell ref="H3:I3"/>
    <mergeCell ref="H4:I4"/>
    <mergeCell ref="O3:O4"/>
    <mergeCell ref="N3:N4"/>
    <mergeCell ref="L3:L4"/>
    <mergeCell ref="K3:K4"/>
    <mergeCell ref="M3:M4"/>
  </mergeCells>
  <conditionalFormatting sqref="I5:I8">
    <cfRule type="expression" dxfId="3" priority="5">
      <formula>AND($H5&lt;&gt;"",$I5="")</formula>
    </cfRule>
  </conditionalFormatting>
  <conditionalFormatting sqref="S5:S9">
    <cfRule type="expression" dxfId="2" priority="4">
      <formula>$I5=""</formula>
    </cfRule>
  </conditionalFormatting>
  <conditionalFormatting sqref="K5:O500">
    <cfRule type="expression" dxfId="1" priority="3">
      <formula>$K5&lt;&gt;""</formula>
    </cfRule>
  </conditionalFormatting>
  <conditionalFormatting sqref="B19:G20">
    <cfRule type="expression" dxfId="0" priority="1">
      <formula>$B$19&lt;&gt;""</formula>
    </cfRule>
  </conditionalFormatting>
  <pageMargins left="0.51181102362204722" right="0.51181102362204722" top="0.78740157480314965" bottom="0.78740157480314965" header="0.31496062992125984" footer="0.31496062992125984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3A18D-FEC8-4BBD-B7E6-1E0B26EE1868}">
  <sheetPr codeName="Planilha2"/>
  <dimension ref="A2:B6"/>
  <sheetViews>
    <sheetView workbookViewId="0">
      <selection activeCell="B13" sqref="B13"/>
    </sheetView>
  </sheetViews>
  <sheetFormatPr defaultRowHeight="15"/>
  <cols>
    <col min="1" max="1" width="17.28515625" bestFit="1" customWidth="1"/>
    <col min="2" max="2" width="22.85546875" customWidth="1"/>
  </cols>
  <sheetData>
    <row r="2" spans="1:2">
      <c r="A2" s="21" t="s">
        <v>20</v>
      </c>
      <c r="B2" s="21" t="s">
        <v>19</v>
      </c>
    </row>
    <row r="3" spans="1:2">
      <c r="A3" t="s">
        <v>21</v>
      </c>
      <c r="B3" t="s">
        <v>23</v>
      </c>
    </row>
    <row r="4" spans="1:2">
      <c r="A4" t="s">
        <v>22</v>
      </c>
      <c r="B4" t="s">
        <v>26</v>
      </c>
    </row>
    <row r="5" spans="1:2">
      <c r="B5" t="s">
        <v>24</v>
      </c>
    </row>
    <row r="6" spans="1:2">
      <c r="B6" t="s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20</vt:i4>
      </vt:variant>
    </vt:vector>
  </HeadingPairs>
  <TitlesOfParts>
    <vt:vector size="26" baseType="lpstr">
      <vt:lpstr>Calculando i</vt:lpstr>
      <vt:lpstr>Calculando VF</vt:lpstr>
      <vt:lpstr>Calculando VP</vt:lpstr>
      <vt:lpstr>Calculando M</vt:lpstr>
      <vt:lpstr>Formulário</vt:lpstr>
      <vt:lpstr>Apoio</vt:lpstr>
      <vt:lpstr>Calcular</vt:lpstr>
      <vt:lpstr>F</vt:lpstr>
      <vt:lpstr>Hora_Calculo</vt:lpstr>
      <vt:lpstr>i</vt:lpstr>
      <vt:lpstr>M</vt:lpstr>
      <vt:lpstr>n</vt:lpstr>
      <vt:lpstr>P</vt:lpstr>
      <vt:lpstr>pmt_f</vt:lpstr>
      <vt:lpstr>pmt_i</vt:lpstr>
      <vt:lpstr>pmt_n</vt:lpstr>
      <vt:lpstr>pmt_p</vt:lpstr>
      <vt:lpstr>PRAZO</vt:lpstr>
      <vt:lpstr>TipoCalculo</vt:lpstr>
      <vt:lpstr>TX_JUROS</vt:lpstr>
      <vt:lpstr>VF</vt:lpstr>
      <vt:lpstr>VF_i</vt:lpstr>
      <vt:lpstr>VF_m</vt:lpstr>
      <vt:lpstr>VF_n</vt:lpstr>
      <vt:lpstr>VF_VP</vt:lpstr>
      <vt:lpstr>VP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2016-08-30T19:59:59Z</cp:lastPrinted>
  <dcterms:created xsi:type="dcterms:W3CDTF">2016-03-13T11:42:23Z</dcterms:created>
  <dcterms:modified xsi:type="dcterms:W3CDTF">2018-09-03T17:49:14Z</dcterms:modified>
</cp:coreProperties>
</file>