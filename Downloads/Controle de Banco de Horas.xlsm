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EM ELABORAÇÃO\"/>
    </mc:Choice>
  </mc:AlternateContent>
  <xr:revisionPtr revIDLastSave="0" documentId="13_ncr:1_{D90D70F2-60E1-4C73-B65F-2E3C980695C1}" xr6:coauthVersionLast="31" xr6:coauthVersionMax="31" xr10:uidLastSave="{00000000-0000-0000-0000-000000000000}"/>
  <bookViews>
    <workbookView xWindow="0" yWindow="0" windowWidth="20490" windowHeight="7530" xr2:uid="{D32B29BB-BBEF-4764-83C7-9BA1D24B799B}"/>
  </bookViews>
  <sheets>
    <sheet name="MENU" sheetId="7" r:id="rId1"/>
    <sheet name="Tutorial" sheetId="8" state="hidden" r:id="rId2"/>
    <sheet name="Cad. Colaboradores" sheetId="2" state="hidden" r:id="rId3"/>
    <sheet name="Cálculo Horas Colaboradores" sheetId="1" state="hidden" r:id="rId4"/>
    <sheet name="Registro Horas Colaboradores" sheetId="4" state="hidden" r:id="rId5"/>
    <sheet name="Banco de Horas" sheetId="5" state="hidden" r:id="rId6"/>
    <sheet name="Rel. Horas Colaboradores" sheetId="6" state="hidden" r:id="rId7"/>
    <sheet name="Rel. Horas Empresa" sheetId="9" state="hidden" r:id="rId8"/>
    <sheet name="Compensação de Horas" sheetId="10" state="hidden" r:id="rId9"/>
    <sheet name="Feriados" sheetId="11" state="hidden" r:id="rId10"/>
    <sheet name="Apoio" sheetId="3" state="hidden" r:id="rId11"/>
  </sheets>
  <definedNames>
    <definedName name="_xlnm._FilterDatabase" localSheetId="5" hidden="1">'Banco de Horas'!$B$5:$L$13</definedName>
    <definedName name="_xlnm._FilterDatabase" localSheetId="2" hidden="1">'Cad. Colaboradores'!$B$2:$E$315</definedName>
    <definedName name="_xlnm._FilterDatabase" localSheetId="4" hidden="1">'Registro Horas Colaboradores'!$B$1:$X$342</definedName>
    <definedName name="Ano_Fim">Apoio!$F$3</definedName>
    <definedName name="Ano_Inicio">Apoio!$F$2</definedName>
    <definedName name="Colaborador">'Cálculo Horas Colaboradores'!$J$4</definedName>
    <definedName name="ColaboradorDifHoras">'Cálculo Horas Colaboradores'!$E$6</definedName>
    <definedName name="Colaboradores_Nome">OFFSET('Cad. Colaboradores'!$B$2,1,0,COUNTA('Cad. Colaboradores'!$B$3:$B$1000),1)</definedName>
    <definedName name="Colaboradores_Tudo">OFFSET('Cad. Colaboradores'!$B$2,1,0,COUNTA('Cad. Colaboradores'!$B$3:$B$1000),4)</definedName>
    <definedName name="ColaboradorJaCadBcoHoras">'Cálculo Horas Colaboradores'!$C$6</definedName>
    <definedName name="ColaboradorJaCadRegHoras">'Cálculo Horas Colaboradores'!$B$6</definedName>
    <definedName name="Criterio">'Cálculo Horas Colaboradores'!$B$43</definedName>
    <definedName name="DadosTransfColaboradores">'Cálculo Horas Colaboradores'!$B$10:$Y$40</definedName>
    <definedName name="DadosTransfEmpresa">'Banco de Horas'!$B$2:$L$2</definedName>
    <definedName name="DiasSemana">Apoio!$B$3:$C$9</definedName>
    <definedName name="EmpresaJaCadBcoHoras">'Banco de Horas'!$B$3</definedName>
    <definedName name="Feriados">OFFSET(Feriados!$A$3,1,0,COUNTA(Feriados!$A$4:$A$1000),1)</definedName>
    <definedName name="FormulaFH">'Compensação de Horas'!$BC$10</definedName>
    <definedName name="FormulaMin">'Compensação de Horas'!$BB$10</definedName>
    <definedName name="FormulaPosicao">'Compensação de Horas'!$BD$10</definedName>
    <definedName name="Intervalo">'Cálculo Horas Colaboradores'!$Q$6</definedName>
    <definedName name="Jornada">'Cálculo Horas Colaboradores'!$J$6</definedName>
    <definedName name="Mes_Ano">'Cálculo Horas Colaboradores'!$E$43</definedName>
    <definedName name="nome1">OFFSET('Banco de Horas'!$B$5,0,0,COUNTA('Banco de Horas'!$C$5:$C$9969),11)</definedName>
    <definedName name="Nro_RI">'Cálculo Horas Colaboradores'!$Q$4</definedName>
    <definedName name="RegistroBcoHorasColaborador">'Cálculo Horas Colaboradores'!$B$43:$L$43</definedName>
    <definedName name="RelCompAte">'Compensação de Horas'!$D$3</definedName>
    <definedName name="RelCompDe">'Compensação de Horas'!$D$2</definedName>
    <definedName name="RelCompHorasFim">'Compensação de Horas'!$B$3</definedName>
    <definedName name="RelCompHorasInicio">'Compensação de Horas'!$B$2</definedName>
    <definedName name="TDRegBcoDados">OFFSET('Banco de Horas'!$B$5,0,0,COUNTA('Banco de Horas'!$C$5:$C$9977),11)</definedName>
    <definedName name="TDRegHorasColab">OFFSET('Registro Horas Colaboradores'!$B$1,0,0,COUNTA('Registro Horas Colaboradores'!$X$2:$X$10000)+1,23)</definedName>
    <definedName name="Tolerancia">'Cad. Colaboradores'!$J$2</definedName>
  </definedNames>
  <calcPr calcId="179017"/>
  <pivotCaches>
    <pivotCache cacheId="358" r:id="rId12"/>
    <pivotCache cacheId="382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5" l="1"/>
  <c r="E6" i="5"/>
  <c r="G2" i="5"/>
  <c r="H2" i="5" s="1"/>
  <c r="E2" i="5"/>
  <c r="B95" i="11" l="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B13" i="10"/>
  <c r="BD13" i="10" s="1"/>
  <c r="BB14" i="10"/>
  <c r="BD14" i="10" s="1"/>
  <c r="BB15" i="10"/>
  <c r="BC15" i="10" s="1"/>
  <c r="BB16" i="10"/>
  <c r="BD16" i="10" s="1"/>
  <c r="BB17" i="10"/>
  <c r="BC17" i="10" s="1"/>
  <c r="BB18" i="10"/>
  <c r="BD18" i="10" s="1"/>
  <c r="BB19" i="10"/>
  <c r="BD19" i="10" s="1"/>
  <c r="BB20" i="10"/>
  <c r="BD20" i="10" s="1"/>
  <c r="BB21" i="10"/>
  <c r="BD21" i="10" s="1"/>
  <c r="BB22" i="10"/>
  <c r="BD22" i="10" s="1"/>
  <c r="BB23" i="10"/>
  <c r="BC23" i="10" s="1"/>
  <c r="BB24" i="10"/>
  <c r="BD24" i="10" s="1"/>
  <c r="BB25" i="10"/>
  <c r="BC25" i="10" s="1"/>
  <c r="BB26" i="10"/>
  <c r="BD26" i="10" s="1"/>
  <c r="BB27" i="10"/>
  <c r="BD27" i="10" s="1"/>
  <c r="BB28" i="10"/>
  <c r="BD28" i="10" s="1"/>
  <c r="BB29" i="10"/>
  <c r="BD29" i="10" s="1"/>
  <c r="BB30" i="10"/>
  <c r="BD30" i="10" s="1"/>
  <c r="BB31" i="10"/>
  <c r="BC31" i="10" s="1"/>
  <c r="BB32" i="10"/>
  <c r="BD32" i="10" s="1"/>
  <c r="BB33" i="10"/>
  <c r="BC33" i="10" s="1"/>
  <c r="BB34" i="10"/>
  <c r="BD34" i="10" s="1"/>
  <c r="BB35" i="10"/>
  <c r="BD35" i="10" s="1"/>
  <c r="BB36" i="10"/>
  <c r="BD36" i="10" s="1"/>
  <c r="BB37" i="10"/>
  <c r="BD37" i="10" s="1"/>
  <c r="BB38" i="10"/>
  <c r="BD38" i="10" s="1"/>
  <c r="BB39" i="10"/>
  <c r="BC39" i="10" s="1"/>
  <c r="BB40" i="10"/>
  <c r="BD40" i="10" s="1"/>
  <c r="BB41" i="10"/>
  <c r="BC41" i="10" s="1"/>
  <c r="BB42" i="10"/>
  <c r="BD42" i="10" s="1"/>
  <c r="BB43" i="10"/>
  <c r="BD43" i="10" s="1"/>
  <c r="BB44" i="10"/>
  <c r="BD44" i="10" s="1"/>
  <c r="BB45" i="10"/>
  <c r="BD45" i="10" s="1"/>
  <c r="BB46" i="10"/>
  <c r="BD46" i="10" s="1"/>
  <c r="BB47" i="10"/>
  <c r="BC47" i="10" s="1"/>
  <c r="BB48" i="10"/>
  <c r="BD48" i="10" s="1"/>
  <c r="BB49" i="10"/>
  <c r="BC49" i="10" s="1"/>
  <c r="BB50" i="10"/>
  <c r="BD50" i="10" s="1"/>
  <c r="BB51" i="10"/>
  <c r="BD51" i="10" s="1"/>
  <c r="BB52" i="10"/>
  <c r="BD52" i="10" s="1"/>
  <c r="BB53" i="10"/>
  <c r="BD53" i="10" s="1"/>
  <c r="BB54" i="10"/>
  <c r="BD54" i="10" s="1"/>
  <c r="BB55" i="10"/>
  <c r="BC55" i="10" s="1"/>
  <c r="BB56" i="10"/>
  <c r="BD56" i="10" s="1"/>
  <c r="BB57" i="10"/>
  <c r="BC57" i="10" s="1"/>
  <c r="BB58" i="10"/>
  <c r="BD58" i="10" s="1"/>
  <c r="BB59" i="10"/>
  <c r="BD59" i="10" s="1"/>
  <c r="BB60" i="10"/>
  <c r="BD60" i="10" s="1"/>
  <c r="BB61" i="10"/>
  <c r="BD61" i="10" s="1"/>
  <c r="BB62" i="10"/>
  <c r="BD62" i="10" s="1"/>
  <c r="BB63" i="10"/>
  <c r="BC63" i="10" s="1"/>
  <c r="BB64" i="10"/>
  <c r="BD64" i="10" s="1"/>
  <c r="BB65" i="10"/>
  <c r="BC65" i="10" s="1"/>
  <c r="BB66" i="10"/>
  <c r="BD66" i="10" s="1"/>
  <c r="BB67" i="10"/>
  <c r="BD67" i="10" s="1"/>
  <c r="BB68" i="10"/>
  <c r="BD68" i="10" s="1"/>
  <c r="BB69" i="10"/>
  <c r="BD69" i="10" s="1"/>
  <c r="BB70" i="10"/>
  <c r="BD70" i="10" s="1"/>
  <c r="BB71" i="10"/>
  <c r="BC71" i="10" s="1"/>
  <c r="BB72" i="10"/>
  <c r="BD72" i="10" s="1"/>
  <c r="BB73" i="10"/>
  <c r="BC73" i="10" s="1"/>
  <c r="BB74" i="10"/>
  <c r="BD74" i="10" s="1"/>
  <c r="BB75" i="10"/>
  <c r="BD75" i="10" s="1"/>
  <c r="BB76" i="10"/>
  <c r="BD76" i="10" s="1"/>
  <c r="BB77" i="10"/>
  <c r="BD77" i="10" s="1"/>
  <c r="BB78" i="10"/>
  <c r="BD78" i="10" s="1"/>
  <c r="BB79" i="10"/>
  <c r="BC79" i="10" s="1"/>
  <c r="BB80" i="10"/>
  <c r="BD80" i="10" s="1"/>
  <c r="BB81" i="10"/>
  <c r="BC81" i="10" s="1"/>
  <c r="BB82" i="10"/>
  <c r="BD82" i="10" s="1"/>
  <c r="BB83" i="10"/>
  <c r="BD83" i="10" s="1"/>
  <c r="BB84" i="10"/>
  <c r="BD84" i="10" s="1"/>
  <c r="BB85" i="10"/>
  <c r="BD85" i="10" s="1"/>
  <c r="BB86" i="10"/>
  <c r="BD86" i="10" s="1"/>
  <c r="BB87" i="10"/>
  <c r="BC87" i="10" s="1"/>
  <c r="BB88" i="10"/>
  <c r="BD88" i="10" s="1"/>
  <c r="BB89" i="10"/>
  <c r="BC89" i="10" s="1"/>
  <c r="BB90" i="10"/>
  <c r="BD90" i="10" s="1"/>
  <c r="BB91" i="10"/>
  <c r="BD91" i="10" s="1"/>
  <c r="BB92" i="10"/>
  <c r="BD92" i="10" s="1"/>
  <c r="BB93" i="10"/>
  <c r="BD93" i="10" s="1"/>
  <c r="BB94" i="10"/>
  <c r="BD94" i="10" s="1"/>
  <c r="BB95" i="10"/>
  <c r="BC95" i="10" s="1"/>
  <c r="BB96" i="10"/>
  <c r="BD96" i="10" s="1"/>
  <c r="BB97" i="10"/>
  <c r="BC97" i="10" s="1"/>
  <c r="BB98" i="10"/>
  <c r="BD98" i="10" s="1"/>
  <c r="BB99" i="10"/>
  <c r="BD99" i="10" s="1"/>
  <c r="BB100" i="10"/>
  <c r="BD100" i="10" s="1"/>
  <c r="BB101" i="10"/>
  <c r="BD101" i="10" s="1"/>
  <c r="BB102" i="10"/>
  <c r="BD102" i="10" s="1"/>
  <c r="BB103" i="10"/>
  <c r="BC103" i="10" s="1"/>
  <c r="BB104" i="10"/>
  <c r="BD104" i="10" s="1"/>
  <c r="BB105" i="10"/>
  <c r="BC105" i="10" s="1"/>
  <c r="BB106" i="10"/>
  <c r="BD106" i="10" s="1"/>
  <c r="BB107" i="10"/>
  <c r="BD107" i="10" s="1"/>
  <c r="BB108" i="10"/>
  <c r="BD108" i="10" s="1"/>
  <c r="BB109" i="10"/>
  <c r="BD109" i="10" s="1"/>
  <c r="BB110" i="10"/>
  <c r="BD110" i="10" s="1"/>
  <c r="BB111" i="10"/>
  <c r="BC111" i="10" s="1"/>
  <c r="BB112" i="10"/>
  <c r="BD112" i="10" s="1"/>
  <c r="BB113" i="10"/>
  <c r="BC113" i="10" s="1"/>
  <c r="BB114" i="10"/>
  <c r="BD114" i="10" s="1"/>
  <c r="BB115" i="10"/>
  <c r="BD115" i="10" s="1"/>
  <c r="BB116" i="10"/>
  <c r="BD116" i="10" s="1"/>
  <c r="BB117" i="10"/>
  <c r="BD117" i="10" s="1"/>
  <c r="BB118" i="10"/>
  <c r="BD118" i="10" s="1"/>
  <c r="BB119" i="10"/>
  <c r="BC119" i="10" s="1"/>
  <c r="BB120" i="10"/>
  <c r="BD120" i="10" s="1"/>
  <c r="BB121" i="10"/>
  <c r="BC121" i="10" s="1"/>
  <c r="BB122" i="10"/>
  <c r="BD122" i="10" s="1"/>
  <c r="BB123" i="10"/>
  <c r="BD123" i="10" s="1"/>
  <c r="BB124" i="10"/>
  <c r="BD124" i="10" s="1"/>
  <c r="BB125" i="10"/>
  <c r="BD125" i="10" s="1"/>
  <c r="BB126" i="10"/>
  <c r="BD126" i="10" s="1"/>
  <c r="BB127" i="10"/>
  <c r="BC127" i="10" s="1"/>
  <c r="BB128" i="10"/>
  <c r="BD128" i="10" s="1"/>
  <c r="BB129" i="10"/>
  <c r="BC129" i="10" s="1"/>
  <c r="BB130" i="10"/>
  <c r="BD130" i="10" s="1"/>
  <c r="BB131" i="10"/>
  <c r="BD131" i="10" s="1"/>
  <c r="BB132" i="10"/>
  <c r="BD132" i="10" s="1"/>
  <c r="BB133" i="10"/>
  <c r="BD133" i="10" s="1"/>
  <c r="BB134" i="10"/>
  <c r="BD134" i="10" s="1"/>
  <c r="BB135" i="10"/>
  <c r="BC135" i="10" s="1"/>
  <c r="BB136" i="10"/>
  <c r="BD136" i="10" s="1"/>
  <c r="BB137" i="10"/>
  <c r="BC137" i="10" s="1"/>
  <c r="BB138" i="10"/>
  <c r="BD138" i="10" s="1"/>
  <c r="BB139" i="10"/>
  <c r="BD139" i="10" s="1"/>
  <c r="BB140" i="10"/>
  <c r="BD140" i="10" s="1"/>
  <c r="BB141" i="10"/>
  <c r="BD141" i="10" s="1"/>
  <c r="BB142" i="10"/>
  <c r="BD142" i="10" s="1"/>
  <c r="BB143" i="10"/>
  <c r="BC143" i="10" s="1"/>
  <c r="BB144" i="10"/>
  <c r="BD144" i="10" s="1"/>
  <c r="BB145" i="10"/>
  <c r="BC145" i="10" s="1"/>
  <c r="BB146" i="10"/>
  <c r="BD146" i="10" s="1"/>
  <c r="BB147" i="10"/>
  <c r="BD147" i="10" s="1"/>
  <c r="BB148" i="10"/>
  <c r="BD148" i="10" s="1"/>
  <c r="BB149" i="10"/>
  <c r="BD149" i="10" s="1"/>
  <c r="BB150" i="10"/>
  <c r="BD150" i="10" s="1"/>
  <c r="BB151" i="10"/>
  <c r="BC151" i="10" s="1"/>
  <c r="BB152" i="10"/>
  <c r="BD152" i="10" s="1"/>
  <c r="BB153" i="10"/>
  <c r="BC153" i="10" s="1"/>
  <c r="BB154" i="10"/>
  <c r="BD154" i="10" s="1"/>
  <c r="BB155" i="10"/>
  <c r="BD155" i="10" s="1"/>
  <c r="BB156" i="10"/>
  <c r="BD156" i="10" s="1"/>
  <c r="BB157" i="10"/>
  <c r="BD157" i="10" s="1"/>
  <c r="BB158" i="10"/>
  <c r="BD158" i="10" s="1"/>
  <c r="BB159" i="10"/>
  <c r="BC159" i="10" s="1"/>
  <c r="BB160" i="10"/>
  <c r="BD160" i="10" s="1"/>
  <c r="BB161" i="10"/>
  <c r="BC161" i="10" s="1"/>
  <c r="BB162" i="10"/>
  <c r="BD162" i="10" s="1"/>
  <c r="BB163" i="10"/>
  <c r="BD163" i="10" s="1"/>
  <c r="BB164" i="10"/>
  <c r="BD164" i="10" s="1"/>
  <c r="BB165" i="10"/>
  <c r="BD165" i="10" s="1"/>
  <c r="BB166" i="10"/>
  <c r="BD166" i="10" s="1"/>
  <c r="BB167" i="10"/>
  <c r="BC167" i="10" s="1"/>
  <c r="BB168" i="10"/>
  <c r="BD168" i="10" s="1"/>
  <c r="BB169" i="10"/>
  <c r="BC169" i="10" s="1"/>
  <c r="BB170" i="10"/>
  <c r="BD170" i="10" s="1"/>
  <c r="BB171" i="10"/>
  <c r="BD171" i="10" s="1"/>
  <c r="BB172" i="10"/>
  <c r="BD172" i="10" s="1"/>
  <c r="BB173" i="10"/>
  <c r="BD173" i="10" s="1"/>
  <c r="BB174" i="10"/>
  <c r="BD174" i="10" s="1"/>
  <c r="BB175" i="10"/>
  <c r="BC175" i="10" s="1"/>
  <c r="BB176" i="10"/>
  <c r="BD176" i="10" s="1"/>
  <c r="BB177" i="10"/>
  <c r="BC177" i="10" s="1"/>
  <c r="BB178" i="10"/>
  <c r="BD178" i="10" s="1"/>
  <c r="BB179" i="10"/>
  <c r="BD179" i="10" s="1"/>
  <c r="BB180" i="10"/>
  <c r="BD180" i="10" s="1"/>
  <c r="BB181" i="10"/>
  <c r="BD181" i="10" s="1"/>
  <c r="BB182" i="10"/>
  <c r="BD182" i="10" s="1"/>
  <c r="BB183" i="10"/>
  <c r="BC183" i="10" s="1"/>
  <c r="BB184" i="10"/>
  <c r="BD184" i="10" s="1"/>
  <c r="BB185" i="10"/>
  <c r="BC185" i="10" s="1"/>
  <c r="BB186" i="10"/>
  <c r="BD186" i="10" s="1"/>
  <c r="BB187" i="10"/>
  <c r="BD187" i="10" s="1"/>
  <c r="BB188" i="10"/>
  <c r="BD188" i="10" s="1"/>
  <c r="BB189" i="10"/>
  <c r="BD189" i="10" s="1"/>
  <c r="BB190" i="10"/>
  <c r="BD190" i="10" s="1"/>
  <c r="BB191" i="10"/>
  <c r="BC191" i="10" s="1"/>
  <c r="BB192" i="10"/>
  <c r="BD192" i="10" s="1"/>
  <c r="BB193" i="10"/>
  <c r="BC193" i="10" s="1"/>
  <c r="BB194" i="10"/>
  <c r="BD194" i="10" s="1"/>
  <c r="BB195" i="10"/>
  <c r="BD195" i="10" s="1"/>
  <c r="BB196" i="10"/>
  <c r="BD196" i="10" s="1"/>
  <c r="BB197" i="10"/>
  <c r="BD197" i="10" s="1"/>
  <c r="BB198" i="10"/>
  <c r="BD198" i="10" s="1"/>
  <c r="BB199" i="10"/>
  <c r="BC199" i="10" s="1"/>
  <c r="BB200" i="10"/>
  <c r="BD200" i="10" s="1"/>
  <c r="BB201" i="10"/>
  <c r="BC201" i="10" s="1"/>
  <c r="BB202" i="10"/>
  <c r="BD202" i="10" s="1"/>
  <c r="BB203" i="10"/>
  <c r="BD203" i="10" s="1"/>
  <c r="BB204" i="10"/>
  <c r="BD204" i="10" s="1"/>
  <c r="BB205" i="10"/>
  <c r="BD205" i="10" s="1"/>
  <c r="BB206" i="10"/>
  <c r="BD206" i="10" s="1"/>
  <c r="BB207" i="10"/>
  <c r="BC207" i="10" s="1"/>
  <c r="BB208" i="10"/>
  <c r="BD208" i="10" s="1"/>
  <c r="BB209" i="10"/>
  <c r="BC209" i="10" s="1"/>
  <c r="BB210" i="10"/>
  <c r="BD210" i="10" s="1"/>
  <c r="BB211" i="10"/>
  <c r="BD211" i="10" s="1"/>
  <c r="BB212" i="10"/>
  <c r="BD212" i="10" s="1"/>
  <c r="BB213" i="10"/>
  <c r="BD213" i="10" s="1"/>
  <c r="BB214" i="10"/>
  <c r="BD214" i="10" s="1"/>
  <c r="BB215" i="10"/>
  <c r="BC215" i="10" s="1"/>
  <c r="BB216" i="10"/>
  <c r="BD216" i="10" s="1"/>
  <c r="BB217" i="10"/>
  <c r="BC217" i="10" s="1"/>
  <c r="BB218" i="10"/>
  <c r="BD218" i="10" s="1"/>
  <c r="BB219" i="10"/>
  <c r="BD219" i="10" s="1"/>
  <c r="BB220" i="10"/>
  <c r="BD220" i="10" s="1"/>
  <c r="BB221" i="10"/>
  <c r="BD221" i="10" s="1"/>
  <c r="BB222" i="10"/>
  <c r="BD222" i="10" s="1"/>
  <c r="BB223" i="10"/>
  <c r="BC223" i="10" s="1"/>
  <c r="BB224" i="10"/>
  <c r="BD224" i="10" s="1"/>
  <c r="BB225" i="10"/>
  <c r="BC225" i="10" s="1"/>
  <c r="BB226" i="10"/>
  <c r="BD226" i="10" s="1"/>
  <c r="BB227" i="10"/>
  <c r="BD227" i="10" s="1"/>
  <c r="BB228" i="10"/>
  <c r="BD228" i="10" s="1"/>
  <c r="BB229" i="10"/>
  <c r="BD229" i="10" s="1"/>
  <c r="BB230" i="10"/>
  <c r="BD230" i="10" s="1"/>
  <c r="BB231" i="10"/>
  <c r="BC231" i="10" s="1"/>
  <c r="BB232" i="10"/>
  <c r="BD232" i="10" s="1"/>
  <c r="BB233" i="10"/>
  <c r="BC233" i="10" s="1"/>
  <c r="BB234" i="10"/>
  <c r="BD234" i="10" s="1"/>
  <c r="BB235" i="10"/>
  <c r="BD235" i="10" s="1"/>
  <c r="BB236" i="10"/>
  <c r="BD236" i="10" s="1"/>
  <c r="BB237" i="10"/>
  <c r="BD237" i="10" s="1"/>
  <c r="BB238" i="10"/>
  <c r="BD238" i="10" s="1"/>
  <c r="BB239" i="10"/>
  <c r="BC239" i="10" s="1"/>
  <c r="BB240" i="10"/>
  <c r="BD240" i="10" s="1"/>
  <c r="BB241" i="10"/>
  <c r="BC241" i="10" s="1"/>
  <c r="BB242" i="10"/>
  <c r="BD242" i="10" s="1"/>
  <c r="BB243" i="10"/>
  <c r="BD243" i="10" s="1"/>
  <c r="BB244" i="10"/>
  <c r="BD244" i="10" s="1"/>
  <c r="BB245" i="10"/>
  <c r="BD245" i="10" s="1"/>
  <c r="BB246" i="10"/>
  <c r="BD246" i="10" s="1"/>
  <c r="BB247" i="10"/>
  <c r="BC247" i="10" s="1"/>
  <c r="BB248" i="10"/>
  <c r="BD248" i="10" s="1"/>
  <c r="BB249" i="10"/>
  <c r="BC249" i="10" s="1"/>
  <c r="BB250" i="10"/>
  <c r="BD250" i="10" s="1"/>
  <c r="BB251" i="10"/>
  <c r="BD251" i="10" s="1"/>
  <c r="BB252" i="10"/>
  <c r="BD252" i="10" s="1"/>
  <c r="BB253" i="10"/>
  <c r="BD253" i="10" s="1"/>
  <c r="BB254" i="10"/>
  <c r="BD254" i="10" s="1"/>
  <c r="BB255" i="10"/>
  <c r="BC255" i="10" s="1"/>
  <c r="BB256" i="10"/>
  <c r="BD256" i="10" s="1"/>
  <c r="BB257" i="10"/>
  <c r="BC257" i="10" s="1"/>
  <c r="BB258" i="10"/>
  <c r="BD258" i="10" s="1"/>
  <c r="BB259" i="10"/>
  <c r="BD259" i="10" s="1"/>
  <c r="BB260" i="10"/>
  <c r="BD260" i="10" s="1"/>
  <c r="BB261" i="10"/>
  <c r="BD261" i="10" s="1"/>
  <c r="BB262" i="10"/>
  <c r="BD262" i="10" s="1"/>
  <c r="BB263" i="10"/>
  <c r="BC263" i="10" s="1"/>
  <c r="BB264" i="10"/>
  <c r="BD264" i="10" s="1"/>
  <c r="BB265" i="10"/>
  <c r="BC265" i="10" s="1"/>
  <c r="BB266" i="10"/>
  <c r="BD266" i="10" s="1"/>
  <c r="BB267" i="10"/>
  <c r="BD267" i="10" s="1"/>
  <c r="BB268" i="10"/>
  <c r="BD268" i="10" s="1"/>
  <c r="BB269" i="10"/>
  <c r="BD269" i="10" s="1"/>
  <c r="BB270" i="10"/>
  <c r="BD270" i="10" s="1"/>
  <c r="BB271" i="10"/>
  <c r="BC271" i="10" s="1"/>
  <c r="BB272" i="10"/>
  <c r="BD272" i="10" s="1"/>
  <c r="BB273" i="10"/>
  <c r="BC273" i="10" s="1"/>
  <c r="BB274" i="10"/>
  <c r="BD274" i="10" s="1"/>
  <c r="BB275" i="10"/>
  <c r="BD275" i="10" s="1"/>
  <c r="BB276" i="10"/>
  <c r="BD276" i="10" s="1"/>
  <c r="BB277" i="10"/>
  <c r="BD277" i="10" s="1"/>
  <c r="BB278" i="10"/>
  <c r="BD278" i="10" s="1"/>
  <c r="BB279" i="10"/>
  <c r="BC279" i="10" s="1"/>
  <c r="BB280" i="10"/>
  <c r="BD280" i="10" s="1"/>
  <c r="BB281" i="10"/>
  <c r="BC281" i="10" s="1"/>
  <c r="BB282" i="10"/>
  <c r="BD282" i="10" s="1"/>
  <c r="BB283" i="10"/>
  <c r="BD283" i="10" s="1"/>
  <c r="BB284" i="10"/>
  <c r="BD284" i="10" s="1"/>
  <c r="BB285" i="10"/>
  <c r="BD285" i="10" s="1"/>
  <c r="BB286" i="10"/>
  <c r="BD286" i="10" s="1"/>
  <c r="BB287" i="10"/>
  <c r="BC287" i="10" s="1"/>
  <c r="BB288" i="10"/>
  <c r="BD288" i="10" s="1"/>
  <c r="BB289" i="10"/>
  <c r="BC289" i="10" s="1"/>
  <c r="BB290" i="10"/>
  <c r="BD290" i="10" s="1"/>
  <c r="BB291" i="10"/>
  <c r="BD291" i="10" s="1"/>
  <c r="BB292" i="10"/>
  <c r="BD292" i="10" s="1"/>
  <c r="BB293" i="10"/>
  <c r="BD293" i="10" s="1"/>
  <c r="BB294" i="10"/>
  <c r="BD294" i="10" s="1"/>
  <c r="BB295" i="10"/>
  <c r="BC295" i="10" s="1"/>
  <c r="BB296" i="10"/>
  <c r="BD296" i="10" s="1"/>
  <c r="BB297" i="10"/>
  <c r="BC297" i="10" s="1"/>
  <c r="BB298" i="10"/>
  <c r="BD298" i="10" s="1"/>
  <c r="BB299" i="10"/>
  <c r="BD299" i="10" s="1"/>
  <c r="BB300" i="10"/>
  <c r="BD300" i="10" s="1"/>
  <c r="BA11" i="10"/>
  <c r="BA12" i="10"/>
  <c r="BA13" i="10"/>
  <c r="BA14" i="10"/>
  <c r="BA15" i="10"/>
  <c r="BA16" i="10"/>
  <c r="BA17" i="10"/>
  <c r="BA18" i="10"/>
  <c r="BA19" i="10"/>
  <c r="BA20" i="10"/>
  <c r="BA21" i="10"/>
  <c r="BA22" i="10"/>
  <c r="BA23" i="10"/>
  <c r="BA24" i="10"/>
  <c r="BA25" i="10"/>
  <c r="BA26" i="10"/>
  <c r="BA27" i="10"/>
  <c r="BA28" i="10"/>
  <c r="BA29" i="10"/>
  <c r="BA30" i="10"/>
  <c r="BA31" i="10"/>
  <c r="BA32" i="10"/>
  <c r="BA33" i="10"/>
  <c r="BA34" i="10"/>
  <c r="BA35" i="10"/>
  <c r="BA36" i="10"/>
  <c r="BA37" i="10"/>
  <c r="BA38" i="10"/>
  <c r="BA39" i="10"/>
  <c r="BA40" i="10"/>
  <c r="BA41" i="10"/>
  <c r="BA42" i="10"/>
  <c r="BA43" i="10"/>
  <c r="BA44" i="10"/>
  <c r="BA45" i="10"/>
  <c r="BA46" i="10"/>
  <c r="BA47" i="10"/>
  <c r="BA48" i="10"/>
  <c r="BA49" i="10"/>
  <c r="BA50" i="10"/>
  <c r="BA51" i="10"/>
  <c r="BA52" i="10"/>
  <c r="BA53" i="10"/>
  <c r="BA54" i="10"/>
  <c r="BA55" i="10"/>
  <c r="BA56" i="10"/>
  <c r="BA57" i="10"/>
  <c r="BA58" i="10"/>
  <c r="BA59" i="10"/>
  <c r="BA60" i="10"/>
  <c r="BA61" i="10"/>
  <c r="BA62" i="10"/>
  <c r="BA63" i="10"/>
  <c r="BA64" i="10"/>
  <c r="BA65" i="10"/>
  <c r="BA66" i="10"/>
  <c r="BA67" i="10"/>
  <c r="BA68" i="10"/>
  <c r="BA69" i="10"/>
  <c r="BA70" i="10"/>
  <c r="BA71" i="10"/>
  <c r="BA72" i="10"/>
  <c r="BA73" i="10"/>
  <c r="BA74" i="10"/>
  <c r="BA75" i="10"/>
  <c r="BA76" i="10"/>
  <c r="BA77" i="10"/>
  <c r="BA78" i="10"/>
  <c r="BA79" i="10"/>
  <c r="BA80" i="10"/>
  <c r="BA81" i="10"/>
  <c r="BA82" i="10"/>
  <c r="BA83" i="10"/>
  <c r="BA84" i="10"/>
  <c r="BA85" i="10"/>
  <c r="BA86" i="10"/>
  <c r="BA87" i="10"/>
  <c r="BA88" i="10"/>
  <c r="BA89" i="10"/>
  <c r="BA90" i="10"/>
  <c r="BA91" i="10"/>
  <c r="BA92" i="10"/>
  <c r="BA93" i="10"/>
  <c r="BA94" i="10"/>
  <c r="BA95" i="10"/>
  <c r="BA96" i="10"/>
  <c r="BA97" i="10"/>
  <c r="BA98" i="10"/>
  <c r="BA99" i="10"/>
  <c r="BA100" i="10"/>
  <c r="BA101" i="10"/>
  <c r="BA102" i="10"/>
  <c r="BA103" i="10"/>
  <c r="BA104" i="10"/>
  <c r="BA105" i="10"/>
  <c r="BA106" i="10"/>
  <c r="BA107" i="10"/>
  <c r="BA108" i="10"/>
  <c r="BA109" i="10"/>
  <c r="BA110" i="10"/>
  <c r="BA111" i="10"/>
  <c r="BA112" i="10"/>
  <c r="BA113" i="10"/>
  <c r="BA114" i="10"/>
  <c r="BA115" i="10"/>
  <c r="BA116" i="10"/>
  <c r="BA117" i="10"/>
  <c r="BA118" i="10"/>
  <c r="BA119" i="10"/>
  <c r="BA120" i="10"/>
  <c r="BA121" i="10"/>
  <c r="BA122" i="10"/>
  <c r="BA123" i="10"/>
  <c r="BA124" i="10"/>
  <c r="BA125" i="10"/>
  <c r="BA126" i="10"/>
  <c r="BA127" i="10"/>
  <c r="BA128" i="10"/>
  <c r="BA129" i="10"/>
  <c r="BA130" i="10"/>
  <c r="BA131" i="10"/>
  <c r="BA132" i="10"/>
  <c r="BA133" i="10"/>
  <c r="BA134" i="10"/>
  <c r="BA135" i="10"/>
  <c r="BA136" i="10"/>
  <c r="BA137" i="10"/>
  <c r="BA138" i="10"/>
  <c r="BA139" i="10"/>
  <c r="BA140" i="10"/>
  <c r="BA141" i="10"/>
  <c r="BA142" i="10"/>
  <c r="BA143" i="10"/>
  <c r="BA144" i="10"/>
  <c r="BA145" i="10"/>
  <c r="BA146" i="10"/>
  <c r="BA147" i="10"/>
  <c r="BA148" i="10"/>
  <c r="BA149" i="10"/>
  <c r="BA150" i="10"/>
  <c r="BA151" i="10"/>
  <c r="BA152" i="10"/>
  <c r="BA153" i="10"/>
  <c r="BA154" i="10"/>
  <c r="BA155" i="10"/>
  <c r="BA156" i="10"/>
  <c r="BA157" i="10"/>
  <c r="BA158" i="10"/>
  <c r="BA159" i="10"/>
  <c r="BA160" i="10"/>
  <c r="BA161" i="10"/>
  <c r="BA162" i="10"/>
  <c r="BA163" i="10"/>
  <c r="BA164" i="10"/>
  <c r="BA165" i="10"/>
  <c r="BA166" i="10"/>
  <c r="BA167" i="10"/>
  <c r="BA168" i="10"/>
  <c r="BA169" i="10"/>
  <c r="BA170" i="10"/>
  <c r="BA171" i="10"/>
  <c r="BA172" i="10"/>
  <c r="BA173" i="10"/>
  <c r="BA174" i="10"/>
  <c r="BA175" i="10"/>
  <c r="BA176" i="10"/>
  <c r="BA177" i="10"/>
  <c r="BA178" i="10"/>
  <c r="BA179" i="10"/>
  <c r="BA180" i="10"/>
  <c r="BA181" i="10"/>
  <c r="BA182" i="10"/>
  <c r="BA183" i="10"/>
  <c r="BA184" i="10"/>
  <c r="BA185" i="10"/>
  <c r="BA186" i="10"/>
  <c r="BA187" i="10"/>
  <c r="BA188" i="10"/>
  <c r="BA189" i="10"/>
  <c r="BA190" i="10"/>
  <c r="BA191" i="10"/>
  <c r="BA192" i="10"/>
  <c r="BA193" i="10"/>
  <c r="BA194" i="10"/>
  <c r="BA195" i="10"/>
  <c r="BA196" i="10"/>
  <c r="BA197" i="10"/>
  <c r="BA198" i="10"/>
  <c r="BA199" i="10"/>
  <c r="BA200" i="10"/>
  <c r="BA201" i="10"/>
  <c r="BA202" i="10"/>
  <c r="BA203" i="10"/>
  <c r="BA204" i="10"/>
  <c r="BA205" i="10"/>
  <c r="BA206" i="10"/>
  <c r="BA207" i="10"/>
  <c r="BA208" i="10"/>
  <c r="BA209" i="10"/>
  <c r="BA210" i="10"/>
  <c r="BA211" i="10"/>
  <c r="BA212" i="10"/>
  <c r="BA213" i="10"/>
  <c r="BA214" i="10"/>
  <c r="BA215" i="10"/>
  <c r="BA216" i="10"/>
  <c r="BA217" i="10"/>
  <c r="BA218" i="10"/>
  <c r="BA219" i="10"/>
  <c r="BA220" i="10"/>
  <c r="BA221" i="10"/>
  <c r="BA222" i="10"/>
  <c r="BA223" i="10"/>
  <c r="BA224" i="10"/>
  <c r="BA225" i="10"/>
  <c r="BA226" i="10"/>
  <c r="BA227" i="10"/>
  <c r="BA228" i="10"/>
  <c r="BA229" i="10"/>
  <c r="BA230" i="10"/>
  <c r="BA231" i="10"/>
  <c r="BA232" i="10"/>
  <c r="BA233" i="10"/>
  <c r="BA234" i="10"/>
  <c r="BA235" i="10"/>
  <c r="BA236" i="10"/>
  <c r="BA237" i="10"/>
  <c r="BA238" i="10"/>
  <c r="BA239" i="10"/>
  <c r="BA240" i="10"/>
  <c r="BA241" i="10"/>
  <c r="BA242" i="10"/>
  <c r="BA243" i="10"/>
  <c r="BA244" i="10"/>
  <c r="BA245" i="10"/>
  <c r="BA246" i="10"/>
  <c r="BA247" i="10"/>
  <c r="BA248" i="10"/>
  <c r="BA249" i="10"/>
  <c r="BA250" i="10"/>
  <c r="BA251" i="10"/>
  <c r="BA252" i="10"/>
  <c r="BA253" i="10"/>
  <c r="BA254" i="10"/>
  <c r="BA255" i="10"/>
  <c r="BA256" i="10"/>
  <c r="BA257" i="10"/>
  <c r="BA258" i="10"/>
  <c r="BA259" i="10"/>
  <c r="BA260" i="10"/>
  <c r="BA261" i="10"/>
  <c r="BA262" i="10"/>
  <c r="BA263" i="10"/>
  <c r="BA264" i="10"/>
  <c r="BA265" i="10"/>
  <c r="BA266" i="10"/>
  <c r="BA267" i="10"/>
  <c r="BA268" i="10"/>
  <c r="BA269" i="10"/>
  <c r="BA270" i="10"/>
  <c r="BA271" i="10"/>
  <c r="BA272" i="10"/>
  <c r="BA273" i="10"/>
  <c r="BA274" i="10"/>
  <c r="BA275" i="10"/>
  <c r="BA276" i="10"/>
  <c r="BA277" i="10"/>
  <c r="BA278" i="10"/>
  <c r="BA279" i="10"/>
  <c r="BA280" i="10"/>
  <c r="BA281" i="10"/>
  <c r="BA282" i="10"/>
  <c r="BA283" i="10"/>
  <c r="BA284" i="10"/>
  <c r="BA285" i="10"/>
  <c r="BA286" i="10"/>
  <c r="BA287" i="10"/>
  <c r="BA288" i="10"/>
  <c r="BA289" i="10"/>
  <c r="BA290" i="10"/>
  <c r="BA291" i="10"/>
  <c r="BA292" i="10"/>
  <c r="BA293" i="10"/>
  <c r="BA294" i="10"/>
  <c r="BA295" i="10"/>
  <c r="BA296" i="10"/>
  <c r="BA297" i="10"/>
  <c r="BA298" i="10"/>
  <c r="BA299" i="10"/>
  <c r="BA300" i="10"/>
  <c r="B3" i="10"/>
  <c r="B2" i="10"/>
  <c r="E43" i="1"/>
  <c r="Y2" i="1"/>
  <c r="BB12" i="10"/>
  <c r="BB11" i="10"/>
  <c r="BB10" i="10"/>
  <c r="BD73" i="10" l="1"/>
  <c r="BC248" i="10"/>
  <c r="BC56" i="10"/>
  <c r="BD265" i="10"/>
  <c r="BC216" i="10"/>
  <c r="BD257" i="10"/>
  <c r="BC184" i="10"/>
  <c r="BD201" i="10"/>
  <c r="BC152" i="10"/>
  <c r="BD193" i="10"/>
  <c r="BC120" i="10"/>
  <c r="BD137" i="10"/>
  <c r="BC88" i="10"/>
  <c r="BD129" i="10"/>
  <c r="BC280" i="10"/>
  <c r="BC24" i="10"/>
  <c r="BD65" i="10"/>
  <c r="BC278" i="10"/>
  <c r="BC272" i="10"/>
  <c r="BC240" i="10"/>
  <c r="BC208" i="10"/>
  <c r="BC176" i="10"/>
  <c r="BC144" i="10"/>
  <c r="BC112" i="10"/>
  <c r="BC80" i="10"/>
  <c r="BC48" i="10"/>
  <c r="BC16" i="10"/>
  <c r="BD249" i="10"/>
  <c r="BD185" i="10"/>
  <c r="BD121" i="10"/>
  <c r="BD57" i="10"/>
  <c r="BC246" i="10"/>
  <c r="BC150" i="10"/>
  <c r="BC22" i="10"/>
  <c r="BC270" i="10"/>
  <c r="BC238" i="10"/>
  <c r="BC206" i="10"/>
  <c r="BC174" i="10"/>
  <c r="BC142" i="10"/>
  <c r="BC110" i="10"/>
  <c r="BC78" i="10"/>
  <c r="BC46" i="10"/>
  <c r="BC14" i="10"/>
  <c r="BD241" i="10"/>
  <c r="BD177" i="10"/>
  <c r="BD113" i="10"/>
  <c r="BD49" i="10"/>
  <c r="BC296" i="10"/>
  <c r="BC264" i="10"/>
  <c r="BC232" i="10"/>
  <c r="BC200" i="10"/>
  <c r="BC168" i="10"/>
  <c r="BC136" i="10"/>
  <c r="BC104" i="10"/>
  <c r="BC72" i="10"/>
  <c r="BC40" i="10"/>
  <c r="BD297" i="10"/>
  <c r="BD233" i="10"/>
  <c r="BD169" i="10"/>
  <c r="BD105" i="10"/>
  <c r="BD41" i="10"/>
  <c r="BC294" i="10"/>
  <c r="BC262" i="10"/>
  <c r="BC230" i="10"/>
  <c r="BC198" i="10"/>
  <c r="BC166" i="10"/>
  <c r="BC134" i="10"/>
  <c r="BC102" i="10"/>
  <c r="BC70" i="10"/>
  <c r="BC38" i="10"/>
  <c r="BD289" i="10"/>
  <c r="BD225" i="10"/>
  <c r="BD161" i="10"/>
  <c r="BD97" i="10"/>
  <c r="BD33" i="10"/>
  <c r="BC214" i="10"/>
  <c r="BC182" i="10"/>
  <c r="BC118" i="10"/>
  <c r="BC86" i="10"/>
  <c r="BC54" i="10"/>
  <c r="BC288" i="10"/>
  <c r="BC256" i="10"/>
  <c r="BC224" i="10"/>
  <c r="BC192" i="10"/>
  <c r="BC160" i="10"/>
  <c r="BC128" i="10"/>
  <c r="BC96" i="10"/>
  <c r="BC64" i="10"/>
  <c r="BC32" i="10"/>
  <c r="BD281" i="10"/>
  <c r="BD217" i="10"/>
  <c r="BD153" i="10"/>
  <c r="BD89" i="10"/>
  <c r="BD25" i="10"/>
  <c r="BC286" i="10"/>
  <c r="BC254" i="10"/>
  <c r="BC222" i="10"/>
  <c r="BC190" i="10"/>
  <c r="BC158" i="10"/>
  <c r="BC126" i="10"/>
  <c r="BC94" i="10"/>
  <c r="BC62" i="10"/>
  <c r="BC30" i="10"/>
  <c r="BD273" i="10"/>
  <c r="BD209" i="10"/>
  <c r="BD145" i="10"/>
  <c r="BD81" i="10"/>
  <c r="BD17" i="10"/>
  <c r="BC10" i="10"/>
  <c r="BD10" i="10" s="1"/>
  <c r="BC11" i="10"/>
  <c r="BD11" i="10" s="1"/>
  <c r="BC293" i="10"/>
  <c r="BC285" i="10"/>
  <c r="BC277" i="10"/>
  <c r="BC269" i="10"/>
  <c r="BC261" i="10"/>
  <c r="BC253" i="10"/>
  <c r="BC245" i="10"/>
  <c r="BC237" i="10"/>
  <c r="BC229" i="10"/>
  <c r="BC221" i="10"/>
  <c r="BC213" i="10"/>
  <c r="BC205" i="10"/>
  <c r="BC197" i="10"/>
  <c r="BC189" i="10"/>
  <c r="BC181" i="10"/>
  <c r="BC173" i="10"/>
  <c r="BC165" i="10"/>
  <c r="BC157" i="10"/>
  <c r="BC149" i="10"/>
  <c r="BC141" i="10"/>
  <c r="BC133" i="10"/>
  <c r="BC125" i="10"/>
  <c r="BC117" i="10"/>
  <c r="BC109" i="10"/>
  <c r="BC101" i="10"/>
  <c r="BC93" i="10"/>
  <c r="BC85" i="10"/>
  <c r="BC77" i="10"/>
  <c r="BC69" i="10"/>
  <c r="BC61" i="10"/>
  <c r="BC53" i="10"/>
  <c r="BC45" i="10"/>
  <c r="BC37" i="10"/>
  <c r="BC29" i="10"/>
  <c r="BC21" i="10"/>
  <c r="BC13" i="10"/>
  <c r="BC300" i="10"/>
  <c r="BC292" i="10"/>
  <c r="BC284" i="10"/>
  <c r="BC276" i="10"/>
  <c r="BC268" i="10"/>
  <c r="BC260" i="10"/>
  <c r="BC252" i="10"/>
  <c r="BC244" i="10"/>
  <c r="BC236" i="10"/>
  <c r="BC228" i="10"/>
  <c r="BC220" i="10"/>
  <c r="BC212" i="10"/>
  <c r="BC204" i="10"/>
  <c r="BC196" i="10"/>
  <c r="BC188" i="10"/>
  <c r="BC180" i="10"/>
  <c r="BC172" i="10"/>
  <c r="BC164" i="10"/>
  <c r="BC156" i="10"/>
  <c r="BC148" i="10"/>
  <c r="BC140" i="10"/>
  <c r="BC132" i="10"/>
  <c r="BC124" i="10"/>
  <c r="BC116" i="10"/>
  <c r="BC108" i="10"/>
  <c r="BC100" i="10"/>
  <c r="BC92" i="10"/>
  <c r="BC84" i="10"/>
  <c r="BC76" i="10"/>
  <c r="BC68" i="10"/>
  <c r="BC60" i="10"/>
  <c r="BC52" i="10"/>
  <c r="BC44" i="10"/>
  <c r="BC36" i="10"/>
  <c r="BC28" i="10"/>
  <c r="BC20" i="10"/>
  <c r="BC12" i="10"/>
  <c r="BD12" i="10" s="1"/>
  <c r="BD295" i="10"/>
  <c r="BD287" i="10"/>
  <c r="BD279" i="10"/>
  <c r="BD271" i="10"/>
  <c r="BD263" i="10"/>
  <c r="BD255" i="10"/>
  <c r="BD247" i="10"/>
  <c r="BD239" i="10"/>
  <c r="BD231" i="10"/>
  <c r="BD223" i="10"/>
  <c r="BD215" i="10"/>
  <c r="BD207" i="10"/>
  <c r="BD199" i="10"/>
  <c r="BD191" i="10"/>
  <c r="BD183" i="10"/>
  <c r="BD175" i="10"/>
  <c r="BD167" i="10"/>
  <c r="BD159" i="10"/>
  <c r="BD151" i="10"/>
  <c r="BD143" i="10"/>
  <c r="BD135" i="10"/>
  <c r="BD127" i="10"/>
  <c r="BD119" i="10"/>
  <c r="BD111" i="10"/>
  <c r="BD103" i="10"/>
  <c r="BD95" i="10"/>
  <c r="BD87" i="10"/>
  <c r="BD79" i="10"/>
  <c r="BD71" i="10"/>
  <c r="BD63" i="10"/>
  <c r="BD55" i="10"/>
  <c r="BD47" i="10"/>
  <c r="BD39" i="10"/>
  <c r="BD31" i="10"/>
  <c r="BD23" i="10"/>
  <c r="BD15" i="10"/>
  <c r="BC299" i="10"/>
  <c r="BC291" i="10"/>
  <c r="BC283" i="10"/>
  <c r="BC275" i="10"/>
  <c r="BC267" i="10"/>
  <c r="BC259" i="10"/>
  <c r="BC251" i="10"/>
  <c r="BC243" i="10"/>
  <c r="BC235" i="10"/>
  <c r="BC227" i="10"/>
  <c r="BC219" i="10"/>
  <c r="BC211" i="10"/>
  <c r="BC203" i="10"/>
  <c r="BC195" i="10"/>
  <c r="BC187" i="10"/>
  <c r="BC179" i="10"/>
  <c r="BC171" i="10"/>
  <c r="BC163" i="10"/>
  <c r="BC155" i="10"/>
  <c r="BC147" i="10"/>
  <c r="BC139" i="10"/>
  <c r="BC131" i="10"/>
  <c r="BC123" i="10"/>
  <c r="BC115" i="10"/>
  <c r="BC107" i="10"/>
  <c r="BC99" i="10"/>
  <c r="BC91" i="10"/>
  <c r="BC83" i="10"/>
  <c r="BC75" i="10"/>
  <c r="BC67" i="10"/>
  <c r="BC59" i="10"/>
  <c r="BC51" i="10"/>
  <c r="BC43" i="10"/>
  <c r="BC35" i="10"/>
  <c r="BC27" i="10"/>
  <c r="BC19" i="10"/>
  <c r="BC298" i="10"/>
  <c r="BC290" i="10"/>
  <c r="BC282" i="10"/>
  <c r="BC274" i="10"/>
  <c r="BC266" i="10"/>
  <c r="BC258" i="10"/>
  <c r="BC250" i="10"/>
  <c r="BC242" i="10"/>
  <c r="BC234" i="10"/>
  <c r="BC226" i="10"/>
  <c r="BC218" i="10"/>
  <c r="BC210" i="10"/>
  <c r="BC202" i="10"/>
  <c r="BC194" i="10"/>
  <c r="BC186" i="10"/>
  <c r="BC178" i="10"/>
  <c r="BC170" i="10"/>
  <c r="BC162" i="10"/>
  <c r="BC154" i="10"/>
  <c r="BC146" i="10"/>
  <c r="BC138" i="10"/>
  <c r="BC130" i="10"/>
  <c r="BC122" i="10"/>
  <c r="BC114" i="10"/>
  <c r="BC106" i="10"/>
  <c r="BC98" i="10"/>
  <c r="BC90" i="10"/>
  <c r="BC82" i="10"/>
  <c r="BC74" i="10"/>
  <c r="BC66" i="10"/>
  <c r="BC58" i="10"/>
  <c r="BC50" i="10"/>
  <c r="BC42" i="10"/>
  <c r="BC34" i="10"/>
  <c r="BC26" i="10"/>
  <c r="BC18" i="10"/>
  <c r="BB301" i="10" l="1"/>
  <c r="BD301" i="10" s="1"/>
  <c r="J6" i="1"/>
  <c r="Q6" i="1"/>
  <c r="Q4" i="1"/>
  <c r="BC301" i="10" l="1"/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B2" i="5"/>
  <c r="B3" i="5" s="1"/>
  <c r="C43" i="1" l="1"/>
  <c r="K6" i="1"/>
  <c r="F17" i="1" l="1"/>
  <c r="F25" i="1"/>
  <c r="F14" i="1"/>
  <c r="F22" i="1"/>
  <c r="F30" i="1"/>
  <c r="F38" i="1"/>
  <c r="F11" i="1"/>
  <c r="F19" i="1"/>
  <c r="F27" i="1"/>
  <c r="F35" i="1"/>
  <c r="F16" i="1"/>
  <c r="F24" i="1"/>
  <c r="F32" i="1"/>
  <c r="F40" i="1"/>
  <c r="F10" i="1"/>
  <c r="F13" i="1"/>
  <c r="F21" i="1"/>
  <c r="F29" i="1"/>
  <c r="F18" i="1"/>
  <c r="F26" i="1"/>
  <c r="F34" i="1"/>
  <c r="F39" i="1"/>
  <c r="F15" i="1"/>
  <c r="F23" i="1"/>
  <c r="F31" i="1"/>
  <c r="F37" i="1"/>
  <c r="F12" i="1"/>
  <c r="F20" i="1"/>
  <c r="F28" i="1"/>
  <c r="F36" i="1"/>
  <c r="F33" i="1"/>
  <c r="D43" i="1"/>
  <c r="D11" i="1"/>
  <c r="D19" i="1"/>
  <c r="D27" i="1"/>
  <c r="D16" i="1"/>
  <c r="D24" i="1"/>
  <c r="D32" i="1"/>
  <c r="D40" i="1"/>
  <c r="D10" i="1"/>
  <c r="D13" i="1"/>
  <c r="D21" i="1"/>
  <c r="D29" i="1"/>
  <c r="D37" i="1"/>
  <c r="D18" i="1"/>
  <c r="D26" i="1"/>
  <c r="D34" i="1"/>
  <c r="D15" i="1"/>
  <c r="D23" i="1"/>
  <c r="D31" i="1"/>
  <c r="D12" i="1"/>
  <c r="D20" i="1"/>
  <c r="D28" i="1"/>
  <c r="D36" i="1"/>
  <c r="D17" i="1"/>
  <c r="D25" i="1"/>
  <c r="D33" i="1"/>
  <c r="D38" i="1"/>
  <c r="D22" i="1"/>
  <c r="D39" i="1"/>
  <c r="D30" i="1"/>
  <c r="D14" i="1"/>
  <c r="D35" i="1"/>
  <c r="E14" i="1"/>
  <c r="E22" i="1"/>
  <c r="E11" i="1"/>
  <c r="E19" i="1"/>
  <c r="E27" i="1"/>
  <c r="E35" i="1"/>
  <c r="E16" i="1"/>
  <c r="E24" i="1"/>
  <c r="E32" i="1"/>
  <c r="E40" i="1"/>
  <c r="E10" i="1"/>
  <c r="E13" i="1"/>
  <c r="E21" i="1"/>
  <c r="E29" i="1"/>
  <c r="E37" i="1"/>
  <c r="E18" i="1"/>
  <c r="E26" i="1"/>
  <c r="E34" i="1"/>
  <c r="E15" i="1"/>
  <c r="E23" i="1"/>
  <c r="E31" i="1"/>
  <c r="E39" i="1"/>
  <c r="E12" i="1"/>
  <c r="E20" i="1"/>
  <c r="E28" i="1"/>
  <c r="E36" i="1"/>
  <c r="E30" i="1"/>
  <c r="E33" i="1"/>
  <c r="E38" i="1"/>
  <c r="E17" i="1"/>
  <c r="E25" i="1"/>
  <c r="I10" i="1" l="1"/>
  <c r="Y10" i="1" s="1"/>
  <c r="I2" i="1"/>
  <c r="G37" i="1"/>
  <c r="G38" i="1"/>
  <c r="G10" i="1"/>
  <c r="H10" i="1" s="1"/>
  <c r="G21" i="1"/>
  <c r="G32" i="1"/>
  <c r="G13" i="1"/>
  <c r="G22" i="1"/>
  <c r="G24" i="1"/>
  <c r="G27" i="1"/>
  <c r="G19" i="1"/>
  <c r="G30" i="1"/>
  <c r="G33" i="1"/>
  <c r="G11" i="1"/>
  <c r="G25" i="1"/>
  <c r="G28" i="1"/>
  <c r="G39" i="1"/>
  <c r="G26" i="1"/>
  <c r="G12" i="1"/>
  <c r="G18" i="1"/>
  <c r="G29" i="1"/>
  <c r="G40" i="1"/>
  <c r="G35" i="1"/>
  <c r="G14" i="1"/>
  <c r="G17" i="1"/>
  <c r="G20" i="1"/>
  <c r="G31" i="1"/>
  <c r="G34" i="1"/>
  <c r="G23" i="1"/>
  <c r="G15" i="1"/>
  <c r="G16" i="1"/>
  <c r="G36" i="1"/>
  <c r="F43" i="1"/>
  <c r="J2" i="1" l="1"/>
  <c r="U2" i="1"/>
  <c r="X2" i="1" s="1"/>
  <c r="I11" i="1"/>
  <c r="Y11" i="1" s="1"/>
  <c r="J10" i="1"/>
  <c r="S10" i="1"/>
  <c r="P10" i="1"/>
  <c r="M10" i="1"/>
  <c r="H32" i="1"/>
  <c r="B32" i="1"/>
  <c r="B34" i="1"/>
  <c r="H34" i="1"/>
  <c r="B18" i="1"/>
  <c r="H18" i="1"/>
  <c r="H33" i="1"/>
  <c r="B33" i="1"/>
  <c r="H21" i="1"/>
  <c r="B21" i="1"/>
  <c r="H31" i="1"/>
  <c r="B31" i="1"/>
  <c r="H12" i="1"/>
  <c r="B12" i="1"/>
  <c r="H30" i="1"/>
  <c r="B30" i="1"/>
  <c r="B10" i="1"/>
  <c r="H20" i="1"/>
  <c r="B20" i="1"/>
  <c r="B26" i="1"/>
  <c r="H26" i="1"/>
  <c r="H19" i="1"/>
  <c r="B19" i="1"/>
  <c r="H38" i="1"/>
  <c r="B38" i="1"/>
  <c r="H17" i="1"/>
  <c r="B17" i="1"/>
  <c r="H39" i="1"/>
  <c r="B39" i="1"/>
  <c r="H27" i="1"/>
  <c r="B27" i="1"/>
  <c r="B37" i="1"/>
  <c r="H37" i="1"/>
  <c r="H36" i="1"/>
  <c r="B36" i="1"/>
  <c r="H14" i="1"/>
  <c r="B14" i="1"/>
  <c r="H28" i="1"/>
  <c r="B28" i="1"/>
  <c r="H24" i="1"/>
  <c r="B24" i="1"/>
  <c r="H16" i="1"/>
  <c r="B16" i="1"/>
  <c r="H35" i="1"/>
  <c r="B35" i="1"/>
  <c r="H25" i="1"/>
  <c r="B25" i="1"/>
  <c r="H22" i="1"/>
  <c r="B22" i="1"/>
  <c r="B29" i="1"/>
  <c r="H29" i="1"/>
  <c r="H40" i="1"/>
  <c r="B40" i="1"/>
  <c r="H23" i="1"/>
  <c r="B23" i="1"/>
  <c r="H11" i="1"/>
  <c r="B11" i="1"/>
  <c r="H15" i="1"/>
  <c r="B15" i="1"/>
  <c r="B13" i="1"/>
  <c r="H13" i="1"/>
  <c r="B43" i="1"/>
  <c r="M2" i="1"/>
  <c r="T2" i="1"/>
  <c r="S2" i="1"/>
  <c r="P2" i="1"/>
  <c r="I12" i="1" l="1"/>
  <c r="Y12" i="1" s="1"/>
  <c r="J11" i="1"/>
  <c r="W2" i="1"/>
  <c r="T10" i="1"/>
  <c r="U10" i="1" s="1"/>
  <c r="S11" i="1"/>
  <c r="P11" i="1"/>
  <c r="M11" i="1"/>
  <c r="B6" i="1"/>
  <c r="C6" i="1"/>
  <c r="X10" i="1" l="1"/>
  <c r="I13" i="1"/>
  <c r="Y13" i="1" s="1"/>
  <c r="J12" i="1"/>
  <c r="T11" i="1"/>
  <c r="U11" i="1" s="1"/>
  <c r="P12" i="1"/>
  <c r="S12" i="1"/>
  <c r="M12" i="1"/>
  <c r="X11" i="1" l="1"/>
  <c r="W10" i="1"/>
  <c r="I14" i="1"/>
  <c r="Y14" i="1" s="1"/>
  <c r="J13" i="1"/>
  <c r="T12" i="1"/>
  <c r="U12" i="1" s="1"/>
  <c r="S13" i="1"/>
  <c r="M13" i="1"/>
  <c r="P13" i="1"/>
  <c r="X12" i="1" l="1"/>
  <c r="W11" i="1"/>
  <c r="I15" i="1"/>
  <c r="Y15" i="1" s="1"/>
  <c r="J14" i="1"/>
  <c r="T13" i="1"/>
  <c r="U13" i="1" s="1"/>
  <c r="S14" i="1"/>
  <c r="M14" i="1"/>
  <c r="P14" i="1"/>
  <c r="X13" i="1" l="1"/>
  <c r="W12" i="1"/>
  <c r="I16" i="1"/>
  <c r="Y16" i="1" s="1"/>
  <c r="J15" i="1"/>
  <c r="T14" i="1"/>
  <c r="U14" i="1" s="1"/>
  <c r="P15" i="1"/>
  <c r="S15" i="1"/>
  <c r="M15" i="1"/>
  <c r="X14" i="1" l="1"/>
  <c r="W13" i="1"/>
  <c r="I17" i="1"/>
  <c r="Y17" i="1" s="1"/>
  <c r="J16" i="1"/>
  <c r="T15" i="1"/>
  <c r="U15" i="1" s="1"/>
  <c r="M16" i="1"/>
  <c r="S16" i="1"/>
  <c r="P16" i="1"/>
  <c r="W14" i="1" l="1"/>
  <c r="X15" i="1"/>
  <c r="I18" i="1"/>
  <c r="Y18" i="1" s="1"/>
  <c r="J17" i="1"/>
  <c r="T16" i="1"/>
  <c r="U16" i="1" s="1"/>
  <c r="M17" i="1"/>
  <c r="P17" i="1"/>
  <c r="S17" i="1"/>
  <c r="X16" i="1" l="1"/>
  <c r="W15" i="1"/>
  <c r="I19" i="1"/>
  <c r="Y19" i="1" s="1"/>
  <c r="J18" i="1"/>
  <c r="T17" i="1"/>
  <c r="U17" i="1" s="1"/>
  <c r="P18" i="1"/>
  <c r="S18" i="1"/>
  <c r="M18" i="1"/>
  <c r="W16" i="1" l="1"/>
  <c r="X17" i="1"/>
  <c r="I20" i="1"/>
  <c r="Y20" i="1" s="1"/>
  <c r="J19" i="1"/>
  <c r="T18" i="1"/>
  <c r="U18" i="1" s="1"/>
  <c r="M19" i="1"/>
  <c r="P19" i="1"/>
  <c r="S19" i="1"/>
  <c r="X18" i="1" l="1"/>
  <c r="W17" i="1"/>
  <c r="I21" i="1"/>
  <c r="Y21" i="1" s="1"/>
  <c r="J20" i="1"/>
  <c r="T19" i="1"/>
  <c r="U19" i="1" s="1"/>
  <c r="M20" i="1"/>
  <c r="P20" i="1"/>
  <c r="S20" i="1"/>
  <c r="X19" i="1" l="1"/>
  <c r="W18" i="1"/>
  <c r="I22" i="1"/>
  <c r="Y22" i="1" s="1"/>
  <c r="J21" i="1"/>
  <c r="T20" i="1"/>
  <c r="U20" i="1" s="1"/>
  <c r="P21" i="1"/>
  <c r="M21" i="1"/>
  <c r="S21" i="1"/>
  <c r="X20" i="1" l="1"/>
  <c r="W19" i="1"/>
  <c r="I23" i="1"/>
  <c r="Y23" i="1" s="1"/>
  <c r="J22" i="1"/>
  <c r="T21" i="1"/>
  <c r="U21" i="1" s="1"/>
  <c r="S22" i="1"/>
  <c r="P22" i="1"/>
  <c r="M22" i="1"/>
  <c r="X21" i="1" l="1"/>
  <c r="W20" i="1"/>
  <c r="I24" i="1"/>
  <c r="Y24" i="1" s="1"/>
  <c r="J23" i="1"/>
  <c r="T22" i="1"/>
  <c r="U22" i="1" s="1"/>
  <c r="S23" i="1"/>
  <c r="M23" i="1"/>
  <c r="P23" i="1"/>
  <c r="X22" i="1" l="1"/>
  <c r="W21" i="1"/>
  <c r="I25" i="1"/>
  <c r="Y25" i="1" s="1"/>
  <c r="J24" i="1"/>
  <c r="T23" i="1"/>
  <c r="U23" i="1" s="1"/>
  <c r="P24" i="1"/>
  <c r="M24" i="1"/>
  <c r="S24" i="1"/>
  <c r="X23" i="1" l="1"/>
  <c r="W22" i="1"/>
  <c r="I26" i="1"/>
  <c r="Y26" i="1" s="1"/>
  <c r="J25" i="1"/>
  <c r="T24" i="1"/>
  <c r="U24" i="1" s="1"/>
  <c r="P25" i="1"/>
  <c r="S25" i="1"/>
  <c r="M25" i="1"/>
  <c r="W23" i="1" l="1"/>
  <c r="X24" i="1"/>
  <c r="I27" i="1"/>
  <c r="Y27" i="1" s="1"/>
  <c r="J26" i="1"/>
  <c r="T25" i="1"/>
  <c r="U25" i="1" s="1"/>
  <c r="P26" i="1"/>
  <c r="M26" i="1"/>
  <c r="S26" i="1"/>
  <c r="X25" i="1" l="1"/>
  <c r="W24" i="1"/>
  <c r="I28" i="1"/>
  <c r="Y28" i="1" s="1"/>
  <c r="J27" i="1"/>
  <c r="T26" i="1"/>
  <c r="U26" i="1" s="1"/>
  <c r="S27" i="1"/>
  <c r="M27" i="1"/>
  <c r="P27" i="1"/>
  <c r="X26" i="1" l="1"/>
  <c r="W25" i="1"/>
  <c r="I29" i="1"/>
  <c r="Y29" i="1" s="1"/>
  <c r="J28" i="1"/>
  <c r="T27" i="1"/>
  <c r="U27" i="1" s="1"/>
  <c r="M28" i="1"/>
  <c r="P28" i="1"/>
  <c r="S28" i="1"/>
  <c r="X27" i="1" l="1"/>
  <c r="W26" i="1"/>
  <c r="I30" i="1"/>
  <c r="Y30" i="1" s="1"/>
  <c r="J29" i="1"/>
  <c r="T28" i="1"/>
  <c r="U28" i="1" s="1"/>
  <c r="P29" i="1"/>
  <c r="S29" i="1"/>
  <c r="M29" i="1"/>
  <c r="X28" i="1" l="1"/>
  <c r="W27" i="1"/>
  <c r="T29" i="1"/>
  <c r="U29" i="1" s="1"/>
  <c r="I31" i="1"/>
  <c r="Y31" i="1" s="1"/>
  <c r="J30" i="1"/>
  <c r="S30" i="1"/>
  <c r="P30" i="1"/>
  <c r="M30" i="1"/>
  <c r="W28" i="1" l="1"/>
  <c r="X29" i="1"/>
  <c r="I32" i="1"/>
  <c r="Y32" i="1" s="1"/>
  <c r="J31" i="1"/>
  <c r="T30" i="1"/>
  <c r="U30" i="1" s="1"/>
  <c r="M31" i="1"/>
  <c r="P31" i="1"/>
  <c r="S31" i="1"/>
  <c r="X30" i="1" l="1"/>
  <c r="W29" i="1"/>
  <c r="I33" i="1"/>
  <c r="Y33" i="1" s="1"/>
  <c r="J32" i="1"/>
  <c r="T31" i="1"/>
  <c r="U31" i="1" s="1"/>
  <c r="S32" i="1"/>
  <c r="M32" i="1"/>
  <c r="P32" i="1"/>
  <c r="X31" i="1" l="1"/>
  <c r="W30" i="1"/>
  <c r="I34" i="1"/>
  <c r="Y34" i="1" s="1"/>
  <c r="J33" i="1"/>
  <c r="T32" i="1"/>
  <c r="U32" i="1" s="1"/>
  <c r="M33" i="1"/>
  <c r="P33" i="1"/>
  <c r="S33" i="1"/>
  <c r="X32" i="1" l="1"/>
  <c r="W31" i="1"/>
  <c r="I35" i="1"/>
  <c r="Y35" i="1" s="1"/>
  <c r="J34" i="1"/>
  <c r="T33" i="1"/>
  <c r="U33" i="1" s="1"/>
  <c r="M34" i="1"/>
  <c r="P34" i="1"/>
  <c r="S34" i="1"/>
  <c r="X33" i="1" l="1"/>
  <c r="W32" i="1"/>
  <c r="I36" i="1"/>
  <c r="Y36" i="1" s="1"/>
  <c r="J35" i="1"/>
  <c r="T34" i="1"/>
  <c r="U34" i="1" s="1"/>
  <c r="P35" i="1"/>
  <c r="S35" i="1"/>
  <c r="M35" i="1"/>
  <c r="X34" i="1" l="1"/>
  <c r="W33" i="1"/>
  <c r="I37" i="1"/>
  <c r="Y37" i="1" s="1"/>
  <c r="J36" i="1"/>
  <c r="T35" i="1"/>
  <c r="U35" i="1" s="1"/>
  <c r="S36" i="1"/>
  <c r="P36" i="1"/>
  <c r="M36" i="1"/>
  <c r="X35" i="1" l="1"/>
  <c r="W34" i="1"/>
  <c r="I38" i="1"/>
  <c r="Y38" i="1" s="1"/>
  <c r="J37" i="1"/>
  <c r="T36" i="1"/>
  <c r="U36" i="1" s="1"/>
  <c r="S37" i="1"/>
  <c r="M37" i="1"/>
  <c r="P37" i="1"/>
  <c r="X36" i="1" l="1"/>
  <c r="W35" i="1"/>
  <c r="I39" i="1"/>
  <c r="Y39" i="1" s="1"/>
  <c r="J38" i="1"/>
  <c r="T37" i="1"/>
  <c r="U37" i="1" s="1"/>
  <c r="S38" i="1"/>
  <c r="M38" i="1"/>
  <c r="P38" i="1"/>
  <c r="X37" i="1" l="1"/>
  <c r="W36" i="1"/>
  <c r="I40" i="1"/>
  <c r="J39" i="1"/>
  <c r="T38" i="1"/>
  <c r="U38" i="1" s="1"/>
  <c r="P39" i="1"/>
  <c r="S39" i="1"/>
  <c r="M39" i="1"/>
  <c r="J40" i="1" l="1"/>
  <c r="Y40" i="1"/>
  <c r="U40" i="1" s="1"/>
  <c r="W37" i="1"/>
  <c r="T39" i="1"/>
  <c r="U39" i="1" s="1"/>
  <c r="X38" i="1"/>
  <c r="W38" i="1"/>
  <c r="M40" i="1"/>
  <c r="P40" i="1"/>
  <c r="S40" i="1"/>
  <c r="X39" i="1" l="1"/>
  <c r="T40" i="1"/>
  <c r="W39" i="1" l="1"/>
  <c r="X40" i="1"/>
  <c r="E6" i="1" s="1"/>
  <c r="W40" i="1"/>
  <c r="G43" i="1"/>
  <c r="H43" i="1" l="1"/>
  <c r="L43" i="1" s="1"/>
  <c r="K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14" authorId="0" shapeId="0" xr:uid="{28297501-ED35-4AE6-8E4A-5F872ABEB527}">
      <text>
        <r>
          <rPr>
            <i/>
            <sz val="12"/>
            <color indexed="81"/>
            <rFont val="Calibri"/>
            <family val="2"/>
            <scheme val="minor"/>
          </rPr>
          <t>Clicando neste botão você terá acesso a aba "Banco de Horas", onde fica o botão para registro dos créditos de horas da empresa.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E2" authorId="0" shapeId="0" xr:uid="{F9E212A5-D6F6-46C5-AD18-4511450CBFA5}">
      <text>
        <r>
          <rPr>
            <sz val="9"/>
            <color indexed="81"/>
            <rFont val="Segoe UI"/>
            <family val="2"/>
          </rPr>
          <t xml:space="preserve">Intervalo para almoço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E6" authorId="0" shapeId="0" xr:uid="{457618A7-564C-4758-83DE-79868B971558}">
      <text>
        <r>
          <rPr>
            <sz val="9"/>
            <color indexed="81"/>
            <rFont val="Segoe UI"/>
            <family val="2"/>
          </rPr>
          <t xml:space="preserve">Verifica se há diferenças de horas para o colaborador.
</t>
        </r>
      </text>
    </comment>
    <comment ref="Q6" authorId="0" shapeId="0" xr:uid="{815C718E-7509-4E07-9EFD-928934BDC544}">
      <text>
        <r>
          <rPr>
            <sz val="9"/>
            <color indexed="81"/>
            <rFont val="Segoe UI"/>
            <family val="2"/>
          </rPr>
          <t xml:space="preserve">Intervalo para o almoço ou assemelhado.
</t>
        </r>
      </text>
    </comment>
    <comment ref="K9" authorId="0" shapeId="0" xr:uid="{DE556E4C-C17E-4F7C-A6BC-A7F03D7042A1}">
      <text>
        <r>
          <rPr>
            <sz val="9"/>
            <color indexed="81"/>
            <rFont val="Segoe UI"/>
            <family val="2"/>
          </rPr>
          <t xml:space="preserve">Entrada no início do expediente
</t>
        </r>
      </text>
    </comment>
    <comment ref="L9" authorId="0" shapeId="0" xr:uid="{BDB25A22-4D6F-4ED6-A909-FC5F5F6D7262}">
      <text>
        <r>
          <rPr>
            <sz val="9"/>
            <color indexed="81"/>
            <rFont val="Segoe UI"/>
            <family val="2"/>
          </rPr>
          <t xml:space="preserve">Saída para o almoço
</t>
        </r>
      </text>
    </comment>
    <comment ref="M9" authorId="0" shapeId="0" xr:uid="{DBBB2044-EFC8-4508-9C28-5639589C95D0}">
      <text>
        <r>
          <rPr>
            <sz val="9"/>
            <color indexed="81"/>
            <rFont val="Segoe UI"/>
            <family val="2"/>
          </rPr>
          <t xml:space="preserve">Horas trabalhadas no período da manhã
</t>
        </r>
      </text>
    </comment>
    <comment ref="N9" authorId="0" shapeId="0" xr:uid="{E8C1442B-56B9-4F08-B3CA-1851BD892636}">
      <text>
        <r>
          <rPr>
            <sz val="9"/>
            <color indexed="81"/>
            <rFont val="Segoe UI"/>
            <family val="2"/>
          </rPr>
          <t xml:space="preserve">Retorno do almoço
</t>
        </r>
      </text>
    </comment>
    <comment ref="O9" authorId="0" shapeId="0" xr:uid="{3CFC6A68-F007-4F77-974A-8C0FA250B87F}">
      <text>
        <r>
          <rPr>
            <sz val="9"/>
            <color indexed="81"/>
            <rFont val="Segoe UI"/>
            <family val="2"/>
          </rPr>
          <t xml:space="preserve">Saída ao final do expediente normal
</t>
        </r>
      </text>
    </comment>
    <comment ref="P9" authorId="0" shapeId="0" xr:uid="{3C1C5B11-A4C6-4B8A-9C84-B46794EA3089}">
      <text>
        <r>
          <rPr>
            <sz val="9"/>
            <color indexed="81"/>
            <rFont val="Segoe UI"/>
            <family val="2"/>
          </rPr>
          <t xml:space="preserve">Horas trabalhadas no período da tarde
</t>
        </r>
      </text>
    </comment>
    <comment ref="Q9" authorId="0" shapeId="0" xr:uid="{95097A54-B5EB-4EF2-B9D8-C8135D8014F3}">
      <text>
        <r>
          <rPr>
            <sz val="9"/>
            <color indexed="81"/>
            <rFont val="Segoe UI"/>
            <family val="2"/>
          </rPr>
          <t xml:space="preserve">Início de turno extra
</t>
        </r>
      </text>
    </comment>
    <comment ref="R9" authorId="0" shapeId="0" xr:uid="{A21680DB-4207-41F6-9827-BBD58C837100}">
      <text>
        <r>
          <rPr>
            <sz val="9"/>
            <color indexed="81"/>
            <rFont val="Segoe UI"/>
            <family val="2"/>
          </rPr>
          <t xml:space="preserve">Final de turno extra
</t>
        </r>
      </text>
    </comment>
    <comment ref="S9" authorId="0" shapeId="0" xr:uid="{12BD855E-A2B3-4D08-809D-3761D1AAAD2F}">
      <text>
        <r>
          <rPr>
            <sz val="9"/>
            <color indexed="81"/>
            <rFont val="Segoe UI"/>
            <family val="2"/>
          </rPr>
          <t xml:space="preserve">Horas trabalhadas no turno extra
</t>
        </r>
      </text>
    </comment>
    <comment ref="T9" authorId="0" shapeId="0" xr:uid="{F655E0A4-0EAD-418A-9879-6D9173293D66}">
      <text>
        <r>
          <rPr>
            <sz val="9"/>
            <color indexed="81"/>
            <rFont val="Segoe UI"/>
            <family val="2"/>
          </rPr>
          <t xml:space="preserve">Total de horas trabalhadas dia-a-dia
</t>
        </r>
      </text>
    </comment>
    <comment ref="U9" authorId="0" shapeId="0" xr:uid="{2DE7901B-7ADE-4F54-9460-930BA9815D92}">
      <text>
        <r>
          <rPr>
            <sz val="9"/>
            <color indexed="81"/>
            <rFont val="Segoe UI"/>
            <family val="2"/>
          </rPr>
          <t>Diferença entre as horas trabalhadas e a jornada de trabalho do colaborador
A fórmula só funciona se o campo 'Jornada' estiver preenchido no cadastro do colaborador.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D5" authorId="0" shapeId="0" xr:uid="{B9E85FC7-3D75-468D-AD76-5C899B2B8291}">
      <text>
        <r>
          <rPr>
            <sz val="9"/>
            <color indexed="81"/>
            <rFont val="Segoe UI"/>
            <family val="2"/>
          </rPr>
          <t xml:space="preserve">Nº do Registro Interno do colaborador
</t>
        </r>
      </text>
    </comment>
    <comment ref="J5" authorId="0" shapeId="0" xr:uid="{1FCD5184-D643-4C2B-ACC2-566602DFB585}">
      <text>
        <r>
          <rPr>
            <sz val="9"/>
            <color indexed="81"/>
            <rFont val="Segoe UI"/>
            <family val="2"/>
          </rPr>
          <t>Serve para aglutinar os registros dos colaboradores, para efeito nos relatórios.</t>
        </r>
      </text>
    </comment>
  </commentList>
</comments>
</file>

<file path=xl/sharedStrings.xml><?xml version="1.0" encoding="utf-8"?>
<sst xmlns="http://schemas.openxmlformats.org/spreadsheetml/2006/main" count="183" uniqueCount="111">
  <si>
    <t>Nome:</t>
  </si>
  <si>
    <t>NOME</t>
  </si>
  <si>
    <t>DIA</t>
  </si>
  <si>
    <t>DIA DA SEMANA</t>
  </si>
  <si>
    <t>Domingo</t>
  </si>
  <si>
    <t>Sábado</t>
  </si>
  <si>
    <t>Segunda-feira</t>
  </si>
  <si>
    <t>Terça-feira</t>
  </si>
  <si>
    <t>Quinta-feira</t>
  </si>
  <si>
    <t>Sexta-feira</t>
  </si>
  <si>
    <t>Quarta-feira</t>
  </si>
  <si>
    <t>R.I.</t>
  </si>
  <si>
    <t>Nº R.I.:</t>
  </si>
  <si>
    <t>T</t>
  </si>
  <si>
    <t>INTERVALO</t>
  </si>
  <si>
    <t xml:space="preserve">Intervalo: </t>
  </si>
  <si>
    <t>MÊS/ANO</t>
  </si>
  <si>
    <t>Ano:</t>
  </si>
  <si>
    <t>Mês:</t>
  </si>
  <si>
    <t>MÊS-ANO</t>
  </si>
  <si>
    <t>E_M</t>
  </si>
  <si>
    <t>S_M</t>
  </si>
  <si>
    <t>T_H_M</t>
  </si>
  <si>
    <t>E_T</t>
  </si>
  <si>
    <t>S_T</t>
  </si>
  <si>
    <t>T_H_T</t>
  </si>
  <si>
    <t>E_N</t>
  </si>
  <si>
    <t>S_N</t>
  </si>
  <si>
    <t>T_H_N</t>
  </si>
  <si>
    <t>TOTAL</t>
  </si>
  <si>
    <t>ANO</t>
  </si>
  <si>
    <t>DIF. MIN.</t>
  </si>
  <si>
    <t>MINUTOS</t>
  </si>
  <si>
    <t>OBSERVAÇÃO</t>
  </si>
  <si>
    <t>Início</t>
  </si>
  <si>
    <t>Fim</t>
  </si>
  <si>
    <t>2018</t>
  </si>
  <si>
    <t>----</t>
  </si>
  <si>
    <t>EMPRESA</t>
  </si>
  <si>
    <t>REF.</t>
  </si>
  <si>
    <t>Total Geral</t>
  </si>
  <si>
    <t>STATUS</t>
  </si>
  <si>
    <t>DIF. HORAS</t>
  </si>
  <si>
    <t>DIF. EM MIN.</t>
  </si>
  <si>
    <t xml:space="preserve">MINUTOS </t>
  </si>
  <si>
    <t>Jornada:</t>
  </si>
  <si>
    <t>JORNADA</t>
  </si>
  <si>
    <t>DESCRIÇÃO SOBRE OS REGISTROS DA EMPRESA</t>
  </si>
  <si>
    <t>E. M.</t>
  </si>
  <si>
    <t>S. M.</t>
  </si>
  <si>
    <t>H. M.</t>
  </si>
  <si>
    <t>E. T.</t>
  </si>
  <si>
    <t>S. T.</t>
  </si>
  <si>
    <t>H. T.</t>
  </si>
  <si>
    <t>E. N.</t>
  </si>
  <si>
    <t>S. N.</t>
  </si>
  <si>
    <t>H. N.</t>
  </si>
  <si>
    <t>DIF. EM HORAS</t>
  </si>
  <si>
    <t>Total</t>
  </si>
  <si>
    <t>T U T O R I A L</t>
  </si>
  <si>
    <t>GERAL</t>
  </si>
  <si>
    <t>.</t>
  </si>
  <si>
    <t>JORNADA DIÁRIA</t>
  </si>
  <si>
    <t>ABA "Cad. Colaboradores"</t>
  </si>
  <si>
    <t>Aba para o registro dos colaboradores, com a informação de seu nº de controle interno (R.I.), sua jornada diária de trabalho, que pode ser alterada ao longo do tempo e o tempo de intervalo de seu almoço, o qual não tem influência no cálculo das horas deste aplicativo, uma vez que está sendo considerado que a redução ao aumento do período do almoço é compensado naturalmente pela redução ou extensão de sua permanência diária na empresa;</t>
  </si>
  <si>
    <t>Somente as células destacadas na cor azul degradê devem ser preenchidas;</t>
  </si>
  <si>
    <t>Clicando no botão REGISTRAR, os dados lançados conforme acima serão armazenados na aba "Colab. Registro Horas" e serão utilizados na geração dos relatórios gerenciais;</t>
  </si>
  <si>
    <t>ABA "Banco de Horas"</t>
  </si>
  <si>
    <t>Uma vez que o colaborador já está cadastradado, ele pode ser chamado na célula J4 e, após informar o ano e o mês nas células U4 e U6, respectivamente, lançar, nas células entre K10 e S40,  as horas de entrada e saídas para o almoço, retornos e saídas ao final do expediente, bem como eventuais extensões de seu horário em período noturno, por exemplo;</t>
  </si>
  <si>
    <t>Ao realizar o registro das horas trabalhadas dos colaboradores na aba "Colab. Cálculo Horas", conforme acima, automaticamente a soma das diferenças de horas apontadas, a mais ou a menos, do mês/ano escolhido, é carregado para a aba "Banco de Horas", para efeito cumulativo e posterior cruzamento com os créditos de horas da empresa;</t>
  </si>
  <si>
    <t>ABA "Rel. Horas Colaboradores"</t>
  </si>
  <si>
    <t>O objetivo deste aplicativo é possibilitar um controle dos créditos e débitos de horas pelos colaboradores, mês-a-mês, e dos créditos de horas a compensar gerados pela empresa, formando um bando de horas para cálculo de eventuais compensações ou valores a pagar aos colaboradores;</t>
  </si>
  <si>
    <t>Para efeito do presente aplicativo considera-se "diferença de horas" a diferença entre a jornada contratada com cada colaborador e aquela efetivamente realizada pelo mesmo e apontada, dia-a-dia, no cálculo de horas;</t>
  </si>
  <si>
    <t>ABA "Rel. Horas Empresa"</t>
  </si>
  <si>
    <t>Nessa aba há uma tabela dinâmica mostrando, mês-a-mês, de forma analítica, os créditos de horas da empresa;</t>
  </si>
  <si>
    <t>CONTROLE</t>
  </si>
  <si>
    <t>Colaborador</t>
  </si>
  <si>
    <t>(vazio)</t>
  </si>
  <si>
    <t>FR. H.</t>
  </si>
  <si>
    <t>DESCR.</t>
  </si>
  <si>
    <t>MIN.</t>
  </si>
  <si>
    <t>COMP. MIN.</t>
  </si>
  <si>
    <t>COMP. HORA</t>
  </si>
  <si>
    <t>FRAÇÃO EM HORAS</t>
  </si>
  <si>
    <t>FRAÇÃO HORAS</t>
  </si>
  <si>
    <t>POSIÇÃO</t>
  </si>
  <si>
    <t>Período:</t>
  </si>
  <si>
    <t>HORAS A RECEBER OU A PAGAR</t>
  </si>
  <si>
    <t>RESUMO</t>
  </si>
  <si>
    <t>Apontamento</t>
  </si>
  <si>
    <t>Nessa aba há uma tabela dinâmica mostrando, mês-a-mês, de forma analítica, as horas a receber ou a compensar por cada coloborador;</t>
  </si>
  <si>
    <t>ABA "Compensação de Horas"</t>
  </si>
  <si>
    <t>Tempo de Tolerância,
em minutos:</t>
  </si>
  <si>
    <t>Também nessa aba, na célula J2, deve ser informado o tempo de tolerância que influenciará o cálculo das horas trabalhadas. Se, por exemplo, um colaborador trabalhar 15 minutos a menos que o previsto em uma jornada, esse tempo não será computado no banco de horas, assim como se ele trabalhar quinze minutos a mais, Contudo, se o tempo for maior que esses 15 minutos, ele será integralmente computado no banco de horas;</t>
  </si>
  <si>
    <t>É através da aba "Banco de Horas" que se efetua o registro dos créditos de horas da empresa, tal como o de emenda feriados. Para tanto basta, nessa aba, clicar no botão REGISTRAR HORAS EMPRESA, para que surja um formulário para registro de tais créditos;</t>
  </si>
  <si>
    <t>Para o impute da hora é preciso digitar ":" depois do caracter da hora;</t>
  </si>
  <si>
    <t>De:</t>
  </si>
  <si>
    <t>Até:</t>
  </si>
  <si>
    <t>FERIADOS NACIONAIS</t>
  </si>
  <si>
    <t>FERIADO</t>
  </si>
  <si>
    <t>Os dias de feriado naccional estão com as respectivas células preenchidas na cor vermelha;</t>
  </si>
  <si>
    <t>Importante consultar a convenção coletiva da categoria para saber se há regras específicas a serem seguidas para o cálculo do banco de horas;</t>
  </si>
  <si>
    <t/>
  </si>
  <si>
    <t>ABA "Cálculo Horas Colaboradores"</t>
  </si>
  <si>
    <t>Os sábados e domingos não estão sendo considerados como dias de jornada normal de trabalho, razão pelo qual as horas trabalhadas nesses dias estão sendo integralmente computadas para efeito do banco de horas;</t>
  </si>
  <si>
    <t>ABA "Feriados"</t>
  </si>
  <si>
    <t>Nessa aba você digita os feriados nacionais, para que sejam considerados no cálculo das horas trabalhadas pelos colaboradores.</t>
  </si>
  <si>
    <t>Essa aba expõe o principal relatório deste aplicativo, o qual demonstra, no período que você escolher, as horas a receber ou a compensar por cada colaborador, já descontado a soma dos créditos de horas da empresa acumulados no mesmo período;</t>
  </si>
  <si>
    <t>10</t>
  </si>
  <si>
    <t>3</t>
  </si>
  <si>
    <t>(vazio)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</si>
</sst>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h:mm;@"/>
    <numFmt numFmtId="165" formatCode="0&quot; horas&quot;"/>
    <numFmt numFmtId="166" formatCode="0&quot; horas diárias&quot;"/>
    <numFmt numFmtId="167" formatCode="0.0&quot; hora(s)&quot;"/>
    <numFmt numFmtId="168" formatCode="[$-416]mmm\-yy;@"/>
    <numFmt numFmtId="169" formatCode="h:mm&quot; horas diárias&quot;"/>
    <numFmt numFmtId="170" formatCode="_(* #,##0.00_);_(* \(#,##0.00\);_(* &quot;-&quot;??_);_(@_)"/>
    <numFmt numFmtId="171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sz val="11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i/>
      <sz val="12"/>
      <color indexed="8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gradientFill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9" tint="0.79998168889431442"/>
        <bgColor indexed="64"/>
      </patternFill>
    </fill>
    <fill>
      <gradientFill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450666829432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3" fontId="0" fillId="0" borderId="0" xfId="0" applyNumberFormat="1" applyAlignment="1">
      <alignment horizontal="center"/>
    </xf>
    <xf numFmtId="0" fontId="1" fillId="2" borderId="17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NumberFormat="1" applyProtection="1"/>
    <xf numFmtId="14" fontId="0" fillId="0" borderId="0" xfId="0" applyNumberFormat="1" applyProtection="1"/>
    <xf numFmtId="164" fontId="0" fillId="0" borderId="0" xfId="0" applyNumberFormat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17" fontId="0" fillId="0" borderId="0" xfId="0" applyNumberFormat="1" applyFill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43" fontId="0" fillId="0" borderId="15" xfId="1" applyFont="1" applyFill="1" applyBorder="1" applyAlignment="1" applyProtection="1">
      <alignment horizontal="right"/>
    </xf>
    <xf numFmtId="0" fontId="1" fillId="0" borderId="17" xfId="0" applyFont="1" applyFill="1" applyBorder="1" applyAlignment="1" applyProtection="1">
      <alignment horizontal="center"/>
    </xf>
    <xf numFmtId="43" fontId="0" fillId="0" borderId="15" xfId="1" applyFont="1" applyFill="1" applyBorder="1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/>
    <xf numFmtId="0" fontId="1" fillId="0" borderId="0" xfId="0" applyFont="1" applyAlignment="1" applyProtection="1">
      <alignment horizontal="left"/>
    </xf>
    <xf numFmtId="169" fontId="1" fillId="0" borderId="0" xfId="0" applyNumberFormat="1" applyFont="1" applyFill="1" applyBorder="1" applyAlignment="1" applyProtection="1">
      <alignment shrinkToFit="1"/>
    </xf>
    <xf numFmtId="166" fontId="0" fillId="0" borderId="0" xfId="0" applyNumberFormat="1" applyAlignment="1" applyProtection="1">
      <alignment horizontal="left"/>
    </xf>
    <xf numFmtId="17" fontId="0" fillId="0" borderId="0" xfId="0" applyNumberFormat="1" applyAlignment="1" applyProtection="1">
      <alignment horizontal="center"/>
    </xf>
    <xf numFmtId="0" fontId="1" fillId="0" borderId="0" xfId="0" applyFont="1" applyProtection="1"/>
    <xf numFmtId="168" fontId="0" fillId="0" borderId="0" xfId="0" applyNumberFormat="1" applyAlignment="1" applyProtection="1">
      <alignment horizontal="center"/>
    </xf>
    <xf numFmtId="14" fontId="0" fillId="0" borderId="5" xfId="0" applyNumberFormat="1" applyBorder="1" applyAlignment="1" applyProtection="1">
      <alignment horizontal="center"/>
    </xf>
    <xf numFmtId="164" fontId="0" fillId="0" borderId="3" xfId="0" applyNumberFormat="1" applyFill="1" applyBorder="1" applyAlignment="1" applyProtection="1">
      <alignment horizontal="center"/>
    </xf>
    <xf numFmtId="164" fontId="1" fillId="0" borderId="5" xfId="0" applyNumberFormat="1" applyFont="1" applyFill="1" applyBorder="1" applyAlignment="1" applyProtection="1">
      <alignment horizontal="center"/>
    </xf>
    <xf numFmtId="2" fontId="1" fillId="0" borderId="6" xfId="0" applyNumberFormat="1" applyFont="1" applyFill="1" applyBorder="1" applyAlignment="1" applyProtection="1">
      <alignment horizontal="center"/>
    </xf>
    <xf numFmtId="14" fontId="0" fillId="0" borderId="7" xfId="0" applyNumberFormat="1" applyBorder="1" applyAlignment="1" applyProtection="1">
      <alignment horizontal="center"/>
    </xf>
    <xf numFmtId="164" fontId="0" fillId="0" borderId="4" xfId="0" applyNumberFormat="1" applyFill="1" applyBorder="1" applyAlignment="1" applyProtection="1">
      <alignment horizontal="center"/>
    </xf>
    <xf numFmtId="164" fontId="1" fillId="0" borderId="7" xfId="0" applyNumberFormat="1" applyFont="1" applyFill="1" applyBorder="1" applyAlignment="1" applyProtection="1">
      <alignment horizontal="center"/>
    </xf>
    <xf numFmtId="2" fontId="1" fillId="0" borderId="8" xfId="0" applyNumberFormat="1" applyFont="1" applyFill="1" applyBorder="1" applyAlignment="1" applyProtection="1">
      <alignment horizontal="center"/>
    </xf>
    <xf numFmtId="14" fontId="0" fillId="0" borderId="9" xfId="0" applyNumberFormat="1" applyBorder="1" applyAlignment="1" applyProtection="1">
      <alignment horizontal="center"/>
    </xf>
    <xf numFmtId="164" fontId="0" fillId="0" borderId="12" xfId="0" applyNumberFormat="1" applyFill="1" applyBorder="1" applyAlignment="1" applyProtection="1">
      <alignment horizontal="center"/>
    </xf>
    <xf numFmtId="164" fontId="1" fillId="0" borderId="9" xfId="0" applyNumberFormat="1" applyFont="1" applyFill="1" applyBorder="1" applyAlignment="1" applyProtection="1">
      <alignment horizontal="center"/>
    </xf>
    <xf numFmtId="2" fontId="1" fillId="0" borderId="11" xfId="0" applyNumberFormat="1" applyFont="1" applyFill="1" applyBorder="1" applyAlignment="1" applyProtection="1">
      <alignment horizontal="center"/>
    </xf>
    <xf numFmtId="0" fontId="0" fillId="0" borderId="0" xfId="0" pivotButton="1"/>
    <xf numFmtId="0" fontId="1" fillId="3" borderId="0" xfId="0" applyNumberFormat="1" applyFont="1" applyFill="1" applyBorder="1" applyAlignment="1" applyProtection="1">
      <alignment horizontal="center"/>
    </xf>
    <xf numFmtId="4" fontId="0" fillId="0" borderId="0" xfId="0" applyNumberFormat="1" applyFont="1" applyAlignment="1" applyProtection="1">
      <alignment horizontal="center"/>
    </xf>
    <xf numFmtId="0" fontId="0" fillId="0" borderId="0" xfId="0" applyNumberFormat="1" applyFont="1" applyAlignment="1" applyProtection="1">
      <alignment horizontal="center"/>
    </xf>
    <xf numFmtId="4" fontId="0" fillId="0" borderId="0" xfId="0" applyNumberFormat="1"/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 applyProtection="1">
      <alignment horizontal="left"/>
    </xf>
    <xf numFmtId="0" fontId="0" fillId="0" borderId="4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164" fontId="0" fillId="0" borderId="6" xfId="0" applyNumberFormat="1" applyFill="1" applyBorder="1" applyAlignment="1" applyProtection="1">
      <alignment horizontal="center"/>
    </xf>
    <xf numFmtId="164" fontId="0" fillId="0" borderId="8" xfId="0" applyNumberFormat="1" applyFill="1" applyBorder="1" applyAlignment="1" applyProtection="1">
      <alignment horizontal="center"/>
    </xf>
    <xf numFmtId="164" fontId="0" fillId="0" borderId="11" xfId="0" applyNumberFormat="1" applyFill="1" applyBorder="1" applyAlignment="1" applyProtection="1">
      <alignment horizontal="center"/>
    </xf>
    <xf numFmtId="0" fontId="1" fillId="4" borderId="14" xfId="0" applyFont="1" applyFill="1" applyBorder="1" applyAlignment="1">
      <alignment horizontal="center" vertical="top" wrapText="1"/>
    </xf>
    <xf numFmtId="164" fontId="1" fillId="4" borderId="14" xfId="0" applyNumberFormat="1" applyFont="1" applyFill="1" applyBorder="1" applyAlignment="1">
      <alignment horizontal="center" vertical="top" wrapText="1"/>
    </xf>
    <xf numFmtId="168" fontId="1" fillId="4" borderId="14" xfId="0" applyNumberFormat="1" applyFont="1" applyFill="1" applyBorder="1" applyAlignment="1">
      <alignment horizontal="center" vertical="top" wrapText="1"/>
    </xf>
    <xf numFmtId="0" fontId="1" fillId="4" borderId="14" xfId="0" applyNumberFormat="1" applyFont="1" applyFill="1" applyBorder="1" applyAlignment="1">
      <alignment horizontal="center" vertical="top" wrapText="1"/>
    </xf>
    <xf numFmtId="14" fontId="1" fillId="4" borderId="14" xfId="0" applyNumberFormat="1" applyFont="1" applyFill="1" applyBorder="1" applyAlignment="1">
      <alignment horizontal="center" vertical="top" wrapText="1"/>
    </xf>
    <xf numFmtId="2" fontId="1" fillId="4" borderId="14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 applyProtection="1">
      <alignment vertical="top"/>
    </xf>
    <xf numFmtId="0" fontId="0" fillId="0" borderId="19" xfId="0" applyBorder="1" applyAlignment="1" applyProtection="1">
      <alignment horizontal="right" vertical="top"/>
    </xf>
    <xf numFmtId="0" fontId="0" fillId="0" borderId="19" xfId="0" applyBorder="1" applyAlignment="1" applyProtection="1">
      <alignment horizontal="left" vertical="top" wrapText="1"/>
    </xf>
    <xf numFmtId="0" fontId="0" fillId="0" borderId="19" xfId="0" applyBorder="1" applyAlignment="1" applyProtection="1">
      <alignment horizontal="left" vertical="center" wrapText="1"/>
    </xf>
    <xf numFmtId="0" fontId="0" fillId="0" borderId="0" xfId="0" applyAlignment="1" applyProtection="1">
      <alignment vertical="center"/>
    </xf>
    <xf numFmtId="0" fontId="0" fillId="0" borderId="20" xfId="0" applyBorder="1" applyAlignment="1" applyProtection="1">
      <alignment horizontal="right" vertical="top"/>
    </xf>
    <xf numFmtId="0" fontId="0" fillId="0" borderId="20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left" vertical="center"/>
    </xf>
    <xf numFmtId="43" fontId="4" fillId="0" borderId="15" xfId="1" applyFont="1" applyFill="1" applyBorder="1" applyAlignment="1" applyProtection="1">
      <alignment horizontal="right"/>
    </xf>
    <xf numFmtId="0" fontId="0" fillId="0" borderId="0" xfId="0" pivotButton="1" applyAlignment="1">
      <alignment horizontal="left"/>
    </xf>
    <xf numFmtId="168" fontId="0" fillId="0" borderId="0" xfId="0" applyNumberFormat="1"/>
    <xf numFmtId="2" fontId="0" fillId="0" borderId="0" xfId="0" applyNumberFormat="1" applyProtection="1"/>
    <xf numFmtId="14" fontId="1" fillId="0" borderId="0" xfId="0" applyNumberFormat="1" applyFont="1" applyProtection="1"/>
    <xf numFmtId="0" fontId="1" fillId="0" borderId="0" xfId="0" applyFont="1" applyAlignment="1">
      <alignment vertical="top"/>
    </xf>
    <xf numFmtId="2" fontId="0" fillId="0" borderId="0" xfId="0" applyNumberFormat="1"/>
    <xf numFmtId="9" fontId="0" fillId="0" borderId="0" xfId="0" applyNumberFormat="1"/>
    <xf numFmtId="171" fontId="0" fillId="0" borderId="0" xfId="0" applyNumberFormat="1" applyAlignment="1">
      <alignment horizontal="lef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Font="1" applyFill="1" applyBorder="1" applyAlignment="1" applyProtection="1">
      <alignment horizontal="center"/>
    </xf>
    <xf numFmtId="0" fontId="8" fillId="8" borderId="0" xfId="0" applyFont="1" applyFill="1" applyAlignment="1">
      <alignment horizontal="center" vertical="top"/>
    </xf>
    <xf numFmtId="0" fontId="0" fillId="0" borderId="0" xfId="0" applyAlignment="1" applyProtection="1">
      <alignment horizontal="left"/>
      <protection locked="0"/>
    </xf>
    <xf numFmtId="167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left"/>
    </xf>
    <xf numFmtId="167" fontId="0" fillId="0" borderId="0" xfId="0" applyNumberFormat="1" applyProtection="1"/>
    <xf numFmtId="164" fontId="0" fillId="0" borderId="0" xfId="0" applyNumberFormat="1" applyProtection="1"/>
    <xf numFmtId="17" fontId="0" fillId="2" borderId="0" xfId="0" applyNumberFormat="1" applyFill="1" applyAlignment="1">
      <alignment horizontal="center"/>
    </xf>
    <xf numFmtId="14" fontId="0" fillId="0" borderId="0" xfId="0" applyNumberFormat="1"/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5" borderId="14" xfId="0" applyFont="1" applyFill="1" applyBorder="1" applyAlignment="1">
      <alignment horizontal="center" vertical="top"/>
    </xf>
    <xf numFmtId="168" fontId="1" fillId="5" borderId="14" xfId="0" applyNumberFormat="1" applyFont="1" applyFill="1" applyBorder="1" applyAlignment="1">
      <alignment horizontal="center" vertical="top"/>
    </xf>
    <xf numFmtId="3" fontId="1" fillId="5" borderId="14" xfId="0" applyNumberFormat="1" applyFont="1" applyFill="1" applyBorder="1" applyAlignment="1">
      <alignment horizontal="center" vertical="top"/>
    </xf>
    <xf numFmtId="14" fontId="0" fillId="0" borderId="0" xfId="0" applyNumberFormat="1" applyAlignment="1" applyProtection="1">
      <alignment horizontal="center"/>
    </xf>
    <xf numFmtId="17" fontId="0" fillId="0" borderId="0" xfId="0" applyNumberFormat="1" applyFill="1" applyAlignment="1">
      <alignment horizontal="center"/>
    </xf>
    <xf numFmtId="0" fontId="0" fillId="9" borderId="22" xfId="0" applyFill="1" applyBorder="1" applyAlignment="1">
      <alignment horizontal="right"/>
    </xf>
    <xf numFmtId="0" fontId="0" fillId="9" borderId="23" xfId="0" applyFill="1" applyBorder="1" applyAlignment="1">
      <alignment horizontal="right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164" fontId="0" fillId="0" borderId="0" xfId="0" applyNumberFormat="1" applyFill="1" applyAlignment="1" applyProtection="1">
      <alignment horizontal="center"/>
      <protection locked="0"/>
    </xf>
    <xf numFmtId="0" fontId="0" fillId="0" borderId="14" xfId="0" applyFill="1" applyBorder="1" applyProtection="1">
      <protection locked="0"/>
    </xf>
    <xf numFmtId="0" fontId="0" fillId="0" borderId="14" xfId="0" applyFill="1" applyBorder="1" applyAlignment="1" applyProtection="1">
      <alignment horizontal="center"/>
      <protection locked="0"/>
    </xf>
    <xf numFmtId="164" fontId="0" fillId="0" borderId="14" xfId="0" applyNumberFormat="1" applyFill="1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164" fontId="0" fillId="0" borderId="2" xfId="0" applyNumberFormat="1" applyFill="1" applyBorder="1" applyAlignment="1" applyProtection="1">
      <alignment horizontal="center"/>
      <protection locked="0"/>
    </xf>
    <xf numFmtId="164" fontId="0" fillId="0" borderId="9" xfId="0" applyNumberFormat="1" applyFill="1" applyBorder="1" applyAlignment="1" applyProtection="1">
      <alignment horizontal="center"/>
      <protection locked="0"/>
    </xf>
    <xf numFmtId="164" fontId="0" fillId="0" borderId="10" xfId="0" applyNumberFormat="1" applyFill="1" applyBorder="1" applyAlignment="1" applyProtection="1">
      <alignment horizontal="center"/>
      <protection locked="0"/>
    </xf>
    <xf numFmtId="0" fontId="1" fillId="0" borderId="6" xfId="0" applyNumberFormat="1" applyFont="1" applyFill="1" applyBorder="1" applyAlignment="1" applyProtection="1">
      <alignment horizontal="left"/>
      <protection locked="0"/>
    </xf>
    <xf numFmtId="0" fontId="1" fillId="0" borderId="8" xfId="0" applyNumberFormat="1" applyFont="1" applyFill="1" applyBorder="1" applyAlignment="1" applyProtection="1">
      <alignment horizontal="left"/>
      <protection locked="0"/>
    </xf>
    <xf numFmtId="0" fontId="1" fillId="0" borderId="11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 vertical="center"/>
    </xf>
    <xf numFmtId="0" fontId="6" fillId="0" borderId="0" xfId="2" applyNumberFormat="1" applyFont="1" applyAlignment="1" applyProtection="1">
      <alignment horizontal="left" vertical="top"/>
    </xf>
    <xf numFmtId="0" fontId="7" fillId="0" borderId="0" xfId="2" applyNumberFormat="1" applyFont="1" applyBorder="1" applyAlignment="1" applyProtection="1">
      <alignment horizontal="left" vertical="top"/>
    </xf>
    <xf numFmtId="0" fontId="0" fillId="7" borderId="0" xfId="0" applyFill="1" applyBorder="1" applyAlignment="1" applyProtection="1">
      <alignment horizontal="right" vertical="center" wrapText="1"/>
    </xf>
    <xf numFmtId="0" fontId="0" fillId="7" borderId="21" xfId="0" applyFill="1" applyBorder="1" applyAlignment="1" applyProtection="1">
      <alignment horizontal="right" vertical="center" wrapText="1"/>
    </xf>
    <xf numFmtId="43" fontId="4" fillId="0" borderId="18" xfId="1" applyFont="1" applyFill="1" applyBorder="1" applyAlignment="1" applyProtection="1">
      <alignment horizontal="right"/>
    </xf>
    <xf numFmtId="43" fontId="4" fillId="0" borderId="15" xfId="1" applyFont="1" applyFill="1" applyBorder="1" applyAlignment="1" applyProtection="1">
      <alignment horizontal="right"/>
    </xf>
    <xf numFmtId="0" fontId="1" fillId="2" borderId="17" xfId="1" applyNumberFormat="1" applyFont="1" applyFill="1" applyBorder="1" applyAlignment="1" applyProtection="1">
      <alignment horizontal="left" indent="1"/>
      <protection locked="0"/>
    </xf>
    <xf numFmtId="0" fontId="1" fillId="2" borderId="16" xfId="1" applyNumberFormat="1" applyFont="1" applyFill="1" applyBorder="1" applyAlignment="1" applyProtection="1">
      <alignment horizontal="left" indent="1"/>
      <protection locked="0"/>
    </xf>
    <xf numFmtId="0" fontId="1" fillId="0" borderId="14" xfId="0" applyFont="1" applyBorder="1" applyAlignment="1">
      <alignment horizontal="center"/>
    </xf>
    <xf numFmtId="2" fontId="0" fillId="6" borderId="24" xfId="0" applyNumberFormat="1" applyFill="1" applyBorder="1" applyAlignment="1">
      <alignment horizontal="center" vertical="center" wrapText="1"/>
    </xf>
    <xf numFmtId="2" fontId="0" fillId="6" borderId="25" xfId="0" applyNumberFormat="1" applyFill="1" applyBorder="1" applyAlignment="1">
      <alignment horizontal="center" vertical="center" wrapText="1"/>
    </xf>
    <xf numFmtId="2" fontId="0" fillId="6" borderId="26" xfId="0" applyNumberFormat="1" applyFill="1" applyBorder="1" applyAlignment="1">
      <alignment horizontal="center" vertical="center" wrapText="1"/>
    </xf>
    <xf numFmtId="3" fontId="0" fillId="6" borderId="24" xfId="0" applyNumberFormat="1" applyFill="1" applyBorder="1" applyAlignment="1">
      <alignment horizontal="center" vertical="center" wrapText="1"/>
    </xf>
    <xf numFmtId="3" fontId="0" fillId="6" borderId="25" xfId="0" applyNumberFormat="1" applyFill="1" applyBorder="1" applyAlignment="1">
      <alignment horizontal="center" vertical="center" wrapText="1"/>
    </xf>
    <xf numFmtId="3" fontId="0" fillId="6" borderId="26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0" fillId="10" borderId="27" xfId="0" applyFont="1" applyFill="1" applyBorder="1" applyAlignment="1" applyProtection="1">
      <alignment horizontal="center"/>
    </xf>
    <xf numFmtId="0" fontId="10" fillId="10" borderId="28" xfId="0" applyFont="1" applyFill="1" applyBorder="1" applyAlignment="1" applyProtection="1">
      <alignment horizontal="center"/>
    </xf>
    <xf numFmtId="0" fontId="10" fillId="10" borderId="29" xfId="0" applyNumberFormat="1" applyFont="1" applyFill="1" applyBorder="1" applyAlignment="1" applyProtection="1">
      <alignment horizontal="center"/>
    </xf>
    <xf numFmtId="164" fontId="5" fillId="2" borderId="13" xfId="0" applyNumberFormat="1" applyFont="1" applyFill="1" applyBorder="1" applyAlignment="1" applyProtection="1">
      <alignment horizontal="center" vertical="center"/>
      <protection locked="0"/>
    </xf>
    <xf numFmtId="169" fontId="1" fillId="0" borderId="17" xfId="0" applyNumberFormat="1" applyFont="1" applyFill="1" applyBorder="1" applyAlignment="1" applyProtection="1">
      <alignment horizontal="left" indent="1" shrinkToFit="1"/>
    </xf>
    <xf numFmtId="169" fontId="1" fillId="0" borderId="16" xfId="0" applyNumberFormat="1" applyFont="1" applyFill="1" applyBorder="1" applyAlignment="1" applyProtection="1">
      <alignment horizontal="left" indent="1" shrinkToFit="1"/>
    </xf>
    <xf numFmtId="164" fontId="1" fillId="0" borderId="17" xfId="0" applyNumberFormat="1" applyFont="1" applyFill="1" applyBorder="1" applyAlignment="1" applyProtection="1">
      <alignment horizontal="center" shrinkToFit="1"/>
    </xf>
    <xf numFmtId="0" fontId="1" fillId="11" borderId="14" xfId="0" applyFont="1" applyFill="1" applyBorder="1" applyAlignment="1" applyProtection="1">
      <alignment horizontal="center" vertical="top" wrapText="1"/>
    </xf>
    <xf numFmtId="164" fontId="1" fillId="11" borderId="14" xfId="0" applyNumberFormat="1" applyFont="1" applyFill="1" applyBorder="1" applyAlignment="1" applyProtection="1">
      <alignment horizontal="center" vertical="top" wrapText="1"/>
    </xf>
    <xf numFmtId="165" fontId="1" fillId="11" borderId="14" xfId="0" applyNumberFormat="1" applyFont="1" applyFill="1" applyBorder="1" applyAlignment="1" applyProtection="1">
      <alignment horizontal="center" vertical="top" wrapText="1"/>
    </xf>
  </cellXfs>
  <cellStyles count="3">
    <cellStyle name="Normal" xfId="0" builtinId="0"/>
    <cellStyle name="Vírgula" xfId="1" builtinId="3"/>
    <cellStyle name="Vírgula 2" xfId="2" xr:uid="{9C2C3818-D19B-48E5-8360-4E837BF333C7}"/>
  </cellStyles>
  <dxfs count="21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patternFill>
          <bgColor theme="0" tint="-0.24994659260841701"/>
        </patternFill>
      </fill>
      <border>
        <top style="thin">
          <color theme="0" tint="-4.9989318521683403E-2"/>
        </top>
        <bottom style="thin">
          <color theme="0" tint="-4.9989318521683403E-2"/>
        </bottom>
      </border>
    </dxf>
    <dxf>
      <fill>
        <patternFill>
          <bgColor theme="5" tint="0.39994506668294322"/>
        </patternFill>
      </fill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left"/>
    </dxf>
    <dxf>
      <numFmt numFmtId="4" formatCode="#,##0.00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7BF8AD8-EA85-47EC-BBD8-BAAFBBB202C8}"/>
            </a:ext>
          </a:extLst>
        </xdr:cNvPr>
        <xdr:cNvSpPr txBox="1"/>
      </xdr:nvSpPr>
      <xdr:spPr>
        <a:xfrm>
          <a:off x="361950" y="295275"/>
          <a:ext cx="4638675" cy="381000"/>
        </a:xfrm>
        <a:prstGeom prst="rect">
          <a:avLst/>
        </a:prstGeom>
        <a:gradFill flip="none" rotWithShape="1">
          <a:gsLst>
            <a:gs pos="0">
              <a:schemeClr val="accent1">
                <a:lumMod val="0"/>
                <a:lumOff val="100000"/>
              </a:schemeClr>
            </a:gs>
            <a:gs pos="35000">
              <a:schemeClr val="accent1">
                <a:lumMod val="0"/>
                <a:lumOff val="100000"/>
              </a:schemeClr>
            </a:gs>
            <a:gs pos="100000">
              <a:schemeClr val="accent1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rgbClr val="002060"/>
              </a:solidFill>
            </a:rPr>
            <a:t>PROGRAMA</a:t>
          </a:r>
          <a:r>
            <a:rPr lang="pt-BR" sz="1600" b="1" baseline="0">
              <a:solidFill>
                <a:srgbClr val="002060"/>
              </a:solidFill>
            </a:rPr>
            <a:t> DE </a:t>
          </a:r>
          <a:r>
            <a:rPr lang="pt-BR" sz="1600" b="1">
              <a:solidFill>
                <a:srgbClr val="002060"/>
              </a:solidFill>
            </a:rPr>
            <a:t>BANCO</a:t>
          </a:r>
          <a:r>
            <a:rPr lang="pt-BR" sz="1600" b="1" baseline="0">
              <a:solidFill>
                <a:srgbClr val="002060"/>
              </a:solidFill>
            </a:rPr>
            <a:t> DE HORAS</a:t>
          </a:r>
          <a:endParaRPr lang="pt-BR" sz="1600" b="1">
            <a:solidFill>
              <a:srgbClr val="002060"/>
            </a:solidFill>
          </a:endParaRPr>
        </a:p>
      </xdr:txBody>
    </xdr:sp>
    <xdr:clientData/>
  </xdr:twoCellAnchor>
  <xdr:oneCellAnchor>
    <xdr:from>
      <xdr:col>2</xdr:col>
      <xdr:colOff>0</xdr:colOff>
      <xdr:row>8</xdr:row>
      <xdr:rowOff>0</xdr:rowOff>
    </xdr:from>
    <xdr:ext cx="4629150" cy="264560"/>
    <xdr:sp macro="[0]!Ir_CadColaboradores" textlink="">
      <xdr:nvSpPr>
        <xdr:cNvPr id="3" name="CaixaDeTexto 2">
          <a:extLst>
            <a:ext uri="{FF2B5EF4-FFF2-40B4-BE49-F238E27FC236}">
              <a16:creationId xmlns:a16="http://schemas.microsoft.com/office/drawing/2014/main" id="{E32EBE19-65E4-4F28-967C-985EC080CA18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002060"/>
              </a:solidFill>
            </a:rPr>
            <a:t>CADASTRO DOS</a:t>
          </a:r>
          <a:r>
            <a:rPr lang="pt-BR" sz="1100" baseline="0">
              <a:solidFill>
                <a:srgbClr val="002060"/>
              </a:solidFill>
            </a:rPr>
            <a:t> COLABORADORES</a:t>
          </a:r>
          <a:endParaRPr lang="pt-BR" sz="1100">
            <a:solidFill>
              <a:srgbClr val="002060"/>
            </a:solidFill>
          </a:endParaRPr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4629150" cy="264560"/>
    <xdr:sp macro="[0]!Ir_CalculoHorasColaboradores" textlink="">
      <xdr:nvSpPr>
        <xdr:cNvPr id="4" name="CaixaDeTexto 3">
          <a:extLst>
            <a:ext uri="{FF2B5EF4-FFF2-40B4-BE49-F238E27FC236}">
              <a16:creationId xmlns:a16="http://schemas.microsoft.com/office/drawing/2014/main" id="{695402C3-84B4-431F-8BA4-557981AFD5F1}"/>
            </a:ext>
          </a:extLst>
        </xdr:cNvPr>
        <xdr:cNvSpPr txBox="1"/>
      </xdr:nvSpPr>
      <xdr:spPr>
        <a:xfrm>
          <a:off x="361950" y="1552575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</a:rPr>
            <a:t>CÁLCULO DE HORAS POR COLABORADOR</a:t>
          </a:r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4629150" cy="264560"/>
    <xdr:sp macro="[0]!Ir_RegistroHorasColaboradores" textlink="">
      <xdr:nvSpPr>
        <xdr:cNvPr id="5" name="CaixaDeTexto 4">
          <a:extLst>
            <a:ext uri="{FF2B5EF4-FFF2-40B4-BE49-F238E27FC236}">
              <a16:creationId xmlns:a16="http://schemas.microsoft.com/office/drawing/2014/main" id="{18E25D35-E772-4CC7-9126-8F66C96F0426}"/>
            </a:ext>
          </a:extLst>
        </xdr:cNvPr>
        <xdr:cNvSpPr txBox="1"/>
      </xdr:nvSpPr>
      <xdr:spPr>
        <a:xfrm>
          <a:off x="361950" y="211455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0">
              <a:solidFill>
                <a:srgbClr val="002060"/>
              </a:solidFill>
            </a:rPr>
            <a:t>REGISTRO</a:t>
          </a:r>
          <a:r>
            <a:rPr lang="pt-BR" sz="1100" b="0" baseline="0">
              <a:solidFill>
                <a:srgbClr val="002060"/>
              </a:solidFill>
            </a:rPr>
            <a:t> DAS HORAS TRABALHADAS PELOS COLABORADORES</a:t>
          </a:r>
          <a:endParaRPr lang="pt-BR" sz="1100" b="0">
            <a:solidFill>
              <a:srgbClr val="002060"/>
            </a:solidFill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4629150" cy="264560"/>
    <xdr:sp macro="[0]!Ir_RegistroBcoHoras" textlink="">
      <xdr:nvSpPr>
        <xdr:cNvPr id="6" name="CaixaDeTexto 5">
          <a:extLst>
            <a:ext uri="{FF2B5EF4-FFF2-40B4-BE49-F238E27FC236}">
              <a16:creationId xmlns:a16="http://schemas.microsoft.com/office/drawing/2014/main" id="{000FDFEA-E631-42E5-8088-33DBCD4EFC5E}"/>
            </a:ext>
          </a:extLst>
        </xdr:cNvPr>
        <xdr:cNvSpPr txBox="1"/>
      </xdr:nvSpPr>
      <xdr:spPr>
        <a:xfrm>
          <a:off x="361950" y="23622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</a:rPr>
            <a:t>REGISTRO "BANCO DE HORAS"</a:t>
          </a:r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4629150" cy="264560"/>
    <xdr:sp macro="[0]!Ir_RelHorasTrabalhadasColaboradores" textlink="">
      <xdr:nvSpPr>
        <xdr:cNvPr id="7" name="CaixaDeTexto 6">
          <a:extLst>
            <a:ext uri="{FF2B5EF4-FFF2-40B4-BE49-F238E27FC236}">
              <a16:creationId xmlns:a16="http://schemas.microsoft.com/office/drawing/2014/main" id="{C3979143-B914-4EED-85CC-01EC5EFC4410}"/>
            </a:ext>
          </a:extLst>
        </xdr:cNvPr>
        <xdr:cNvSpPr txBox="1"/>
      </xdr:nvSpPr>
      <xdr:spPr>
        <a:xfrm>
          <a:off x="361950" y="2676525"/>
          <a:ext cx="4629150" cy="2645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2">
                  <a:lumMod val="50000"/>
                </a:schemeClr>
              </a:solidFill>
            </a:rPr>
            <a:t>RELATÓRIO DE REGISTRO DE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HORAS DOS COLABORADORES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4629150" cy="264560"/>
    <xdr:sp macro="[0]!Ir_RelHorasEmpresa" textlink="">
      <xdr:nvSpPr>
        <xdr:cNvPr id="8" name="CaixaDeTexto 7">
          <a:extLst>
            <a:ext uri="{FF2B5EF4-FFF2-40B4-BE49-F238E27FC236}">
              <a16:creationId xmlns:a16="http://schemas.microsoft.com/office/drawing/2014/main" id="{C5CA7C5B-ECF2-4543-AE48-CC09541A892B}"/>
            </a:ext>
          </a:extLst>
        </xdr:cNvPr>
        <xdr:cNvSpPr txBox="1"/>
      </xdr:nvSpPr>
      <xdr:spPr>
        <a:xfrm>
          <a:off x="361950" y="3238500"/>
          <a:ext cx="4629150" cy="2645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2">
                  <a:lumMod val="50000"/>
                </a:schemeClr>
              </a:solidFill>
            </a:rPr>
            <a:t>RELATÓRIO DE REGISTRO DE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HORAS DA EMPRESA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2</xdr:col>
      <xdr:colOff>0</xdr:colOff>
      <xdr:row>6</xdr:row>
      <xdr:rowOff>0</xdr:rowOff>
    </xdr:from>
    <xdr:ext cx="4629150" cy="264560"/>
    <xdr:sp macro="[0]!Ir_Tutorial" textlink="">
      <xdr:nvSpPr>
        <xdr:cNvPr id="9" name="CaixaDeTexto 8">
          <a:extLst>
            <a:ext uri="{FF2B5EF4-FFF2-40B4-BE49-F238E27FC236}">
              <a16:creationId xmlns:a16="http://schemas.microsoft.com/office/drawing/2014/main" id="{D5053758-A763-46B1-8892-DC7FD711351C}"/>
            </a:ext>
          </a:extLst>
        </xdr:cNvPr>
        <xdr:cNvSpPr txBox="1"/>
      </xdr:nvSpPr>
      <xdr:spPr>
        <a:xfrm>
          <a:off x="361950" y="161925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002060"/>
              </a:solidFill>
            </a:rPr>
            <a:t>TUTORIAL</a:t>
          </a:r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4629150" cy="264560"/>
    <xdr:sp macro="[0]!Ir_RelCompensacaoHoras" textlink="">
      <xdr:nvSpPr>
        <xdr:cNvPr id="10" name="CaixaDeTexto 9">
          <a:extLst>
            <a:ext uri="{FF2B5EF4-FFF2-40B4-BE49-F238E27FC236}">
              <a16:creationId xmlns:a16="http://schemas.microsoft.com/office/drawing/2014/main" id="{82C307CF-88E2-4C30-949A-41ED3C712FF7}"/>
            </a:ext>
          </a:extLst>
        </xdr:cNvPr>
        <xdr:cNvSpPr txBox="1"/>
      </xdr:nvSpPr>
      <xdr:spPr>
        <a:xfrm>
          <a:off x="361950" y="3390900"/>
          <a:ext cx="4629150" cy="264560"/>
        </a:xfrm>
        <a:prstGeom prst="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</a:rPr>
            <a:t>RELATÓRIO DE COMPENSAÇÃO DE HORAS</a:t>
          </a:r>
        </a:p>
      </xdr:txBody>
    </xdr:sp>
    <xdr:clientData/>
  </xdr:oneCellAnchor>
  <xdr:oneCellAnchor>
    <xdr:from>
      <xdr:col>8</xdr:col>
      <xdr:colOff>333375</xdr:colOff>
      <xdr:row>21</xdr:row>
      <xdr:rowOff>85725</xdr:rowOff>
    </xdr:from>
    <xdr:ext cx="866775" cy="264560"/>
    <xdr:sp macro="[0]!Ir_RegistroFeriados" textlink="">
      <xdr:nvSpPr>
        <xdr:cNvPr id="11" name="CaixaDeTexto 10">
          <a:extLst>
            <a:ext uri="{FF2B5EF4-FFF2-40B4-BE49-F238E27FC236}">
              <a16:creationId xmlns:a16="http://schemas.microsoft.com/office/drawing/2014/main" id="{AC51985F-476E-4304-BAD4-C29E46DB0E49}"/>
            </a:ext>
          </a:extLst>
        </xdr:cNvPr>
        <xdr:cNvSpPr txBox="1"/>
      </xdr:nvSpPr>
      <xdr:spPr>
        <a:xfrm>
          <a:off x="4105275" y="3971925"/>
          <a:ext cx="866775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rgbClr val="002060"/>
              </a:solidFill>
            </a:rPr>
            <a:t>FERIADOS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57150</xdr:rowOff>
    </xdr:from>
    <xdr:to>
      <xdr:col>1</xdr:col>
      <xdr:colOff>0</xdr:colOff>
      <xdr:row>0</xdr:row>
      <xdr:rowOff>238125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DF5AF680-E08D-4A5C-A4D9-AF8E3CE202B5}"/>
            </a:ext>
          </a:extLst>
        </xdr:cNvPr>
        <xdr:cNvSpPr/>
      </xdr:nvSpPr>
      <xdr:spPr>
        <a:xfrm>
          <a:off x="76200" y="57150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47625</xdr:rowOff>
    </xdr:from>
    <xdr:to>
      <xdr:col>1</xdr:col>
      <xdr:colOff>95250</xdr:colOff>
      <xdr:row>0</xdr:row>
      <xdr:rowOff>228600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5128218D-F2DA-42EB-B64B-0881BCD8478E}"/>
            </a:ext>
          </a:extLst>
        </xdr:cNvPr>
        <xdr:cNvSpPr/>
      </xdr:nvSpPr>
      <xdr:spPr>
        <a:xfrm>
          <a:off x="38100" y="47625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152400</xdr:colOff>
      <xdr:row>3</xdr:row>
      <xdr:rowOff>85724</xdr:rowOff>
    </xdr:from>
    <xdr:to>
      <xdr:col>21</xdr:col>
      <xdr:colOff>1000126</xdr:colOff>
      <xdr:row>5</xdr:row>
      <xdr:rowOff>76199</xdr:rowOff>
    </xdr:to>
    <xdr:sp macro="[0]!Registrar" textlink="">
      <xdr:nvSpPr>
        <xdr:cNvPr id="2" name="CaixaDeTexto 1">
          <a:extLst>
            <a:ext uri="{FF2B5EF4-FFF2-40B4-BE49-F238E27FC236}">
              <a16:creationId xmlns:a16="http://schemas.microsoft.com/office/drawing/2014/main" id="{D9C8E3F4-1E0A-471A-88CD-CA25B1B2F2C8}"/>
            </a:ext>
          </a:extLst>
        </xdr:cNvPr>
        <xdr:cNvSpPr txBox="1"/>
      </xdr:nvSpPr>
      <xdr:spPr>
        <a:xfrm>
          <a:off x="7277100" y="333374"/>
          <a:ext cx="847726" cy="2762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REGISTRAR</a:t>
          </a:r>
        </a:p>
      </xdr:txBody>
    </xdr:sp>
    <xdr:clientData fPrintsWithSheet="0"/>
  </xdr:twoCellAnchor>
  <xdr:twoCellAnchor editAs="oneCell">
    <xdr:from>
      <xdr:col>21</xdr:col>
      <xdr:colOff>2486025</xdr:colOff>
      <xdr:row>2</xdr:row>
      <xdr:rowOff>238125</xdr:rowOff>
    </xdr:from>
    <xdr:to>
      <xdr:col>21</xdr:col>
      <xdr:colOff>2905125</xdr:colOff>
      <xdr:row>5</xdr:row>
      <xdr:rowOff>123825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CEE560E-6122-4916-8E1D-13E2D1318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10725" y="23812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21</xdr:col>
      <xdr:colOff>1323975</xdr:colOff>
      <xdr:row>3</xdr:row>
      <xdr:rowOff>85724</xdr:rowOff>
    </xdr:from>
    <xdr:to>
      <xdr:col>21</xdr:col>
      <xdr:colOff>2171701</xdr:colOff>
      <xdr:row>5</xdr:row>
      <xdr:rowOff>76199</xdr:rowOff>
    </xdr:to>
    <xdr:sp macro="[0]!Limpar" textlink="">
      <xdr:nvSpPr>
        <xdr:cNvPr id="4" name="CaixaDeTexto 3">
          <a:extLst>
            <a:ext uri="{FF2B5EF4-FFF2-40B4-BE49-F238E27FC236}">
              <a16:creationId xmlns:a16="http://schemas.microsoft.com/office/drawing/2014/main" id="{548D1F69-1123-4ECD-B7AA-802398D756A7}"/>
            </a:ext>
          </a:extLst>
        </xdr:cNvPr>
        <xdr:cNvSpPr txBox="1"/>
      </xdr:nvSpPr>
      <xdr:spPr>
        <a:xfrm>
          <a:off x="8448675" y="333374"/>
          <a:ext cx="847726" cy="2762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LIMPAR</a:t>
          </a:r>
        </a:p>
      </xdr:txBody>
    </xdr:sp>
    <xdr:clientData fPrintsWithSheet="0"/>
  </xdr:twoCellAnchor>
  <xdr:twoCellAnchor>
    <xdr:from>
      <xdr:col>0</xdr:col>
      <xdr:colOff>47625</xdr:colOff>
      <xdr:row>2</xdr:row>
      <xdr:rowOff>47625</xdr:rowOff>
    </xdr:from>
    <xdr:to>
      <xdr:col>0</xdr:col>
      <xdr:colOff>228600</xdr:colOff>
      <xdr:row>3</xdr:row>
      <xdr:rowOff>28575</xdr:rowOff>
    </xdr:to>
    <xdr:sp macro="[0]!Ir_Menu" textlink="">
      <xdr:nvSpPr>
        <xdr:cNvPr id="8" name="Seta: para a Esquerda 7">
          <a:extLst>
            <a:ext uri="{FF2B5EF4-FFF2-40B4-BE49-F238E27FC236}">
              <a16:creationId xmlns:a16="http://schemas.microsoft.com/office/drawing/2014/main" id="{86AAD22A-1379-4571-9403-D14CA822F0D4}"/>
            </a:ext>
          </a:extLst>
        </xdr:cNvPr>
        <xdr:cNvSpPr/>
      </xdr:nvSpPr>
      <xdr:spPr>
        <a:xfrm>
          <a:off x="47625" y="47625"/>
          <a:ext cx="180975" cy="228600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0</xdr:row>
      <xdr:rowOff>66675</xdr:rowOff>
    </xdr:from>
    <xdr:to>
      <xdr:col>1</xdr:col>
      <xdr:colOff>209550</xdr:colOff>
      <xdr:row>0</xdr:row>
      <xdr:rowOff>247650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DABFBF2E-AA4F-4E50-A406-BACB8ABBBBFD}"/>
            </a:ext>
          </a:extLst>
        </xdr:cNvPr>
        <xdr:cNvSpPr/>
      </xdr:nvSpPr>
      <xdr:spPr>
        <a:xfrm>
          <a:off x="95250" y="66675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66676</xdr:colOff>
      <xdr:row>4</xdr:row>
      <xdr:rowOff>38099</xdr:rowOff>
    </xdr:from>
    <xdr:to>
      <xdr:col>14</xdr:col>
      <xdr:colOff>47626</xdr:colOff>
      <xdr:row>5</xdr:row>
      <xdr:rowOff>161925</xdr:rowOff>
    </xdr:to>
    <xdr:sp macro="[0]!ChamarFormRegistrarHorasEmpresa" textlink="">
      <xdr:nvSpPr>
        <xdr:cNvPr id="3" name="CaixaDeTexto 2">
          <a:extLst>
            <a:ext uri="{FF2B5EF4-FFF2-40B4-BE49-F238E27FC236}">
              <a16:creationId xmlns:a16="http://schemas.microsoft.com/office/drawing/2014/main" id="{45B2EDFB-A282-4CCF-A21D-6BB79BDEE25C}"/>
            </a:ext>
          </a:extLst>
        </xdr:cNvPr>
        <xdr:cNvSpPr txBox="1"/>
      </xdr:nvSpPr>
      <xdr:spPr>
        <a:xfrm>
          <a:off x="10677526" y="161924"/>
          <a:ext cx="1200150" cy="49530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REGISTRAR HORAS</a:t>
          </a:r>
          <a:r>
            <a:rPr lang="pt-BR" sz="1100" b="1" baseline="0">
              <a:solidFill>
                <a:schemeClr val="accent6">
                  <a:lumMod val="50000"/>
                </a:schemeClr>
              </a:solidFill>
            </a:rPr>
            <a:t> EMPRESA</a:t>
          </a:r>
          <a:endParaRPr lang="pt-BR" sz="1100" b="1">
            <a:solidFill>
              <a:schemeClr val="accent6">
                <a:lumMod val="50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47625</xdr:colOff>
      <xdr:row>4</xdr:row>
      <xdr:rowOff>9525</xdr:rowOff>
    </xdr:from>
    <xdr:to>
      <xdr:col>2</xdr:col>
      <xdr:colOff>228600</xdr:colOff>
      <xdr:row>4</xdr:row>
      <xdr:rowOff>190500</xdr:rowOff>
    </xdr:to>
    <xdr:sp macro="[0]!Ir_Menu" textlink="">
      <xdr:nvSpPr>
        <xdr:cNvPr id="4" name="Seta: para a Esquerda 3">
          <a:extLst>
            <a:ext uri="{FF2B5EF4-FFF2-40B4-BE49-F238E27FC236}">
              <a16:creationId xmlns:a16="http://schemas.microsoft.com/office/drawing/2014/main" id="{8E00DA3B-6296-48AE-9B30-730BDDF9A3F2}"/>
            </a:ext>
          </a:extLst>
        </xdr:cNvPr>
        <xdr:cNvSpPr/>
      </xdr:nvSpPr>
      <xdr:spPr>
        <a:xfrm>
          <a:off x="133350" y="133350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0</xdr:row>
      <xdr:rowOff>66675</xdr:rowOff>
    </xdr:from>
    <xdr:to>
      <xdr:col>1</xdr:col>
      <xdr:colOff>47625</xdr:colOff>
      <xdr:row>1</xdr:row>
      <xdr:rowOff>57150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C426026B-D4EF-479A-A967-1D1BED9E513B}"/>
            </a:ext>
          </a:extLst>
        </xdr:cNvPr>
        <xdr:cNvSpPr/>
      </xdr:nvSpPr>
      <xdr:spPr>
        <a:xfrm>
          <a:off x="66675" y="66675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1</xdr:col>
      <xdr:colOff>19050</xdr:colOff>
      <xdr:row>1</xdr:row>
      <xdr:rowOff>66675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B2376749-98A5-4768-B11A-0ACA7370CBFE}"/>
            </a:ext>
          </a:extLst>
        </xdr:cNvPr>
        <xdr:cNvSpPr/>
      </xdr:nvSpPr>
      <xdr:spPr>
        <a:xfrm>
          <a:off x="38100" y="76200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0</xdr:row>
      <xdr:rowOff>38101</xdr:rowOff>
    </xdr:from>
    <xdr:to>
      <xdr:col>0</xdr:col>
      <xdr:colOff>190500</xdr:colOff>
      <xdr:row>1</xdr:row>
      <xdr:rowOff>19051</xdr:rowOff>
    </xdr:to>
    <xdr:sp macro="[0]!Ir_Menu" textlink="">
      <xdr:nvSpPr>
        <xdr:cNvPr id="2" name="Seta: para a Esquerda 1">
          <a:extLst>
            <a:ext uri="{FF2B5EF4-FFF2-40B4-BE49-F238E27FC236}">
              <a16:creationId xmlns:a16="http://schemas.microsoft.com/office/drawing/2014/main" id="{F313E1D0-2034-4BA7-87FA-824EA01883A3}"/>
            </a:ext>
          </a:extLst>
        </xdr:cNvPr>
        <xdr:cNvSpPr/>
      </xdr:nvSpPr>
      <xdr:spPr>
        <a:xfrm>
          <a:off x="28575" y="38101"/>
          <a:ext cx="161925" cy="171450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55</xdr:col>
      <xdr:colOff>1504949</xdr:colOff>
      <xdr:row>1</xdr:row>
      <xdr:rowOff>95250</xdr:rowOff>
    </xdr:from>
    <xdr:to>
      <xdr:col>55</xdr:col>
      <xdr:colOff>2238374</xdr:colOff>
      <xdr:row>3</xdr:row>
      <xdr:rowOff>76200</xdr:rowOff>
    </xdr:to>
    <xdr:sp macro="[0]!FormulasCompensacaoHoras" textlink="">
      <xdr:nvSpPr>
        <xdr:cNvPr id="3" name="CaixaDeTexto 2">
          <a:extLst>
            <a:ext uri="{FF2B5EF4-FFF2-40B4-BE49-F238E27FC236}">
              <a16:creationId xmlns:a16="http://schemas.microsoft.com/office/drawing/2014/main" id="{0DAFE01F-FE87-4935-AF26-8B23B1521159}"/>
            </a:ext>
          </a:extLst>
        </xdr:cNvPr>
        <xdr:cNvSpPr txBox="1"/>
      </xdr:nvSpPr>
      <xdr:spPr>
        <a:xfrm>
          <a:off x="8334374" y="285750"/>
          <a:ext cx="733425" cy="3714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/>
            <a:t>AJUSTAR FÓRMULAS</a:t>
          </a:r>
        </a:p>
      </xdr:txBody>
    </xdr:sp>
    <xdr:clientData/>
  </xdr:twoCellAnchor>
  <xdr:twoCellAnchor>
    <xdr:from>
      <xdr:col>4</xdr:col>
      <xdr:colOff>95249</xdr:colOff>
      <xdr:row>1</xdr:row>
      <xdr:rowOff>114298</xdr:rowOff>
    </xdr:from>
    <xdr:to>
      <xdr:col>5</xdr:col>
      <xdr:colOff>476250</xdr:colOff>
      <xdr:row>2</xdr:row>
      <xdr:rowOff>114300</xdr:rowOff>
    </xdr:to>
    <xdr:sp macro="[0]!PeriodoRelCompensacaoHoras" textlink="">
      <xdr:nvSpPr>
        <xdr:cNvPr id="4" name="CaixaDeTexto 3">
          <a:extLst>
            <a:ext uri="{FF2B5EF4-FFF2-40B4-BE49-F238E27FC236}">
              <a16:creationId xmlns:a16="http://schemas.microsoft.com/office/drawing/2014/main" id="{42F6CEA4-41F6-4CED-9A79-A7DF25A787AF}"/>
            </a:ext>
          </a:extLst>
        </xdr:cNvPr>
        <xdr:cNvSpPr txBox="1"/>
      </xdr:nvSpPr>
      <xdr:spPr>
        <a:xfrm>
          <a:off x="2371724" y="304798"/>
          <a:ext cx="1085851" cy="20002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/>
            <a:t>AJUSTAR PERÍODO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1</xdr:row>
      <xdr:rowOff>28575</xdr:rowOff>
    </xdr:from>
    <xdr:to>
      <xdr:col>0</xdr:col>
      <xdr:colOff>266700</xdr:colOff>
      <xdr:row>1</xdr:row>
      <xdr:rowOff>209550</xdr:rowOff>
    </xdr:to>
    <xdr:sp macro="[0]!Ir_Menu" textlink="">
      <xdr:nvSpPr>
        <xdr:cNvPr id="3" name="Seta: para a Esquerda 2">
          <a:extLst>
            <a:ext uri="{FF2B5EF4-FFF2-40B4-BE49-F238E27FC236}">
              <a16:creationId xmlns:a16="http://schemas.microsoft.com/office/drawing/2014/main" id="{A7F67E93-3D60-49CD-B077-ABE4265A27B5}"/>
            </a:ext>
          </a:extLst>
        </xdr:cNvPr>
        <xdr:cNvSpPr/>
      </xdr:nvSpPr>
      <xdr:spPr>
        <a:xfrm>
          <a:off x="85725" y="28575"/>
          <a:ext cx="180975" cy="180975"/>
        </a:xfrm>
        <a:prstGeom prst="lef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200.401255671299" createdVersion="6" refreshedVersion="6" minRefreshableVersion="3" recordCount="1" xr:uid="{1220D3E3-70D5-43FE-ABE6-8899AD45197E}">
  <cacheSource type="worksheet">
    <worksheetSource name="TDRegHorasColab"/>
  </cacheSource>
  <cacheFields count="23">
    <cacheField name="REF." numFmtId="0">
      <sharedItems containsNonDate="0" containsString="0" containsBlank="1"/>
    </cacheField>
    <cacheField name="NOME" numFmtId="0">
      <sharedItems containsNonDate="0" containsBlank="1" count="9">
        <m/>
        <s v="Anderson" u="1"/>
        <s v="Cerismar" u="1"/>
        <s v="Cláudia C. M. Marinho" u="1"/>
        <s v="RÉGIS" u="1"/>
        <s v="Paula" u="1"/>
        <s v="Régis Marinho" u="1"/>
        <s v="André C. M. Marinho" u="1"/>
        <s v="Alisson" u="1"/>
      </sharedItems>
    </cacheField>
    <cacheField name="R.I." numFmtId="0">
      <sharedItems containsNonDate="0" containsString="0" containsBlank="1"/>
    </cacheField>
    <cacheField name="JORNADA" numFmtId="164">
      <sharedItems containsNonDate="0" containsString="0" containsBlank="1"/>
    </cacheField>
    <cacheField name="INTERVALO" numFmtId="164">
      <sharedItems containsNonDate="0" containsString="0" containsBlank="1"/>
    </cacheField>
    <cacheField name="MÊS-ANO" numFmtId="168">
      <sharedItems containsNonDate="0" containsDate="1" containsString="0" containsBlank="1" minDate="2018-01-01T00:00:00" maxDate="2018-06-01T00:00:00" count="10">
        <m/>
        <d v="2018-05-31T00:00:00" u="1"/>
        <d v="2018-02-28T00:00:00" u="1"/>
        <d v="2018-03-31T00:00:00" u="1"/>
        <d v="2018-01-31T00:00:00" u="1"/>
        <d v="2018-04-01T00:00:00" u="1"/>
        <d v="2018-03-01T00:00:00" u="1"/>
        <d v="2018-02-01T00:00:00" u="1"/>
        <d v="2018-04-30T00:00:00" u="1"/>
        <d v="2018-01-01T00:00:00" u="1"/>
      </sharedItems>
    </cacheField>
    <cacheField name="ANO" numFmtId="0">
      <sharedItems containsNonDate="0" containsString="0" containsBlank="1"/>
    </cacheField>
    <cacheField name="DIA" numFmtId="14">
      <sharedItems containsNonDate="0" containsDate="1" containsString="0" containsBlank="1" minDate="2018-01-01T00:00:00" maxDate="2018-06-01T00:00:00" count="152">
        <m/>
        <d v="2018-01-30T00:00:00" u="1"/>
        <d v="2018-03-21T00:00:00" u="1"/>
        <d v="2018-05-12T00:00:00" u="1"/>
        <d v="2018-01-04T00:00:00" u="1"/>
        <d v="2018-04-26T00:00:00" u="1"/>
        <d v="2018-02-09T00:00:00" u="1"/>
        <d v="2018-05-31T00:00:00" u="1"/>
        <d v="2018-01-23T00:00:00" u="1"/>
        <d v="2018-03-14T00:00:00" u="1"/>
        <d v="2018-05-05T00:00:00" u="1"/>
        <d v="2018-02-28T00:00:00" u="1"/>
        <d v="2018-04-19T00:00:00" u="1"/>
        <d v="2018-02-02T00:00:00" u="1"/>
        <d v="2018-05-24T00:00:00" u="1"/>
        <d v="2018-01-16T00:00:00" u="1"/>
        <d v="2018-03-07T00:00:00" u="1"/>
        <d v="2018-02-21T00:00:00" u="1"/>
        <d v="2018-04-12T00:00:00" u="1"/>
        <d v="2018-03-26T00:00:00" u="1"/>
        <d v="2018-05-17T00:00:00" u="1"/>
        <d v="2018-01-09T00:00:00" u="1"/>
        <d v="2018-02-14T00:00:00" u="1"/>
        <d v="2018-04-05T00:00:00" u="1"/>
        <d v="2018-01-28T00:00:00" u="1"/>
        <d v="2018-03-19T00:00:00" u="1"/>
        <d v="2018-05-10T00:00:00" u="1"/>
        <d v="2018-01-02T00:00:00" u="1"/>
        <d v="2018-04-24T00:00:00" u="1"/>
        <d v="2018-02-07T00:00:00" u="1"/>
        <d v="2018-05-29T00:00:00" u="1"/>
        <d v="2018-01-21T00:00:00" u="1"/>
        <d v="2018-03-12T00:00:00" u="1"/>
        <d v="2018-05-03T00:00:00" u="1"/>
        <d v="2018-02-26T00:00:00" u="1"/>
        <d v="2018-04-17T00:00:00" u="1"/>
        <d v="2018-03-31T00:00:00" u="1"/>
        <d v="2018-05-22T00:00:00" u="1"/>
        <d v="2018-01-14T00:00:00" u="1"/>
        <d v="2018-03-05T00:00:00" u="1"/>
        <d v="2018-02-19T00:00:00" u="1"/>
        <d v="2018-04-10T00:00:00" u="1"/>
        <d v="2018-03-24T00:00:00" u="1"/>
        <d v="2018-05-15T00:00:00" u="1"/>
        <d v="2018-01-07T00:00:00" u="1"/>
        <d v="2018-04-29T00:00:00" u="1"/>
        <d v="2018-02-12T00:00:00" u="1"/>
        <d v="2018-04-03T00:00:00" u="1"/>
        <d v="2018-01-26T00:00:00" u="1"/>
        <d v="2018-03-17T00:00:00" u="1"/>
        <d v="2018-05-08T00:00:00" u="1"/>
        <d v="2018-04-22T00:00:00" u="1"/>
        <d v="2018-02-05T00:00:00" u="1"/>
        <d v="2018-05-27T00:00:00" u="1"/>
        <d v="2018-01-19T00:00:00" u="1"/>
        <d v="2018-03-10T00:00:00" u="1"/>
        <d v="2018-05-01T00:00:00" u="1"/>
        <d v="2018-02-24T00:00:00" u="1"/>
        <d v="2018-04-15T00:00:00" u="1"/>
        <d v="2018-03-29T00:00:00" u="1"/>
        <d v="2018-05-20T00:00:00" u="1"/>
        <d v="2018-01-12T00:00:00" u="1"/>
        <d v="2018-03-03T00:00:00" u="1"/>
        <d v="2018-02-17T00:00:00" u="1"/>
        <d v="2018-04-08T00:00:00" u="1"/>
        <d v="2018-01-31T00:00:00" u="1"/>
        <d v="2018-03-22T00:00:00" u="1"/>
        <d v="2018-05-13T00:00:00" u="1"/>
        <d v="2018-01-05T00:00:00" u="1"/>
        <d v="2018-04-27T00:00:00" u="1"/>
        <d v="2018-02-10T00:00:00" u="1"/>
        <d v="2018-04-01T00:00:00" u="1"/>
        <d v="2018-01-24T00:00:00" u="1"/>
        <d v="2018-03-15T00:00:00" u="1"/>
        <d v="2018-05-06T00:00:00" u="1"/>
        <d v="2018-04-20T00:00:00" u="1"/>
        <d v="2018-02-03T00:00:00" u="1"/>
        <d v="2018-05-25T00:00:00" u="1"/>
        <d v="2018-01-17T00:00:00" u="1"/>
        <d v="2018-03-08T00:00:00" u="1"/>
        <d v="2018-02-22T00:00:00" u="1"/>
        <d v="2018-04-13T00:00:00" u="1"/>
        <d v="2018-03-27T00:00:00" u="1"/>
        <d v="2018-05-18T00:00:00" u="1"/>
        <d v="2018-01-10T00:00:00" u="1"/>
        <d v="2018-03-01T00:00:00" u="1"/>
        <d v="2018-02-15T00:00:00" u="1"/>
        <d v="2018-04-06T00:00:00" u="1"/>
        <d v="2018-01-29T00:00:00" u="1"/>
        <d v="2018-03-20T00:00:00" u="1"/>
        <d v="2018-05-11T00:00:00" u="1"/>
        <d v="2018-01-03T00:00:00" u="1"/>
        <d v="2018-04-25T00:00:00" u="1"/>
        <d v="2018-02-08T00:00:00" u="1"/>
        <d v="2018-05-30T00:00:00" u="1"/>
        <d v="2018-01-22T00:00:00" u="1"/>
        <d v="2018-03-13T00:00:00" u="1"/>
        <d v="2018-05-04T00:00:00" u="1"/>
        <d v="2018-02-27T00:00:00" u="1"/>
        <d v="2018-04-18T00:00:00" u="1"/>
        <d v="2018-02-01T00:00:00" u="1"/>
        <d v="2018-05-23T00:00:00" u="1"/>
        <d v="2018-01-15T00:00:00" u="1"/>
        <d v="2018-03-06T00:00:00" u="1"/>
        <d v="2018-02-20T00:00:00" u="1"/>
        <d v="2018-04-11T00:00:00" u="1"/>
        <d v="2018-03-25T00:00:00" u="1"/>
        <d v="2018-05-16T00:00:00" u="1"/>
        <d v="2018-01-08T00:00:00" u="1"/>
        <d v="2018-04-30T00:00:00" u="1"/>
        <d v="2018-02-13T00:00:00" u="1"/>
        <d v="2018-04-04T00:00:00" u="1"/>
        <d v="2018-01-27T00:00:00" u="1"/>
        <d v="2018-03-18T00:00:00" u="1"/>
        <d v="2018-05-09T00:00:00" u="1"/>
        <d v="2018-01-01T00:00:00" u="1"/>
        <d v="2018-04-23T00:00:00" u="1"/>
        <d v="2018-02-06T00:00:00" u="1"/>
        <d v="2018-05-28T00:00:00" u="1"/>
        <d v="2018-01-20T00:00:00" u="1"/>
        <d v="2018-03-11T00:00:00" u="1"/>
        <d v="2018-05-02T00:00:00" u="1"/>
        <d v="2018-02-25T00:00:00" u="1"/>
        <d v="2018-04-16T00:00:00" u="1"/>
        <d v="2018-03-30T00:00:00" u="1"/>
        <d v="2018-05-21T00:00:00" u="1"/>
        <d v="2018-01-13T00:00:00" u="1"/>
        <d v="2018-03-04T00:00:00" u="1"/>
        <d v="2018-02-18T00:00:00" u="1"/>
        <d v="2018-04-09T00:00:00" u="1"/>
        <d v="2018-03-23T00:00:00" u="1"/>
        <d v="2018-05-14T00:00:00" u="1"/>
        <d v="2018-01-06T00:00:00" u="1"/>
        <d v="2018-04-28T00:00:00" u="1"/>
        <d v="2018-02-11T00:00:00" u="1"/>
        <d v="2018-04-02T00:00:00" u="1"/>
        <d v="2018-01-25T00:00:00" u="1"/>
        <d v="2018-03-16T00:00:00" u="1"/>
        <d v="2018-05-07T00:00:00" u="1"/>
        <d v="2018-04-21T00:00:00" u="1"/>
        <d v="2018-02-04T00:00:00" u="1"/>
        <d v="2018-05-26T00:00:00" u="1"/>
        <d v="2018-01-18T00:00:00" u="1"/>
        <d v="2018-03-09T00:00:00" u="1"/>
        <d v="2018-02-23T00:00:00" u="1"/>
        <d v="2018-04-14T00:00:00" u="1"/>
        <d v="2018-03-28T00:00:00" u="1"/>
        <d v="2018-05-19T00:00:00" u="1"/>
        <d v="2018-01-11T00:00:00" u="1"/>
        <d v="2018-03-02T00:00:00" u="1"/>
        <d v="2018-02-16T00:00:00" u="1"/>
        <d v="2018-04-07T00:00:00" u="1"/>
      </sharedItems>
    </cacheField>
    <cacheField name="DIA DA SEMANA" numFmtId="0">
      <sharedItems containsNonDate="0" containsBlank="1" count="9">
        <m/>
        <s v="Terça-feira" u="1"/>
        <s v="Segunda-feira" u="1"/>
        <s v="Sexta-feira" u="1"/>
        <s v="Quarta-feira" u="1"/>
        <s v="Domingo" u="1"/>
        <s v="----" u="1"/>
        <s v="Quinta-feira" u="1"/>
        <s v="Sábado" u="1"/>
      </sharedItems>
    </cacheField>
    <cacheField name="E_M" numFmtId="164">
      <sharedItems containsNonDate="0" containsString="0" containsBlank="1"/>
    </cacheField>
    <cacheField name="S_M" numFmtId="164">
      <sharedItems containsNonDate="0" containsString="0" containsBlank="1"/>
    </cacheField>
    <cacheField name="T_H_M" numFmtId="164">
      <sharedItems containsNonDate="0" containsString="0" containsBlank="1"/>
    </cacheField>
    <cacheField name="E_T" numFmtId="164">
      <sharedItems containsNonDate="0" containsString="0" containsBlank="1"/>
    </cacheField>
    <cacheField name="S_T" numFmtId="164">
      <sharedItems containsNonDate="0" containsString="0" containsBlank="1"/>
    </cacheField>
    <cacheField name="T_H_T" numFmtId="164">
      <sharedItems containsNonDate="0" containsString="0" containsBlank="1"/>
    </cacheField>
    <cacheField name="E_N" numFmtId="164">
      <sharedItems containsNonDate="0" containsString="0" containsBlank="1"/>
    </cacheField>
    <cacheField name="S_N" numFmtId="164">
      <sharedItems containsNonDate="0" containsString="0" containsBlank="1"/>
    </cacheField>
    <cacheField name="T_H_N" numFmtId="164">
      <sharedItems containsNonDate="0" containsString="0" containsBlank="1"/>
    </cacheField>
    <cacheField name="TOTAL" numFmtId="164">
      <sharedItems containsNonDate="0" containsString="0" containsBlank="1"/>
    </cacheField>
    <cacheField name="DIF. EM MIN." numFmtId="2">
      <sharedItems containsNonDate="0" containsString="0" containsBlank="1"/>
    </cacheField>
    <cacheField name="OBSERVAÇÃO" numFmtId="0">
      <sharedItems containsNonDate="0" containsBlank="1" count="3">
        <m/>
        <s v="Horas extras autorizadas" u="1"/>
        <s v="Autorizado por e-mail" u="1"/>
      </sharedItems>
    </cacheField>
    <cacheField name="DIF. EM HORAS" numFmtId="2">
      <sharedItems containsNonDate="0" containsString="0" containsBlank="1"/>
    </cacheField>
    <cacheField name="STATUS" numFmtId="0">
      <sharedItems count="4">
        <s v="DIF. HORAS"/>
        <s v="" u="1"/>
        <s v="DIF. MIN." u="1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200.401318171294" createdVersion="6" refreshedVersion="6" minRefreshableVersion="3" recordCount="1" xr:uid="{50D876D4-3A7C-4102-8226-0F37D735DD4F}">
  <cacheSource type="worksheet">
    <worksheetSource name="TDRegBcoDados"/>
  </cacheSource>
  <cacheFields count="11">
    <cacheField name="REF." numFmtId="0">
      <sharedItems/>
    </cacheField>
    <cacheField name="NOME" numFmtId="0">
      <sharedItems containsBlank="1" count="10">
        <s v="EMPRESA"/>
        <m u="1"/>
        <s v="Anderson" u="1"/>
        <s v="Cerismar" u="1"/>
        <s v="Cláudia C. M. Marinho" u="1"/>
        <s v="RÉGIS" u="1"/>
        <s v="Paula" u="1"/>
        <s v="Régis Marinho" u="1"/>
        <s v="André C. M. Marinho" u="1"/>
        <s v="Alisson" u="1"/>
      </sharedItems>
    </cacheField>
    <cacheField name="R.I." numFmtId="0">
      <sharedItems/>
    </cacheField>
    <cacheField name="MÊS/ANO" numFmtId="168">
      <sharedItems containsSemiMixedTypes="0" containsNonDate="0" containsDate="1" containsString="0" minDate="1899-12-30T00:00:00" maxDate="2018-06-01T00:00:00" count="10">
        <d v="1899-12-30T00:00:00"/>
        <d v="2018-05-31T00:00:00" u="1"/>
        <d v="2018-02-28T00:00:00" u="1"/>
        <d v="2018-03-31T00:00:00" u="1"/>
        <d v="2018-01-31T00:00:00" u="1"/>
        <d v="2018-04-01T00:00:00" u="1"/>
        <d v="2018-03-01T00:00:00" u="1"/>
        <d v="2018-02-01T00:00:00" u="1"/>
        <d v="2018-04-30T00:00:00" u="1"/>
        <d v="2018-01-01T00:00:00" u="1"/>
      </sharedItems>
    </cacheField>
    <cacheField name="ANO" numFmtId="0">
      <sharedItems containsSemiMixedTypes="0" containsString="0" containsNumber="1" containsInteger="1" minValue="1900" maxValue="1900"/>
    </cacheField>
    <cacheField name="MINUTOS" numFmtId="3">
      <sharedItems containsSemiMixedTypes="0" containsString="0" containsNumber="1" containsInteger="1" minValue="0" maxValue="0"/>
    </cacheField>
    <cacheField name="FRAÇÃO EM HORAS" numFmtId="0">
      <sharedItems containsSemiMixedTypes="0" containsString="0" containsNumber="1" containsInteger="1" minValue="0" maxValue="0"/>
    </cacheField>
    <cacheField name="DESCRIÇÃO SOBRE OS REGISTROS DA EMPRESA" numFmtId="0">
      <sharedItems containsNonDate="0" containsBlank="1" count="6">
        <m/>
        <s v="" u="1"/>
        <s v="Emenda de feriado..." u="1"/>
        <s v="Emenda de feriado do dia 25/01/2018" u="1"/>
        <s v="Emenda de feriado - aniversário da cidade de São Paulo" u="1"/>
        <s v="TESTE" u="1"/>
      </sharedItems>
    </cacheField>
    <cacheField name="CONTROLE" numFmtId="0">
      <sharedItems containsBlank="1" count="3">
        <s v="EMPRESA"/>
        <m u="1"/>
        <s v="Colaborador" u="1"/>
      </sharedItems>
    </cacheField>
    <cacheField name="COMP. MIN." numFmtId="0">
      <sharedItems containsNonDate="0" containsString="0" containsBlank="1"/>
    </cacheField>
    <cacheField name="COMP. HOR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m/>
    <m/>
    <x v="0"/>
    <m/>
    <x v="0"/>
    <x v="0"/>
    <m/>
    <m/>
    <m/>
    <m/>
    <m/>
    <m/>
    <m/>
    <m/>
    <m/>
    <m/>
    <m/>
    <x v="0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EMPRESA"/>
    <x v="0"/>
    <s v="----"/>
    <x v="0"/>
    <n v="1900"/>
    <n v="0"/>
    <n v="0"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A7D40-932E-45AA-9A6B-17972D6E5F89}" name="Tabela dinâmica1" cacheId="358" applyNumberFormats="0" applyBorderFormats="0" applyFontFormats="0" applyPatternFormats="0" applyAlignmentFormats="0" applyWidthHeightFormats="1" dataCaption="Tempo:" updatedVersion="6" minRefreshableVersion="3" showDrill="0" useAutoFormatting="1" itemPrintTitles="1" createdVersion="6" indent="0" compact="0" compactData="0" gridDropZones="1" multipleFieldFilters="0">
  <location ref="B6:F11" firstHeaderRow="2" firstDataRow="2" firstDataCol="4" rowPageCount="2" colPageCount="1"/>
  <pivotFields count="23">
    <pivotField compact="0" outline="0" showAll="0" defaultSubtotal="0"/>
    <pivotField axis="axisRow" compact="0" outline="0" showAll="0" insertBlankRow="1">
      <items count="10">
        <item x="0"/>
        <item m="1" x="1"/>
        <item m="1" x="5"/>
        <item m="1" x="8"/>
        <item m="1" x="2"/>
        <item m="1" x="6"/>
        <item m="1" x="3"/>
        <item m="1" x="7"/>
        <item m="1" x="4"/>
        <item t="default"/>
      </items>
    </pivotField>
    <pivotField compact="0" outline="0" showAll="0" defaultSubtotal="0"/>
    <pivotField compact="0" numFmtId="164" outline="0" subtotalTop="0" showAll="0" defaultSubtotal="0"/>
    <pivotField compact="0" outline="0" showAll="0" defaultSubtotal="0"/>
    <pivotField axis="axisPage" compact="0" outline="0" showAll="0" defaultSubtotal="0">
      <items count="10">
        <item m="1" x="9"/>
        <item m="1" x="7"/>
        <item m="1" x="6"/>
        <item m="1" x="5"/>
        <item m="1" x="4"/>
        <item m="1" x="2"/>
        <item m="1" x="3"/>
        <item m="1" x="8"/>
        <item m="1" x="1"/>
        <item x="0"/>
      </items>
    </pivotField>
    <pivotField compact="0" outline="0" showAll="0" defaultSubtotal="0"/>
    <pivotField axis="axisRow" compact="0" outline="0" showAll="0" defaultSubtotal="0">
      <items count="152">
        <item m="1" x="115"/>
        <item m="1" x="27"/>
        <item m="1" x="91"/>
        <item m="1" x="4"/>
        <item m="1" x="68"/>
        <item m="1" x="132"/>
        <item m="1" x="44"/>
        <item m="1" x="108"/>
        <item m="1" x="21"/>
        <item m="1" x="84"/>
        <item m="1" x="148"/>
        <item m="1" x="61"/>
        <item m="1" x="126"/>
        <item m="1" x="38"/>
        <item m="1" x="102"/>
        <item m="1" x="15"/>
        <item m="1" x="78"/>
        <item m="1" x="142"/>
        <item m="1" x="54"/>
        <item m="1" x="119"/>
        <item m="1" x="31"/>
        <item m="1" x="95"/>
        <item m="1" x="8"/>
        <item m="1" x="72"/>
        <item m="1" x="136"/>
        <item m="1" x="48"/>
        <item m="1" x="112"/>
        <item m="1" x="24"/>
        <item m="1" x="88"/>
        <item m="1" x="1"/>
        <item m="1" x="65"/>
        <item m="1" x="100"/>
        <item m="1" x="13"/>
        <item m="1" x="76"/>
        <item m="1" x="140"/>
        <item m="1" x="52"/>
        <item m="1" x="117"/>
        <item m="1" x="29"/>
        <item m="1" x="93"/>
        <item m="1" x="6"/>
        <item m="1" x="70"/>
        <item m="1" x="134"/>
        <item m="1" x="46"/>
        <item m="1" x="110"/>
        <item m="1" x="22"/>
        <item m="1" x="86"/>
        <item m="1" x="150"/>
        <item m="1" x="63"/>
        <item m="1" x="128"/>
        <item m="1" x="40"/>
        <item m="1" x="104"/>
        <item m="1" x="17"/>
        <item m="1" x="80"/>
        <item m="1" x="144"/>
        <item m="1" x="57"/>
        <item m="1" x="122"/>
        <item m="1" x="34"/>
        <item m="1" x="98"/>
        <item m="1" x="11"/>
        <item m="1" x="85"/>
        <item m="1" x="149"/>
        <item m="1" x="62"/>
        <item m="1" x="127"/>
        <item m="1" x="39"/>
        <item m="1" x="103"/>
        <item m="1" x="16"/>
        <item m="1" x="79"/>
        <item m="1" x="143"/>
        <item m="1" x="55"/>
        <item m="1" x="120"/>
        <item m="1" x="32"/>
        <item m="1" x="96"/>
        <item m="1" x="9"/>
        <item m="1" x="73"/>
        <item m="1" x="137"/>
        <item m="1" x="49"/>
        <item m="1" x="113"/>
        <item m="1" x="25"/>
        <item m="1" x="89"/>
        <item m="1" x="2"/>
        <item m="1" x="66"/>
        <item m="1" x="130"/>
        <item m="1" x="42"/>
        <item m="1" x="106"/>
        <item m="1" x="19"/>
        <item m="1" x="82"/>
        <item m="1" x="146"/>
        <item m="1" x="59"/>
        <item m="1" x="124"/>
        <item m="1" x="36"/>
        <item m="1" x="71"/>
        <item m="1" x="135"/>
        <item m="1" x="47"/>
        <item m="1" x="111"/>
        <item m="1" x="23"/>
        <item m="1" x="87"/>
        <item m="1" x="151"/>
        <item m="1" x="64"/>
        <item m="1" x="129"/>
        <item m="1" x="41"/>
        <item m="1" x="105"/>
        <item m="1" x="18"/>
        <item m="1" x="81"/>
        <item m="1" x="145"/>
        <item m="1" x="58"/>
        <item m="1" x="123"/>
        <item m="1" x="35"/>
        <item m="1" x="99"/>
        <item m="1" x="12"/>
        <item m="1" x="75"/>
        <item m="1" x="139"/>
        <item m="1" x="51"/>
        <item m="1" x="116"/>
        <item m="1" x="28"/>
        <item m="1" x="92"/>
        <item m="1" x="5"/>
        <item m="1" x="69"/>
        <item m="1" x="133"/>
        <item m="1" x="45"/>
        <item m="1" x="109"/>
        <item m="1" x="56"/>
        <item m="1" x="121"/>
        <item m="1" x="33"/>
        <item m="1" x="97"/>
        <item m="1" x="10"/>
        <item m="1" x="74"/>
        <item m="1" x="138"/>
        <item m="1" x="50"/>
        <item m="1" x="114"/>
        <item m="1" x="26"/>
        <item m="1" x="90"/>
        <item m="1" x="3"/>
        <item m="1" x="67"/>
        <item m="1" x="131"/>
        <item m="1" x="43"/>
        <item m="1" x="107"/>
        <item m="1" x="20"/>
        <item m="1" x="83"/>
        <item m="1" x="147"/>
        <item m="1" x="60"/>
        <item m="1" x="125"/>
        <item m="1" x="37"/>
        <item m="1" x="101"/>
        <item m="1" x="14"/>
        <item m="1" x="77"/>
        <item m="1" x="141"/>
        <item m="1" x="53"/>
        <item m="1" x="118"/>
        <item m="1" x="30"/>
        <item m="1" x="94"/>
        <item m="1" x="7"/>
        <item x="0"/>
      </items>
    </pivotField>
    <pivotField axis="axisRow" compact="0" outline="0" showAll="0" defaultSubtotal="0">
      <items count="9">
        <item x="0"/>
        <item m="1" x="2"/>
        <item m="1" x="1"/>
        <item m="1" x="4"/>
        <item m="1" x="7"/>
        <item m="1" x="3"/>
        <item m="1" x="8"/>
        <item m="1" x="5"/>
        <item m="1"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2" outline="0" subtotalTop="0" showAll="0" defaultSubtotal="0"/>
    <pivotField axis="axisRow" compact="0" outline="0" showAll="0" defaultSubtotal="0">
      <items count="3">
        <item m="1" x="1"/>
        <item x="0"/>
        <item m="1" x="2"/>
      </items>
    </pivotField>
    <pivotField compact="0" numFmtId="2" outline="0" subtotalTop="0" showAll="0" defaultSubtotal="0"/>
    <pivotField axis="axisPage" compact="0" outline="0" subtotalTop="0" showAll="0" defaultSubtotal="0">
      <items count="4">
        <item m="1" x="1"/>
        <item m="1" x="2"/>
        <item m="1" x="3"/>
        <item x="0"/>
      </items>
    </pivotField>
  </pivotFields>
  <rowFields count="4">
    <field x="1"/>
    <field x="7"/>
    <field x="8"/>
    <field x="20"/>
  </rowFields>
  <rowItems count="4">
    <i>
      <x/>
      <x v="151"/>
      <x/>
      <x v="1"/>
    </i>
    <i t="default">
      <x/>
    </i>
    <i t="blank">
      <x/>
    </i>
    <i t="grand">
      <x/>
    </i>
  </rowItems>
  <colItems count="1">
    <i/>
  </colItems>
  <pageFields count="2">
    <pageField fld="22" item="3" hier="-1"/>
    <pageField fld="5" item="9" hier="-1"/>
  </pageFields>
  <dataFields count="1">
    <dataField name="MINUTOS " fld="19" baseField="0" baseItem="0" numFmtId="4"/>
  </dataFields>
  <formats count="5">
    <format dxfId="20">
      <pivotArea field="1" type="button" dataOnly="0" labelOnly="1" outline="0" axis="axisRow" fieldPosition="0"/>
    </format>
    <format dxfId="19">
      <pivotArea field="7" type="button" dataOnly="0" labelOnly="1" outline="0" axis="axisRow" fieldPosition="1"/>
    </format>
    <format dxfId="18">
      <pivotArea field="8" type="button" dataOnly="0" labelOnly="1" outline="0" axis="axisRow" fieldPosition="2"/>
    </format>
    <format dxfId="17">
      <pivotArea field="20" type="button" dataOnly="0" labelOnly="1" outline="0" axis="axisRow" fieldPosition="3"/>
    </format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EEBF0-9B13-498C-9D16-B678E76973E4}" name="Tabela dinâmica1" cacheId="382" applyNumberFormats="0" applyBorderFormats="0" applyFontFormats="0" applyPatternFormats="0" applyAlignmentFormats="0" applyWidthHeightFormats="1" dataCaption="Tempo:" updatedVersion="6" minRefreshableVersion="3" useAutoFormatting="1" itemPrintTitles="1" createdVersion="6" indent="0" compact="0" compactData="0" gridDropZones="1" multipleFieldFilters="0">
  <location ref="B6:D9" firstHeaderRow="2" firstDataRow="2" firstDataCol="2" rowPageCount="1" colPageCount="1"/>
  <pivotFields count="11">
    <pivotField compact="0" outline="0" showAll="0" defaultSubtotal="0"/>
    <pivotField axis="axisPage" compact="0" outline="0" showAll="0" insertBlankRow="1">
      <items count="11">
        <item m="1" x="9"/>
        <item x="0"/>
        <item m="1" x="6"/>
        <item m="1" x="3"/>
        <item m="1" x="2"/>
        <item m="1" x="7"/>
        <item m="1" x="4"/>
        <item m="1" x="8"/>
        <item m="1" x="1"/>
        <item m="1" x="5"/>
        <item t="default"/>
      </items>
    </pivotField>
    <pivotField compact="0" outline="0" showAll="0" defaultSubtotal="0"/>
    <pivotField axis="axisRow" compact="0" numFmtId="168" outline="0" subtotalTop="0" showAll="0" defaultSubtotal="0">
      <items count="10">
        <item m="1" x="9"/>
        <item m="1" x="7"/>
        <item m="1" x="6"/>
        <item m="1" x="5"/>
        <item m="1" x="4"/>
        <item m="1" x="2"/>
        <item m="1" x="3"/>
        <item m="1" x="8"/>
        <item m="1" x="1"/>
        <item x="0"/>
      </items>
    </pivotField>
    <pivotField compact="0" outline="0" showAll="0" defaultSubtotal="0"/>
    <pivotField dataField="1" compact="0" numFmtId="3" outline="0" subtotalTop="0" showAll="0" defaultSubtotal="0"/>
    <pivotField compact="0" outline="0" subtotalTop="0" showAll="0" defaultSubtotal="0"/>
    <pivotField axis="axisRow" compact="0" outline="0" subtotalTop="0" showAll="0" defaultSubtotal="0">
      <items count="6">
        <item m="1" x="3"/>
        <item x="0"/>
        <item m="1" x="4"/>
        <item m="1" x="1"/>
        <item m="1" x="2"/>
        <item m="1"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3"/>
    <field x="7"/>
  </rowFields>
  <rowItems count="2">
    <i>
      <x v="9"/>
      <x v="1"/>
    </i>
    <i t="grand">
      <x/>
    </i>
  </rowItems>
  <colItems count="1">
    <i/>
  </colItems>
  <pageFields count="1">
    <pageField fld="1" item="1" hier="-1"/>
  </pageFields>
  <dataFields count="1">
    <dataField name="MINUTOS " fld="5" baseField="0" baseItem="0" numFmtId="4"/>
  </dataFields>
  <formats count="2">
    <format dxfId="15">
      <pivotArea field="1" type="button" dataOnly="0" labelOnly="1" outline="0" axis="axisPage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844E7-E961-4E83-ABD9-CA788861DF69}" name="Tabela dinâmica1" cacheId="382" applyNumberFormats="0" applyBorderFormats="0" applyFontFormats="0" applyPatternFormats="0" applyAlignmentFormats="0" applyWidthHeightFormats="1" dataCaption="Tempo:" updatedVersion="6" minRefreshableVersion="3" showDrill="0" rowGrandTotals="0" itemPrintTitles="1" createdVersion="6" indent="0" outline="1" outlineData="1" multipleFieldFilters="0" rowHeaderCaption="Apontamento" colHeaderCaption="Período:">
  <location ref="C5:D6" firstHeaderRow="1" firstDataRow="2" firstDataCol="1"/>
  <pivotFields count="11">
    <pivotField showAll="0" defaultSubtotal="0"/>
    <pivotField axis="axisRow" showAll="0">
      <items count="11">
        <item sd="0" m="1" x="9"/>
        <item x="0"/>
        <item sd="0" m="1" x="6"/>
        <item m="1" x="3"/>
        <item m="1" x="2"/>
        <item m="1" x="7"/>
        <item m="1" x="4"/>
        <item m="1" x="8"/>
        <item m="1" x="1"/>
        <item m="1" x="5"/>
        <item t="default"/>
      </items>
    </pivotField>
    <pivotField showAll="0" defaultSubtotal="0"/>
    <pivotField axis="axisCol" numFmtId="168" showAll="0" defaultSubtotal="0">
      <items count="10">
        <item m="1" x="9"/>
        <item m="1" x="7"/>
        <item m="1" x="6"/>
        <item m="1" x="5"/>
        <item m="1" x="4"/>
        <item m="1" x="2"/>
        <item m="1" x="3"/>
        <item m="1" x="8"/>
        <item m="1" x="1"/>
        <item x="0"/>
      </items>
    </pivotField>
    <pivotField showAll="0" defaultSubtotal="0"/>
    <pivotField dataField="1" numFmtId="3" showAll="0" defaultSubtotal="0"/>
    <pivotField subtotalTop="0" showAll="0" defaultSubtotal="0"/>
    <pivotField showAll="0" defaultSubtotal="0"/>
    <pivotField axis="axisRow" showAll="0" insertBlankRow="1" defaultSubtotal="0">
      <items count="3">
        <item sd="0" x="0"/>
        <item m="1" x="2"/>
        <item m="1" x="1"/>
      </items>
    </pivotField>
    <pivotField subtotalTop="0" showAll="0" defaultSubtotal="0"/>
    <pivotField subtotalTop="0" showAll="0" defaultSubtotal="0"/>
  </pivotFields>
  <rowFields count="2">
    <field x="8"/>
    <field x="1"/>
  </rowFields>
  <colFields count="1">
    <field x="3"/>
  </colFields>
  <colItems count="1">
    <i t="grand">
      <x/>
    </i>
  </colItems>
  <dataFields count="1">
    <dataField name="RESUMO" fld="5" baseField="0" baseItem="0" numFmtId="3"/>
  </dataFields>
  <formats count="5">
    <format dxfId="13">
      <pivotArea field="1" type="button" dataOnly="0" labelOnly="1" outline="0" axis="axisRow" fieldPosition="1"/>
    </format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" showRowHeaders="1" showColHeaders="1" showRowStripes="1" showColStripes="0" showLastColumn="1"/>
  <filters count="1">
    <filter fld="3" type="dateBetween" evalOrder="-1" id="32">
      <autoFilter ref="A1">
        <filterColumn colId="0">
          <customFilters and="1">
            <customFilter operator="greaterThanOrEqual" val="43159"/>
            <customFilter operator="lessThanOrEqual" val="432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44CC-7AC5-4641-B81A-012871AF28DC}">
  <sheetPr codeName="Sht_Menu">
    <tabColor rgb="FFC00000"/>
  </sheetPr>
  <dimension ref="C1:J21"/>
  <sheetViews>
    <sheetView showGridLines="0" showRowColHeaders="0" tabSelected="1" topLeftCell="B3" workbookViewId="0">
      <selection activeCell="B3" sqref="B3"/>
    </sheetView>
  </sheetViews>
  <sheetFormatPr defaultColWidth="9.140625" defaultRowHeight="15" x14ac:dyDescent="0.25"/>
  <cols>
    <col min="1" max="1" width="0" style="67" hidden="1" customWidth="1"/>
    <col min="2" max="3" width="5.42578125" style="67" customWidth="1"/>
    <col min="4" max="16384" width="9.140625" style="67"/>
  </cols>
  <sheetData>
    <row r="1" spans="3:10" hidden="1" x14ac:dyDescent="0.25"/>
    <row r="2" spans="3:10" hidden="1" x14ac:dyDescent="0.25"/>
    <row r="3" spans="3:10" ht="14.25" customHeight="1" x14ac:dyDescent="0.25"/>
    <row r="6" spans="3:10" ht="15.75" customHeight="1" x14ac:dyDescent="0.25"/>
    <row r="7" spans="3:10" ht="25.5" customHeight="1" x14ac:dyDescent="0.25"/>
    <row r="8" spans="3:10" ht="6" customHeight="1" x14ac:dyDescent="0.25">
      <c r="D8" s="68"/>
    </row>
    <row r="9" spans="3:10" ht="25.5" customHeight="1" x14ac:dyDescent="0.25"/>
    <row r="10" spans="3:10" ht="6" customHeight="1" x14ac:dyDescent="0.25">
      <c r="D10" s="68"/>
    </row>
    <row r="11" spans="3:10" ht="25.5" customHeight="1" x14ac:dyDescent="0.25"/>
    <row r="12" spans="3:10" ht="6" customHeight="1" x14ac:dyDescent="0.25">
      <c r="D12" s="68"/>
    </row>
    <row r="13" spans="3:10" ht="25.5" customHeight="1" x14ac:dyDescent="0.25"/>
    <row r="14" spans="3:10" ht="6" customHeight="1" x14ac:dyDescent="0.25">
      <c r="C14" s="129"/>
      <c r="D14" s="129"/>
      <c r="E14" s="129"/>
      <c r="F14" s="129"/>
      <c r="G14" s="129"/>
      <c r="H14" s="129"/>
      <c r="I14" s="129"/>
      <c r="J14" s="129"/>
    </row>
    <row r="15" spans="3:10" ht="25.5" customHeight="1" x14ac:dyDescent="0.25">
      <c r="C15" s="129"/>
      <c r="D15" s="129"/>
      <c r="E15" s="129"/>
      <c r="F15" s="129"/>
      <c r="G15" s="129"/>
      <c r="H15" s="129"/>
      <c r="I15" s="129"/>
      <c r="J15" s="129"/>
    </row>
    <row r="16" spans="3:10" ht="6" customHeight="1" x14ac:dyDescent="0.25">
      <c r="D16" s="68"/>
    </row>
    <row r="17" spans="4:4" ht="25.5" customHeight="1" x14ac:dyDescent="0.25"/>
    <row r="18" spans="4:4" ht="6" customHeight="1" x14ac:dyDescent="0.25">
      <c r="D18" s="68"/>
    </row>
    <row r="19" spans="4:4" ht="25.5" customHeight="1" x14ac:dyDescent="0.25"/>
    <row r="20" spans="4:4" ht="6" customHeight="1" x14ac:dyDescent="0.25">
      <c r="D20" s="68"/>
    </row>
    <row r="21" spans="4:4" ht="25.5" customHeight="1" x14ac:dyDescent="0.25"/>
  </sheetData>
  <mergeCells count="1">
    <mergeCell ref="C14:J15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9CF9A-AB15-4460-BED4-FE6D51F10DE2}">
  <sheetPr codeName="Sht_Tutorial"/>
  <dimension ref="B2:C35"/>
  <sheetViews>
    <sheetView showGridLines="0" showRowColHeaders="0" workbookViewId="0">
      <pane ySplit="2" topLeftCell="A18" activePane="bottomLeft" state="frozen"/>
      <selection pane="bottomLeft"/>
    </sheetView>
  </sheetViews>
  <sheetFormatPr defaultColWidth="9.140625" defaultRowHeight="22.5" customHeight="1" x14ac:dyDescent="0.25"/>
  <cols>
    <col min="1" max="1" width="3.85546875" style="69" customWidth="1"/>
    <col min="2" max="2" width="1.85546875" style="76" customWidth="1"/>
    <col min="3" max="3" width="134.140625" style="77" bestFit="1" customWidth="1"/>
    <col min="4" max="16384" width="9.140625" style="69"/>
  </cols>
  <sheetData>
    <row r="2" spans="2:3" ht="22.5" customHeight="1" x14ac:dyDescent="0.25">
      <c r="B2" s="130" t="s">
        <v>59</v>
      </c>
      <c r="C2" s="130"/>
    </row>
    <row r="4" spans="2:3" ht="22.5" customHeight="1" x14ac:dyDescent="0.25">
      <c r="B4" s="131" t="s">
        <v>60</v>
      </c>
      <c r="C4" s="131"/>
    </row>
    <row r="5" spans="2:3" ht="30" x14ac:dyDescent="0.25">
      <c r="B5" s="70" t="s">
        <v>61</v>
      </c>
      <c r="C5" s="71" t="s">
        <v>71</v>
      </c>
    </row>
    <row r="6" spans="2:3" s="78" customFormat="1" ht="19.5" customHeight="1" x14ac:dyDescent="0.25">
      <c r="B6" s="70" t="s">
        <v>61</v>
      </c>
      <c r="C6" s="72" t="s">
        <v>65</v>
      </c>
    </row>
    <row r="7" spans="2:3" s="78" customFormat="1" ht="19.5" customHeight="1" x14ac:dyDescent="0.25">
      <c r="B7" s="70" t="s">
        <v>61</v>
      </c>
      <c r="C7" s="72" t="s">
        <v>95</v>
      </c>
    </row>
    <row r="8" spans="2:3" s="78" customFormat="1" ht="30" x14ac:dyDescent="0.25">
      <c r="B8" s="70" t="s">
        <v>61</v>
      </c>
      <c r="C8" s="72" t="s">
        <v>72</v>
      </c>
    </row>
    <row r="10" spans="2:3" ht="22.5" customHeight="1" x14ac:dyDescent="0.25">
      <c r="B10" s="131" t="s">
        <v>63</v>
      </c>
      <c r="C10" s="131"/>
    </row>
    <row r="11" spans="2:3" s="73" customFormat="1" ht="60" x14ac:dyDescent="0.25">
      <c r="B11" s="70" t="s">
        <v>61</v>
      </c>
      <c r="C11" s="72" t="s">
        <v>64</v>
      </c>
    </row>
    <row r="12" spans="2:3" s="73" customFormat="1" ht="45" x14ac:dyDescent="0.25">
      <c r="B12" s="70" t="s">
        <v>61</v>
      </c>
      <c r="C12" s="72" t="s">
        <v>93</v>
      </c>
    </row>
    <row r="14" spans="2:3" ht="22.5" customHeight="1" x14ac:dyDescent="0.25">
      <c r="B14" s="131" t="s">
        <v>103</v>
      </c>
      <c r="C14" s="131"/>
    </row>
    <row r="15" spans="2:3" s="73" customFormat="1" ht="45" x14ac:dyDescent="0.25">
      <c r="B15" s="70" t="s">
        <v>61</v>
      </c>
      <c r="C15" s="72" t="s">
        <v>68</v>
      </c>
    </row>
    <row r="16" spans="2:3" ht="30" x14ac:dyDescent="0.25">
      <c r="B16" s="74" t="s">
        <v>61</v>
      </c>
      <c r="C16" s="75" t="s">
        <v>66</v>
      </c>
    </row>
    <row r="17" spans="2:3" s="78" customFormat="1" ht="19.5" customHeight="1" x14ac:dyDescent="0.25">
      <c r="B17" s="70" t="s">
        <v>61</v>
      </c>
      <c r="C17" s="72" t="s">
        <v>100</v>
      </c>
    </row>
    <row r="18" spans="2:3" s="78" customFormat="1" ht="30" x14ac:dyDescent="0.25">
      <c r="B18" s="70" t="s">
        <v>61</v>
      </c>
      <c r="C18" s="72" t="s">
        <v>104</v>
      </c>
    </row>
    <row r="19" spans="2:3" s="78" customFormat="1" ht="19.5" customHeight="1" x14ac:dyDescent="0.25">
      <c r="B19" s="70" t="s">
        <v>61</v>
      </c>
      <c r="C19" s="72" t="s">
        <v>101</v>
      </c>
    </row>
    <row r="21" spans="2:3" ht="22.5" customHeight="1" x14ac:dyDescent="0.25">
      <c r="B21" s="131" t="s">
        <v>67</v>
      </c>
      <c r="C21" s="131"/>
    </row>
    <row r="22" spans="2:3" s="73" customFormat="1" ht="45" x14ac:dyDescent="0.25">
      <c r="B22" s="70" t="s">
        <v>61</v>
      </c>
      <c r="C22" s="72" t="s">
        <v>69</v>
      </c>
    </row>
    <row r="23" spans="2:3" ht="30" x14ac:dyDescent="0.25">
      <c r="B23" s="74" t="s">
        <v>61</v>
      </c>
      <c r="C23" s="75" t="s">
        <v>94</v>
      </c>
    </row>
    <row r="25" spans="2:3" ht="22.5" customHeight="1" x14ac:dyDescent="0.25">
      <c r="B25" s="131" t="s">
        <v>70</v>
      </c>
      <c r="C25" s="131"/>
    </row>
    <row r="26" spans="2:3" s="78" customFormat="1" ht="19.5" customHeight="1" x14ac:dyDescent="0.25">
      <c r="B26" s="70" t="s">
        <v>61</v>
      </c>
      <c r="C26" s="72" t="s">
        <v>90</v>
      </c>
    </row>
    <row r="28" spans="2:3" ht="22.5" customHeight="1" x14ac:dyDescent="0.25">
      <c r="B28" s="131" t="s">
        <v>73</v>
      </c>
      <c r="C28" s="131"/>
    </row>
    <row r="29" spans="2:3" s="78" customFormat="1" ht="19.5" customHeight="1" x14ac:dyDescent="0.25">
      <c r="B29" s="70" t="s">
        <v>61</v>
      </c>
      <c r="C29" s="72" t="s">
        <v>74</v>
      </c>
    </row>
    <row r="31" spans="2:3" ht="22.5" customHeight="1" x14ac:dyDescent="0.25">
      <c r="B31" s="131" t="s">
        <v>91</v>
      </c>
      <c r="C31" s="131"/>
    </row>
    <row r="32" spans="2:3" s="78" customFormat="1" ht="30" x14ac:dyDescent="0.25">
      <c r="B32" s="70" t="s">
        <v>61</v>
      </c>
      <c r="C32" s="72" t="s">
        <v>107</v>
      </c>
    </row>
    <row r="34" spans="2:3" ht="22.5" customHeight="1" x14ac:dyDescent="0.25">
      <c r="B34" s="131" t="s">
        <v>105</v>
      </c>
      <c r="C34" s="131"/>
    </row>
    <row r="35" spans="2:3" s="78" customFormat="1" ht="19.5" customHeight="1" x14ac:dyDescent="0.25">
      <c r="B35" s="70" t="s">
        <v>61</v>
      </c>
      <c r="C35" s="72" t="s">
        <v>106</v>
      </c>
    </row>
  </sheetData>
  <mergeCells count="9">
    <mergeCell ref="B2:C2"/>
    <mergeCell ref="B4:C4"/>
    <mergeCell ref="B10:C10"/>
    <mergeCell ref="B14:C14"/>
    <mergeCell ref="B34:C34"/>
    <mergeCell ref="B31:C31"/>
    <mergeCell ref="B21:C21"/>
    <mergeCell ref="B25:C25"/>
    <mergeCell ref="B28:C2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E62DF-9EC9-48F2-B92D-DCB529212E6F}">
  <sheetPr codeName="sht_Cad_Colaboradores"/>
  <dimension ref="B1:J315"/>
  <sheetViews>
    <sheetView showGridLines="0"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1.85546875" style="15" customWidth="1"/>
    <col min="2" max="2" width="32.7109375" style="15" customWidth="1"/>
    <col min="3" max="3" width="6" style="16" customWidth="1"/>
    <col min="4" max="4" width="12.5703125" style="19" customWidth="1"/>
    <col min="5" max="5" width="10.85546875" style="16" customWidth="1"/>
    <col min="6" max="9" width="9.28515625" style="15" customWidth="1"/>
    <col min="10" max="10" width="12.42578125" style="15" customWidth="1"/>
    <col min="11" max="16384" width="9.140625" style="15"/>
  </cols>
  <sheetData>
    <row r="1" spans="2:10" ht="23.25" customHeight="1" x14ac:dyDescent="0.25"/>
    <row r="2" spans="2:10" s="95" customFormat="1" ht="30" customHeight="1" x14ac:dyDescent="0.25">
      <c r="B2" s="153" t="s">
        <v>1</v>
      </c>
      <c r="C2" s="153" t="s">
        <v>11</v>
      </c>
      <c r="D2" s="154" t="s">
        <v>62</v>
      </c>
      <c r="E2" s="155" t="s">
        <v>14</v>
      </c>
      <c r="G2" s="132" t="s">
        <v>92</v>
      </c>
      <c r="H2" s="132"/>
      <c r="I2" s="133"/>
      <c r="J2" s="149">
        <v>1.0416666666666666E-2</v>
      </c>
    </row>
    <row r="3" spans="2:10" x14ac:dyDescent="0.25">
      <c r="B3" s="117"/>
      <c r="C3" s="118"/>
      <c r="D3" s="119"/>
      <c r="E3" s="119"/>
      <c r="F3" s="96"/>
      <c r="G3" s="96"/>
      <c r="H3" s="97"/>
    </row>
    <row r="4" spans="2:10" x14ac:dyDescent="0.25">
      <c r="B4" s="111"/>
      <c r="C4" s="112"/>
      <c r="D4" s="113"/>
      <c r="E4" s="113"/>
      <c r="F4" s="96"/>
      <c r="G4" s="96"/>
    </row>
    <row r="5" spans="2:10" x14ac:dyDescent="0.25">
      <c r="B5" s="114"/>
      <c r="C5" s="115"/>
      <c r="D5" s="116"/>
      <c r="E5" s="116"/>
      <c r="F5" s="96"/>
      <c r="G5" s="96"/>
    </row>
    <row r="6" spans="2:10" x14ac:dyDescent="0.25">
      <c r="B6" s="114"/>
      <c r="C6" s="115"/>
      <c r="D6" s="116"/>
      <c r="E6" s="116"/>
      <c r="F6" s="96"/>
      <c r="G6" s="96"/>
    </row>
    <row r="7" spans="2:10" x14ac:dyDescent="0.25">
      <c r="B7" s="88"/>
      <c r="C7" s="89"/>
      <c r="D7" s="90"/>
      <c r="E7" s="94"/>
      <c r="F7" s="96"/>
      <c r="G7" s="96"/>
      <c r="I7" s="98"/>
    </row>
    <row r="8" spans="2:10" x14ac:dyDescent="0.25">
      <c r="B8" s="88"/>
      <c r="C8" s="89"/>
      <c r="D8" s="90"/>
      <c r="E8" s="94"/>
      <c r="F8" s="96"/>
      <c r="G8" s="96"/>
    </row>
    <row r="9" spans="2:10" x14ac:dyDescent="0.25">
      <c r="B9" s="88"/>
      <c r="C9" s="89"/>
      <c r="D9" s="90"/>
      <c r="E9" s="94"/>
      <c r="F9" s="96"/>
      <c r="G9" s="96"/>
    </row>
    <row r="10" spans="2:10" x14ac:dyDescent="0.25">
      <c r="B10" s="88"/>
      <c r="C10" s="89"/>
      <c r="D10" s="90"/>
      <c r="E10" s="94"/>
      <c r="F10" s="96"/>
      <c r="G10" s="96"/>
    </row>
    <row r="11" spans="2:10" x14ac:dyDescent="0.25">
      <c r="B11" s="93"/>
      <c r="C11" s="89"/>
      <c r="D11" s="90"/>
      <c r="E11" s="94"/>
      <c r="F11" s="96"/>
      <c r="G11" s="96"/>
    </row>
    <row r="12" spans="2:10" x14ac:dyDescent="0.25">
      <c r="B12" s="88"/>
      <c r="C12" s="89"/>
      <c r="D12" s="90"/>
      <c r="E12" s="94"/>
      <c r="F12" s="96"/>
      <c r="G12" s="96"/>
    </row>
    <row r="13" spans="2:10" x14ac:dyDescent="0.25">
      <c r="B13" s="88"/>
      <c r="C13" s="89"/>
      <c r="D13" s="90"/>
      <c r="E13" s="94"/>
      <c r="F13" s="96"/>
      <c r="G13" s="96"/>
    </row>
    <row r="14" spans="2:10" x14ac:dyDescent="0.25">
      <c r="B14" s="88"/>
      <c r="C14" s="89"/>
      <c r="D14" s="90"/>
      <c r="E14" s="94"/>
      <c r="F14" s="96"/>
      <c r="G14" s="96"/>
    </row>
    <row r="15" spans="2:10" x14ac:dyDescent="0.25">
      <c r="B15" s="88"/>
      <c r="C15" s="89"/>
      <c r="D15" s="90"/>
      <c r="E15" s="94"/>
      <c r="F15" s="96"/>
      <c r="G15" s="96"/>
    </row>
    <row r="16" spans="2:10" x14ac:dyDescent="0.25">
      <c r="B16" s="88"/>
      <c r="C16" s="89"/>
      <c r="D16" s="90"/>
      <c r="E16" s="94"/>
      <c r="F16" s="96"/>
      <c r="G16" s="96"/>
    </row>
    <row r="17" spans="2:7" x14ac:dyDescent="0.25">
      <c r="B17" s="88"/>
      <c r="C17" s="89"/>
      <c r="D17" s="90"/>
      <c r="E17" s="94"/>
      <c r="F17" s="96"/>
      <c r="G17" s="96"/>
    </row>
    <row r="18" spans="2:7" x14ac:dyDescent="0.25">
      <c r="B18" s="88"/>
      <c r="C18" s="89"/>
      <c r="D18" s="90"/>
      <c r="E18" s="94"/>
      <c r="F18" s="96"/>
      <c r="G18" s="96"/>
    </row>
    <row r="19" spans="2:7" x14ac:dyDescent="0.25">
      <c r="B19" s="88"/>
      <c r="C19" s="89"/>
      <c r="D19" s="90"/>
      <c r="E19" s="94"/>
      <c r="F19" s="96"/>
      <c r="G19" s="96"/>
    </row>
    <row r="20" spans="2:7" x14ac:dyDescent="0.25">
      <c r="B20" s="88"/>
      <c r="C20" s="89"/>
      <c r="D20" s="90"/>
      <c r="E20" s="94"/>
      <c r="F20" s="96"/>
      <c r="G20" s="96"/>
    </row>
    <row r="21" spans="2:7" x14ac:dyDescent="0.25">
      <c r="B21" s="88"/>
      <c r="C21" s="89"/>
      <c r="D21" s="90"/>
      <c r="E21" s="94"/>
      <c r="F21" s="96"/>
      <c r="G21" s="96"/>
    </row>
    <row r="22" spans="2:7" x14ac:dyDescent="0.25">
      <c r="B22" s="88"/>
      <c r="C22" s="89"/>
      <c r="D22" s="90"/>
      <c r="E22" s="94"/>
      <c r="F22" s="96"/>
      <c r="G22" s="96"/>
    </row>
    <row r="23" spans="2:7" x14ac:dyDescent="0.25">
      <c r="B23" s="88"/>
      <c r="C23" s="89"/>
      <c r="D23" s="90"/>
      <c r="E23" s="94"/>
      <c r="F23" s="96"/>
      <c r="G23" s="96"/>
    </row>
    <row r="24" spans="2:7" x14ac:dyDescent="0.25">
      <c r="B24" s="88"/>
      <c r="C24" s="89"/>
      <c r="D24" s="90"/>
      <c r="E24" s="94"/>
      <c r="F24" s="96"/>
      <c r="G24" s="96"/>
    </row>
    <row r="25" spans="2:7" x14ac:dyDescent="0.25">
      <c r="B25" s="88"/>
      <c r="C25" s="89"/>
      <c r="D25" s="90"/>
      <c r="E25" s="94"/>
      <c r="F25" s="96"/>
      <c r="G25" s="96"/>
    </row>
    <row r="26" spans="2:7" x14ac:dyDescent="0.25">
      <c r="B26" s="88"/>
      <c r="C26" s="89"/>
      <c r="D26" s="90"/>
      <c r="E26" s="94"/>
      <c r="F26" s="96"/>
      <c r="G26" s="96"/>
    </row>
    <row r="27" spans="2:7" x14ac:dyDescent="0.25">
      <c r="B27" s="88"/>
      <c r="C27" s="89"/>
      <c r="D27" s="90"/>
      <c r="E27" s="94"/>
      <c r="F27" s="96"/>
      <c r="G27" s="96"/>
    </row>
    <row r="28" spans="2:7" x14ac:dyDescent="0.25">
      <c r="B28" s="88"/>
      <c r="C28" s="89"/>
      <c r="D28" s="90"/>
      <c r="E28" s="94"/>
      <c r="F28" s="96"/>
      <c r="G28" s="96"/>
    </row>
    <row r="29" spans="2:7" x14ac:dyDescent="0.25">
      <c r="B29" s="88"/>
      <c r="C29" s="89"/>
      <c r="D29" s="90"/>
      <c r="E29" s="94"/>
      <c r="F29" s="96"/>
      <c r="G29" s="96"/>
    </row>
    <row r="30" spans="2:7" x14ac:dyDescent="0.25">
      <c r="B30" s="88"/>
      <c r="C30" s="89"/>
      <c r="D30" s="90"/>
      <c r="E30" s="94"/>
      <c r="F30" s="96"/>
      <c r="G30" s="96"/>
    </row>
    <row r="31" spans="2:7" x14ac:dyDescent="0.25">
      <c r="B31" s="88"/>
      <c r="C31" s="89"/>
      <c r="D31" s="90"/>
      <c r="E31" s="94"/>
      <c r="F31" s="96"/>
      <c r="G31" s="96"/>
    </row>
    <row r="32" spans="2:7" x14ac:dyDescent="0.25">
      <c r="B32" s="88"/>
      <c r="C32" s="89"/>
      <c r="D32" s="90"/>
      <c r="E32" s="94"/>
      <c r="F32" s="96"/>
      <c r="G32" s="96"/>
    </row>
    <row r="33" spans="2:7" x14ac:dyDescent="0.25">
      <c r="B33" s="88"/>
      <c r="C33" s="89"/>
      <c r="D33" s="90"/>
      <c r="E33" s="94"/>
      <c r="F33" s="96"/>
      <c r="G33" s="96"/>
    </row>
    <row r="34" spans="2:7" x14ac:dyDescent="0.25">
      <c r="B34" s="88"/>
      <c r="C34" s="89"/>
      <c r="D34" s="90"/>
      <c r="E34" s="94"/>
      <c r="F34" s="96"/>
      <c r="G34" s="96"/>
    </row>
    <row r="35" spans="2:7" x14ac:dyDescent="0.25">
      <c r="B35" s="88"/>
      <c r="C35" s="89"/>
      <c r="D35" s="90"/>
      <c r="E35" s="94"/>
      <c r="F35" s="96"/>
      <c r="G35" s="96"/>
    </row>
    <row r="36" spans="2:7" x14ac:dyDescent="0.25">
      <c r="B36" s="88"/>
      <c r="C36" s="89"/>
      <c r="D36" s="90"/>
      <c r="E36" s="94"/>
      <c r="F36" s="96"/>
      <c r="G36" s="96"/>
    </row>
    <row r="37" spans="2:7" x14ac:dyDescent="0.25">
      <c r="B37" s="88"/>
      <c r="C37" s="89"/>
      <c r="D37" s="90"/>
      <c r="E37" s="94"/>
      <c r="F37" s="96"/>
      <c r="G37" s="96"/>
    </row>
    <row r="38" spans="2:7" x14ac:dyDescent="0.25">
      <c r="B38" s="88"/>
      <c r="C38" s="89"/>
      <c r="D38" s="90"/>
      <c r="E38" s="94"/>
      <c r="F38" s="96"/>
      <c r="G38" s="96"/>
    </row>
    <row r="39" spans="2:7" x14ac:dyDescent="0.25">
      <c r="B39" s="88"/>
      <c r="C39" s="89"/>
      <c r="D39" s="90"/>
      <c r="E39" s="94"/>
      <c r="F39" s="96"/>
      <c r="G39" s="96"/>
    </row>
    <row r="40" spans="2:7" x14ac:dyDescent="0.25">
      <c r="B40" s="88"/>
      <c r="C40" s="89"/>
      <c r="D40" s="90"/>
      <c r="E40" s="94"/>
      <c r="F40" s="96"/>
      <c r="G40" s="96"/>
    </row>
    <row r="41" spans="2:7" x14ac:dyDescent="0.25">
      <c r="B41" s="88"/>
      <c r="C41" s="89"/>
      <c r="D41" s="90"/>
      <c r="E41" s="94"/>
      <c r="F41" s="96"/>
      <c r="G41" s="96"/>
    </row>
    <row r="42" spans="2:7" x14ac:dyDescent="0.25">
      <c r="B42" s="88"/>
      <c r="C42" s="89"/>
      <c r="D42" s="90"/>
      <c r="E42" s="94"/>
      <c r="F42" s="96"/>
      <c r="G42" s="96"/>
    </row>
    <row r="43" spans="2:7" x14ac:dyDescent="0.25">
      <c r="B43" s="88"/>
      <c r="C43" s="89"/>
      <c r="D43" s="90"/>
      <c r="E43" s="94"/>
      <c r="F43" s="96"/>
      <c r="G43" s="96"/>
    </row>
    <row r="44" spans="2:7" x14ac:dyDescent="0.25">
      <c r="B44" s="88"/>
      <c r="C44" s="89"/>
      <c r="D44" s="90"/>
      <c r="E44" s="94"/>
      <c r="F44" s="96"/>
      <c r="G44" s="96"/>
    </row>
    <row r="45" spans="2:7" x14ac:dyDescent="0.25">
      <c r="B45" s="88"/>
      <c r="C45" s="89"/>
      <c r="D45" s="90"/>
      <c r="E45" s="94"/>
      <c r="F45" s="96"/>
      <c r="G45" s="96"/>
    </row>
    <row r="46" spans="2:7" x14ac:dyDescent="0.25">
      <c r="B46" s="88"/>
      <c r="C46" s="89"/>
      <c r="D46" s="90"/>
      <c r="E46" s="94"/>
      <c r="F46" s="96"/>
      <c r="G46" s="96"/>
    </row>
    <row r="47" spans="2:7" x14ac:dyDescent="0.25">
      <c r="B47" s="88"/>
      <c r="C47" s="89"/>
      <c r="D47" s="90"/>
      <c r="E47" s="94"/>
      <c r="F47" s="96"/>
      <c r="G47" s="96"/>
    </row>
    <row r="48" spans="2:7" x14ac:dyDescent="0.25">
      <c r="B48" s="88"/>
      <c r="C48" s="89"/>
      <c r="D48" s="90"/>
      <c r="E48" s="94"/>
      <c r="F48" s="96"/>
      <c r="G48" s="96"/>
    </row>
    <row r="49" spans="2:7" x14ac:dyDescent="0.25">
      <c r="B49" s="88"/>
      <c r="C49" s="89"/>
      <c r="D49" s="90"/>
      <c r="E49" s="94"/>
      <c r="F49" s="96"/>
      <c r="G49" s="96"/>
    </row>
    <row r="50" spans="2:7" x14ac:dyDescent="0.25">
      <c r="B50" s="88"/>
      <c r="C50" s="89"/>
      <c r="D50" s="90"/>
      <c r="E50" s="94"/>
      <c r="F50" s="96"/>
      <c r="G50" s="96"/>
    </row>
    <row r="51" spans="2:7" x14ac:dyDescent="0.25">
      <c r="B51" s="88"/>
      <c r="C51" s="89"/>
      <c r="D51" s="90"/>
      <c r="E51" s="94"/>
      <c r="F51" s="96"/>
      <c r="G51" s="96"/>
    </row>
    <row r="52" spans="2:7" x14ac:dyDescent="0.25">
      <c r="B52" s="88"/>
      <c r="C52" s="89"/>
      <c r="D52" s="90"/>
      <c r="E52" s="94"/>
      <c r="F52" s="96"/>
      <c r="G52" s="96"/>
    </row>
    <row r="53" spans="2:7" x14ac:dyDescent="0.25">
      <c r="B53" s="88"/>
      <c r="C53" s="89"/>
      <c r="D53" s="90"/>
      <c r="E53" s="94"/>
      <c r="F53" s="96"/>
      <c r="G53" s="96"/>
    </row>
    <row r="54" spans="2:7" x14ac:dyDescent="0.25">
      <c r="B54" s="88"/>
      <c r="C54" s="89"/>
      <c r="D54" s="90"/>
      <c r="E54" s="94"/>
      <c r="F54" s="96"/>
      <c r="G54" s="96"/>
    </row>
    <row r="55" spans="2:7" x14ac:dyDescent="0.25">
      <c r="B55" s="88"/>
      <c r="C55" s="89"/>
      <c r="D55" s="90"/>
      <c r="E55" s="94"/>
      <c r="F55" s="96"/>
      <c r="G55" s="96"/>
    </row>
    <row r="56" spans="2:7" x14ac:dyDescent="0.25">
      <c r="B56" s="88"/>
      <c r="C56" s="89"/>
      <c r="D56" s="90"/>
      <c r="E56" s="94"/>
      <c r="F56" s="96"/>
      <c r="G56" s="96"/>
    </row>
    <row r="57" spans="2:7" x14ac:dyDescent="0.25">
      <c r="B57" s="88"/>
      <c r="C57" s="89"/>
      <c r="D57" s="90"/>
      <c r="E57" s="94"/>
      <c r="F57" s="96"/>
      <c r="G57" s="96"/>
    </row>
    <row r="58" spans="2:7" x14ac:dyDescent="0.25">
      <c r="B58" s="88"/>
      <c r="C58" s="89"/>
      <c r="D58" s="90"/>
      <c r="E58" s="94"/>
      <c r="F58" s="96"/>
      <c r="G58" s="96"/>
    </row>
    <row r="59" spans="2:7" x14ac:dyDescent="0.25">
      <c r="B59" s="88"/>
      <c r="C59" s="89"/>
      <c r="D59" s="90"/>
      <c r="E59" s="94"/>
      <c r="F59" s="96"/>
      <c r="G59" s="96"/>
    </row>
    <row r="60" spans="2:7" x14ac:dyDescent="0.25">
      <c r="B60" s="88"/>
      <c r="C60" s="89"/>
      <c r="D60" s="90"/>
      <c r="E60" s="94"/>
      <c r="F60" s="96"/>
      <c r="G60" s="96"/>
    </row>
    <row r="61" spans="2:7" x14ac:dyDescent="0.25">
      <c r="B61" s="88"/>
      <c r="C61" s="89"/>
      <c r="D61" s="90"/>
      <c r="E61" s="94"/>
      <c r="F61" s="96"/>
      <c r="G61" s="96"/>
    </row>
    <row r="62" spans="2:7" x14ac:dyDescent="0.25">
      <c r="B62" s="88"/>
      <c r="C62" s="89"/>
      <c r="D62" s="90"/>
      <c r="E62" s="94"/>
      <c r="F62" s="96"/>
      <c r="G62" s="96"/>
    </row>
    <row r="63" spans="2:7" x14ac:dyDescent="0.25">
      <c r="B63" s="88"/>
      <c r="C63" s="89"/>
      <c r="D63" s="90"/>
      <c r="E63" s="94"/>
      <c r="F63" s="96"/>
      <c r="G63" s="96"/>
    </row>
    <row r="64" spans="2:7" x14ac:dyDescent="0.25">
      <c r="B64" s="88"/>
      <c r="C64" s="89"/>
      <c r="D64" s="90"/>
      <c r="E64" s="94"/>
      <c r="F64" s="96"/>
      <c r="G64" s="96"/>
    </row>
    <row r="65" spans="2:7" x14ac:dyDescent="0.25">
      <c r="B65" s="88"/>
      <c r="C65" s="89"/>
      <c r="D65" s="90"/>
      <c r="E65" s="94"/>
      <c r="F65" s="96"/>
      <c r="G65" s="96"/>
    </row>
    <row r="66" spans="2:7" x14ac:dyDescent="0.25">
      <c r="B66" s="88"/>
      <c r="C66" s="89"/>
      <c r="D66" s="90"/>
      <c r="E66" s="94"/>
      <c r="F66" s="96"/>
      <c r="G66" s="96"/>
    </row>
    <row r="67" spans="2:7" x14ac:dyDescent="0.25">
      <c r="B67" s="88"/>
      <c r="C67" s="89"/>
      <c r="D67" s="90"/>
      <c r="E67" s="94"/>
      <c r="F67" s="96"/>
      <c r="G67" s="96"/>
    </row>
    <row r="68" spans="2:7" x14ac:dyDescent="0.25">
      <c r="B68" s="88"/>
      <c r="C68" s="89"/>
      <c r="D68" s="90"/>
      <c r="E68" s="94"/>
      <c r="F68" s="96"/>
      <c r="G68" s="96"/>
    </row>
    <row r="69" spans="2:7" x14ac:dyDescent="0.25">
      <c r="B69" s="88"/>
      <c r="C69" s="89"/>
      <c r="D69" s="90"/>
      <c r="E69" s="94"/>
      <c r="F69" s="96"/>
      <c r="G69" s="96"/>
    </row>
    <row r="70" spans="2:7" x14ac:dyDescent="0.25">
      <c r="B70" s="88"/>
      <c r="C70" s="89"/>
      <c r="D70" s="90"/>
      <c r="E70" s="94"/>
      <c r="F70" s="96"/>
      <c r="G70" s="96"/>
    </row>
    <row r="71" spans="2:7" x14ac:dyDescent="0.25">
      <c r="B71" s="88"/>
      <c r="C71" s="89"/>
      <c r="D71" s="90"/>
      <c r="E71" s="94"/>
      <c r="F71" s="96"/>
      <c r="G71" s="96"/>
    </row>
    <row r="72" spans="2:7" x14ac:dyDescent="0.25">
      <c r="B72" s="88"/>
      <c r="C72" s="89"/>
      <c r="D72" s="90"/>
      <c r="E72" s="94"/>
      <c r="F72" s="96"/>
      <c r="G72" s="96"/>
    </row>
    <row r="73" spans="2:7" x14ac:dyDescent="0.25">
      <c r="B73" s="88"/>
      <c r="C73" s="89"/>
      <c r="D73" s="90"/>
      <c r="E73" s="94"/>
      <c r="F73" s="96"/>
      <c r="G73" s="96"/>
    </row>
    <row r="74" spans="2:7" x14ac:dyDescent="0.25">
      <c r="B74" s="88"/>
      <c r="C74" s="89"/>
      <c r="D74" s="90"/>
      <c r="E74" s="94"/>
      <c r="F74" s="96"/>
      <c r="G74" s="96"/>
    </row>
    <row r="75" spans="2:7" x14ac:dyDescent="0.25">
      <c r="B75" s="88"/>
      <c r="C75" s="89"/>
      <c r="D75" s="90"/>
      <c r="E75" s="94"/>
      <c r="F75" s="96"/>
      <c r="G75" s="96"/>
    </row>
    <row r="76" spans="2:7" x14ac:dyDescent="0.25">
      <c r="B76" s="88"/>
      <c r="C76" s="89"/>
      <c r="D76" s="90"/>
      <c r="E76" s="94"/>
      <c r="F76" s="96"/>
      <c r="G76" s="96"/>
    </row>
    <row r="77" spans="2:7" x14ac:dyDescent="0.25">
      <c r="B77" s="88"/>
      <c r="C77" s="89"/>
      <c r="D77" s="90"/>
      <c r="E77" s="94"/>
      <c r="F77" s="96"/>
      <c r="G77" s="96"/>
    </row>
    <row r="78" spans="2:7" x14ac:dyDescent="0.25">
      <c r="B78" s="88"/>
      <c r="C78" s="89"/>
      <c r="D78" s="90"/>
      <c r="E78" s="94"/>
      <c r="F78" s="96"/>
      <c r="G78" s="96"/>
    </row>
    <row r="79" spans="2:7" x14ac:dyDescent="0.25">
      <c r="B79" s="88"/>
      <c r="C79" s="89"/>
      <c r="D79" s="90"/>
      <c r="E79" s="94"/>
      <c r="F79" s="96"/>
      <c r="G79" s="96"/>
    </row>
    <row r="80" spans="2:7" x14ac:dyDescent="0.25">
      <c r="B80" s="88"/>
      <c r="C80" s="89"/>
      <c r="D80" s="90"/>
      <c r="E80" s="94"/>
      <c r="F80" s="96"/>
      <c r="G80" s="96"/>
    </row>
    <row r="81" spans="2:7" x14ac:dyDescent="0.25">
      <c r="B81" s="88"/>
      <c r="C81" s="89"/>
      <c r="D81" s="90"/>
      <c r="E81" s="94"/>
      <c r="F81" s="96"/>
      <c r="G81" s="96"/>
    </row>
    <row r="82" spans="2:7" x14ac:dyDescent="0.25">
      <c r="B82" s="88"/>
      <c r="C82" s="89"/>
      <c r="D82" s="90"/>
      <c r="E82" s="94"/>
      <c r="F82" s="96"/>
      <c r="G82" s="96"/>
    </row>
    <row r="83" spans="2:7" x14ac:dyDescent="0.25">
      <c r="B83" s="88"/>
      <c r="C83" s="89"/>
      <c r="D83" s="90"/>
      <c r="E83" s="94"/>
      <c r="F83" s="96"/>
      <c r="G83" s="96"/>
    </row>
    <row r="84" spans="2:7" x14ac:dyDescent="0.25">
      <c r="B84" s="88"/>
      <c r="C84" s="89"/>
      <c r="D84" s="90"/>
      <c r="E84" s="94"/>
      <c r="F84" s="96"/>
      <c r="G84" s="96"/>
    </row>
    <row r="85" spans="2:7" x14ac:dyDescent="0.25">
      <c r="B85" s="88"/>
      <c r="C85" s="89"/>
      <c r="D85" s="90"/>
      <c r="E85" s="94"/>
      <c r="F85" s="96"/>
      <c r="G85" s="96"/>
    </row>
    <row r="86" spans="2:7" x14ac:dyDescent="0.25">
      <c r="B86" s="88"/>
      <c r="C86" s="89"/>
      <c r="D86" s="90"/>
      <c r="E86" s="94"/>
      <c r="F86" s="96"/>
      <c r="G86" s="96"/>
    </row>
    <row r="87" spans="2:7" x14ac:dyDescent="0.25">
      <c r="B87" s="88"/>
      <c r="C87" s="89"/>
      <c r="D87" s="90"/>
      <c r="E87" s="94"/>
      <c r="F87" s="96"/>
      <c r="G87" s="96"/>
    </row>
    <row r="88" spans="2:7" x14ac:dyDescent="0.25">
      <c r="B88" s="88"/>
      <c r="C88" s="89"/>
      <c r="D88" s="90"/>
      <c r="E88" s="94"/>
      <c r="F88" s="96"/>
      <c r="G88" s="96"/>
    </row>
    <row r="89" spans="2:7" x14ac:dyDescent="0.25">
      <c r="B89" s="88"/>
      <c r="C89" s="89"/>
      <c r="D89" s="90"/>
      <c r="E89" s="94"/>
      <c r="F89" s="96"/>
      <c r="G89" s="96"/>
    </row>
    <row r="90" spans="2:7" x14ac:dyDescent="0.25">
      <c r="B90" s="88"/>
      <c r="C90" s="89"/>
      <c r="D90" s="90"/>
      <c r="E90" s="94"/>
      <c r="F90" s="96"/>
      <c r="G90" s="96"/>
    </row>
    <row r="91" spans="2:7" x14ac:dyDescent="0.25">
      <c r="B91" s="88"/>
      <c r="C91" s="89"/>
      <c r="D91" s="90"/>
      <c r="E91" s="94"/>
      <c r="F91" s="96"/>
      <c r="G91" s="96"/>
    </row>
    <row r="92" spans="2:7" x14ac:dyDescent="0.25">
      <c r="B92" s="88"/>
      <c r="C92" s="89"/>
      <c r="D92" s="90"/>
      <c r="E92" s="94"/>
      <c r="F92" s="96"/>
      <c r="G92" s="96"/>
    </row>
    <row r="93" spans="2:7" x14ac:dyDescent="0.25">
      <c r="B93" s="88"/>
      <c r="C93" s="89"/>
      <c r="D93" s="90"/>
      <c r="E93" s="94"/>
      <c r="F93" s="96"/>
      <c r="G93" s="96"/>
    </row>
    <row r="94" spans="2:7" x14ac:dyDescent="0.25">
      <c r="B94" s="88"/>
      <c r="C94" s="89"/>
      <c r="D94" s="90"/>
      <c r="E94" s="94"/>
      <c r="F94" s="96"/>
      <c r="G94" s="96"/>
    </row>
    <row r="95" spans="2:7" x14ac:dyDescent="0.25">
      <c r="B95" s="88"/>
      <c r="C95" s="89"/>
      <c r="D95" s="90"/>
      <c r="E95" s="94"/>
      <c r="F95" s="96"/>
      <c r="G95" s="96"/>
    </row>
    <row r="96" spans="2:7" x14ac:dyDescent="0.25">
      <c r="B96" s="88"/>
      <c r="C96" s="89"/>
      <c r="D96" s="90"/>
      <c r="E96" s="94"/>
      <c r="F96" s="96"/>
      <c r="G96" s="96"/>
    </row>
    <row r="97" spans="2:7" x14ac:dyDescent="0.25">
      <c r="B97" s="88"/>
      <c r="C97" s="89"/>
      <c r="D97" s="90"/>
      <c r="E97" s="94"/>
      <c r="F97" s="96"/>
      <c r="G97" s="96"/>
    </row>
    <row r="98" spans="2:7" x14ac:dyDescent="0.25">
      <c r="B98" s="88"/>
      <c r="C98" s="89"/>
      <c r="D98" s="90"/>
      <c r="E98" s="94"/>
      <c r="F98" s="96"/>
      <c r="G98" s="96"/>
    </row>
    <row r="99" spans="2:7" x14ac:dyDescent="0.25">
      <c r="B99" s="88"/>
      <c r="C99" s="89"/>
      <c r="D99" s="90"/>
      <c r="E99" s="94"/>
      <c r="F99" s="96"/>
      <c r="G99" s="96"/>
    </row>
    <row r="100" spans="2:7" x14ac:dyDescent="0.25">
      <c r="B100" s="88"/>
      <c r="C100" s="89"/>
      <c r="D100" s="90"/>
      <c r="E100" s="94"/>
      <c r="F100" s="96"/>
      <c r="G100" s="96"/>
    </row>
    <row r="101" spans="2:7" x14ac:dyDescent="0.25">
      <c r="B101" s="88"/>
      <c r="C101" s="89"/>
      <c r="D101" s="90"/>
      <c r="E101" s="94"/>
      <c r="F101" s="96"/>
      <c r="G101" s="96"/>
    </row>
    <row r="102" spans="2:7" x14ac:dyDescent="0.25">
      <c r="B102" s="88"/>
      <c r="C102" s="89"/>
      <c r="D102" s="90"/>
      <c r="E102" s="94"/>
      <c r="F102" s="96"/>
      <c r="G102" s="96"/>
    </row>
    <row r="103" spans="2:7" x14ac:dyDescent="0.25">
      <c r="B103" s="88"/>
      <c r="C103" s="89"/>
      <c r="D103" s="90"/>
      <c r="E103" s="94"/>
      <c r="F103" s="96"/>
      <c r="G103" s="96"/>
    </row>
    <row r="104" spans="2:7" x14ac:dyDescent="0.25">
      <c r="B104" s="88"/>
      <c r="C104" s="89"/>
      <c r="D104" s="90"/>
      <c r="E104" s="94"/>
      <c r="F104" s="96"/>
      <c r="G104" s="96"/>
    </row>
    <row r="105" spans="2:7" x14ac:dyDescent="0.25">
      <c r="B105" s="88"/>
      <c r="C105" s="89"/>
      <c r="D105" s="90"/>
      <c r="E105" s="94"/>
      <c r="F105" s="96"/>
      <c r="G105" s="96"/>
    </row>
    <row r="106" spans="2:7" x14ac:dyDescent="0.25">
      <c r="B106" s="88"/>
      <c r="C106" s="89"/>
      <c r="D106" s="90"/>
      <c r="E106" s="94"/>
      <c r="F106" s="96"/>
      <c r="G106" s="96"/>
    </row>
    <row r="107" spans="2:7" x14ac:dyDescent="0.25">
      <c r="B107" s="88"/>
      <c r="C107" s="89"/>
      <c r="D107" s="90"/>
      <c r="E107" s="94"/>
      <c r="F107" s="96"/>
      <c r="G107" s="96"/>
    </row>
    <row r="108" spans="2:7" x14ac:dyDescent="0.25">
      <c r="B108" s="88"/>
      <c r="C108" s="89"/>
      <c r="D108" s="90"/>
      <c r="E108" s="94"/>
      <c r="F108" s="96"/>
      <c r="G108" s="96"/>
    </row>
    <row r="109" spans="2:7" x14ac:dyDescent="0.25">
      <c r="B109" s="88"/>
      <c r="C109" s="89"/>
      <c r="D109" s="90"/>
      <c r="E109" s="94"/>
      <c r="F109" s="96"/>
      <c r="G109" s="96"/>
    </row>
    <row r="110" spans="2:7" x14ac:dyDescent="0.25">
      <c r="B110" s="88"/>
      <c r="C110" s="89"/>
      <c r="D110" s="90"/>
      <c r="E110" s="94"/>
      <c r="F110" s="96"/>
      <c r="G110" s="96"/>
    </row>
    <row r="111" spans="2:7" x14ac:dyDescent="0.25">
      <c r="B111" s="88"/>
      <c r="C111" s="89"/>
      <c r="D111" s="90"/>
      <c r="E111" s="94"/>
      <c r="F111" s="96"/>
      <c r="G111" s="96"/>
    </row>
    <row r="112" spans="2:7" x14ac:dyDescent="0.25">
      <c r="B112" s="88"/>
      <c r="C112" s="89"/>
      <c r="D112" s="90"/>
      <c r="E112" s="94"/>
      <c r="F112" s="96"/>
      <c r="G112" s="96"/>
    </row>
    <row r="113" spans="2:7" x14ac:dyDescent="0.25">
      <c r="B113" s="88"/>
      <c r="C113" s="89"/>
      <c r="D113" s="90"/>
      <c r="E113" s="94"/>
      <c r="F113" s="96"/>
      <c r="G113" s="96"/>
    </row>
    <row r="114" spans="2:7" x14ac:dyDescent="0.25">
      <c r="B114" s="88"/>
      <c r="C114" s="89"/>
      <c r="D114" s="90"/>
      <c r="E114" s="94"/>
      <c r="F114" s="96"/>
      <c r="G114" s="96"/>
    </row>
    <row r="115" spans="2:7" x14ac:dyDescent="0.25">
      <c r="B115" s="88"/>
      <c r="C115" s="89"/>
      <c r="D115" s="90"/>
      <c r="E115" s="94"/>
      <c r="F115" s="96"/>
      <c r="G115" s="96"/>
    </row>
    <row r="116" spans="2:7" x14ac:dyDescent="0.25">
      <c r="B116" s="88"/>
      <c r="C116" s="89"/>
      <c r="D116" s="90"/>
      <c r="E116" s="94"/>
      <c r="F116" s="96"/>
      <c r="G116" s="96"/>
    </row>
    <row r="117" spans="2:7" x14ac:dyDescent="0.25">
      <c r="B117" s="88"/>
      <c r="C117" s="89"/>
      <c r="D117" s="90"/>
      <c r="E117" s="94"/>
      <c r="F117" s="96"/>
      <c r="G117" s="96"/>
    </row>
    <row r="118" spans="2:7" x14ac:dyDescent="0.25">
      <c r="B118" s="88"/>
      <c r="C118" s="89"/>
      <c r="D118" s="90"/>
      <c r="E118" s="94"/>
      <c r="F118" s="96"/>
      <c r="G118" s="96"/>
    </row>
    <row r="119" spans="2:7" x14ac:dyDescent="0.25">
      <c r="B119" s="88"/>
      <c r="C119" s="89"/>
      <c r="D119" s="90"/>
      <c r="E119" s="94"/>
      <c r="F119" s="96"/>
      <c r="G119" s="96"/>
    </row>
    <row r="120" spans="2:7" x14ac:dyDescent="0.25">
      <c r="B120" s="88"/>
      <c r="C120" s="89"/>
      <c r="D120" s="90"/>
      <c r="E120" s="94"/>
      <c r="F120" s="96"/>
      <c r="G120" s="96"/>
    </row>
    <row r="121" spans="2:7" x14ac:dyDescent="0.25">
      <c r="B121" s="88"/>
      <c r="C121" s="89"/>
      <c r="D121" s="90"/>
      <c r="E121" s="94"/>
      <c r="F121" s="96"/>
      <c r="G121" s="96"/>
    </row>
    <row r="122" spans="2:7" x14ac:dyDescent="0.25">
      <c r="B122" s="88"/>
      <c r="C122" s="89"/>
      <c r="D122" s="90"/>
      <c r="E122" s="94"/>
      <c r="F122" s="96"/>
      <c r="G122" s="96"/>
    </row>
    <row r="123" spans="2:7" x14ac:dyDescent="0.25">
      <c r="B123" s="88"/>
      <c r="C123" s="89"/>
      <c r="D123" s="90"/>
      <c r="E123" s="94"/>
      <c r="F123" s="96"/>
      <c r="G123" s="96"/>
    </row>
    <row r="124" spans="2:7" x14ac:dyDescent="0.25">
      <c r="B124" s="88"/>
      <c r="C124" s="89"/>
      <c r="D124" s="90"/>
      <c r="E124" s="94"/>
      <c r="F124" s="96"/>
      <c r="G124" s="96"/>
    </row>
    <row r="125" spans="2:7" x14ac:dyDescent="0.25">
      <c r="B125" s="88"/>
      <c r="C125" s="89"/>
      <c r="D125" s="90"/>
      <c r="E125" s="94"/>
      <c r="F125" s="96"/>
      <c r="G125" s="96"/>
    </row>
    <row r="126" spans="2:7" x14ac:dyDescent="0.25">
      <c r="B126" s="88"/>
      <c r="C126" s="89"/>
      <c r="D126" s="90"/>
      <c r="E126" s="94"/>
      <c r="F126" s="96"/>
      <c r="G126" s="96"/>
    </row>
    <row r="127" spans="2:7" x14ac:dyDescent="0.25">
      <c r="B127" s="88"/>
      <c r="C127" s="89"/>
      <c r="D127" s="90"/>
      <c r="E127" s="94"/>
      <c r="F127" s="96"/>
      <c r="G127" s="96"/>
    </row>
    <row r="128" spans="2:7" x14ac:dyDescent="0.25">
      <c r="B128" s="88"/>
      <c r="C128" s="89"/>
      <c r="D128" s="90"/>
      <c r="E128" s="94"/>
      <c r="F128" s="96"/>
      <c r="G128" s="96"/>
    </row>
    <row r="129" spans="2:7" x14ac:dyDescent="0.25">
      <c r="B129" s="88"/>
      <c r="C129" s="89"/>
      <c r="D129" s="90"/>
      <c r="E129" s="94"/>
      <c r="F129" s="96"/>
      <c r="G129" s="96"/>
    </row>
    <row r="130" spans="2:7" x14ac:dyDescent="0.25">
      <c r="B130" s="88"/>
      <c r="C130" s="89"/>
      <c r="D130" s="90"/>
      <c r="E130" s="94"/>
      <c r="F130" s="96"/>
      <c r="G130" s="96"/>
    </row>
    <row r="131" spans="2:7" x14ac:dyDescent="0.25">
      <c r="B131" s="88"/>
      <c r="C131" s="89"/>
      <c r="D131" s="90"/>
      <c r="E131" s="94"/>
      <c r="F131" s="96"/>
      <c r="G131" s="96"/>
    </row>
    <row r="132" spans="2:7" x14ac:dyDescent="0.25">
      <c r="B132" s="88"/>
      <c r="C132" s="89"/>
      <c r="D132" s="90"/>
      <c r="E132" s="94"/>
      <c r="F132" s="96"/>
      <c r="G132" s="96"/>
    </row>
    <row r="133" spans="2:7" x14ac:dyDescent="0.25">
      <c r="B133" s="88"/>
      <c r="C133" s="89"/>
      <c r="D133" s="90"/>
      <c r="E133" s="94"/>
      <c r="F133" s="96"/>
      <c r="G133" s="96"/>
    </row>
    <row r="134" spans="2:7" x14ac:dyDescent="0.25">
      <c r="B134" s="88"/>
      <c r="C134" s="89"/>
      <c r="D134" s="90"/>
      <c r="E134" s="94"/>
      <c r="F134" s="96"/>
      <c r="G134" s="96"/>
    </row>
    <row r="135" spans="2:7" x14ac:dyDescent="0.25">
      <c r="B135" s="88"/>
      <c r="C135" s="89"/>
      <c r="D135" s="90"/>
      <c r="E135" s="94"/>
      <c r="F135" s="96"/>
      <c r="G135" s="96"/>
    </row>
    <row r="136" spans="2:7" x14ac:dyDescent="0.25">
      <c r="B136" s="88"/>
      <c r="C136" s="89"/>
      <c r="D136" s="90"/>
      <c r="E136" s="94"/>
      <c r="F136" s="96"/>
      <c r="G136" s="96"/>
    </row>
    <row r="137" spans="2:7" x14ac:dyDescent="0.25">
      <c r="B137" s="88"/>
      <c r="C137" s="89"/>
      <c r="D137" s="90"/>
      <c r="E137" s="94"/>
      <c r="F137" s="96"/>
      <c r="G137" s="96"/>
    </row>
    <row r="138" spans="2:7" x14ac:dyDescent="0.25">
      <c r="B138" s="88"/>
      <c r="C138" s="89"/>
      <c r="D138" s="90"/>
      <c r="E138" s="94"/>
      <c r="F138" s="96"/>
      <c r="G138" s="96"/>
    </row>
    <row r="139" spans="2:7" x14ac:dyDescent="0.25">
      <c r="B139" s="88"/>
      <c r="C139" s="89"/>
      <c r="D139" s="90"/>
      <c r="E139" s="94"/>
      <c r="F139" s="96"/>
      <c r="G139" s="96"/>
    </row>
    <row r="140" spans="2:7" x14ac:dyDescent="0.25">
      <c r="B140" s="88"/>
      <c r="C140" s="89"/>
      <c r="D140" s="90"/>
      <c r="E140" s="94"/>
      <c r="F140" s="96"/>
      <c r="G140" s="96"/>
    </row>
    <row r="141" spans="2:7" x14ac:dyDescent="0.25">
      <c r="B141" s="88"/>
      <c r="C141" s="89"/>
      <c r="D141" s="90"/>
      <c r="E141" s="94"/>
      <c r="F141" s="96"/>
      <c r="G141" s="96"/>
    </row>
    <row r="142" spans="2:7" x14ac:dyDescent="0.25">
      <c r="B142" s="88"/>
      <c r="C142" s="89"/>
      <c r="D142" s="90"/>
      <c r="E142" s="94"/>
      <c r="F142" s="96"/>
      <c r="G142" s="96"/>
    </row>
    <row r="143" spans="2:7" x14ac:dyDescent="0.25">
      <c r="B143" s="88"/>
      <c r="C143" s="89"/>
      <c r="D143" s="90"/>
      <c r="E143" s="94"/>
      <c r="F143" s="96"/>
      <c r="G143" s="96"/>
    </row>
    <row r="144" spans="2:7" x14ac:dyDescent="0.25">
      <c r="B144" s="88"/>
      <c r="C144" s="89"/>
      <c r="D144" s="90"/>
      <c r="E144" s="94"/>
      <c r="F144" s="96"/>
      <c r="G144" s="96"/>
    </row>
    <row r="145" spans="2:7" x14ac:dyDescent="0.25">
      <c r="B145" s="88"/>
      <c r="C145" s="89"/>
      <c r="D145" s="90"/>
      <c r="E145" s="94"/>
      <c r="F145" s="96"/>
      <c r="G145" s="96"/>
    </row>
    <row r="146" spans="2:7" x14ac:dyDescent="0.25">
      <c r="B146" s="88"/>
      <c r="C146" s="89"/>
      <c r="D146" s="90"/>
      <c r="E146" s="94"/>
      <c r="F146" s="96"/>
      <c r="G146" s="96"/>
    </row>
    <row r="147" spans="2:7" x14ac:dyDescent="0.25">
      <c r="B147" s="88"/>
      <c r="C147" s="89"/>
      <c r="D147" s="90"/>
      <c r="E147" s="94"/>
      <c r="F147" s="96"/>
      <c r="G147" s="96"/>
    </row>
    <row r="148" spans="2:7" x14ac:dyDescent="0.25">
      <c r="B148" s="88"/>
      <c r="C148" s="89"/>
      <c r="D148" s="90"/>
      <c r="E148" s="94"/>
      <c r="F148" s="96"/>
      <c r="G148" s="96"/>
    </row>
    <row r="149" spans="2:7" x14ac:dyDescent="0.25">
      <c r="B149" s="88"/>
      <c r="C149" s="89"/>
      <c r="D149" s="90"/>
      <c r="E149" s="94"/>
      <c r="F149" s="96"/>
      <c r="G149" s="96"/>
    </row>
    <row r="150" spans="2:7" x14ac:dyDescent="0.25">
      <c r="B150" s="88"/>
      <c r="C150" s="89"/>
      <c r="D150" s="90"/>
      <c r="E150" s="94"/>
      <c r="F150" s="96"/>
      <c r="G150" s="96"/>
    </row>
    <row r="151" spans="2:7" x14ac:dyDescent="0.25">
      <c r="B151" s="88"/>
      <c r="C151" s="89"/>
      <c r="D151" s="90"/>
      <c r="E151" s="94"/>
      <c r="F151" s="96"/>
      <c r="G151" s="96"/>
    </row>
    <row r="152" spans="2:7" x14ac:dyDescent="0.25">
      <c r="B152" s="88"/>
      <c r="C152" s="89"/>
      <c r="D152" s="90"/>
      <c r="E152" s="94"/>
      <c r="F152" s="96"/>
      <c r="G152" s="96"/>
    </row>
    <row r="153" spans="2:7" x14ac:dyDescent="0.25">
      <c r="B153" s="88"/>
      <c r="C153" s="89"/>
      <c r="D153" s="90"/>
      <c r="E153" s="94"/>
      <c r="F153" s="96"/>
      <c r="G153" s="96"/>
    </row>
    <row r="154" spans="2:7" x14ac:dyDescent="0.25">
      <c r="B154" s="88"/>
      <c r="C154" s="89"/>
      <c r="D154" s="90"/>
      <c r="E154" s="94"/>
      <c r="F154" s="96"/>
      <c r="G154" s="96"/>
    </row>
    <row r="155" spans="2:7" x14ac:dyDescent="0.25">
      <c r="B155" s="88"/>
      <c r="C155" s="89"/>
      <c r="D155" s="90"/>
      <c r="E155" s="94"/>
      <c r="F155" s="96"/>
      <c r="G155" s="96"/>
    </row>
    <row r="156" spans="2:7" x14ac:dyDescent="0.25">
      <c r="B156" s="88"/>
      <c r="C156" s="89"/>
      <c r="D156" s="90"/>
      <c r="E156" s="94"/>
      <c r="F156" s="96"/>
      <c r="G156" s="96"/>
    </row>
    <row r="157" spans="2:7" x14ac:dyDescent="0.25">
      <c r="B157" s="88"/>
      <c r="C157" s="89"/>
      <c r="D157" s="90"/>
      <c r="E157" s="94"/>
      <c r="F157" s="96"/>
      <c r="G157" s="96"/>
    </row>
    <row r="158" spans="2:7" x14ac:dyDescent="0.25">
      <c r="B158" s="88"/>
      <c r="C158" s="89"/>
      <c r="D158" s="90"/>
      <c r="E158" s="94"/>
      <c r="F158" s="96"/>
      <c r="G158" s="96"/>
    </row>
    <row r="159" spans="2:7" x14ac:dyDescent="0.25">
      <c r="B159" s="88"/>
      <c r="C159" s="89"/>
      <c r="D159" s="90"/>
      <c r="E159" s="94"/>
      <c r="F159" s="96"/>
      <c r="G159" s="96"/>
    </row>
    <row r="160" spans="2:7" x14ac:dyDescent="0.25">
      <c r="B160" s="88"/>
      <c r="C160" s="89"/>
      <c r="D160" s="90"/>
      <c r="E160" s="94"/>
      <c r="F160" s="96"/>
      <c r="G160" s="96"/>
    </row>
    <row r="161" spans="2:7" x14ac:dyDescent="0.25">
      <c r="B161" s="88"/>
      <c r="C161" s="89"/>
      <c r="D161" s="90"/>
      <c r="E161" s="94"/>
      <c r="F161" s="96"/>
      <c r="G161" s="96"/>
    </row>
    <row r="162" spans="2:7" x14ac:dyDescent="0.25">
      <c r="B162" s="88"/>
      <c r="C162" s="89"/>
      <c r="D162" s="90"/>
      <c r="E162" s="94"/>
      <c r="F162" s="96"/>
      <c r="G162" s="96"/>
    </row>
    <row r="163" spans="2:7" x14ac:dyDescent="0.25">
      <c r="B163" s="88"/>
      <c r="C163" s="89"/>
      <c r="D163" s="90"/>
      <c r="E163" s="94"/>
      <c r="F163" s="96"/>
      <c r="G163" s="96"/>
    </row>
    <row r="164" spans="2:7" x14ac:dyDescent="0.25">
      <c r="B164" s="88"/>
      <c r="C164" s="89"/>
      <c r="D164" s="90"/>
      <c r="E164" s="94"/>
      <c r="F164" s="96"/>
      <c r="G164" s="96"/>
    </row>
    <row r="165" spans="2:7" x14ac:dyDescent="0.25">
      <c r="B165" s="88"/>
      <c r="C165" s="89"/>
      <c r="D165" s="90"/>
      <c r="E165" s="94"/>
    </row>
    <row r="166" spans="2:7" x14ac:dyDescent="0.25">
      <c r="B166" s="88"/>
      <c r="C166" s="89"/>
      <c r="D166" s="90"/>
      <c r="E166" s="94"/>
    </row>
    <row r="167" spans="2:7" x14ac:dyDescent="0.25">
      <c r="B167" s="88"/>
      <c r="C167" s="89"/>
      <c r="D167" s="90"/>
      <c r="E167" s="94"/>
    </row>
    <row r="168" spans="2:7" x14ac:dyDescent="0.25">
      <c r="B168" s="88"/>
      <c r="C168" s="89"/>
      <c r="D168" s="90"/>
      <c r="E168" s="94"/>
    </row>
    <row r="169" spans="2:7" x14ac:dyDescent="0.25">
      <c r="B169" s="88"/>
      <c r="C169" s="89"/>
      <c r="D169" s="90"/>
      <c r="E169" s="94"/>
    </row>
    <row r="170" spans="2:7" x14ac:dyDescent="0.25">
      <c r="B170" s="88"/>
      <c r="C170" s="89"/>
      <c r="D170" s="90"/>
      <c r="E170" s="94"/>
    </row>
    <row r="171" spans="2:7" x14ac:dyDescent="0.25">
      <c r="B171" s="88"/>
      <c r="C171" s="89"/>
      <c r="D171" s="90"/>
      <c r="E171" s="94"/>
    </row>
    <row r="172" spans="2:7" x14ac:dyDescent="0.25">
      <c r="B172" s="88"/>
      <c r="C172" s="89"/>
      <c r="D172" s="90"/>
      <c r="E172" s="94"/>
    </row>
    <row r="173" spans="2:7" x14ac:dyDescent="0.25">
      <c r="B173" s="88"/>
      <c r="C173" s="89"/>
      <c r="D173" s="90"/>
      <c r="E173" s="94"/>
    </row>
    <row r="174" spans="2:7" x14ac:dyDescent="0.25">
      <c r="B174" s="88"/>
      <c r="C174" s="89"/>
      <c r="D174" s="90"/>
      <c r="E174" s="94"/>
    </row>
    <row r="175" spans="2:7" x14ac:dyDescent="0.25">
      <c r="B175" s="88"/>
      <c r="C175" s="89"/>
      <c r="D175" s="90"/>
      <c r="E175" s="94"/>
    </row>
    <row r="176" spans="2:7" x14ac:dyDescent="0.25">
      <c r="B176" s="88"/>
      <c r="C176" s="89"/>
      <c r="D176" s="90"/>
      <c r="E176" s="94"/>
    </row>
    <row r="177" spans="2:5" x14ac:dyDescent="0.25">
      <c r="B177" s="88"/>
      <c r="C177" s="89"/>
      <c r="D177" s="90"/>
      <c r="E177" s="94"/>
    </row>
    <row r="178" spans="2:5" x14ac:dyDescent="0.25">
      <c r="B178" s="88"/>
      <c r="C178" s="89"/>
      <c r="D178" s="90"/>
      <c r="E178" s="94"/>
    </row>
    <row r="179" spans="2:5" x14ac:dyDescent="0.25">
      <c r="B179" s="88"/>
      <c r="C179" s="89"/>
      <c r="D179" s="90"/>
      <c r="E179" s="94"/>
    </row>
    <row r="180" spans="2:5" x14ac:dyDescent="0.25">
      <c r="B180" s="88"/>
      <c r="C180" s="89"/>
      <c r="D180" s="90"/>
      <c r="E180" s="94"/>
    </row>
    <row r="181" spans="2:5" x14ac:dyDescent="0.25">
      <c r="B181" s="88"/>
      <c r="C181" s="89"/>
      <c r="D181" s="90"/>
      <c r="E181" s="94"/>
    </row>
    <row r="182" spans="2:5" x14ac:dyDescent="0.25">
      <c r="B182" s="88"/>
      <c r="C182" s="89"/>
      <c r="D182" s="90"/>
      <c r="E182" s="94"/>
    </row>
    <row r="183" spans="2:5" x14ac:dyDescent="0.25">
      <c r="B183" s="88"/>
      <c r="C183" s="89"/>
      <c r="D183" s="90"/>
      <c r="E183" s="94"/>
    </row>
    <row r="184" spans="2:5" x14ac:dyDescent="0.25">
      <c r="B184" s="88"/>
      <c r="C184" s="89"/>
      <c r="D184" s="90"/>
      <c r="E184" s="94"/>
    </row>
    <row r="185" spans="2:5" x14ac:dyDescent="0.25">
      <c r="B185" s="88"/>
      <c r="C185" s="89"/>
      <c r="D185" s="90"/>
      <c r="E185" s="94"/>
    </row>
    <row r="186" spans="2:5" x14ac:dyDescent="0.25">
      <c r="B186" s="88"/>
      <c r="C186" s="89"/>
      <c r="D186" s="90"/>
      <c r="E186" s="94"/>
    </row>
    <row r="187" spans="2:5" x14ac:dyDescent="0.25">
      <c r="B187" s="88"/>
      <c r="C187" s="89"/>
      <c r="D187" s="90"/>
      <c r="E187" s="94"/>
    </row>
    <row r="188" spans="2:5" x14ac:dyDescent="0.25">
      <c r="B188" s="88"/>
      <c r="C188" s="89"/>
      <c r="D188" s="90"/>
      <c r="E188" s="94"/>
    </row>
    <row r="189" spans="2:5" x14ac:dyDescent="0.25">
      <c r="B189" s="88"/>
      <c r="C189" s="89"/>
      <c r="D189" s="90"/>
      <c r="E189" s="94"/>
    </row>
    <row r="190" spans="2:5" x14ac:dyDescent="0.25">
      <c r="B190" s="88"/>
      <c r="C190" s="89"/>
      <c r="D190" s="90"/>
      <c r="E190" s="94"/>
    </row>
    <row r="191" spans="2:5" x14ac:dyDescent="0.25">
      <c r="B191" s="88"/>
      <c r="C191" s="89"/>
      <c r="D191" s="90"/>
      <c r="E191" s="94"/>
    </row>
    <row r="192" spans="2:5" x14ac:dyDescent="0.25">
      <c r="B192" s="88"/>
      <c r="C192" s="89"/>
      <c r="D192" s="90"/>
      <c r="E192" s="94"/>
    </row>
    <row r="193" spans="2:5" x14ac:dyDescent="0.25">
      <c r="B193" s="88"/>
      <c r="C193" s="89"/>
      <c r="D193" s="90"/>
      <c r="E193" s="94"/>
    </row>
    <row r="194" spans="2:5" x14ac:dyDescent="0.25">
      <c r="B194" s="88"/>
      <c r="C194" s="89"/>
      <c r="D194" s="90"/>
      <c r="E194" s="94"/>
    </row>
    <row r="195" spans="2:5" x14ac:dyDescent="0.25">
      <c r="B195" s="88"/>
      <c r="C195" s="89"/>
      <c r="D195" s="90"/>
      <c r="E195" s="94"/>
    </row>
    <row r="196" spans="2:5" x14ac:dyDescent="0.25">
      <c r="B196" s="88"/>
      <c r="C196" s="89"/>
      <c r="D196" s="90"/>
      <c r="E196" s="94"/>
    </row>
    <row r="197" spans="2:5" x14ac:dyDescent="0.25">
      <c r="B197" s="88"/>
      <c r="C197" s="89"/>
      <c r="D197" s="90"/>
      <c r="E197" s="94"/>
    </row>
    <row r="198" spans="2:5" x14ac:dyDescent="0.25">
      <c r="B198" s="88"/>
      <c r="C198" s="89"/>
      <c r="D198" s="90"/>
      <c r="E198" s="94"/>
    </row>
    <row r="199" spans="2:5" x14ac:dyDescent="0.25">
      <c r="B199" s="88"/>
      <c r="C199" s="89"/>
      <c r="D199" s="90"/>
      <c r="E199" s="94"/>
    </row>
    <row r="200" spans="2:5" x14ac:dyDescent="0.25">
      <c r="B200" s="88"/>
      <c r="C200" s="89"/>
      <c r="D200" s="90"/>
      <c r="E200" s="94"/>
    </row>
    <row r="201" spans="2:5" x14ac:dyDescent="0.25">
      <c r="B201" s="88"/>
      <c r="C201" s="89"/>
      <c r="D201" s="90"/>
      <c r="E201" s="94"/>
    </row>
    <row r="202" spans="2:5" x14ac:dyDescent="0.25">
      <c r="B202" s="88"/>
      <c r="C202" s="89"/>
      <c r="D202" s="90"/>
      <c r="E202" s="94"/>
    </row>
    <row r="203" spans="2:5" x14ac:dyDescent="0.25">
      <c r="B203" s="88"/>
      <c r="C203" s="89"/>
      <c r="D203" s="90"/>
      <c r="E203" s="94"/>
    </row>
    <row r="204" spans="2:5" x14ac:dyDescent="0.25">
      <c r="B204" s="88"/>
      <c r="C204" s="89"/>
      <c r="D204" s="90"/>
      <c r="E204" s="94"/>
    </row>
    <row r="205" spans="2:5" x14ac:dyDescent="0.25">
      <c r="B205" s="88"/>
      <c r="C205" s="89"/>
      <c r="D205" s="90"/>
      <c r="E205" s="94"/>
    </row>
    <row r="206" spans="2:5" x14ac:dyDescent="0.25">
      <c r="B206" s="88"/>
      <c r="C206" s="89"/>
      <c r="D206" s="90"/>
      <c r="E206" s="94"/>
    </row>
    <row r="207" spans="2:5" x14ac:dyDescent="0.25">
      <c r="B207" s="88"/>
      <c r="C207" s="89"/>
      <c r="D207" s="90"/>
      <c r="E207" s="94"/>
    </row>
    <row r="208" spans="2:5" x14ac:dyDescent="0.25">
      <c r="B208" s="88"/>
      <c r="C208" s="89"/>
      <c r="D208" s="90"/>
      <c r="E208" s="94"/>
    </row>
    <row r="209" spans="2:5" x14ac:dyDescent="0.25">
      <c r="B209" s="88"/>
      <c r="C209" s="89"/>
      <c r="D209" s="90"/>
      <c r="E209" s="94"/>
    </row>
    <row r="210" spans="2:5" x14ac:dyDescent="0.25">
      <c r="B210" s="88"/>
      <c r="C210" s="89"/>
      <c r="D210" s="90"/>
      <c r="E210" s="94"/>
    </row>
    <row r="211" spans="2:5" x14ac:dyDescent="0.25">
      <c r="B211" s="88"/>
      <c r="C211" s="89"/>
      <c r="D211" s="90"/>
      <c r="E211" s="94"/>
    </row>
    <row r="212" spans="2:5" x14ac:dyDescent="0.25">
      <c r="B212" s="88"/>
      <c r="C212" s="89"/>
      <c r="D212" s="90"/>
      <c r="E212" s="94"/>
    </row>
    <row r="213" spans="2:5" x14ac:dyDescent="0.25">
      <c r="B213" s="88"/>
      <c r="C213" s="89"/>
      <c r="D213" s="90"/>
      <c r="E213" s="94"/>
    </row>
    <row r="214" spans="2:5" x14ac:dyDescent="0.25">
      <c r="B214" s="88"/>
      <c r="C214" s="89"/>
      <c r="D214" s="90"/>
      <c r="E214" s="94"/>
    </row>
    <row r="215" spans="2:5" x14ac:dyDescent="0.25">
      <c r="B215" s="88"/>
      <c r="C215" s="89"/>
      <c r="D215" s="90"/>
      <c r="E215" s="94"/>
    </row>
    <row r="216" spans="2:5" x14ac:dyDescent="0.25">
      <c r="B216" s="88"/>
      <c r="C216" s="89"/>
      <c r="D216" s="90"/>
      <c r="E216" s="94"/>
    </row>
    <row r="217" spans="2:5" x14ac:dyDescent="0.25">
      <c r="B217" s="88"/>
      <c r="C217" s="89"/>
      <c r="D217" s="90"/>
      <c r="E217" s="94"/>
    </row>
    <row r="218" spans="2:5" x14ac:dyDescent="0.25">
      <c r="B218" s="88"/>
      <c r="C218" s="89"/>
      <c r="D218" s="90"/>
      <c r="E218" s="94"/>
    </row>
    <row r="219" spans="2:5" x14ac:dyDescent="0.25">
      <c r="B219" s="88"/>
      <c r="C219" s="89"/>
      <c r="D219" s="90"/>
      <c r="E219" s="94"/>
    </row>
    <row r="220" spans="2:5" x14ac:dyDescent="0.25">
      <c r="B220" s="88"/>
      <c r="C220" s="89"/>
      <c r="D220" s="90"/>
      <c r="E220" s="94"/>
    </row>
    <row r="221" spans="2:5" x14ac:dyDescent="0.25">
      <c r="B221" s="88"/>
      <c r="C221" s="89"/>
      <c r="D221" s="90"/>
      <c r="E221" s="94"/>
    </row>
    <row r="222" spans="2:5" x14ac:dyDescent="0.25">
      <c r="B222" s="88"/>
      <c r="C222" s="89"/>
      <c r="D222" s="90"/>
      <c r="E222" s="94"/>
    </row>
    <row r="223" spans="2:5" x14ac:dyDescent="0.25">
      <c r="B223" s="88"/>
      <c r="C223" s="89"/>
      <c r="D223" s="90"/>
      <c r="E223" s="94"/>
    </row>
    <row r="224" spans="2:5" x14ac:dyDescent="0.25">
      <c r="B224" s="88"/>
      <c r="C224" s="89"/>
      <c r="D224" s="90"/>
      <c r="E224" s="94"/>
    </row>
    <row r="225" spans="2:5" x14ac:dyDescent="0.25">
      <c r="B225" s="88"/>
      <c r="C225" s="89"/>
      <c r="D225" s="90"/>
      <c r="E225" s="94"/>
    </row>
    <row r="226" spans="2:5" x14ac:dyDescent="0.25">
      <c r="B226" s="88"/>
      <c r="C226" s="89"/>
      <c r="D226" s="90"/>
      <c r="E226" s="94"/>
    </row>
    <row r="227" spans="2:5" x14ac:dyDescent="0.25">
      <c r="B227" s="88"/>
      <c r="C227" s="89"/>
      <c r="D227" s="90"/>
      <c r="E227" s="94"/>
    </row>
    <row r="228" spans="2:5" x14ac:dyDescent="0.25">
      <c r="B228" s="88"/>
      <c r="C228" s="89"/>
      <c r="D228" s="90"/>
      <c r="E228" s="94"/>
    </row>
    <row r="229" spans="2:5" x14ac:dyDescent="0.25">
      <c r="B229" s="88"/>
      <c r="C229" s="89"/>
      <c r="D229" s="90"/>
      <c r="E229" s="94"/>
    </row>
    <row r="230" spans="2:5" x14ac:dyDescent="0.25">
      <c r="B230" s="88"/>
      <c r="C230" s="89"/>
      <c r="D230" s="90"/>
      <c r="E230" s="94"/>
    </row>
    <row r="231" spans="2:5" x14ac:dyDescent="0.25">
      <c r="B231" s="88"/>
      <c r="C231" s="89"/>
      <c r="D231" s="90"/>
      <c r="E231" s="94"/>
    </row>
    <row r="232" spans="2:5" x14ac:dyDescent="0.25">
      <c r="B232" s="88"/>
      <c r="C232" s="89"/>
      <c r="D232" s="90"/>
      <c r="E232" s="94"/>
    </row>
    <row r="233" spans="2:5" x14ac:dyDescent="0.25">
      <c r="B233" s="88"/>
      <c r="C233" s="89"/>
      <c r="D233" s="90"/>
      <c r="E233" s="94"/>
    </row>
    <row r="234" spans="2:5" x14ac:dyDescent="0.25">
      <c r="B234" s="88"/>
      <c r="C234" s="89"/>
      <c r="D234" s="90"/>
      <c r="E234" s="94"/>
    </row>
    <row r="235" spans="2:5" x14ac:dyDescent="0.25">
      <c r="B235" s="88"/>
      <c r="C235" s="89"/>
      <c r="D235" s="90"/>
      <c r="E235" s="94"/>
    </row>
    <row r="236" spans="2:5" x14ac:dyDescent="0.25">
      <c r="B236" s="88"/>
      <c r="C236" s="89"/>
      <c r="D236" s="90"/>
      <c r="E236" s="94"/>
    </row>
    <row r="237" spans="2:5" x14ac:dyDescent="0.25">
      <c r="B237" s="88"/>
      <c r="C237" s="89"/>
      <c r="D237" s="90"/>
      <c r="E237" s="94"/>
    </row>
    <row r="238" spans="2:5" x14ac:dyDescent="0.25">
      <c r="B238" s="88"/>
      <c r="C238" s="89"/>
      <c r="D238" s="90"/>
      <c r="E238" s="94"/>
    </row>
    <row r="239" spans="2:5" x14ac:dyDescent="0.25">
      <c r="B239" s="88"/>
      <c r="C239" s="89"/>
      <c r="D239" s="90"/>
      <c r="E239" s="94"/>
    </row>
    <row r="240" spans="2:5" x14ac:dyDescent="0.25">
      <c r="B240" s="88"/>
      <c r="C240" s="89"/>
      <c r="D240" s="90"/>
      <c r="E240" s="94"/>
    </row>
    <row r="241" spans="2:5" x14ac:dyDescent="0.25">
      <c r="B241" s="88"/>
      <c r="C241" s="89"/>
      <c r="D241" s="90"/>
      <c r="E241" s="94"/>
    </row>
    <row r="242" spans="2:5" x14ac:dyDescent="0.25">
      <c r="B242" s="88"/>
      <c r="C242" s="89"/>
      <c r="D242" s="90"/>
      <c r="E242" s="94"/>
    </row>
    <row r="243" spans="2:5" x14ac:dyDescent="0.25">
      <c r="B243" s="88"/>
      <c r="C243" s="89"/>
      <c r="D243" s="90"/>
      <c r="E243" s="94"/>
    </row>
    <row r="244" spans="2:5" x14ac:dyDescent="0.25">
      <c r="B244" s="88"/>
      <c r="C244" s="89"/>
      <c r="D244" s="90"/>
      <c r="E244" s="94"/>
    </row>
    <row r="245" spans="2:5" x14ac:dyDescent="0.25">
      <c r="B245" s="88"/>
      <c r="C245" s="89"/>
      <c r="D245" s="90"/>
      <c r="E245" s="94"/>
    </row>
    <row r="246" spans="2:5" x14ac:dyDescent="0.25">
      <c r="B246" s="88"/>
      <c r="C246" s="89"/>
      <c r="D246" s="90"/>
      <c r="E246" s="94"/>
    </row>
    <row r="247" spans="2:5" x14ac:dyDescent="0.25">
      <c r="B247" s="88"/>
      <c r="C247" s="89"/>
      <c r="D247" s="90"/>
      <c r="E247" s="94"/>
    </row>
    <row r="248" spans="2:5" x14ac:dyDescent="0.25">
      <c r="B248" s="88"/>
      <c r="C248" s="89"/>
      <c r="D248" s="90"/>
      <c r="E248" s="94"/>
    </row>
    <row r="249" spans="2:5" x14ac:dyDescent="0.25">
      <c r="B249" s="88"/>
      <c r="C249" s="89"/>
      <c r="D249" s="90"/>
      <c r="E249" s="94"/>
    </row>
    <row r="250" spans="2:5" x14ac:dyDescent="0.25">
      <c r="B250" s="88"/>
      <c r="C250" s="89"/>
      <c r="D250" s="90"/>
      <c r="E250" s="94"/>
    </row>
    <row r="251" spans="2:5" x14ac:dyDescent="0.25">
      <c r="B251" s="88"/>
      <c r="C251" s="89"/>
      <c r="D251" s="90"/>
      <c r="E251" s="94"/>
    </row>
    <row r="252" spans="2:5" x14ac:dyDescent="0.25">
      <c r="B252" s="88"/>
      <c r="C252" s="89"/>
      <c r="D252" s="90"/>
      <c r="E252" s="94"/>
    </row>
    <row r="253" spans="2:5" x14ac:dyDescent="0.25">
      <c r="B253" s="88"/>
      <c r="C253" s="89"/>
      <c r="D253" s="90"/>
      <c r="E253" s="94"/>
    </row>
    <row r="254" spans="2:5" x14ac:dyDescent="0.25">
      <c r="B254" s="88"/>
      <c r="C254" s="89"/>
      <c r="D254" s="90"/>
      <c r="E254" s="94"/>
    </row>
    <row r="255" spans="2:5" x14ac:dyDescent="0.25">
      <c r="B255" s="88"/>
      <c r="C255" s="89"/>
      <c r="D255" s="90"/>
      <c r="E255" s="94"/>
    </row>
    <row r="256" spans="2:5" x14ac:dyDescent="0.25">
      <c r="B256" s="88"/>
      <c r="C256" s="89"/>
      <c r="D256" s="90"/>
      <c r="E256" s="94"/>
    </row>
    <row r="257" spans="2:5" x14ac:dyDescent="0.25">
      <c r="B257" s="88"/>
      <c r="C257" s="89"/>
      <c r="D257" s="90"/>
      <c r="E257" s="94"/>
    </row>
    <row r="258" spans="2:5" x14ac:dyDescent="0.25">
      <c r="B258" s="88"/>
      <c r="C258" s="89"/>
      <c r="D258" s="90"/>
      <c r="E258" s="94"/>
    </row>
    <row r="259" spans="2:5" x14ac:dyDescent="0.25">
      <c r="B259" s="88"/>
      <c r="C259" s="89"/>
      <c r="D259" s="90"/>
      <c r="E259" s="94"/>
    </row>
    <row r="260" spans="2:5" x14ac:dyDescent="0.25">
      <c r="B260" s="88"/>
      <c r="C260" s="89"/>
      <c r="D260" s="90"/>
      <c r="E260" s="94"/>
    </row>
    <row r="261" spans="2:5" x14ac:dyDescent="0.25">
      <c r="B261" s="88"/>
      <c r="C261" s="89"/>
      <c r="D261" s="90"/>
      <c r="E261" s="94"/>
    </row>
    <row r="262" spans="2:5" x14ac:dyDescent="0.25">
      <c r="B262" s="88"/>
      <c r="C262" s="89"/>
      <c r="D262" s="90"/>
      <c r="E262" s="94"/>
    </row>
    <row r="263" spans="2:5" x14ac:dyDescent="0.25">
      <c r="B263" s="88"/>
      <c r="C263" s="89"/>
      <c r="D263" s="90"/>
      <c r="E263" s="94"/>
    </row>
    <row r="264" spans="2:5" x14ac:dyDescent="0.25">
      <c r="B264" s="88"/>
      <c r="C264" s="89"/>
      <c r="D264" s="90"/>
      <c r="E264" s="94"/>
    </row>
    <row r="265" spans="2:5" x14ac:dyDescent="0.25">
      <c r="B265" s="88"/>
      <c r="C265" s="89"/>
      <c r="D265" s="90"/>
      <c r="E265" s="94"/>
    </row>
    <row r="266" spans="2:5" x14ac:dyDescent="0.25">
      <c r="B266" s="88"/>
      <c r="C266" s="89"/>
      <c r="D266" s="90"/>
      <c r="E266" s="94"/>
    </row>
    <row r="267" spans="2:5" x14ac:dyDescent="0.25">
      <c r="B267" s="88"/>
      <c r="C267" s="89"/>
      <c r="D267" s="90"/>
      <c r="E267" s="94"/>
    </row>
    <row r="268" spans="2:5" x14ac:dyDescent="0.25">
      <c r="B268" s="88"/>
      <c r="C268" s="89"/>
      <c r="D268" s="90"/>
      <c r="E268" s="94"/>
    </row>
    <row r="269" spans="2:5" x14ac:dyDescent="0.25">
      <c r="B269" s="88"/>
      <c r="C269" s="89"/>
      <c r="D269" s="90"/>
      <c r="E269" s="94"/>
    </row>
    <row r="270" spans="2:5" x14ac:dyDescent="0.25">
      <c r="B270" s="88"/>
      <c r="C270" s="89"/>
      <c r="D270" s="90"/>
      <c r="E270" s="94"/>
    </row>
    <row r="271" spans="2:5" x14ac:dyDescent="0.25">
      <c r="B271" s="88"/>
      <c r="C271" s="89"/>
      <c r="D271" s="90"/>
      <c r="E271" s="94"/>
    </row>
    <row r="272" spans="2:5" x14ac:dyDescent="0.25">
      <c r="B272" s="88"/>
      <c r="C272" s="89"/>
      <c r="D272" s="90"/>
      <c r="E272" s="94"/>
    </row>
    <row r="273" spans="2:5" x14ac:dyDescent="0.25">
      <c r="B273" s="88"/>
      <c r="C273" s="89"/>
      <c r="D273" s="90"/>
      <c r="E273" s="94"/>
    </row>
    <row r="274" spans="2:5" x14ac:dyDescent="0.25">
      <c r="B274" s="88"/>
      <c r="C274" s="89"/>
      <c r="D274" s="90"/>
      <c r="E274" s="94"/>
    </row>
    <row r="275" spans="2:5" x14ac:dyDescent="0.25">
      <c r="B275" s="88"/>
      <c r="C275" s="89"/>
      <c r="D275" s="90"/>
      <c r="E275" s="94"/>
    </row>
    <row r="276" spans="2:5" x14ac:dyDescent="0.25">
      <c r="B276" s="88"/>
      <c r="C276" s="89"/>
      <c r="D276" s="90"/>
      <c r="E276" s="94"/>
    </row>
    <row r="277" spans="2:5" x14ac:dyDescent="0.25">
      <c r="B277" s="88"/>
      <c r="C277" s="89"/>
      <c r="D277" s="90"/>
      <c r="E277" s="94"/>
    </row>
    <row r="278" spans="2:5" x14ac:dyDescent="0.25">
      <c r="B278" s="88"/>
      <c r="C278" s="89"/>
      <c r="D278" s="90"/>
      <c r="E278" s="94"/>
    </row>
    <row r="279" spans="2:5" x14ac:dyDescent="0.25">
      <c r="B279" s="88"/>
      <c r="C279" s="89"/>
      <c r="D279" s="90"/>
      <c r="E279" s="94"/>
    </row>
    <row r="280" spans="2:5" x14ac:dyDescent="0.25">
      <c r="B280" s="88"/>
      <c r="C280" s="89"/>
      <c r="D280" s="90"/>
      <c r="E280" s="94"/>
    </row>
    <row r="281" spans="2:5" x14ac:dyDescent="0.25">
      <c r="B281" s="88"/>
      <c r="C281" s="89"/>
      <c r="D281" s="90"/>
      <c r="E281" s="94"/>
    </row>
    <row r="282" spans="2:5" x14ac:dyDescent="0.25">
      <c r="B282" s="88"/>
      <c r="C282" s="89"/>
      <c r="D282" s="90"/>
      <c r="E282" s="94"/>
    </row>
    <row r="283" spans="2:5" x14ac:dyDescent="0.25">
      <c r="B283" s="88"/>
      <c r="C283" s="89"/>
      <c r="D283" s="90"/>
      <c r="E283" s="94"/>
    </row>
    <row r="284" spans="2:5" x14ac:dyDescent="0.25">
      <c r="B284" s="88"/>
      <c r="C284" s="89"/>
      <c r="D284" s="90"/>
      <c r="E284" s="94"/>
    </row>
    <row r="285" spans="2:5" x14ac:dyDescent="0.25">
      <c r="B285" s="88"/>
      <c r="C285" s="89"/>
      <c r="D285" s="90"/>
      <c r="E285" s="94"/>
    </row>
    <row r="286" spans="2:5" x14ac:dyDescent="0.25">
      <c r="B286" s="88"/>
      <c r="C286" s="89"/>
      <c r="D286" s="90"/>
      <c r="E286" s="94"/>
    </row>
    <row r="287" spans="2:5" x14ac:dyDescent="0.25">
      <c r="B287" s="88"/>
      <c r="C287" s="89"/>
      <c r="D287" s="90"/>
      <c r="E287" s="94"/>
    </row>
    <row r="288" spans="2:5" x14ac:dyDescent="0.25">
      <c r="B288" s="88"/>
      <c r="C288" s="89"/>
      <c r="D288" s="90"/>
      <c r="E288" s="94"/>
    </row>
    <row r="289" spans="2:5" x14ac:dyDescent="0.25">
      <c r="B289" s="88"/>
      <c r="C289" s="89"/>
      <c r="D289" s="90"/>
      <c r="E289" s="94"/>
    </row>
    <row r="290" spans="2:5" x14ac:dyDescent="0.25">
      <c r="B290" s="88"/>
      <c r="C290" s="89"/>
      <c r="D290" s="90"/>
      <c r="E290" s="94"/>
    </row>
    <row r="291" spans="2:5" x14ac:dyDescent="0.25">
      <c r="B291" s="88"/>
      <c r="C291" s="89"/>
      <c r="D291" s="90"/>
      <c r="E291" s="94"/>
    </row>
    <row r="292" spans="2:5" x14ac:dyDescent="0.25">
      <c r="B292" s="88"/>
      <c r="C292" s="89"/>
      <c r="D292" s="90"/>
      <c r="E292" s="94"/>
    </row>
    <row r="293" spans="2:5" x14ac:dyDescent="0.25">
      <c r="B293" s="88"/>
      <c r="C293" s="89"/>
      <c r="D293" s="90"/>
      <c r="E293" s="94"/>
    </row>
    <row r="294" spans="2:5" x14ac:dyDescent="0.25">
      <c r="B294" s="88"/>
      <c r="C294" s="89"/>
      <c r="D294" s="90"/>
      <c r="E294" s="94"/>
    </row>
    <row r="295" spans="2:5" x14ac:dyDescent="0.25">
      <c r="B295" s="88"/>
      <c r="C295" s="89"/>
      <c r="D295" s="90"/>
      <c r="E295" s="94"/>
    </row>
    <row r="296" spans="2:5" x14ac:dyDescent="0.25">
      <c r="B296" s="88"/>
      <c r="C296" s="89"/>
      <c r="D296" s="90"/>
      <c r="E296" s="94"/>
    </row>
    <row r="297" spans="2:5" x14ac:dyDescent="0.25">
      <c r="B297" s="88"/>
      <c r="C297" s="89"/>
      <c r="D297" s="90"/>
      <c r="E297" s="94"/>
    </row>
    <row r="298" spans="2:5" x14ac:dyDescent="0.25">
      <c r="B298" s="88"/>
      <c r="C298" s="89"/>
      <c r="D298" s="90"/>
      <c r="E298" s="94"/>
    </row>
    <row r="299" spans="2:5" x14ac:dyDescent="0.25">
      <c r="B299" s="88"/>
      <c r="C299" s="89"/>
      <c r="D299" s="90"/>
      <c r="E299" s="94"/>
    </row>
    <row r="300" spans="2:5" x14ac:dyDescent="0.25">
      <c r="B300" s="88"/>
      <c r="C300" s="89"/>
      <c r="D300" s="90"/>
      <c r="E300" s="94"/>
    </row>
    <row r="301" spans="2:5" x14ac:dyDescent="0.25">
      <c r="B301" s="88"/>
      <c r="C301" s="89"/>
      <c r="D301" s="90"/>
      <c r="E301" s="94"/>
    </row>
    <row r="302" spans="2:5" x14ac:dyDescent="0.25">
      <c r="B302" s="88"/>
      <c r="C302" s="89"/>
      <c r="D302" s="90"/>
      <c r="E302" s="94"/>
    </row>
    <row r="303" spans="2:5" x14ac:dyDescent="0.25">
      <c r="B303" s="88"/>
      <c r="C303" s="89"/>
      <c r="D303" s="90"/>
      <c r="E303" s="94"/>
    </row>
    <row r="304" spans="2:5" x14ac:dyDescent="0.25">
      <c r="B304" s="88"/>
      <c r="C304" s="89"/>
      <c r="D304" s="90"/>
      <c r="E304" s="94"/>
    </row>
    <row r="305" spans="2:5" x14ac:dyDescent="0.25">
      <c r="B305" s="88"/>
      <c r="C305" s="89"/>
      <c r="D305" s="90"/>
      <c r="E305" s="94"/>
    </row>
    <row r="306" spans="2:5" x14ac:dyDescent="0.25">
      <c r="B306" s="88"/>
      <c r="C306" s="89"/>
      <c r="D306" s="90"/>
      <c r="E306" s="94"/>
    </row>
    <row r="307" spans="2:5" x14ac:dyDescent="0.25">
      <c r="B307" s="88"/>
      <c r="C307" s="89"/>
      <c r="D307" s="90"/>
      <c r="E307" s="94"/>
    </row>
    <row r="308" spans="2:5" x14ac:dyDescent="0.25">
      <c r="B308" s="88"/>
      <c r="C308" s="89"/>
      <c r="D308" s="90"/>
      <c r="E308" s="94"/>
    </row>
    <row r="309" spans="2:5" x14ac:dyDescent="0.25">
      <c r="B309" s="88"/>
      <c r="C309" s="89"/>
      <c r="D309" s="90"/>
      <c r="E309" s="94"/>
    </row>
    <row r="310" spans="2:5" x14ac:dyDescent="0.25">
      <c r="B310" s="88"/>
      <c r="C310" s="89"/>
      <c r="D310" s="90"/>
      <c r="E310" s="94"/>
    </row>
    <row r="311" spans="2:5" x14ac:dyDescent="0.25">
      <c r="B311" s="88"/>
      <c r="C311" s="89"/>
      <c r="D311" s="90"/>
      <c r="E311" s="94"/>
    </row>
    <row r="312" spans="2:5" x14ac:dyDescent="0.25">
      <c r="B312" s="88"/>
      <c r="C312" s="89"/>
      <c r="D312" s="90"/>
      <c r="E312" s="94"/>
    </row>
    <row r="313" spans="2:5" x14ac:dyDescent="0.25">
      <c r="B313" s="88"/>
      <c r="C313" s="89"/>
      <c r="D313" s="90"/>
      <c r="E313" s="94"/>
    </row>
    <row r="314" spans="2:5" x14ac:dyDescent="0.25">
      <c r="B314" s="88"/>
      <c r="C314" s="89"/>
      <c r="D314" s="90"/>
      <c r="E314" s="94"/>
    </row>
    <row r="315" spans="2:5" x14ac:dyDescent="0.25">
      <c r="B315" s="88"/>
      <c r="C315" s="89"/>
      <c r="D315" s="90"/>
      <c r="E315" s="94"/>
    </row>
  </sheetData>
  <autoFilter ref="B2:E315" xr:uid="{8D0CB27D-A538-489D-BD68-35AAFB43C16C}"/>
  <sortState ref="B3:E4">
    <sortCondition ref="B3"/>
  </sortState>
  <mergeCells count="1">
    <mergeCell ref="G2:I2"/>
  </mergeCells>
  <conditionalFormatting sqref="B3">
    <cfRule type="expression" dxfId="2" priority="3">
      <formula>$B2&lt;&gt;""</formula>
    </cfRule>
  </conditionalFormatting>
  <conditionalFormatting sqref="B3:E200">
    <cfRule type="expression" dxfId="1" priority="2">
      <formula>$B3&lt;&gt;""</formula>
    </cfRule>
    <cfRule type="expression" dxfId="0" priority="1">
      <formula>$B2&lt;&gt;""</formula>
    </cfRule>
  </conditionalFormatting>
  <dataValidations count="1">
    <dataValidation type="time" allowBlank="1" showInputMessage="1" showErrorMessage="1" errorTitle="ERRO NA DIGITAÇÃO DA HORA!" error="Entre a hora e o minuto deve ser digitado dois pontos &quot;:&quot;._x000a_Ex. 1:  08:00 (oito horas)_x000a_Ex. 2:  00:20 (vinte minutos)" sqref="J2" xr:uid="{5B215BA6-B416-47CE-AB0D-33EB76CD7D97}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0CEFA-5014-496A-B61D-461931A8C80A}">
  <sheetPr codeName="sht_CalculoHorasTrabalhadas">
    <tabColor theme="8" tint="-0.499984740745262"/>
  </sheetPr>
  <dimension ref="B1:Y84"/>
  <sheetViews>
    <sheetView showGridLines="0" workbookViewId="0">
      <pane ySplit="9" topLeftCell="A10" activePane="bottomLeft" state="frozen"/>
      <selection pane="bottomLeft" activeCell="J4" sqref="J4:N4"/>
    </sheetView>
  </sheetViews>
  <sheetFormatPr defaultRowHeight="15" x14ac:dyDescent="0.25"/>
  <cols>
    <col min="1" max="1" width="4.140625" style="15" customWidth="1"/>
    <col min="2" max="2" width="16.5703125" style="15" hidden="1" customWidth="1"/>
    <col min="3" max="3" width="10.7109375" style="15" hidden="1" customWidth="1"/>
    <col min="4" max="4" width="7.28515625" style="16" hidden="1" customWidth="1"/>
    <col min="5" max="5" width="10.7109375" style="16" hidden="1" customWidth="1"/>
    <col min="6" max="7" width="11" style="16" hidden="1" customWidth="1"/>
    <col min="8" max="8" width="8.7109375" style="16" hidden="1" customWidth="1"/>
    <col min="9" max="9" width="10.7109375" style="15" bestFit="1" customWidth="1"/>
    <col min="10" max="10" width="15.5703125" style="15" bestFit="1" customWidth="1"/>
    <col min="11" max="20" width="6.7109375" style="15" customWidth="1"/>
    <col min="21" max="21" width="9.28515625" style="15" customWidth="1"/>
    <col min="22" max="22" width="44.28515625" style="17" customWidth="1"/>
    <col min="23" max="23" width="11" style="50" hidden="1" customWidth="1"/>
    <col min="24" max="24" width="10.42578125" style="16" hidden="1" customWidth="1"/>
    <col min="25" max="25" width="13.7109375" style="16" hidden="1" customWidth="1"/>
    <col min="26" max="16384" width="9.140625" style="15"/>
  </cols>
  <sheetData>
    <row r="1" spans="2:25" hidden="1" x14ac:dyDescent="0.25"/>
    <row r="2" spans="2:25" hidden="1" x14ac:dyDescent="0.25">
      <c r="I2" s="18">
        <f>IFERROR(IF(I1=EOMONTH(Mes_Ano,0),"----",IF(ROW()=10,EOMONTH(Mes_Ano,-1)+1,I1+1)),"----")</f>
        <v>1</v>
      </c>
      <c r="J2" s="16" t="str">
        <f>IFERROR(IF(I2="----","----",VLOOKUP(WEEKDAY(I2),DiasSemana,2,FALSE)),"----")</f>
        <v>Domingo</v>
      </c>
      <c r="M2" s="19">
        <f>IF($I2="----","----",(L2-K2))</f>
        <v>0</v>
      </c>
      <c r="P2" s="19">
        <f>IF($I2="","",(O2-N2)*24)</f>
        <v>0</v>
      </c>
      <c r="S2" s="19">
        <f>IF($I2="","",(R2-Q2)*24)</f>
        <v>0</v>
      </c>
      <c r="T2" s="19">
        <f>IF(I2="----","----",IF(K2="",0,M2+P2+S2))</f>
        <v>0</v>
      </c>
      <c r="U2" s="20" t="str">
        <f ca="1">IF(OR(Jornada=0,Jornada=""),"?",IF(I2="----","----",IF(K2="",0,IF(OR(Y2="Feriado",J2="Sábado",J2="Domingo"),T2*24*60,IF(AND(T2-Jornada&lt;=Tolerancia,T2-Jornada&gt;=-Tolerancia),0,(T2-Jornada)*24*60)))))</f>
        <v>?</v>
      </c>
      <c r="W2" s="49" t="e">
        <f ca="1">U2/60</f>
        <v>#VALUE!</v>
      </c>
      <c r="X2" s="16" t="e">
        <f ca="1">IF(ROUND(U2,2)&lt;&gt;0,"DIF. MIN.","")</f>
        <v>#VALUE!</v>
      </c>
      <c r="Y2" s="16" t="str">
        <f>IF(ROUND(V2,2)&lt;&gt;0,"DIF. MIN.","")</f>
        <v/>
      </c>
    </row>
    <row r="3" spans="2:25" ht="19.5" customHeight="1" x14ac:dyDescent="0.25"/>
    <row r="4" spans="2:25" x14ac:dyDescent="0.25">
      <c r="I4" s="23" t="s">
        <v>0</v>
      </c>
      <c r="J4" s="136"/>
      <c r="K4" s="137"/>
      <c r="L4" s="137"/>
      <c r="M4" s="137"/>
      <c r="N4" s="137"/>
      <c r="O4" s="134" t="s">
        <v>12</v>
      </c>
      <c r="P4" s="135"/>
      <c r="Q4" s="24" t="str">
        <f ca="1">IFERROR(VLOOKUP(Colaborador,Colaboradores_Tudo,2,FALSE),"")</f>
        <v/>
      </c>
      <c r="T4" s="25" t="s">
        <v>17</v>
      </c>
      <c r="U4" s="14">
        <v>2018</v>
      </c>
    </row>
    <row r="5" spans="2:25" ht="7.5" customHeight="1" x14ac:dyDescent="0.25">
      <c r="D5" s="15"/>
      <c r="E5" s="15"/>
      <c r="F5" s="15"/>
      <c r="I5" s="26"/>
      <c r="J5" s="27"/>
      <c r="K5" s="28"/>
      <c r="L5" s="26"/>
      <c r="M5" s="29"/>
      <c r="N5" s="29"/>
      <c r="O5" s="29"/>
      <c r="P5" s="29"/>
      <c r="Q5" s="29"/>
      <c r="R5" s="29"/>
      <c r="T5" s="29"/>
    </row>
    <row r="6" spans="2:25" x14ac:dyDescent="0.25">
      <c r="B6" s="16">
        <f>COUNTIF('Registro Horas Colaboradores'!B2:B9349,B43)</f>
        <v>0</v>
      </c>
      <c r="C6" s="15">
        <f>COUNTIF('Banco de Horas'!B7:B9970,B43)</f>
        <v>0</v>
      </c>
      <c r="E6" s="15">
        <f ca="1">COUNTIF(X10:X40,"DIF. HORAS")</f>
        <v>0</v>
      </c>
      <c r="I6" s="79" t="s">
        <v>45</v>
      </c>
      <c r="J6" s="150" t="str">
        <f ca="1">IFERROR(VLOOKUP(Colaborador,Colaboradores_Tudo,3,FALSE),"")</f>
        <v/>
      </c>
      <c r="K6" s="151" t="e">
        <f ca="1">VLOOKUP(Colaborador,Colaboradores_Tudo,4,FALSE)</f>
        <v>#REF!</v>
      </c>
      <c r="L6" s="30"/>
      <c r="M6" s="30"/>
      <c r="O6" s="134" t="s">
        <v>15</v>
      </c>
      <c r="P6" s="135"/>
      <c r="Q6" s="152" t="str">
        <f ca="1">IFERROR(VLOOKUP(Colaborador,Colaboradores_Tudo,4,FALSE),"")</f>
        <v/>
      </c>
      <c r="T6" s="25" t="s">
        <v>18</v>
      </c>
      <c r="U6" s="14">
        <v>1</v>
      </c>
    </row>
    <row r="7" spans="2:25" ht="3.75" customHeight="1" x14ac:dyDescent="0.25">
      <c r="I7" s="26"/>
      <c r="J7" s="27"/>
      <c r="K7" s="28"/>
      <c r="L7" s="26"/>
      <c r="M7" s="31"/>
      <c r="N7" s="31"/>
      <c r="O7" s="31"/>
    </row>
    <row r="8" spans="2:25" ht="5.25" customHeight="1" thickBot="1" x14ac:dyDescent="0.3">
      <c r="J8" s="32"/>
    </row>
    <row r="9" spans="2:25" x14ac:dyDescent="0.25">
      <c r="B9" s="27" t="s">
        <v>39</v>
      </c>
      <c r="C9" s="33" t="s">
        <v>1</v>
      </c>
      <c r="D9" s="27" t="s">
        <v>11</v>
      </c>
      <c r="E9" s="27" t="s">
        <v>46</v>
      </c>
      <c r="F9" s="27" t="s">
        <v>14</v>
      </c>
      <c r="G9" s="27" t="s">
        <v>16</v>
      </c>
      <c r="H9" s="27" t="s">
        <v>30</v>
      </c>
      <c r="I9" s="146" t="s">
        <v>2</v>
      </c>
      <c r="J9" s="147" t="s">
        <v>3</v>
      </c>
      <c r="K9" s="147" t="s">
        <v>48</v>
      </c>
      <c r="L9" s="147" t="s">
        <v>49</v>
      </c>
      <c r="M9" s="147" t="s">
        <v>50</v>
      </c>
      <c r="N9" s="147" t="s">
        <v>51</v>
      </c>
      <c r="O9" s="147" t="s">
        <v>52</v>
      </c>
      <c r="P9" s="147" t="s">
        <v>53</v>
      </c>
      <c r="Q9" s="147" t="s">
        <v>54</v>
      </c>
      <c r="R9" s="147" t="s">
        <v>55</v>
      </c>
      <c r="S9" s="147" t="s">
        <v>56</v>
      </c>
      <c r="T9" s="147" t="s">
        <v>13</v>
      </c>
      <c r="U9" s="147" t="s">
        <v>31</v>
      </c>
      <c r="V9" s="148" t="s">
        <v>33</v>
      </c>
      <c r="W9" s="48" t="s">
        <v>42</v>
      </c>
      <c r="X9" s="48" t="s">
        <v>41</v>
      </c>
      <c r="Y9" s="48" t="s">
        <v>99</v>
      </c>
    </row>
    <row r="10" spans="2:25" x14ac:dyDescent="0.25">
      <c r="B10" s="18" t="str">
        <f>CONCATENATE(C10," - ",G10)</f>
        <v>0 - 43131</v>
      </c>
      <c r="C10" s="15">
        <f t="shared" ref="C10:C40" si="0">Colaborador</f>
        <v>0</v>
      </c>
      <c r="D10" s="16" t="str">
        <f t="shared" ref="D10:D40" ca="1" si="1">Nro_RI</f>
        <v/>
      </c>
      <c r="E10" s="19" t="str">
        <f t="shared" ref="E10:E40" ca="1" si="2">Jornada</f>
        <v/>
      </c>
      <c r="F10" s="19" t="str">
        <f t="shared" ref="F10:F40" ca="1" si="3">Intervalo</f>
        <v/>
      </c>
      <c r="G10" s="34">
        <f t="shared" ref="G10:G40" si="4">Mes_Ano</f>
        <v>43131</v>
      </c>
      <c r="H10" s="22">
        <f>YEAR(G10)</f>
        <v>2018</v>
      </c>
      <c r="I10" s="35">
        <f t="shared" ref="I10:I40" si="5">IFERROR(IF(I9=EOMONTH(Mes_Ano,0),"----",IF(ROW()=10,EOMONTH(Mes_Ano,-1)+1,I9+1)),"----")</f>
        <v>43101</v>
      </c>
      <c r="J10" s="54" t="str">
        <f t="shared" ref="J10:J40" si="6">IFERROR(IF(I10="----","----",VLOOKUP(WEEKDAY(I10),DiasSemana,2,FALSE)),"----")</f>
        <v>Segunda-feira</v>
      </c>
      <c r="K10" s="120"/>
      <c r="L10" s="121"/>
      <c r="M10" s="57">
        <f t="shared" ref="M10:M11" si="7">IF($I10="----","----",(L10-K10))</f>
        <v>0</v>
      </c>
      <c r="N10" s="120"/>
      <c r="O10" s="121"/>
      <c r="P10" s="36">
        <f t="shared" ref="P10:P11" si="8">IF($I10="----","----",(O10-N10))</f>
        <v>0</v>
      </c>
      <c r="Q10" s="120"/>
      <c r="R10" s="121"/>
      <c r="S10" s="36">
        <f t="shared" ref="S10:S11" si="9">IF($I10="----","----",(R10-Q10))</f>
        <v>0</v>
      </c>
      <c r="T10" s="37">
        <f>IF(I10="----","----",IF(K10="",0,M10+P10+S10))</f>
        <v>0</v>
      </c>
      <c r="U10" s="38" t="str">
        <f ca="1">IF(OR(Jornada=0,Jornada=""),"?",IF(I10="----","----",IF(K10="",0,IF(OR(Y10="Feriado",J10="Sábado",J10="Domingo"),T10*24*60,IF(AND(T10-Jornada&lt;=Tolerancia,T10-Jornada&gt;=-Tolerancia),0,(T10-Jornada)*24*60)))))</f>
        <v>?</v>
      </c>
      <c r="V10" s="126"/>
      <c r="W10" s="91" t="str">
        <f ca="1">IFERROR(U10/60,"----")</f>
        <v>----</v>
      </c>
      <c r="X10" s="16" t="str">
        <f ca="1">IFERROR(IF(ROUND(U10,2)&lt;&gt;0,"DIF. HORAS",""),"")</f>
        <v/>
      </c>
      <c r="Y10" s="16" t="str">
        <f t="shared" ref="Y10:Y40" ca="1" si="10">IFERROR(IF(MATCH(I10,Feriados,0)&lt;&gt;0,"Feriado",""),"")</f>
        <v>Feriado</v>
      </c>
    </row>
    <row r="11" spans="2:25" x14ac:dyDescent="0.25">
      <c r="B11" s="18" t="str">
        <f t="shared" ref="B11:B40" si="11">CONCATENATE(C11," - ",G11)</f>
        <v>0 - 43131</v>
      </c>
      <c r="C11" s="15">
        <f t="shared" si="0"/>
        <v>0</v>
      </c>
      <c r="D11" s="16" t="str">
        <f t="shared" ca="1" si="1"/>
        <v/>
      </c>
      <c r="E11" s="19" t="str">
        <f t="shared" ca="1" si="2"/>
        <v/>
      </c>
      <c r="F11" s="19" t="str">
        <f t="shared" ca="1" si="3"/>
        <v/>
      </c>
      <c r="G11" s="34">
        <f t="shared" si="4"/>
        <v>43131</v>
      </c>
      <c r="H11" s="22">
        <f t="shared" ref="H11:H40" si="12">YEAR(G11)</f>
        <v>2018</v>
      </c>
      <c r="I11" s="39">
        <f t="shared" si="5"/>
        <v>43102</v>
      </c>
      <c r="J11" s="55" t="str">
        <f t="shared" si="6"/>
        <v>Terça-feira</v>
      </c>
      <c r="K11" s="122"/>
      <c r="L11" s="123"/>
      <c r="M11" s="58">
        <f t="shared" si="7"/>
        <v>0</v>
      </c>
      <c r="N11" s="122"/>
      <c r="O11" s="123"/>
      <c r="P11" s="40">
        <f t="shared" si="8"/>
        <v>0</v>
      </c>
      <c r="Q11" s="122"/>
      <c r="R11" s="123"/>
      <c r="S11" s="40">
        <f t="shared" si="9"/>
        <v>0</v>
      </c>
      <c r="T11" s="41">
        <f t="shared" ref="T11:T40" si="13">IF(I11="----","----",IF(K11="",0,M11+P11+S11))</f>
        <v>0</v>
      </c>
      <c r="U11" s="42" t="str">
        <f ca="1">IF(OR(Jornada=0,Jornada=""),"?",IF(I11="----","----",IF(K11="",0,IF(OR(Y11="Feriado",J11="Sábado",J11="Domingo"),T11*24*60,IF(AND(T11-Jornada&lt;=Tolerancia,T11-Jornada&gt;=-Tolerancia),0,(T11-Jornada)*24*60)))))</f>
        <v>?</v>
      </c>
      <c r="V11" s="127"/>
      <c r="W11" s="91" t="str">
        <f t="shared" ref="W11:W40" ca="1" si="14">IFERROR(U11/60,"----")</f>
        <v>----</v>
      </c>
      <c r="X11" s="16" t="str">
        <f t="shared" ref="X11:X40" ca="1" si="15">IFERROR(IF(ROUND(U11,2)&lt;&gt;0,"DIF. HORAS",""),"")</f>
        <v/>
      </c>
      <c r="Y11" s="16" t="str">
        <f t="shared" ca="1" si="10"/>
        <v/>
      </c>
    </row>
    <row r="12" spans="2:25" x14ac:dyDescent="0.25">
      <c r="B12" s="18" t="str">
        <f t="shared" si="11"/>
        <v>0 - 43131</v>
      </c>
      <c r="C12" s="15">
        <f t="shared" si="0"/>
        <v>0</v>
      </c>
      <c r="D12" s="16" t="str">
        <f t="shared" ca="1" si="1"/>
        <v/>
      </c>
      <c r="E12" s="19" t="str">
        <f t="shared" ca="1" si="2"/>
        <v/>
      </c>
      <c r="F12" s="19" t="str">
        <f t="shared" ca="1" si="3"/>
        <v/>
      </c>
      <c r="G12" s="34">
        <f t="shared" si="4"/>
        <v>43131</v>
      </c>
      <c r="H12" s="22">
        <f t="shared" si="12"/>
        <v>2018</v>
      </c>
      <c r="I12" s="39">
        <f t="shared" si="5"/>
        <v>43103</v>
      </c>
      <c r="J12" s="55" t="str">
        <f t="shared" si="6"/>
        <v>Quarta-feira</v>
      </c>
      <c r="K12" s="122"/>
      <c r="L12" s="123"/>
      <c r="M12" s="58">
        <f>IF($I12="----","----",(L12-K12))</f>
        <v>0</v>
      </c>
      <c r="N12" s="122"/>
      <c r="O12" s="123"/>
      <c r="P12" s="40">
        <f>IF($I12="----","----",(O12-N12))</f>
        <v>0</v>
      </c>
      <c r="Q12" s="122"/>
      <c r="R12" s="123"/>
      <c r="S12" s="40">
        <f>IF($I12="----","----",(R12-Q12))</f>
        <v>0</v>
      </c>
      <c r="T12" s="41">
        <f t="shared" si="13"/>
        <v>0</v>
      </c>
      <c r="U12" s="42" t="str">
        <f ca="1">IF(OR(Jornada=0,Jornada=""),"?",IF(I12="----","----",IF(K12="",0,IF(OR(Y12="Feriado",J12="Sábado",J12="Domingo"),T12*24*60,IF(AND(T12-Jornada&lt;=Tolerancia,T12-Jornada&gt;=-Tolerancia),0,(T12-Jornada)*24*60)))))</f>
        <v>?</v>
      </c>
      <c r="V12" s="127"/>
      <c r="W12" s="91" t="str">
        <f t="shared" ca="1" si="14"/>
        <v>----</v>
      </c>
      <c r="X12" s="16" t="str">
        <f t="shared" ca="1" si="15"/>
        <v/>
      </c>
      <c r="Y12" s="16" t="str">
        <f t="shared" ca="1" si="10"/>
        <v/>
      </c>
    </row>
    <row r="13" spans="2:25" x14ac:dyDescent="0.25">
      <c r="B13" s="18" t="str">
        <f t="shared" si="11"/>
        <v>0 - 43131</v>
      </c>
      <c r="C13" s="15">
        <f t="shared" si="0"/>
        <v>0</v>
      </c>
      <c r="D13" s="16" t="str">
        <f t="shared" ca="1" si="1"/>
        <v/>
      </c>
      <c r="E13" s="19" t="str">
        <f t="shared" ca="1" si="2"/>
        <v/>
      </c>
      <c r="F13" s="19" t="str">
        <f t="shared" ca="1" si="3"/>
        <v/>
      </c>
      <c r="G13" s="34">
        <f t="shared" si="4"/>
        <v>43131</v>
      </c>
      <c r="H13" s="22">
        <f t="shared" si="12"/>
        <v>2018</v>
      </c>
      <c r="I13" s="39">
        <f t="shared" si="5"/>
        <v>43104</v>
      </c>
      <c r="J13" s="55" t="str">
        <f t="shared" si="6"/>
        <v>Quinta-feira</v>
      </c>
      <c r="K13" s="122"/>
      <c r="L13" s="123"/>
      <c r="M13" s="58">
        <f t="shared" ref="M13:M40" si="16">IF($I13="----","----",(L13-K13))</f>
        <v>0</v>
      </c>
      <c r="N13" s="122"/>
      <c r="O13" s="123"/>
      <c r="P13" s="40">
        <f t="shared" ref="P13:P40" si="17">IF($I13="----","----",(O13-N13))</f>
        <v>0</v>
      </c>
      <c r="Q13" s="122"/>
      <c r="R13" s="123"/>
      <c r="S13" s="40">
        <f t="shared" ref="S13:S40" si="18">IF($I13="----","----",(R13-Q13))</f>
        <v>0</v>
      </c>
      <c r="T13" s="41">
        <f t="shared" si="13"/>
        <v>0</v>
      </c>
      <c r="U13" s="42" t="str">
        <f ca="1">IF(OR(Jornada=0,Jornada=""),"?",IF(I13="----","----",IF(K13="",0,IF(OR(Y13="Feriado",J13="Sábado",J13="Domingo"),T13*24*60,IF(AND(T13-Jornada&lt;=Tolerancia,T13-Jornada&gt;=-Tolerancia),0,(T13-Jornada)*24*60)))))</f>
        <v>?</v>
      </c>
      <c r="V13" s="127"/>
      <c r="W13" s="91" t="str">
        <f t="shared" ca="1" si="14"/>
        <v>----</v>
      </c>
      <c r="X13" s="16" t="str">
        <f t="shared" ca="1" si="15"/>
        <v/>
      </c>
      <c r="Y13" s="16" t="str">
        <f t="shared" ca="1" si="10"/>
        <v/>
      </c>
    </row>
    <row r="14" spans="2:25" x14ac:dyDescent="0.25">
      <c r="B14" s="18" t="str">
        <f t="shared" si="11"/>
        <v>0 - 43131</v>
      </c>
      <c r="C14" s="15">
        <f t="shared" si="0"/>
        <v>0</v>
      </c>
      <c r="D14" s="16" t="str">
        <f t="shared" ca="1" si="1"/>
        <v/>
      </c>
      <c r="E14" s="19" t="str">
        <f t="shared" ca="1" si="2"/>
        <v/>
      </c>
      <c r="F14" s="19" t="str">
        <f t="shared" ca="1" si="3"/>
        <v/>
      </c>
      <c r="G14" s="34">
        <f t="shared" si="4"/>
        <v>43131</v>
      </c>
      <c r="H14" s="22">
        <f t="shared" si="12"/>
        <v>2018</v>
      </c>
      <c r="I14" s="39">
        <f t="shared" si="5"/>
        <v>43105</v>
      </c>
      <c r="J14" s="55" t="str">
        <f t="shared" si="6"/>
        <v>Sexta-feira</v>
      </c>
      <c r="K14" s="122"/>
      <c r="L14" s="123"/>
      <c r="M14" s="58">
        <f t="shared" si="16"/>
        <v>0</v>
      </c>
      <c r="N14" s="122"/>
      <c r="O14" s="123"/>
      <c r="P14" s="40">
        <f t="shared" si="17"/>
        <v>0</v>
      </c>
      <c r="Q14" s="122"/>
      <c r="R14" s="123"/>
      <c r="S14" s="40">
        <f t="shared" si="18"/>
        <v>0</v>
      </c>
      <c r="T14" s="41">
        <f t="shared" si="13"/>
        <v>0</v>
      </c>
      <c r="U14" s="42" t="str">
        <f ca="1">IF(OR(Jornada=0,Jornada=""),"?",IF(I14="----","----",IF(K14="",0,IF(OR(Y14="Feriado",J14="Sábado",J14="Domingo"),T14*24*60,IF(AND(T14-Jornada&lt;=Tolerancia,T14-Jornada&gt;=-Tolerancia),0,(T14-Jornada)*24*60)))))</f>
        <v>?</v>
      </c>
      <c r="V14" s="127"/>
      <c r="W14" s="91" t="str">
        <f t="shared" ca="1" si="14"/>
        <v>----</v>
      </c>
      <c r="X14" s="16" t="str">
        <f t="shared" ca="1" si="15"/>
        <v/>
      </c>
      <c r="Y14" s="16" t="str">
        <f t="shared" ca="1" si="10"/>
        <v/>
      </c>
    </row>
    <row r="15" spans="2:25" x14ac:dyDescent="0.25">
      <c r="B15" s="18" t="str">
        <f t="shared" si="11"/>
        <v>0 - 43131</v>
      </c>
      <c r="C15" s="15">
        <f t="shared" si="0"/>
        <v>0</v>
      </c>
      <c r="D15" s="16" t="str">
        <f t="shared" ca="1" si="1"/>
        <v/>
      </c>
      <c r="E15" s="19" t="str">
        <f t="shared" ca="1" si="2"/>
        <v/>
      </c>
      <c r="F15" s="19" t="str">
        <f t="shared" ca="1" si="3"/>
        <v/>
      </c>
      <c r="G15" s="34">
        <f t="shared" si="4"/>
        <v>43131</v>
      </c>
      <c r="H15" s="22">
        <f t="shared" si="12"/>
        <v>2018</v>
      </c>
      <c r="I15" s="39">
        <f t="shared" si="5"/>
        <v>43106</v>
      </c>
      <c r="J15" s="55" t="str">
        <f t="shared" si="6"/>
        <v>Sábado</v>
      </c>
      <c r="K15" s="122"/>
      <c r="L15" s="123"/>
      <c r="M15" s="58">
        <f t="shared" si="16"/>
        <v>0</v>
      </c>
      <c r="N15" s="122"/>
      <c r="O15" s="123"/>
      <c r="P15" s="40">
        <f t="shared" si="17"/>
        <v>0</v>
      </c>
      <c r="Q15" s="122"/>
      <c r="R15" s="123"/>
      <c r="S15" s="40">
        <f t="shared" si="18"/>
        <v>0</v>
      </c>
      <c r="T15" s="41">
        <f t="shared" si="13"/>
        <v>0</v>
      </c>
      <c r="U15" s="42" t="str">
        <f ca="1">IF(OR(Jornada=0,Jornada=""),"?",IF(I15="----","----",IF(K15="",0,IF(OR(Y15="Feriado",J15="Sábado",J15="Domingo"),T15*24*60,IF(AND(T15-Jornada&lt;=Tolerancia,T15-Jornada&gt;=-Tolerancia),0,(T15-Jornada)*24*60)))))</f>
        <v>?</v>
      </c>
      <c r="V15" s="127"/>
      <c r="W15" s="91" t="str">
        <f t="shared" ca="1" si="14"/>
        <v>----</v>
      </c>
      <c r="X15" s="16" t="str">
        <f t="shared" ca="1" si="15"/>
        <v/>
      </c>
      <c r="Y15" s="16" t="str">
        <f t="shared" ca="1" si="10"/>
        <v/>
      </c>
    </row>
    <row r="16" spans="2:25" x14ac:dyDescent="0.25">
      <c r="B16" s="18" t="str">
        <f t="shared" si="11"/>
        <v>0 - 43131</v>
      </c>
      <c r="C16" s="15">
        <f t="shared" si="0"/>
        <v>0</v>
      </c>
      <c r="D16" s="16" t="str">
        <f t="shared" ca="1" si="1"/>
        <v/>
      </c>
      <c r="E16" s="19" t="str">
        <f t="shared" ca="1" si="2"/>
        <v/>
      </c>
      <c r="F16" s="19" t="str">
        <f t="shared" ca="1" si="3"/>
        <v/>
      </c>
      <c r="G16" s="34">
        <f t="shared" si="4"/>
        <v>43131</v>
      </c>
      <c r="H16" s="22">
        <f t="shared" si="12"/>
        <v>2018</v>
      </c>
      <c r="I16" s="39">
        <f t="shared" si="5"/>
        <v>43107</v>
      </c>
      <c r="J16" s="55" t="str">
        <f t="shared" si="6"/>
        <v>Domingo</v>
      </c>
      <c r="K16" s="122"/>
      <c r="L16" s="123"/>
      <c r="M16" s="58">
        <f t="shared" si="16"/>
        <v>0</v>
      </c>
      <c r="N16" s="122"/>
      <c r="O16" s="123"/>
      <c r="P16" s="40">
        <f t="shared" si="17"/>
        <v>0</v>
      </c>
      <c r="Q16" s="122"/>
      <c r="R16" s="123"/>
      <c r="S16" s="40">
        <f t="shared" si="18"/>
        <v>0</v>
      </c>
      <c r="T16" s="41">
        <f t="shared" si="13"/>
        <v>0</v>
      </c>
      <c r="U16" s="42" t="str">
        <f ca="1">IF(OR(Jornada=0,Jornada=""),"?",IF(I16="----","----",IF(K16="",0,IF(OR(Y16="Feriado",J16="Sábado",J16="Domingo"),T16*24*60,IF(AND(T16-Jornada&lt;=Tolerancia,T16-Jornada&gt;=-Tolerancia),0,(T16-Jornada)*24*60)))))</f>
        <v>?</v>
      </c>
      <c r="V16" s="127"/>
      <c r="W16" s="91" t="str">
        <f t="shared" ca="1" si="14"/>
        <v>----</v>
      </c>
      <c r="X16" s="16" t="str">
        <f t="shared" ca="1" si="15"/>
        <v/>
      </c>
      <c r="Y16" s="16" t="str">
        <f t="shared" ca="1" si="10"/>
        <v/>
      </c>
    </row>
    <row r="17" spans="2:25" x14ac:dyDescent="0.25">
      <c r="B17" s="18" t="str">
        <f t="shared" si="11"/>
        <v>0 - 43131</v>
      </c>
      <c r="C17" s="15">
        <f t="shared" si="0"/>
        <v>0</v>
      </c>
      <c r="D17" s="16" t="str">
        <f t="shared" ca="1" si="1"/>
        <v/>
      </c>
      <c r="E17" s="19" t="str">
        <f t="shared" ca="1" si="2"/>
        <v/>
      </c>
      <c r="F17" s="19" t="str">
        <f t="shared" ca="1" si="3"/>
        <v/>
      </c>
      <c r="G17" s="34">
        <f t="shared" si="4"/>
        <v>43131</v>
      </c>
      <c r="H17" s="22">
        <f t="shared" si="12"/>
        <v>2018</v>
      </c>
      <c r="I17" s="39">
        <f t="shared" si="5"/>
        <v>43108</v>
      </c>
      <c r="J17" s="55" t="str">
        <f t="shared" si="6"/>
        <v>Segunda-feira</v>
      </c>
      <c r="K17" s="122"/>
      <c r="L17" s="123"/>
      <c r="M17" s="58">
        <f t="shared" si="16"/>
        <v>0</v>
      </c>
      <c r="N17" s="122"/>
      <c r="O17" s="123"/>
      <c r="P17" s="40">
        <f t="shared" si="17"/>
        <v>0</v>
      </c>
      <c r="Q17" s="122"/>
      <c r="R17" s="123"/>
      <c r="S17" s="40">
        <f t="shared" si="18"/>
        <v>0</v>
      </c>
      <c r="T17" s="41">
        <f t="shared" si="13"/>
        <v>0</v>
      </c>
      <c r="U17" s="42" t="str">
        <f ca="1">IF(OR(Jornada=0,Jornada=""),"?",IF(I17="----","----",IF(K17="",0,IF(OR(Y17="Feriado",J17="Sábado",J17="Domingo"),T17*24*60,IF(AND(T17-Jornada&lt;=Tolerancia,T17-Jornada&gt;=-Tolerancia),0,(T17-Jornada)*24*60)))))</f>
        <v>?</v>
      </c>
      <c r="V17" s="127"/>
      <c r="W17" s="91" t="str">
        <f t="shared" ca="1" si="14"/>
        <v>----</v>
      </c>
      <c r="X17" s="16" t="str">
        <f t="shared" ca="1" si="15"/>
        <v/>
      </c>
      <c r="Y17" s="16" t="str">
        <f t="shared" ca="1" si="10"/>
        <v/>
      </c>
    </row>
    <row r="18" spans="2:25" x14ac:dyDescent="0.25">
      <c r="B18" s="18" t="str">
        <f t="shared" si="11"/>
        <v>0 - 43131</v>
      </c>
      <c r="C18" s="15">
        <f t="shared" si="0"/>
        <v>0</v>
      </c>
      <c r="D18" s="16" t="str">
        <f t="shared" ca="1" si="1"/>
        <v/>
      </c>
      <c r="E18" s="19" t="str">
        <f t="shared" ca="1" si="2"/>
        <v/>
      </c>
      <c r="F18" s="19" t="str">
        <f t="shared" ca="1" si="3"/>
        <v/>
      </c>
      <c r="G18" s="34">
        <f t="shared" si="4"/>
        <v>43131</v>
      </c>
      <c r="H18" s="22">
        <f t="shared" si="12"/>
        <v>2018</v>
      </c>
      <c r="I18" s="39">
        <f t="shared" si="5"/>
        <v>43109</v>
      </c>
      <c r="J18" s="55" t="str">
        <f t="shared" si="6"/>
        <v>Terça-feira</v>
      </c>
      <c r="K18" s="122"/>
      <c r="L18" s="123"/>
      <c r="M18" s="58">
        <f t="shared" si="16"/>
        <v>0</v>
      </c>
      <c r="N18" s="122"/>
      <c r="O18" s="123"/>
      <c r="P18" s="40">
        <f t="shared" si="17"/>
        <v>0</v>
      </c>
      <c r="Q18" s="122"/>
      <c r="R18" s="123"/>
      <c r="S18" s="40">
        <f t="shared" si="18"/>
        <v>0</v>
      </c>
      <c r="T18" s="41">
        <f t="shared" si="13"/>
        <v>0</v>
      </c>
      <c r="U18" s="42" t="str">
        <f ca="1">IF(OR(Jornada=0,Jornada=""),"?",IF(I18="----","----",IF(K18="",0,IF(OR(Y18="Feriado",J18="Sábado",J18="Domingo"),T18*24*60,IF(AND(T18-Jornada&lt;=Tolerancia,T18-Jornada&gt;=-Tolerancia),0,(T18-Jornada)*24*60)))))</f>
        <v>?</v>
      </c>
      <c r="V18" s="127"/>
      <c r="W18" s="91" t="str">
        <f t="shared" ca="1" si="14"/>
        <v>----</v>
      </c>
      <c r="X18" s="16" t="str">
        <f t="shared" ca="1" si="15"/>
        <v/>
      </c>
      <c r="Y18" s="16" t="str">
        <f t="shared" ca="1" si="10"/>
        <v/>
      </c>
    </row>
    <row r="19" spans="2:25" x14ac:dyDescent="0.25">
      <c r="B19" s="18" t="str">
        <f t="shared" si="11"/>
        <v>0 - 43131</v>
      </c>
      <c r="C19" s="15">
        <f t="shared" si="0"/>
        <v>0</v>
      </c>
      <c r="D19" s="16" t="str">
        <f t="shared" ca="1" si="1"/>
        <v/>
      </c>
      <c r="E19" s="19" t="str">
        <f t="shared" ca="1" si="2"/>
        <v/>
      </c>
      <c r="F19" s="19" t="str">
        <f t="shared" ca="1" si="3"/>
        <v/>
      </c>
      <c r="G19" s="34">
        <f t="shared" si="4"/>
        <v>43131</v>
      </c>
      <c r="H19" s="22">
        <f t="shared" si="12"/>
        <v>2018</v>
      </c>
      <c r="I19" s="39">
        <f t="shared" si="5"/>
        <v>43110</v>
      </c>
      <c r="J19" s="55" t="str">
        <f t="shared" si="6"/>
        <v>Quarta-feira</v>
      </c>
      <c r="K19" s="122"/>
      <c r="L19" s="123"/>
      <c r="M19" s="58">
        <f t="shared" si="16"/>
        <v>0</v>
      </c>
      <c r="N19" s="122"/>
      <c r="O19" s="123"/>
      <c r="P19" s="40">
        <f t="shared" si="17"/>
        <v>0</v>
      </c>
      <c r="Q19" s="122"/>
      <c r="R19" s="123"/>
      <c r="S19" s="40">
        <f t="shared" si="18"/>
        <v>0</v>
      </c>
      <c r="T19" s="41">
        <f t="shared" si="13"/>
        <v>0</v>
      </c>
      <c r="U19" s="42" t="str">
        <f ca="1">IF(OR(Jornada=0,Jornada=""),"?",IF(I19="----","----",IF(K19="",0,IF(OR(Y19="Feriado",J19="Sábado",J19="Domingo"),T19*24*60,IF(AND(T19-Jornada&lt;=Tolerancia,T19-Jornada&gt;=-Tolerancia),0,(T19-Jornada)*24*60)))))</f>
        <v>?</v>
      </c>
      <c r="V19" s="127"/>
      <c r="W19" s="91" t="str">
        <f t="shared" ca="1" si="14"/>
        <v>----</v>
      </c>
      <c r="X19" s="16" t="str">
        <f t="shared" ca="1" si="15"/>
        <v/>
      </c>
      <c r="Y19" s="16" t="str">
        <f t="shared" ca="1" si="10"/>
        <v/>
      </c>
    </row>
    <row r="20" spans="2:25" x14ac:dyDescent="0.25">
      <c r="B20" s="18" t="str">
        <f t="shared" si="11"/>
        <v>0 - 43131</v>
      </c>
      <c r="C20" s="15">
        <f t="shared" si="0"/>
        <v>0</v>
      </c>
      <c r="D20" s="16" t="str">
        <f t="shared" ca="1" si="1"/>
        <v/>
      </c>
      <c r="E20" s="19" t="str">
        <f t="shared" ca="1" si="2"/>
        <v/>
      </c>
      <c r="F20" s="19" t="str">
        <f t="shared" ca="1" si="3"/>
        <v/>
      </c>
      <c r="G20" s="34">
        <f t="shared" si="4"/>
        <v>43131</v>
      </c>
      <c r="H20" s="22">
        <f t="shared" si="12"/>
        <v>2018</v>
      </c>
      <c r="I20" s="39">
        <f t="shared" si="5"/>
        <v>43111</v>
      </c>
      <c r="J20" s="55" t="str">
        <f t="shared" si="6"/>
        <v>Quinta-feira</v>
      </c>
      <c r="K20" s="122"/>
      <c r="L20" s="123"/>
      <c r="M20" s="58">
        <f t="shared" si="16"/>
        <v>0</v>
      </c>
      <c r="N20" s="122"/>
      <c r="O20" s="123"/>
      <c r="P20" s="40">
        <f t="shared" si="17"/>
        <v>0</v>
      </c>
      <c r="Q20" s="122"/>
      <c r="R20" s="123"/>
      <c r="S20" s="40">
        <f t="shared" si="18"/>
        <v>0</v>
      </c>
      <c r="T20" s="41">
        <f t="shared" si="13"/>
        <v>0</v>
      </c>
      <c r="U20" s="42" t="str">
        <f ca="1">IF(OR(Jornada=0,Jornada=""),"?",IF(I20="----","----",IF(K20="",0,IF(OR(Y20="Feriado",J20="Sábado",J20="Domingo"),T20*24*60,IF(AND(T20-Jornada&lt;=Tolerancia,T20-Jornada&gt;=-Tolerancia),0,(T20-Jornada)*24*60)))))</f>
        <v>?</v>
      </c>
      <c r="V20" s="127"/>
      <c r="W20" s="91" t="str">
        <f t="shared" ca="1" si="14"/>
        <v>----</v>
      </c>
      <c r="X20" s="16" t="str">
        <f t="shared" ca="1" si="15"/>
        <v/>
      </c>
      <c r="Y20" s="16" t="str">
        <f t="shared" ca="1" si="10"/>
        <v/>
      </c>
    </row>
    <row r="21" spans="2:25" x14ac:dyDescent="0.25">
      <c r="B21" s="18" t="str">
        <f t="shared" si="11"/>
        <v>0 - 43131</v>
      </c>
      <c r="C21" s="15">
        <f t="shared" si="0"/>
        <v>0</v>
      </c>
      <c r="D21" s="16" t="str">
        <f t="shared" ca="1" si="1"/>
        <v/>
      </c>
      <c r="E21" s="19" t="str">
        <f t="shared" ca="1" si="2"/>
        <v/>
      </c>
      <c r="F21" s="19" t="str">
        <f t="shared" ca="1" si="3"/>
        <v/>
      </c>
      <c r="G21" s="34">
        <f t="shared" si="4"/>
        <v>43131</v>
      </c>
      <c r="H21" s="22">
        <f t="shared" si="12"/>
        <v>2018</v>
      </c>
      <c r="I21" s="39">
        <f t="shared" si="5"/>
        <v>43112</v>
      </c>
      <c r="J21" s="55" t="str">
        <f t="shared" si="6"/>
        <v>Sexta-feira</v>
      </c>
      <c r="K21" s="122"/>
      <c r="L21" s="123"/>
      <c r="M21" s="58">
        <f t="shared" si="16"/>
        <v>0</v>
      </c>
      <c r="N21" s="122"/>
      <c r="O21" s="123"/>
      <c r="P21" s="40">
        <f t="shared" si="17"/>
        <v>0</v>
      </c>
      <c r="Q21" s="122"/>
      <c r="R21" s="123"/>
      <c r="S21" s="40">
        <f t="shared" si="18"/>
        <v>0</v>
      </c>
      <c r="T21" s="41">
        <f t="shared" si="13"/>
        <v>0</v>
      </c>
      <c r="U21" s="42" t="str">
        <f ca="1">IF(OR(Jornada=0,Jornada=""),"?",IF(I21="----","----",IF(K21="",0,IF(OR(Y21="Feriado",J21="Sábado",J21="Domingo"),T21*24*60,IF(AND(T21-Jornada&lt;=Tolerancia,T21-Jornada&gt;=-Tolerancia),0,(T21-Jornada)*24*60)))))</f>
        <v>?</v>
      </c>
      <c r="V21" s="127"/>
      <c r="W21" s="91" t="str">
        <f t="shared" ca="1" si="14"/>
        <v>----</v>
      </c>
      <c r="X21" s="16" t="str">
        <f t="shared" ca="1" si="15"/>
        <v/>
      </c>
      <c r="Y21" s="16" t="str">
        <f t="shared" ca="1" si="10"/>
        <v/>
      </c>
    </row>
    <row r="22" spans="2:25" x14ac:dyDescent="0.25">
      <c r="B22" s="18" t="str">
        <f t="shared" si="11"/>
        <v>0 - 43131</v>
      </c>
      <c r="C22" s="15">
        <f t="shared" si="0"/>
        <v>0</v>
      </c>
      <c r="D22" s="16" t="str">
        <f t="shared" ca="1" si="1"/>
        <v/>
      </c>
      <c r="E22" s="19" t="str">
        <f t="shared" ca="1" si="2"/>
        <v/>
      </c>
      <c r="F22" s="19" t="str">
        <f t="shared" ca="1" si="3"/>
        <v/>
      </c>
      <c r="G22" s="34">
        <f t="shared" si="4"/>
        <v>43131</v>
      </c>
      <c r="H22" s="22">
        <f t="shared" si="12"/>
        <v>2018</v>
      </c>
      <c r="I22" s="39">
        <f t="shared" si="5"/>
        <v>43113</v>
      </c>
      <c r="J22" s="55" t="str">
        <f t="shared" si="6"/>
        <v>Sábado</v>
      </c>
      <c r="K22" s="122"/>
      <c r="L22" s="123"/>
      <c r="M22" s="58">
        <f t="shared" si="16"/>
        <v>0</v>
      </c>
      <c r="N22" s="122"/>
      <c r="O22" s="123"/>
      <c r="P22" s="40">
        <f t="shared" si="17"/>
        <v>0</v>
      </c>
      <c r="Q22" s="122"/>
      <c r="R22" s="123"/>
      <c r="S22" s="40">
        <f t="shared" si="18"/>
        <v>0</v>
      </c>
      <c r="T22" s="41">
        <f t="shared" si="13"/>
        <v>0</v>
      </c>
      <c r="U22" s="42" t="str">
        <f ca="1">IF(OR(Jornada=0,Jornada=""),"?",IF(I22="----","----",IF(K22="",0,IF(OR(Y22="Feriado",J22="Sábado",J22="Domingo"),T22*24*60,IF(AND(T22-Jornada&lt;=Tolerancia,T22-Jornada&gt;=-Tolerancia),0,(T22-Jornada)*24*60)))))</f>
        <v>?</v>
      </c>
      <c r="V22" s="127"/>
      <c r="W22" s="91" t="str">
        <f t="shared" ca="1" si="14"/>
        <v>----</v>
      </c>
      <c r="X22" s="16" t="str">
        <f t="shared" ca="1" si="15"/>
        <v/>
      </c>
      <c r="Y22" s="16" t="str">
        <f t="shared" ca="1" si="10"/>
        <v/>
      </c>
    </row>
    <row r="23" spans="2:25" x14ac:dyDescent="0.25">
      <c r="B23" s="18" t="str">
        <f t="shared" si="11"/>
        <v>0 - 43131</v>
      </c>
      <c r="C23" s="15">
        <f t="shared" si="0"/>
        <v>0</v>
      </c>
      <c r="D23" s="16" t="str">
        <f t="shared" ca="1" si="1"/>
        <v/>
      </c>
      <c r="E23" s="19" t="str">
        <f t="shared" ca="1" si="2"/>
        <v/>
      </c>
      <c r="F23" s="19" t="str">
        <f t="shared" ca="1" si="3"/>
        <v/>
      </c>
      <c r="G23" s="34">
        <f t="shared" si="4"/>
        <v>43131</v>
      </c>
      <c r="H23" s="22">
        <f t="shared" si="12"/>
        <v>2018</v>
      </c>
      <c r="I23" s="39">
        <f t="shared" si="5"/>
        <v>43114</v>
      </c>
      <c r="J23" s="55" t="str">
        <f t="shared" si="6"/>
        <v>Domingo</v>
      </c>
      <c r="K23" s="122"/>
      <c r="L23" s="123"/>
      <c r="M23" s="58">
        <f t="shared" si="16"/>
        <v>0</v>
      </c>
      <c r="N23" s="122"/>
      <c r="O23" s="123"/>
      <c r="P23" s="40">
        <f t="shared" si="17"/>
        <v>0</v>
      </c>
      <c r="Q23" s="122"/>
      <c r="R23" s="123"/>
      <c r="S23" s="40">
        <f t="shared" si="18"/>
        <v>0</v>
      </c>
      <c r="T23" s="41">
        <f t="shared" si="13"/>
        <v>0</v>
      </c>
      <c r="U23" s="42" t="str">
        <f ca="1">IF(OR(Jornada=0,Jornada=""),"?",IF(I23="----","----",IF(K23="",0,IF(OR(Y23="Feriado",J23="Sábado",J23="Domingo"),T23*24*60,IF(AND(T23-Jornada&lt;=Tolerancia,T23-Jornada&gt;=-Tolerancia),0,(T23-Jornada)*24*60)))))</f>
        <v>?</v>
      </c>
      <c r="V23" s="127"/>
      <c r="W23" s="91" t="str">
        <f t="shared" ca="1" si="14"/>
        <v>----</v>
      </c>
      <c r="X23" s="16" t="str">
        <f t="shared" ca="1" si="15"/>
        <v/>
      </c>
      <c r="Y23" s="16" t="str">
        <f t="shared" ca="1" si="10"/>
        <v/>
      </c>
    </row>
    <row r="24" spans="2:25" x14ac:dyDescent="0.25">
      <c r="B24" s="18" t="str">
        <f t="shared" si="11"/>
        <v>0 - 43131</v>
      </c>
      <c r="C24" s="15">
        <f t="shared" si="0"/>
        <v>0</v>
      </c>
      <c r="D24" s="16" t="str">
        <f t="shared" ca="1" si="1"/>
        <v/>
      </c>
      <c r="E24" s="19" t="str">
        <f t="shared" ca="1" si="2"/>
        <v/>
      </c>
      <c r="F24" s="19" t="str">
        <f t="shared" ca="1" si="3"/>
        <v/>
      </c>
      <c r="G24" s="34">
        <f t="shared" si="4"/>
        <v>43131</v>
      </c>
      <c r="H24" s="22">
        <f t="shared" si="12"/>
        <v>2018</v>
      </c>
      <c r="I24" s="39">
        <f t="shared" si="5"/>
        <v>43115</v>
      </c>
      <c r="J24" s="55" t="str">
        <f t="shared" si="6"/>
        <v>Segunda-feira</v>
      </c>
      <c r="K24" s="122"/>
      <c r="L24" s="123"/>
      <c r="M24" s="58">
        <f t="shared" si="16"/>
        <v>0</v>
      </c>
      <c r="N24" s="122"/>
      <c r="O24" s="123"/>
      <c r="P24" s="40">
        <f t="shared" si="17"/>
        <v>0</v>
      </c>
      <c r="Q24" s="122"/>
      <c r="R24" s="123"/>
      <c r="S24" s="40">
        <f t="shared" si="18"/>
        <v>0</v>
      </c>
      <c r="T24" s="41">
        <f t="shared" si="13"/>
        <v>0</v>
      </c>
      <c r="U24" s="42" t="str">
        <f ca="1">IF(OR(Jornada=0,Jornada=""),"?",IF(I24="----","----",IF(K24="",0,IF(OR(Y24="Feriado",J24="Sábado",J24="Domingo"),T24*24*60,IF(AND(T24-Jornada&lt;=Tolerancia,T24-Jornada&gt;=-Tolerancia),0,(T24-Jornada)*24*60)))))</f>
        <v>?</v>
      </c>
      <c r="V24" s="127"/>
      <c r="W24" s="91" t="str">
        <f t="shared" ca="1" si="14"/>
        <v>----</v>
      </c>
      <c r="X24" s="16" t="str">
        <f t="shared" ca="1" si="15"/>
        <v/>
      </c>
      <c r="Y24" s="16" t="str">
        <f t="shared" ca="1" si="10"/>
        <v/>
      </c>
    </row>
    <row r="25" spans="2:25" x14ac:dyDescent="0.25">
      <c r="B25" s="18" t="str">
        <f t="shared" si="11"/>
        <v>0 - 43131</v>
      </c>
      <c r="C25" s="15">
        <f t="shared" si="0"/>
        <v>0</v>
      </c>
      <c r="D25" s="16" t="str">
        <f t="shared" ca="1" si="1"/>
        <v/>
      </c>
      <c r="E25" s="19" t="str">
        <f t="shared" ca="1" si="2"/>
        <v/>
      </c>
      <c r="F25" s="19" t="str">
        <f t="shared" ca="1" si="3"/>
        <v/>
      </c>
      <c r="G25" s="34">
        <f t="shared" si="4"/>
        <v>43131</v>
      </c>
      <c r="H25" s="22">
        <f t="shared" si="12"/>
        <v>2018</v>
      </c>
      <c r="I25" s="39">
        <f t="shared" si="5"/>
        <v>43116</v>
      </c>
      <c r="J25" s="55" t="str">
        <f t="shared" si="6"/>
        <v>Terça-feira</v>
      </c>
      <c r="K25" s="122"/>
      <c r="L25" s="123"/>
      <c r="M25" s="58">
        <f t="shared" si="16"/>
        <v>0</v>
      </c>
      <c r="N25" s="122"/>
      <c r="O25" s="123"/>
      <c r="P25" s="40">
        <f t="shared" si="17"/>
        <v>0</v>
      </c>
      <c r="Q25" s="122"/>
      <c r="R25" s="123"/>
      <c r="S25" s="40">
        <f t="shared" si="18"/>
        <v>0</v>
      </c>
      <c r="T25" s="41">
        <f t="shared" si="13"/>
        <v>0</v>
      </c>
      <c r="U25" s="42" t="str">
        <f ca="1">IF(OR(Jornada=0,Jornada=""),"?",IF(I25="----","----",IF(K25="",0,IF(OR(Y25="Feriado",J25="Sábado",J25="Domingo"),T25*24*60,IF(AND(T25-Jornada&lt;=Tolerancia,T25-Jornada&gt;=-Tolerancia),0,(T25-Jornada)*24*60)))))</f>
        <v>?</v>
      </c>
      <c r="V25" s="127"/>
      <c r="W25" s="91" t="str">
        <f t="shared" ca="1" si="14"/>
        <v>----</v>
      </c>
      <c r="X25" s="16" t="str">
        <f t="shared" ca="1" si="15"/>
        <v/>
      </c>
      <c r="Y25" s="16" t="str">
        <f t="shared" ca="1" si="10"/>
        <v/>
      </c>
    </row>
    <row r="26" spans="2:25" x14ac:dyDescent="0.25">
      <c r="B26" s="18" t="str">
        <f t="shared" si="11"/>
        <v>0 - 43131</v>
      </c>
      <c r="C26" s="15">
        <f t="shared" si="0"/>
        <v>0</v>
      </c>
      <c r="D26" s="16" t="str">
        <f t="shared" ca="1" si="1"/>
        <v/>
      </c>
      <c r="E26" s="19" t="str">
        <f t="shared" ca="1" si="2"/>
        <v/>
      </c>
      <c r="F26" s="19" t="str">
        <f t="shared" ca="1" si="3"/>
        <v/>
      </c>
      <c r="G26" s="34">
        <f t="shared" si="4"/>
        <v>43131</v>
      </c>
      <c r="H26" s="22">
        <f t="shared" si="12"/>
        <v>2018</v>
      </c>
      <c r="I26" s="39">
        <f t="shared" si="5"/>
        <v>43117</v>
      </c>
      <c r="J26" s="55" t="str">
        <f t="shared" si="6"/>
        <v>Quarta-feira</v>
      </c>
      <c r="K26" s="122"/>
      <c r="L26" s="123"/>
      <c r="M26" s="58">
        <f t="shared" si="16"/>
        <v>0</v>
      </c>
      <c r="N26" s="122"/>
      <c r="O26" s="123"/>
      <c r="P26" s="40">
        <f t="shared" si="17"/>
        <v>0</v>
      </c>
      <c r="Q26" s="122"/>
      <c r="R26" s="123"/>
      <c r="S26" s="40">
        <f t="shared" si="18"/>
        <v>0</v>
      </c>
      <c r="T26" s="41">
        <f t="shared" si="13"/>
        <v>0</v>
      </c>
      <c r="U26" s="42" t="str">
        <f ca="1">IF(OR(Jornada=0,Jornada=""),"?",IF(I26="----","----",IF(K26="",0,IF(OR(Y26="Feriado",J26="Sábado",J26="Domingo"),T26*24*60,IF(AND(T26-Jornada&lt;=Tolerancia,T26-Jornada&gt;=-Tolerancia),0,(T26-Jornada)*24*60)))))</f>
        <v>?</v>
      </c>
      <c r="V26" s="127"/>
      <c r="W26" s="91" t="str">
        <f t="shared" ca="1" si="14"/>
        <v>----</v>
      </c>
      <c r="X26" s="16" t="str">
        <f t="shared" ca="1" si="15"/>
        <v/>
      </c>
      <c r="Y26" s="16" t="str">
        <f t="shared" ca="1" si="10"/>
        <v/>
      </c>
    </row>
    <row r="27" spans="2:25" x14ac:dyDescent="0.25">
      <c r="B27" s="18" t="str">
        <f t="shared" si="11"/>
        <v>0 - 43131</v>
      </c>
      <c r="C27" s="15">
        <f t="shared" si="0"/>
        <v>0</v>
      </c>
      <c r="D27" s="16" t="str">
        <f t="shared" ca="1" si="1"/>
        <v/>
      </c>
      <c r="E27" s="19" t="str">
        <f t="shared" ca="1" si="2"/>
        <v/>
      </c>
      <c r="F27" s="19" t="str">
        <f t="shared" ca="1" si="3"/>
        <v/>
      </c>
      <c r="G27" s="34">
        <f t="shared" si="4"/>
        <v>43131</v>
      </c>
      <c r="H27" s="22">
        <f t="shared" si="12"/>
        <v>2018</v>
      </c>
      <c r="I27" s="39">
        <f t="shared" si="5"/>
        <v>43118</v>
      </c>
      <c r="J27" s="55" t="str">
        <f t="shared" si="6"/>
        <v>Quinta-feira</v>
      </c>
      <c r="K27" s="122"/>
      <c r="L27" s="123"/>
      <c r="M27" s="58">
        <f t="shared" si="16"/>
        <v>0</v>
      </c>
      <c r="N27" s="122"/>
      <c r="O27" s="123"/>
      <c r="P27" s="40">
        <f t="shared" si="17"/>
        <v>0</v>
      </c>
      <c r="Q27" s="122"/>
      <c r="R27" s="123"/>
      <c r="S27" s="40">
        <f t="shared" si="18"/>
        <v>0</v>
      </c>
      <c r="T27" s="41">
        <f t="shared" si="13"/>
        <v>0</v>
      </c>
      <c r="U27" s="42" t="str">
        <f ca="1">IF(OR(Jornada=0,Jornada=""),"?",IF(I27="----","----",IF(K27="",0,IF(OR(Y27="Feriado",J27="Sábado",J27="Domingo"),T27*24*60,IF(AND(T27-Jornada&lt;=Tolerancia,T27-Jornada&gt;=-Tolerancia),0,(T27-Jornada)*24*60)))))</f>
        <v>?</v>
      </c>
      <c r="V27" s="127"/>
      <c r="W27" s="91" t="str">
        <f t="shared" ca="1" si="14"/>
        <v>----</v>
      </c>
      <c r="X27" s="16" t="str">
        <f t="shared" ca="1" si="15"/>
        <v/>
      </c>
      <c r="Y27" s="16" t="str">
        <f t="shared" ca="1" si="10"/>
        <v/>
      </c>
    </row>
    <row r="28" spans="2:25" x14ac:dyDescent="0.25">
      <c r="B28" s="18" t="str">
        <f t="shared" si="11"/>
        <v>0 - 43131</v>
      </c>
      <c r="C28" s="15">
        <f t="shared" si="0"/>
        <v>0</v>
      </c>
      <c r="D28" s="16" t="str">
        <f t="shared" ca="1" si="1"/>
        <v/>
      </c>
      <c r="E28" s="19" t="str">
        <f t="shared" ca="1" si="2"/>
        <v/>
      </c>
      <c r="F28" s="19" t="str">
        <f t="shared" ca="1" si="3"/>
        <v/>
      </c>
      <c r="G28" s="34">
        <f t="shared" si="4"/>
        <v>43131</v>
      </c>
      <c r="H28" s="22">
        <f t="shared" si="12"/>
        <v>2018</v>
      </c>
      <c r="I28" s="39">
        <f t="shared" si="5"/>
        <v>43119</v>
      </c>
      <c r="J28" s="55" t="str">
        <f t="shared" si="6"/>
        <v>Sexta-feira</v>
      </c>
      <c r="K28" s="122"/>
      <c r="L28" s="123"/>
      <c r="M28" s="58">
        <f t="shared" si="16"/>
        <v>0</v>
      </c>
      <c r="N28" s="122"/>
      <c r="O28" s="123"/>
      <c r="P28" s="40">
        <f t="shared" si="17"/>
        <v>0</v>
      </c>
      <c r="Q28" s="122"/>
      <c r="R28" s="123"/>
      <c r="S28" s="40">
        <f t="shared" si="18"/>
        <v>0</v>
      </c>
      <c r="T28" s="41">
        <f t="shared" si="13"/>
        <v>0</v>
      </c>
      <c r="U28" s="42" t="str">
        <f ca="1">IF(OR(Jornada=0,Jornada=""),"?",IF(I28="----","----",IF(K28="",0,IF(OR(Y28="Feriado",J28="Sábado",J28="Domingo"),T28*24*60,IF(AND(T28-Jornada&lt;=Tolerancia,T28-Jornada&gt;=-Tolerancia),0,(T28-Jornada)*24*60)))))</f>
        <v>?</v>
      </c>
      <c r="V28" s="127"/>
      <c r="W28" s="91" t="str">
        <f t="shared" ca="1" si="14"/>
        <v>----</v>
      </c>
      <c r="X28" s="16" t="str">
        <f t="shared" ca="1" si="15"/>
        <v/>
      </c>
      <c r="Y28" s="16" t="str">
        <f t="shared" ca="1" si="10"/>
        <v/>
      </c>
    </row>
    <row r="29" spans="2:25" x14ac:dyDescent="0.25">
      <c r="B29" s="18" t="str">
        <f t="shared" si="11"/>
        <v>0 - 43131</v>
      </c>
      <c r="C29" s="15">
        <f t="shared" si="0"/>
        <v>0</v>
      </c>
      <c r="D29" s="16" t="str">
        <f t="shared" ca="1" si="1"/>
        <v/>
      </c>
      <c r="E29" s="19" t="str">
        <f t="shared" ca="1" si="2"/>
        <v/>
      </c>
      <c r="F29" s="19" t="str">
        <f t="shared" ca="1" si="3"/>
        <v/>
      </c>
      <c r="G29" s="34">
        <f t="shared" si="4"/>
        <v>43131</v>
      </c>
      <c r="H29" s="22">
        <f t="shared" si="12"/>
        <v>2018</v>
      </c>
      <c r="I29" s="39">
        <f t="shared" si="5"/>
        <v>43120</v>
      </c>
      <c r="J29" s="55" t="str">
        <f t="shared" si="6"/>
        <v>Sábado</v>
      </c>
      <c r="K29" s="122"/>
      <c r="L29" s="123"/>
      <c r="M29" s="58">
        <f t="shared" si="16"/>
        <v>0</v>
      </c>
      <c r="N29" s="122"/>
      <c r="O29" s="123"/>
      <c r="P29" s="40">
        <f t="shared" si="17"/>
        <v>0</v>
      </c>
      <c r="Q29" s="122"/>
      <c r="R29" s="123"/>
      <c r="S29" s="40">
        <f t="shared" si="18"/>
        <v>0</v>
      </c>
      <c r="T29" s="41">
        <f t="shared" si="13"/>
        <v>0</v>
      </c>
      <c r="U29" s="42" t="str">
        <f ca="1">IF(OR(Jornada=0,Jornada=""),"?",IF(I29="----","----",IF(K29="",0,IF(OR(Y29="Feriado",J29="Sábado",J29="Domingo"),T29*24*60,IF(AND(T29-Jornada&lt;=Tolerancia,T29-Jornada&gt;=-Tolerancia),0,(T29-Jornada)*24*60)))))</f>
        <v>?</v>
      </c>
      <c r="V29" s="127"/>
      <c r="W29" s="91" t="str">
        <f t="shared" ca="1" si="14"/>
        <v>----</v>
      </c>
      <c r="X29" s="16" t="str">
        <f t="shared" ca="1" si="15"/>
        <v/>
      </c>
      <c r="Y29" s="16" t="str">
        <f t="shared" ca="1" si="10"/>
        <v/>
      </c>
    </row>
    <row r="30" spans="2:25" x14ac:dyDescent="0.25">
      <c r="B30" s="18" t="str">
        <f t="shared" si="11"/>
        <v>0 - 43131</v>
      </c>
      <c r="C30" s="15">
        <f t="shared" si="0"/>
        <v>0</v>
      </c>
      <c r="D30" s="16" t="str">
        <f t="shared" ca="1" si="1"/>
        <v/>
      </c>
      <c r="E30" s="19" t="str">
        <f t="shared" ca="1" si="2"/>
        <v/>
      </c>
      <c r="F30" s="19" t="str">
        <f t="shared" ca="1" si="3"/>
        <v/>
      </c>
      <c r="G30" s="34">
        <f t="shared" si="4"/>
        <v>43131</v>
      </c>
      <c r="H30" s="22">
        <f t="shared" si="12"/>
        <v>2018</v>
      </c>
      <c r="I30" s="39">
        <f t="shared" si="5"/>
        <v>43121</v>
      </c>
      <c r="J30" s="55" t="str">
        <f t="shared" si="6"/>
        <v>Domingo</v>
      </c>
      <c r="K30" s="122"/>
      <c r="L30" s="123"/>
      <c r="M30" s="58">
        <f t="shared" si="16"/>
        <v>0</v>
      </c>
      <c r="N30" s="122"/>
      <c r="O30" s="123"/>
      <c r="P30" s="40">
        <f t="shared" si="17"/>
        <v>0</v>
      </c>
      <c r="Q30" s="122"/>
      <c r="R30" s="123"/>
      <c r="S30" s="40">
        <f t="shared" si="18"/>
        <v>0</v>
      </c>
      <c r="T30" s="41">
        <f t="shared" si="13"/>
        <v>0</v>
      </c>
      <c r="U30" s="42" t="str">
        <f ca="1">IF(OR(Jornada=0,Jornada=""),"?",IF(I30="----","----",IF(K30="",0,IF(OR(Y30="Feriado",J30="Sábado",J30="Domingo"),T30*24*60,IF(AND(T30-Jornada&lt;=Tolerancia,T30-Jornada&gt;=-Tolerancia),0,(T30-Jornada)*24*60)))))</f>
        <v>?</v>
      </c>
      <c r="V30" s="127"/>
      <c r="W30" s="91" t="str">
        <f t="shared" ca="1" si="14"/>
        <v>----</v>
      </c>
      <c r="X30" s="16" t="str">
        <f t="shared" ca="1" si="15"/>
        <v/>
      </c>
      <c r="Y30" s="16" t="str">
        <f t="shared" ca="1" si="10"/>
        <v/>
      </c>
    </row>
    <row r="31" spans="2:25" x14ac:dyDescent="0.25">
      <c r="B31" s="18" t="str">
        <f t="shared" si="11"/>
        <v>0 - 43131</v>
      </c>
      <c r="C31" s="15">
        <f t="shared" si="0"/>
        <v>0</v>
      </c>
      <c r="D31" s="16" t="str">
        <f t="shared" ca="1" si="1"/>
        <v/>
      </c>
      <c r="E31" s="19" t="str">
        <f t="shared" ca="1" si="2"/>
        <v/>
      </c>
      <c r="F31" s="19" t="str">
        <f t="shared" ca="1" si="3"/>
        <v/>
      </c>
      <c r="G31" s="34">
        <f t="shared" si="4"/>
        <v>43131</v>
      </c>
      <c r="H31" s="22">
        <f t="shared" si="12"/>
        <v>2018</v>
      </c>
      <c r="I31" s="39">
        <f t="shared" si="5"/>
        <v>43122</v>
      </c>
      <c r="J31" s="55" t="str">
        <f t="shared" si="6"/>
        <v>Segunda-feira</v>
      </c>
      <c r="K31" s="122"/>
      <c r="L31" s="123"/>
      <c r="M31" s="58">
        <f t="shared" si="16"/>
        <v>0</v>
      </c>
      <c r="N31" s="122"/>
      <c r="O31" s="123"/>
      <c r="P31" s="40">
        <f t="shared" si="17"/>
        <v>0</v>
      </c>
      <c r="Q31" s="122"/>
      <c r="R31" s="123"/>
      <c r="S31" s="40">
        <f t="shared" si="18"/>
        <v>0</v>
      </c>
      <c r="T31" s="41">
        <f t="shared" si="13"/>
        <v>0</v>
      </c>
      <c r="U31" s="42" t="str">
        <f ca="1">IF(OR(Jornada=0,Jornada=""),"?",IF(I31="----","----",IF(K31="",0,IF(OR(Y31="Feriado",J31="Sábado",J31="Domingo"),T31*24*60,IF(AND(T31-Jornada&lt;=Tolerancia,T31-Jornada&gt;=-Tolerancia),0,(T31-Jornada)*24*60)))))</f>
        <v>?</v>
      </c>
      <c r="V31" s="127"/>
      <c r="W31" s="91" t="str">
        <f t="shared" ca="1" si="14"/>
        <v>----</v>
      </c>
      <c r="X31" s="16" t="str">
        <f t="shared" ca="1" si="15"/>
        <v/>
      </c>
      <c r="Y31" s="16" t="str">
        <f t="shared" ca="1" si="10"/>
        <v/>
      </c>
    </row>
    <row r="32" spans="2:25" x14ac:dyDescent="0.25">
      <c r="B32" s="18" t="str">
        <f t="shared" si="11"/>
        <v>0 - 43131</v>
      </c>
      <c r="C32" s="15">
        <f t="shared" si="0"/>
        <v>0</v>
      </c>
      <c r="D32" s="16" t="str">
        <f t="shared" ca="1" si="1"/>
        <v/>
      </c>
      <c r="E32" s="19" t="str">
        <f t="shared" ca="1" si="2"/>
        <v/>
      </c>
      <c r="F32" s="19" t="str">
        <f t="shared" ca="1" si="3"/>
        <v/>
      </c>
      <c r="G32" s="34">
        <f t="shared" si="4"/>
        <v>43131</v>
      </c>
      <c r="H32" s="22">
        <f t="shared" si="12"/>
        <v>2018</v>
      </c>
      <c r="I32" s="39">
        <f t="shared" si="5"/>
        <v>43123</v>
      </c>
      <c r="J32" s="55" t="str">
        <f t="shared" si="6"/>
        <v>Terça-feira</v>
      </c>
      <c r="K32" s="122"/>
      <c r="L32" s="123"/>
      <c r="M32" s="58">
        <f t="shared" si="16"/>
        <v>0</v>
      </c>
      <c r="N32" s="122"/>
      <c r="O32" s="123"/>
      <c r="P32" s="40">
        <f t="shared" si="17"/>
        <v>0</v>
      </c>
      <c r="Q32" s="122"/>
      <c r="R32" s="123"/>
      <c r="S32" s="40">
        <f t="shared" si="18"/>
        <v>0</v>
      </c>
      <c r="T32" s="41">
        <f t="shared" si="13"/>
        <v>0</v>
      </c>
      <c r="U32" s="42" t="str">
        <f ca="1">IF(OR(Jornada=0,Jornada=""),"?",IF(I32="----","----",IF(K32="",0,IF(OR(Y32="Feriado",J32="Sábado",J32="Domingo"),T32*24*60,IF(AND(T32-Jornada&lt;=Tolerancia,T32-Jornada&gt;=-Tolerancia),0,(T32-Jornada)*24*60)))))</f>
        <v>?</v>
      </c>
      <c r="V32" s="127"/>
      <c r="W32" s="91" t="str">
        <f t="shared" ca="1" si="14"/>
        <v>----</v>
      </c>
      <c r="X32" s="16" t="str">
        <f t="shared" ca="1" si="15"/>
        <v/>
      </c>
      <c r="Y32" s="16" t="str">
        <f t="shared" ca="1" si="10"/>
        <v/>
      </c>
    </row>
    <row r="33" spans="2:25" x14ac:dyDescent="0.25">
      <c r="B33" s="18" t="str">
        <f t="shared" si="11"/>
        <v>0 - 43131</v>
      </c>
      <c r="C33" s="15">
        <f t="shared" si="0"/>
        <v>0</v>
      </c>
      <c r="D33" s="16" t="str">
        <f t="shared" ca="1" si="1"/>
        <v/>
      </c>
      <c r="E33" s="19" t="str">
        <f t="shared" ca="1" si="2"/>
        <v/>
      </c>
      <c r="F33" s="19" t="str">
        <f t="shared" ca="1" si="3"/>
        <v/>
      </c>
      <c r="G33" s="34">
        <f t="shared" si="4"/>
        <v>43131</v>
      </c>
      <c r="H33" s="22">
        <f t="shared" si="12"/>
        <v>2018</v>
      </c>
      <c r="I33" s="39">
        <f t="shared" si="5"/>
        <v>43124</v>
      </c>
      <c r="J33" s="55" t="str">
        <f t="shared" si="6"/>
        <v>Quarta-feira</v>
      </c>
      <c r="K33" s="122"/>
      <c r="L33" s="123"/>
      <c r="M33" s="58">
        <f t="shared" si="16"/>
        <v>0</v>
      </c>
      <c r="N33" s="122"/>
      <c r="O33" s="123"/>
      <c r="P33" s="40">
        <f t="shared" si="17"/>
        <v>0</v>
      </c>
      <c r="Q33" s="122"/>
      <c r="R33" s="123"/>
      <c r="S33" s="40">
        <f t="shared" si="18"/>
        <v>0</v>
      </c>
      <c r="T33" s="41">
        <f t="shared" si="13"/>
        <v>0</v>
      </c>
      <c r="U33" s="42" t="str">
        <f ca="1">IF(OR(Jornada=0,Jornada=""),"?",IF(I33="----","----",IF(K33="",0,IF(OR(Y33="Feriado",J33="Sábado",J33="Domingo"),T33*24*60,IF(AND(T33-Jornada&lt;=Tolerancia,T33-Jornada&gt;=-Tolerancia),0,(T33-Jornada)*24*60)))))</f>
        <v>?</v>
      </c>
      <c r="V33" s="127"/>
      <c r="W33" s="91" t="str">
        <f t="shared" ca="1" si="14"/>
        <v>----</v>
      </c>
      <c r="X33" s="16" t="str">
        <f t="shared" ca="1" si="15"/>
        <v/>
      </c>
      <c r="Y33" s="16" t="str">
        <f t="shared" ca="1" si="10"/>
        <v/>
      </c>
    </row>
    <row r="34" spans="2:25" x14ac:dyDescent="0.25">
      <c r="B34" s="18" t="str">
        <f t="shared" si="11"/>
        <v>0 - 43131</v>
      </c>
      <c r="C34" s="15">
        <f t="shared" si="0"/>
        <v>0</v>
      </c>
      <c r="D34" s="16" t="str">
        <f t="shared" ca="1" si="1"/>
        <v/>
      </c>
      <c r="E34" s="19" t="str">
        <f t="shared" ca="1" si="2"/>
        <v/>
      </c>
      <c r="F34" s="19" t="str">
        <f t="shared" ca="1" si="3"/>
        <v/>
      </c>
      <c r="G34" s="34">
        <f t="shared" si="4"/>
        <v>43131</v>
      </c>
      <c r="H34" s="22">
        <f t="shared" si="12"/>
        <v>2018</v>
      </c>
      <c r="I34" s="39">
        <f t="shared" si="5"/>
        <v>43125</v>
      </c>
      <c r="J34" s="55" t="str">
        <f t="shared" si="6"/>
        <v>Quinta-feira</v>
      </c>
      <c r="K34" s="122"/>
      <c r="L34" s="123"/>
      <c r="M34" s="58">
        <f t="shared" si="16"/>
        <v>0</v>
      </c>
      <c r="N34" s="122"/>
      <c r="O34" s="123"/>
      <c r="P34" s="40">
        <f t="shared" si="17"/>
        <v>0</v>
      </c>
      <c r="Q34" s="122"/>
      <c r="R34" s="123"/>
      <c r="S34" s="40">
        <f t="shared" si="18"/>
        <v>0</v>
      </c>
      <c r="T34" s="41">
        <f t="shared" si="13"/>
        <v>0</v>
      </c>
      <c r="U34" s="42" t="str">
        <f ca="1">IF(OR(Jornada=0,Jornada=""),"?",IF(I34="----","----",IF(K34="",0,IF(OR(Y34="Feriado",J34="Sábado",J34="Domingo"),T34*24*60,IF(AND(T34-Jornada&lt;=Tolerancia,T34-Jornada&gt;=-Tolerancia),0,(T34-Jornada)*24*60)))))</f>
        <v>?</v>
      </c>
      <c r="V34" s="127"/>
      <c r="W34" s="91" t="str">
        <f t="shared" ca="1" si="14"/>
        <v>----</v>
      </c>
      <c r="X34" s="16" t="str">
        <f t="shared" ca="1" si="15"/>
        <v/>
      </c>
      <c r="Y34" s="16" t="str">
        <f t="shared" ca="1" si="10"/>
        <v/>
      </c>
    </row>
    <row r="35" spans="2:25" x14ac:dyDescent="0.25">
      <c r="B35" s="18" t="str">
        <f t="shared" si="11"/>
        <v>0 - 43131</v>
      </c>
      <c r="C35" s="15">
        <f t="shared" si="0"/>
        <v>0</v>
      </c>
      <c r="D35" s="16" t="str">
        <f t="shared" ca="1" si="1"/>
        <v/>
      </c>
      <c r="E35" s="19" t="str">
        <f t="shared" ca="1" si="2"/>
        <v/>
      </c>
      <c r="F35" s="19" t="str">
        <f t="shared" ca="1" si="3"/>
        <v/>
      </c>
      <c r="G35" s="34">
        <f t="shared" si="4"/>
        <v>43131</v>
      </c>
      <c r="H35" s="22">
        <f t="shared" si="12"/>
        <v>2018</v>
      </c>
      <c r="I35" s="39">
        <f t="shared" si="5"/>
        <v>43126</v>
      </c>
      <c r="J35" s="55" t="str">
        <f t="shared" si="6"/>
        <v>Sexta-feira</v>
      </c>
      <c r="K35" s="122"/>
      <c r="L35" s="123"/>
      <c r="M35" s="58">
        <f t="shared" si="16"/>
        <v>0</v>
      </c>
      <c r="N35" s="122"/>
      <c r="O35" s="123"/>
      <c r="P35" s="40">
        <f t="shared" si="17"/>
        <v>0</v>
      </c>
      <c r="Q35" s="122"/>
      <c r="R35" s="123"/>
      <c r="S35" s="40">
        <f t="shared" si="18"/>
        <v>0</v>
      </c>
      <c r="T35" s="41">
        <f t="shared" si="13"/>
        <v>0</v>
      </c>
      <c r="U35" s="42" t="str">
        <f ca="1">IF(OR(Jornada=0,Jornada=""),"?",IF(I35="----","----",IF(K35="",0,IF(OR(Y35="Feriado",J35="Sábado",J35="Domingo"),T35*24*60,IF(AND(T35-Jornada&lt;=Tolerancia,T35-Jornada&gt;=-Tolerancia),0,(T35-Jornada)*24*60)))))</f>
        <v>?</v>
      </c>
      <c r="V35" s="127"/>
      <c r="W35" s="91" t="str">
        <f t="shared" ca="1" si="14"/>
        <v>----</v>
      </c>
      <c r="X35" s="16" t="str">
        <f t="shared" ca="1" si="15"/>
        <v/>
      </c>
      <c r="Y35" s="16" t="str">
        <f t="shared" ca="1" si="10"/>
        <v/>
      </c>
    </row>
    <row r="36" spans="2:25" x14ac:dyDescent="0.25">
      <c r="B36" s="18" t="str">
        <f t="shared" si="11"/>
        <v>0 - 43131</v>
      </c>
      <c r="C36" s="15">
        <f t="shared" si="0"/>
        <v>0</v>
      </c>
      <c r="D36" s="16" t="str">
        <f t="shared" ca="1" si="1"/>
        <v/>
      </c>
      <c r="E36" s="19" t="str">
        <f t="shared" ca="1" si="2"/>
        <v/>
      </c>
      <c r="F36" s="19" t="str">
        <f t="shared" ca="1" si="3"/>
        <v/>
      </c>
      <c r="G36" s="34">
        <f t="shared" si="4"/>
        <v>43131</v>
      </c>
      <c r="H36" s="22">
        <f t="shared" si="12"/>
        <v>2018</v>
      </c>
      <c r="I36" s="39">
        <f t="shared" si="5"/>
        <v>43127</v>
      </c>
      <c r="J36" s="55" t="str">
        <f t="shared" si="6"/>
        <v>Sábado</v>
      </c>
      <c r="K36" s="122"/>
      <c r="L36" s="123"/>
      <c r="M36" s="58">
        <f t="shared" si="16"/>
        <v>0</v>
      </c>
      <c r="N36" s="122"/>
      <c r="O36" s="123"/>
      <c r="P36" s="40">
        <f t="shared" si="17"/>
        <v>0</v>
      </c>
      <c r="Q36" s="122"/>
      <c r="R36" s="123"/>
      <c r="S36" s="40">
        <f t="shared" si="18"/>
        <v>0</v>
      </c>
      <c r="T36" s="41">
        <f t="shared" si="13"/>
        <v>0</v>
      </c>
      <c r="U36" s="42" t="str">
        <f ca="1">IF(OR(Jornada=0,Jornada=""),"?",IF(I36="----","----",IF(K36="",0,IF(OR(Y36="Feriado",J36="Sábado",J36="Domingo"),T36*24*60,IF(AND(T36-Jornada&lt;=Tolerancia,T36-Jornada&gt;=-Tolerancia),0,(T36-Jornada)*24*60)))))</f>
        <v>?</v>
      </c>
      <c r="V36" s="127"/>
      <c r="W36" s="91" t="str">
        <f t="shared" ca="1" si="14"/>
        <v>----</v>
      </c>
      <c r="X36" s="16" t="str">
        <f t="shared" ca="1" si="15"/>
        <v/>
      </c>
      <c r="Y36" s="16" t="str">
        <f t="shared" ca="1" si="10"/>
        <v/>
      </c>
    </row>
    <row r="37" spans="2:25" x14ac:dyDescent="0.25">
      <c r="B37" s="18" t="str">
        <f t="shared" si="11"/>
        <v>0 - 43131</v>
      </c>
      <c r="C37" s="15">
        <f t="shared" si="0"/>
        <v>0</v>
      </c>
      <c r="D37" s="16" t="str">
        <f t="shared" ca="1" si="1"/>
        <v/>
      </c>
      <c r="E37" s="19" t="str">
        <f t="shared" ca="1" si="2"/>
        <v/>
      </c>
      <c r="F37" s="19" t="str">
        <f t="shared" ca="1" si="3"/>
        <v/>
      </c>
      <c r="G37" s="34">
        <f t="shared" si="4"/>
        <v>43131</v>
      </c>
      <c r="H37" s="22">
        <f t="shared" si="12"/>
        <v>2018</v>
      </c>
      <c r="I37" s="39">
        <f t="shared" si="5"/>
        <v>43128</v>
      </c>
      <c r="J37" s="55" t="str">
        <f t="shared" si="6"/>
        <v>Domingo</v>
      </c>
      <c r="K37" s="122"/>
      <c r="L37" s="123"/>
      <c r="M37" s="58">
        <f t="shared" si="16"/>
        <v>0</v>
      </c>
      <c r="N37" s="122"/>
      <c r="O37" s="123"/>
      <c r="P37" s="40">
        <f t="shared" si="17"/>
        <v>0</v>
      </c>
      <c r="Q37" s="122"/>
      <c r="R37" s="123"/>
      <c r="S37" s="40">
        <f t="shared" si="18"/>
        <v>0</v>
      </c>
      <c r="T37" s="41">
        <f t="shared" si="13"/>
        <v>0</v>
      </c>
      <c r="U37" s="42" t="str">
        <f ca="1">IF(OR(Jornada=0,Jornada=""),"?",IF(I37="----","----",IF(K37="",0,IF(OR(Y37="Feriado",J37="Sábado",J37="Domingo"),T37*24*60,IF(AND(T37-Jornada&lt;=Tolerancia,T37-Jornada&gt;=-Tolerancia),0,(T37-Jornada)*24*60)))))</f>
        <v>?</v>
      </c>
      <c r="V37" s="127"/>
      <c r="W37" s="91" t="str">
        <f t="shared" ca="1" si="14"/>
        <v>----</v>
      </c>
      <c r="X37" s="16" t="str">
        <f t="shared" ca="1" si="15"/>
        <v/>
      </c>
      <c r="Y37" s="16" t="str">
        <f t="shared" ca="1" si="10"/>
        <v/>
      </c>
    </row>
    <row r="38" spans="2:25" x14ac:dyDescent="0.25">
      <c r="B38" s="18" t="str">
        <f t="shared" si="11"/>
        <v>0 - 43131</v>
      </c>
      <c r="C38" s="15">
        <f t="shared" si="0"/>
        <v>0</v>
      </c>
      <c r="D38" s="16" t="str">
        <f t="shared" ca="1" si="1"/>
        <v/>
      </c>
      <c r="E38" s="19" t="str">
        <f t="shared" ca="1" si="2"/>
        <v/>
      </c>
      <c r="F38" s="19" t="str">
        <f t="shared" ca="1" si="3"/>
        <v/>
      </c>
      <c r="G38" s="34">
        <f t="shared" si="4"/>
        <v>43131</v>
      </c>
      <c r="H38" s="22">
        <f t="shared" si="12"/>
        <v>2018</v>
      </c>
      <c r="I38" s="39">
        <f t="shared" si="5"/>
        <v>43129</v>
      </c>
      <c r="J38" s="55" t="str">
        <f t="shared" si="6"/>
        <v>Segunda-feira</v>
      </c>
      <c r="K38" s="122"/>
      <c r="L38" s="123"/>
      <c r="M38" s="58">
        <f t="shared" si="16"/>
        <v>0</v>
      </c>
      <c r="N38" s="122"/>
      <c r="O38" s="123"/>
      <c r="P38" s="40">
        <f t="shared" si="17"/>
        <v>0</v>
      </c>
      <c r="Q38" s="122"/>
      <c r="R38" s="123"/>
      <c r="S38" s="40">
        <f t="shared" si="18"/>
        <v>0</v>
      </c>
      <c r="T38" s="41">
        <f t="shared" si="13"/>
        <v>0</v>
      </c>
      <c r="U38" s="42" t="str">
        <f ca="1">IF(OR(Jornada=0,Jornada=""),"?",IF(I38="----","----",IF(K38="",0,IF(OR(Y38="Feriado",J38="Sábado",J38="Domingo"),T38*24*60,IF(AND(T38-Jornada&lt;=Tolerancia,T38-Jornada&gt;=-Tolerancia),0,(T38-Jornada)*24*60)))))</f>
        <v>?</v>
      </c>
      <c r="V38" s="127"/>
      <c r="W38" s="91" t="str">
        <f t="shared" ca="1" si="14"/>
        <v>----</v>
      </c>
      <c r="X38" s="16" t="str">
        <f t="shared" ca="1" si="15"/>
        <v/>
      </c>
      <c r="Y38" s="16" t="str">
        <f t="shared" ca="1" si="10"/>
        <v/>
      </c>
    </row>
    <row r="39" spans="2:25" x14ac:dyDescent="0.25">
      <c r="B39" s="18" t="str">
        <f t="shared" si="11"/>
        <v>0 - 43131</v>
      </c>
      <c r="C39" s="15">
        <f t="shared" si="0"/>
        <v>0</v>
      </c>
      <c r="D39" s="16" t="str">
        <f t="shared" ca="1" si="1"/>
        <v/>
      </c>
      <c r="E39" s="19" t="str">
        <f t="shared" ca="1" si="2"/>
        <v/>
      </c>
      <c r="F39" s="19" t="str">
        <f t="shared" ca="1" si="3"/>
        <v/>
      </c>
      <c r="G39" s="34">
        <f t="shared" si="4"/>
        <v>43131</v>
      </c>
      <c r="H39" s="22">
        <f t="shared" si="12"/>
        <v>2018</v>
      </c>
      <c r="I39" s="39">
        <f t="shared" si="5"/>
        <v>43130</v>
      </c>
      <c r="J39" s="55" t="str">
        <f t="shared" si="6"/>
        <v>Terça-feira</v>
      </c>
      <c r="K39" s="122"/>
      <c r="L39" s="123"/>
      <c r="M39" s="58">
        <f t="shared" si="16"/>
        <v>0</v>
      </c>
      <c r="N39" s="122"/>
      <c r="O39" s="123"/>
      <c r="P39" s="40">
        <f t="shared" si="17"/>
        <v>0</v>
      </c>
      <c r="Q39" s="122"/>
      <c r="R39" s="123"/>
      <c r="S39" s="40">
        <f t="shared" si="18"/>
        <v>0</v>
      </c>
      <c r="T39" s="41">
        <f t="shared" si="13"/>
        <v>0</v>
      </c>
      <c r="U39" s="42" t="str">
        <f ca="1">IF(OR(Jornada=0,Jornada=""),"?",IF(I39="----","----",IF(K39="",0,IF(OR(Y39="Feriado",J39="Sábado",J39="Domingo"),T39*24*60,IF(AND(T39-Jornada&lt;=Tolerancia,T39-Jornada&gt;=-Tolerancia),0,(T39-Jornada)*24*60)))))</f>
        <v>?</v>
      </c>
      <c r="V39" s="127"/>
      <c r="W39" s="91" t="str">
        <f t="shared" ca="1" si="14"/>
        <v>----</v>
      </c>
      <c r="X39" s="16" t="str">
        <f t="shared" ca="1" si="15"/>
        <v/>
      </c>
      <c r="Y39" s="16" t="str">
        <f t="shared" ca="1" si="10"/>
        <v/>
      </c>
    </row>
    <row r="40" spans="2:25" ht="15.75" thickBot="1" x14ac:dyDescent="0.3">
      <c r="B40" s="18" t="str">
        <f t="shared" si="11"/>
        <v>0 - 43131</v>
      </c>
      <c r="C40" s="15">
        <f t="shared" si="0"/>
        <v>0</v>
      </c>
      <c r="D40" s="16" t="str">
        <f t="shared" ca="1" si="1"/>
        <v/>
      </c>
      <c r="E40" s="19" t="str">
        <f t="shared" ca="1" si="2"/>
        <v/>
      </c>
      <c r="F40" s="19" t="str">
        <f t="shared" ca="1" si="3"/>
        <v/>
      </c>
      <c r="G40" s="34">
        <f t="shared" si="4"/>
        <v>43131</v>
      </c>
      <c r="H40" s="22">
        <f t="shared" si="12"/>
        <v>2018</v>
      </c>
      <c r="I40" s="43">
        <f t="shared" si="5"/>
        <v>43131</v>
      </c>
      <c r="J40" s="56" t="str">
        <f t="shared" si="6"/>
        <v>Quarta-feira</v>
      </c>
      <c r="K40" s="124"/>
      <c r="L40" s="125"/>
      <c r="M40" s="59">
        <f t="shared" si="16"/>
        <v>0</v>
      </c>
      <c r="N40" s="124"/>
      <c r="O40" s="125"/>
      <c r="P40" s="44">
        <f t="shared" si="17"/>
        <v>0</v>
      </c>
      <c r="Q40" s="124"/>
      <c r="R40" s="125"/>
      <c r="S40" s="44">
        <f t="shared" si="18"/>
        <v>0</v>
      </c>
      <c r="T40" s="45">
        <f t="shared" si="13"/>
        <v>0</v>
      </c>
      <c r="U40" s="46" t="str">
        <f ca="1">IF(OR(Jornada=0,Jornada=""),"?",IF(I40="----","----",IF(K40="",0,IF(OR(Y40="Feriado",J40="Sábado",J40="Domingo"),T40*24*60,IF(AND(T40-Jornada&lt;=Tolerancia,T40-Jornada&gt;=-Tolerancia),0,(T40-Jornada)*24*60)))))</f>
        <v>?</v>
      </c>
      <c r="V40" s="128"/>
      <c r="W40" s="91" t="str">
        <f t="shared" ca="1" si="14"/>
        <v>----</v>
      </c>
      <c r="X40" s="16" t="str">
        <f t="shared" ca="1" si="15"/>
        <v/>
      </c>
      <c r="Y40" s="16" t="str">
        <f t="shared" ca="1" si="10"/>
        <v/>
      </c>
    </row>
    <row r="41" spans="2:25" x14ac:dyDescent="0.25">
      <c r="I41" s="18"/>
    </row>
    <row r="42" spans="2:25" hidden="1" x14ac:dyDescent="0.25">
      <c r="B42" s="33" t="s">
        <v>39</v>
      </c>
      <c r="C42" s="33" t="s">
        <v>1</v>
      </c>
      <c r="D42" s="27" t="s">
        <v>11</v>
      </c>
      <c r="E42" s="27" t="s">
        <v>16</v>
      </c>
      <c r="F42" s="27" t="s">
        <v>30</v>
      </c>
      <c r="G42" s="27" t="s">
        <v>32</v>
      </c>
      <c r="H42" s="27" t="s">
        <v>78</v>
      </c>
      <c r="I42" s="83" t="s">
        <v>79</v>
      </c>
      <c r="J42" s="33" t="s">
        <v>75</v>
      </c>
      <c r="K42" s="33" t="s">
        <v>80</v>
      </c>
      <c r="L42" s="27" t="s">
        <v>78</v>
      </c>
    </row>
    <row r="43" spans="2:25" hidden="1" x14ac:dyDescent="0.25">
      <c r="B43" s="18" t="str">
        <f>CONCATENATE(C43," - ",G10)</f>
        <v>0 - 43131</v>
      </c>
      <c r="C43" s="15">
        <f>Colaborador</f>
        <v>0</v>
      </c>
      <c r="D43" s="16" t="str">
        <f ca="1">Nro_RI</f>
        <v/>
      </c>
      <c r="E43" s="21">
        <f>EOMONTH(DATE(U4,U6,1),0)</f>
        <v>43131</v>
      </c>
      <c r="F43" s="22">
        <f>YEAR(Mes_Ano)</f>
        <v>2018</v>
      </c>
      <c r="G43" s="20">
        <f ca="1">SUM(U10:U40)</f>
        <v>0</v>
      </c>
      <c r="H43" s="16">
        <f ca="1">G43/60</f>
        <v>0</v>
      </c>
      <c r="J43" s="18" t="s">
        <v>76</v>
      </c>
      <c r="K43" s="82">
        <f ca="1">-G43</f>
        <v>0</v>
      </c>
      <c r="L43" s="15">
        <f ca="1">-H43</f>
        <v>0</v>
      </c>
    </row>
    <row r="44" spans="2:25" x14ac:dyDescent="0.25">
      <c r="E44" s="107"/>
      <c r="I44" s="18"/>
    </row>
    <row r="45" spans="2:25" x14ac:dyDescent="0.25">
      <c r="I45" s="18"/>
    </row>
    <row r="46" spans="2:25" x14ac:dyDescent="0.25">
      <c r="I46" s="18"/>
    </row>
    <row r="47" spans="2:25" x14ac:dyDescent="0.25">
      <c r="I47" s="18"/>
    </row>
    <row r="48" spans="2:25" x14ac:dyDescent="0.25">
      <c r="I48" s="18"/>
    </row>
    <row r="49" spans="9:9" x14ac:dyDescent="0.25">
      <c r="I49" s="18"/>
    </row>
    <row r="50" spans="9:9" x14ac:dyDescent="0.25">
      <c r="I50" s="18"/>
    </row>
    <row r="51" spans="9:9" x14ac:dyDescent="0.25">
      <c r="I51" s="18"/>
    </row>
    <row r="52" spans="9:9" x14ac:dyDescent="0.25">
      <c r="I52" s="18"/>
    </row>
    <row r="53" spans="9:9" x14ac:dyDescent="0.25">
      <c r="I53" s="18"/>
    </row>
    <row r="54" spans="9:9" x14ac:dyDescent="0.25">
      <c r="I54" s="18"/>
    </row>
    <row r="55" spans="9:9" x14ac:dyDescent="0.25">
      <c r="I55" s="18"/>
    </row>
    <row r="56" spans="9:9" x14ac:dyDescent="0.25">
      <c r="I56" s="18"/>
    </row>
    <row r="57" spans="9:9" x14ac:dyDescent="0.25">
      <c r="I57" s="18"/>
    </row>
    <row r="58" spans="9:9" x14ac:dyDescent="0.25">
      <c r="I58" s="18"/>
    </row>
    <row r="59" spans="9:9" x14ac:dyDescent="0.25">
      <c r="I59" s="18"/>
    </row>
    <row r="60" spans="9:9" x14ac:dyDescent="0.25">
      <c r="I60" s="18"/>
    </row>
    <row r="61" spans="9:9" x14ac:dyDescent="0.25">
      <c r="I61" s="18"/>
    </row>
    <row r="62" spans="9:9" x14ac:dyDescent="0.25">
      <c r="I62" s="18"/>
    </row>
    <row r="63" spans="9:9" x14ac:dyDescent="0.25">
      <c r="I63" s="18"/>
    </row>
    <row r="64" spans="9:9" x14ac:dyDescent="0.25">
      <c r="I64" s="18"/>
    </row>
    <row r="65" spans="9:9" x14ac:dyDescent="0.25">
      <c r="I65" s="18"/>
    </row>
    <row r="66" spans="9:9" x14ac:dyDescent="0.25">
      <c r="I66" s="18"/>
    </row>
    <row r="67" spans="9:9" x14ac:dyDescent="0.25">
      <c r="I67" s="18"/>
    </row>
    <row r="68" spans="9:9" x14ac:dyDescent="0.25">
      <c r="I68" s="18"/>
    </row>
    <row r="69" spans="9:9" x14ac:dyDescent="0.25">
      <c r="I69" s="18"/>
    </row>
    <row r="70" spans="9:9" x14ac:dyDescent="0.25">
      <c r="I70" s="18"/>
    </row>
    <row r="71" spans="9:9" x14ac:dyDescent="0.25">
      <c r="I71" s="18"/>
    </row>
    <row r="72" spans="9:9" x14ac:dyDescent="0.25">
      <c r="I72" s="18"/>
    </row>
    <row r="73" spans="9:9" x14ac:dyDescent="0.25">
      <c r="I73" s="18"/>
    </row>
    <row r="74" spans="9:9" x14ac:dyDescent="0.25">
      <c r="I74" s="18"/>
    </row>
    <row r="75" spans="9:9" x14ac:dyDescent="0.25">
      <c r="I75" s="18"/>
    </row>
    <row r="76" spans="9:9" x14ac:dyDescent="0.25">
      <c r="I76" s="18"/>
    </row>
    <row r="77" spans="9:9" x14ac:dyDescent="0.25">
      <c r="I77" s="18"/>
    </row>
    <row r="78" spans="9:9" x14ac:dyDescent="0.25">
      <c r="I78" s="18"/>
    </row>
    <row r="79" spans="9:9" x14ac:dyDescent="0.25">
      <c r="I79" s="18"/>
    </row>
    <row r="80" spans="9:9" x14ac:dyDescent="0.25">
      <c r="I80" s="18"/>
    </row>
    <row r="81" spans="9:9" x14ac:dyDescent="0.25">
      <c r="I81" s="18"/>
    </row>
    <row r="82" spans="9:9" x14ac:dyDescent="0.25">
      <c r="I82" s="18"/>
    </row>
    <row r="83" spans="9:9" x14ac:dyDescent="0.25">
      <c r="I83" s="18"/>
    </row>
    <row r="84" spans="9:9" x14ac:dyDescent="0.25">
      <c r="I84" s="18"/>
    </row>
  </sheetData>
  <sheetProtection selectLockedCells="1"/>
  <mergeCells count="4">
    <mergeCell ref="O4:P4"/>
    <mergeCell ref="J4:N4"/>
    <mergeCell ref="J6:K6"/>
    <mergeCell ref="O6:P6"/>
  </mergeCells>
  <conditionalFormatting sqref="I10:Y40">
    <cfRule type="expression" dxfId="8" priority="2">
      <formula>$Y10="Feriado"</formula>
    </cfRule>
    <cfRule type="expression" dxfId="7" priority="4">
      <formula>IF(OR($J10="Sábado",$J10="Domingo"),TRUE,FALSE)</formula>
    </cfRule>
  </conditionalFormatting>
  <conditionalFormatting sqref="K10:L40 Q10:R40 N10:O40 V10:V40">
    <cfRule type="expression" dxfId="6" priority="1">
      <formula>$J$4&lt;&gt;""</formula>
    </cfRule>
  </conditionalFormatting>
  <dataValidations count="3">
    <dataValidation type="whole" allowBlank="1" showInputMessage="1" showErrorMessage="1" errorTitle="ERRO DE DIGITAÇÃO!" error="Digite o número correspondente ao mês desejado, sendo janeiro = 1, fevereiro = 2 e assim sucessivamente..." sqref="J7 U6" xr:uid="{C20AE8DE-2CE1-4A34-8BE5-1DD8C8CAF0A4}">
      <formula1>1</formula1>
      <formula2>12</formula2>
    </dataValidation>
    <dataValidation type="list" allowBlank="1" showInputMessage="1" showErrorMessage="1" sqref="J4:N4" xr:uid="{85536D30-E80B-45A3-AA22-5C70105781B0}">
      <formula1>Colaboradores_Nome</formula1>
    </dataValidation>
    <dataValidation type="time" allowBlank="1" showInputMessage="1" showErrorMessage="1" errorTitle="ERRO NA DIGITAÇÃO DA HORA!" error="Você precisa digitar dois pontos &quot;:&quot; depois de digitar as horas..." sqref="K10:L40 N10:O40 Q10:R40" xr:uid="{BB45A2B3-0A28-4259-B7A9-875A2D8A0A44}">
      <formula1>0.000694444444444444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CF34-074F-431B-9B31-2FA5D9AC9BB7}">
  <sheetPr codeName="sht_RegistroHorasTrabalhadas"/>
  <dimension ref="A1:Y2"/>
  <sheetViews>
    <sheetView workbookViewId="0">
      <pane xSplit="4" ySplit="1" topLeftCell="P2" activePane="bottomRight" state="frozen"/>
      <selection pane="topRight" activeCell="D1" sqref="D1"/>
      <selection pane="bottomLeft" activeCell="A2" sqref="A2"/>
      <selection pane="bottomRight" activeCell="B2" sqref="B2"/>
    </sheetView>
  </sheetViews>
  <sheetFormatPr defaultRowHeight="15" x14ac:dyDescent="0.25"/>
  <cols>
    <col min="1" max="1" width="1" customWidth="1"/>
    <col min="2" max="2" width="23.28515625" customWidth="1"/>
    <col min="3" max="3" width="28.7109375" customWidth="1"/>
    <col min="4" max="4" width="6.85546875" style="1" customWidth="1"/>
    <col min="5" max="5" width="10.140625" style="3" customWidth="1"/>
    <col min="6" max="6" width="11" style="3" bestFit="1" customWidth="1"/>
    <col min="7" max="7" width="10" style="5" customWidth="1"/>
    <col min="8" max="8" width="10" style="53" customWidth="1"/>
    <col min="9" max="9" width="11.5703125" style="6" customWidth="1"/>
    <col min="10" max="10" width="15.42578125" bestFit="1" customWidth="1"/>
    <col min="11" max="20" width="9.140625" style="3"/>
    <col min="21" max="21" width="14.28515625" style="7" customWidth="1"/>
    <col min="22" max="22" width="37.42578125" customWidth="1"/>
    <col min="23" max="23" width="14" style="7" customWidth="1"/>
    <col min="24" max="25" width="12.28515625" bestFit="1" customWidth="1"/>
  </cols>
  <sheetData>
    <row r="1" spans="1:25" s="66" customFormat="1" ht="29.25" customHeight="1" x14ac:dyDescent="0.25">
      <c r="A1" s="66">
        <v>100000</v>
      </c>
      <c r="B1" s="60" t="s">
        <v>39</v>
      </c>
      <c r="C1" s="60" t="s">
        <v>1</v>
      </c>
      <c r="D1" s="60" t="s">
        <v>11</v>
      </c>
      <c r="E1" s="61" t="s">
        <v>46</v>
      </c>
      <c r="F1" s="61" t="s">
        <v>14</v>
      </c>
      <c r="G1" s="62" t="s">
        <v>19</v>
      </c>
      <c r="H1" s="63" t="s">
        <v>30</v>
      </c>
      <c r="I1" s="64" t="s">
        <v>2</v>
      </c>
      <c r="J1" s="60" t="s">
        <v>3</v>
      </c>
      <c r="K1" s="61" t="s">
        <v>20</v>
      </c>
      <c r="L1" s="61" t="s">
        <v>21</v>
      </c>
      <c r="M1" s="61" t="s">
        <v>22</v>
      </c>
      <c r="N1" s="61" t="s">
        <v>23</v>
      </c>
      <c r="O1" s="61" t="s">
        <v>24</v>
      </c>
      <c r="P1" s="61" t="s">
        <v>25</v>
      </c>
      <c r="Q1" s="61" t="s">
        <v>26</v>
      </c>
      <c r="R1" s="61" t="s">
        <v>27</v>
      </c>
      <c r="S1" s="61" t="s">
        <v>28</v>
      </c>
      <c r="T1" s="61" t="s">
        <v>29</v>
      </c>
      <c r="U1" s="65" t="s">
        <v>43</v>
      </c>
      <c r="V1" s="60" t="s">
        <v>33</v>
      </c>
      <c r="W1" s="65" t="s">
        <v>57</v>
      </c>
      <c r="X1" s="65" t="s">
        <v>41</v>
      </c>
      <c r="Y1" s="65" t="s">
        <v>99</v>
      </c>
    </row>
    <row r="2" spans="1:25" x14ac:dyDescent="0.25">
      <c r="X2" t="s">
        <v>42</v>
      </c>
    </row>
  </sheetData>
  <autoFilter ref="B1:X342" xr:uid="{C5B85A30-3642-462C-B757-6A355DBA7C13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6C32-D9B7-496D-88C4-D55860C926A0}">
  <sheetPr codeName="sht_RegistroBcoHoras">
    <tabColor theme="8" tint="-0.499984740745262"/>
  </sheetPr>
  <dimension ref="B1:N6"/>
  <sheetViews>
    <sheetView showGridLines="0" workbookViewId="0">
      <pane ySplit="5" topLeftCell="A6" activePane="bottomLeft" state="frozen"/>
      <selection pane="bottomLeft" activeCell="C6" sqref="C6"/>
    </sheetView>
  </sheetViews>
  <sheetFormatPr defaultRowHeight="15" x14ac:dyDescent="0.25"/>
  <cols>
    <col min="1" max="1" width="1.28515625" customWidth="1"/>
    <col min="2" max="2" width="17.28515625" hidden="1" customWidth="1"/>
    <col min="3" max="3" width="20.42578125" customWidth="1"/>
    <col min="4" max="4" width="7.85546875" style="1" customWidth="1"/>
    <col min="5" max="5" width="14.42578125" style="5" bestFit="1" customWidth="1"/>
    <col min="6" max="6" width="9.7109375" style="1" bestFit="1" customWidth="1"/>
    <col min="7" max="7" width="9.7109375" style="13" bestFit="1" customWidth="1"/>
    <col min="8" max="8" width="17.42578125" style="1" bestFit="1" customWidth="1"/>
    <col min="9" max="9" width="48.140625" customWidth="1"/>
    <col min="10" max="10" width="12.85546875" style="1" customWidth="1"/>
    <col min="11" max="11" width="12" hidden="1" customWidth="1"/>
    <col min="12" max="12" width="12.7109375" hidden="1" customWidth="1"/>
  </cols>
  <sheetData>
    <row r="1" spans="2:14" ht="5.25" customHeight="1" x14ac:dyDescent="0.25"/>
    <row r="2" spans="2:14" hidden="1" x14ac:dyDescent="0.25">
      <c r="B2" t="str">
        <f>CONCATENATE(C2," - ",E2)</f>
        <v>EMPRESA - 43190</v>
      </c>
      <c r="C2" t="s">
        <v>38</v>
      </c>
      <c r="D2" s="12" t="s">
        <v>37</v>
      </c>
      <c r="E2" s="5">
        <f>EOMONTH(DATE(F2,M2,1),0)</f>
        <v>43190</v>
      </c>
      <c r="F2" s="1" t="s">
        <v>36</v>
      </c>
      <c r="G2" s="13">
        <f>N2*60</f>
        <v>600</v>
      </c>
      <c r="H2" s="1">
        <f>G2/60</f>
        <v>10</v>
      </c>
      <c r="I2" t="s">
        <v>102</v>
      </c>
      <c r="J2" s="1" t="s">
        <v>38</v>
      </c>
      <c r="K2">
        <v>600</v>
      </c>
      <c r="L2">
        <v>10</v>
      </c>
      <c r="M2" t="s">
        <v>109</v>
      </c>
      <c r="N2" t="s">
        <v>108</v>
      </c>
    </row>
    <row r="3" spans="2:14" ht="12" hidden="1" customHeight="1" x14ac:dyDescent="0.25">
      <c r="B3" s="1">
        <f>COUNTIF(B6:B10000,B2)</f>
        <v>0</v>
      </c>
    </row>
    <row r="4" spans="2:14" ht="4.5" customHeight="1" x14ac:dyDescent="0.25"/>
    <row r="5" spans="2:14" s="84" customFormat="1" ht="29.25" customHeight="1" x14ac:dyDescent="0.25">
      <c r="B5" s="104" t="s">
        <v>39</v>
      </c>
      <c r="C5" s="104" t="s">
        <v>1</v>
      </c>
      <c r="D5" s="104" t="s">
        <v>11</v>
      </c>
      <c r="E5" s="105" t="s">
        <v>16</v>
      </c>
      <c r="F5" s="104" t="s">
        <v>30</v>
      </c>
      <c r="G5" s="106" t="s">
        <v>32</v>
      </c>
      <c r="H5" s="104" t="s">
        <v>83</v>
      </c>
      <c r="I5" s="104" t="s">
        <v>47</v>
      </c>
      <c r="J5" s="104" t="s">
        <v>75</v>
      </c>
      <c r="K5" s="92" t="s">
        <v>81</v>
      </c>
      <c r="L5" s="92" t="s">
        <v>82</v>
      </c>
    </row>
    <row r="6" spans="2:14" x14ac:dyDescent="0.25">
      <c r="B6" t="s">
        <v>38</v>
      </c>
      <c r="C6" t="s">
        <v>38</v>
      </c>
      <c r="D6" s="12" t="s">
        <v>37</v>
      </c>
      <c r="E6" s="5">
        <f>E7</f>
        <v>0</v>
      </c>
      <c r="F6" s="1">
        <f>YEAR(E6)</f>
        <v>1900</v>
      </c>
      <c r="G6" s="13">
        <v>0</v>
      </c>
      <c r="H6" s="1">
        <v>0</v>
      </c>
      <c r="J6" s="1" t="s">
        <v>38</v>
      </c>
    </row>
  </sheetData>
  <autoFilter ref="B5:L13" xr:uid="{2FE01E58-E41D-4DBA-B19A-029AE02F5105}"/>
  <sortState ref="B6:L7">
    <sortCondition ref="B6"/>
  </sortState>
  <conditionalFormatting sqref="B7:J9991">
    <cfRule type="expression" dxfId="5" priority="2">
      <formula>$C7&lt;&gt;""</formula>
    </cfRule>
  </conditionalFormatting>
  <conditionalFormatting sqref="B6:J6">
    <cfRule type="expression" dxfId="4" priority="1">
      <formula>$C6&lt;&gt;""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75AA-91F5-4B31-83D0-7A187A61870F}">
  <sheetPr codeName="Sht_RelHorasColaboradores"/>
  <dimension ref="B3:F406"/>
  <sheetViews>
    <sheetView showGridLines="0" showRowColHeaders="0" workbookViewId="0">
      <pane xSplit="2" ySplit="7" topLeftCell="C8" activePane="bottomRight" state="frozen"/>
      <selection pane="topRight" activeCell="C1" sqref="C1"/>
      <selection pane="bottomLeft" activeCell="A10" sqref="A10"/>
      <selection pane="bottomRight" activeCell="D9" sqref="D9"/>
    </sheetView>
  </sheetViews>
  <sheetFormatPr defaultRowHeight="15" x14ac:dyDescent="0.25"/>
  <cols>
    <col min="1" max="1" width="3" customWidth="1"/>
    <col min="2" max="2" width="18" bestFit="1" customWidth="1"/>
    <col min="3" max="3" width="17.85546875" style="1" bestFit="1" customWidth="1"/>
    <col min="4" max="4" width="17" customWidth="1"/>
    <col min="5" max="5" width="17.85546875" bestFit="1" customWidth="1"/>
    <col min="6" max="6" width="5.42578125" bestFit="1" customWidth="1"/>
    <col min="7" max="7" width="9.140625" bestFit="1" customWidth="1"/>
  </cols>
  <sheetData>
    <row r="3" spans="2:6" x14ac:dyDescent="0.25">
      <c r="B3" s="47" t="s">
        <v>41</v>
      </c>
      <c r="C3" t="s">
        <v>42</v>
      </c>
    </row>
    <row r="4" spans="2:6" x14ac:dyDescent="0.25">
      <c r="B4" s="47" t="s">
        <v>19</v>
      </c>
      <c r="C4" t="s">
        <v>77</v>
      </c>
    </row>
    <row r="6" spans="2:6" x14ac:dyDescent="0.25">
      <c r="B6" s="47" t="s">
        <v>44</v>
      </c>
      <c r="C6"/>
    </row>
    <row r="7" spans="2:6" x14ac:dyDescent="0.25">
      <c r="B7" s="52" t="s">
        <v>1</v>
      </c>
      <c r="C7" s="52" t="s">
        <v>2</v>
      </c>
      <c r="D7" s="52" t="s">
        <v>3</v>
      </c>
      <c r="E7" s="52" t="s">
        <v>33</v>
      </c>
      <c r="F7" t="s">
        <v>58</v>
      </c>
    </row>
    <row r="8" spans="2:6" x14ac:dyDescent="0.25">
      <c r="B8" t="s">
        <v>77</v>
      </c>
      <c r="C8" t="s">
        <v>77</v>
      </c>
      <c r="D8" t="s">
        <v>77</v>
      </c>
      <c r="E8" t="s">
        <v>77</v>
      </c>
      <c r="F8" s="51"/>
    </row>
    <row r="9" spans="2:6" x14ac:dyDescent="0.25">
      <c r="B9" t="s">
        <v>110</v>
      </c>
      <c r="C9"/>
      <c r="F9" s="51"/>
    </row>
    <row r="10" spans="2:6" x14ac:dyDescent="0.25">
      <c r="C10"/>
      <c r="F10" s="51"/>
    </row>
    <row r="11" spans="2:6" x14ac:dyDescent="0.25">
      <c r="B11" t="s">
        <v>40</v>
      </c>
      <c r="C11"/>
      <c r="F11" s="51"/>
    </row>
    <row r="12" spans="2:6" x14ac:dyDescent="0.25">
      <c r="C12"/>
    </row>
    <row r="13" spans="2:6" x14ac:dyDescent="0.25">
      <c r="C13"/>
    </row>
    <row r="14" spans="2:6" x14ac:dyDescent="0.25">
      <c r="C14"/>
    </row>
    <row r="15" spans="2:6" x14ac:dyDescent="0.25">
      <c r="C15"/>
    </row>
    <row r="16" spans="2:6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  <row r="327" spans="3:3" x14ac:dyDescent="0.25">
      <c r="C327"/>
    </row>
    <row r="328" spans="3:3" x14ac:dyDescent="0.25">
      <c r="C328"/>
    </row>
    <row r="329" spans="3:3" x14ac:dyDescent="0.25">
      <c r="C329"/>
    </row>
    <row r="330" spans="3:3" x14ac:dyDescent="0.25">
      <c r="C330"/>
    </row>
    <row r="331" spans="3:3" x14ac:dyDescent="0.25">
      <c r="C331"/>
    </row>
    <row r="332" spans="3:3" x14ac:dyDescent="0.25">
      <c r="C332"/>
    </row>
    <row r="333" spans="3:3" x14ac:dyDescent="0.25">
      <c r="C333"/>
    </row>
    <row r="334" spans="3:3" x14ac:dyDescent="0.25">
      <c r="C334"/>
    </row>
    <row r="335" spans="3:3" x14ac:dyDescent="0.25">
      <c r="C335"/>
    </row>
    <row r="336" spans="3:3" x14ac:dyDescent="0.25">
      <c r="C336"/>
    </row>
    <row r="337" spans="3:3" x14ac:dyDescent="0.25">
      <c r="C337"/>
    </row>
    <row r="338" spans="3:3" x14ac:dyDescent="0.25">
      <c r="C338"/>
    </row>
    <row r="339" spans="3:3" x14ac:dyDescent="0.25">
      <c r="C339"/>
    </row>
    <row r="340" spans="3:3" x14ac:dyDescent="0.25">
      <c r="C340"/>
    </row>
    <row r="341" spans="3:3" x14ac:dyDescent="0.25">
      <c r="C341"/>
    </row>
    <row r="342" spans="3:3" x14ac:dyDescent="0.25">
      <c r="C342"/>
    </row>
    <row r="343" spans="3:3" x14ac:dyDescent="0.25">
      <c r="C343"/>
    </row>
    <row r="344" spans="3:3" x14ac:dyDescent="0.25">
      <c r="C344"/>
    </row>
    <row r="345" spans="3:3" x14ac:dyDescent="0.25">
      <c r="C345"/>
    </row>
    <row r="346" spans="3:3" x14ac:dyDescent="0.25">
      <c r="C346"/>
    </row>
    <row r="347" spans="3:3" x14ac:dyDescent="0.25">
      <c r="C347"/>
    </row>
    <row r="348" spans="3:3" x14ac:dyDescent="0.25">
      <c r="C348"/>
    </row>
    <row r="349" spans="3:3" x14ac:dyDescent="0.25">
      <c r="C349"/>
    </row>
    <row r="350" spans="3:3" x14ac:dyDescent="0.25">
      <c r="C350"/>
    </row>
    <row r="351" spans="3:3" x14ac:dyDescent="0.25">
      <c r="C351"/>
    </row>
    <row r="352" spans="3:3" x14ac:dyDescent="0.25">
      <c r="C352"/>
    </row>
    <row r="353" spans="3:3" x14ac:dyDescent="0.25">
      <c r="C353"/>
    </row>
    <row r="354" spans="3:3" x14ac:dyDescent="0.25">
      <c r="C354"/>
    </row>
    <row r="355" spans="3:3" x14ac:dyDescent="0.25">
      <c r="C355"/>
    </row>
    <row r="356" spans="3:3" x14ac:dyDescent="0.25">
      <c r="C356"/>
    </row>
    <row r="357" spans="3:3" x14ac:dyDescent="0.25">
      <c r="C357"/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363-4C40-4722-A006-94A657060AAB}">
  <sheetPr codeName="Sht_RelHorasEmpresa"/>
  <dimension ref="B4:D44"/>
  <sheetViews>
    <sheetView showGridLines="0" showRowColHeaders="0" workbookViewId="0">
      <pane xSplit="2" ySplit="7" topLeftCell="C8" activePane="bottomRight" state="frozen"/>
      <selection pane="topRight" activeCell="C1" sqref="C1"/>
      <selection pane="bottomLeft" activeCell="A10" sqref="A10"/>
      <selection pane="bottomRight" activeCell="C8" sqref="C8"/>
    </sheetView>
  </sheetViews>
  <sheetFormatPr defaultRowHeight="15" x14ac:dyDescent="0.25"/>
  <cols>
    <col min="1" max="1" width="3" customWidth="1"/>
    <col min="2" max="2" width="12.140625" bestFit="1" customWidth="1"/>
    <col min="3" max="3" width="45.42578125" style="1" bestFit="1" customWidth="1"/>
    <col min="4" max="4" width="5.42578125" bestFit="1" customWidth="1"/>
    <col min="5" max="5" width="6.140625" bestFit="1" customWidth="1"/>
    <col min="6" max="7" width="5.5703125" bestFit="1" customWidth="1"/>
  </cols>
  <sheetData>
    <row r="4" spans="2:4" x14ac:dyDescent="0.25">
      <c r="B4" s="80" t="s">
        <v>1</v>
      </c>
      <c r="C4" t="s">
        <v>38</v>
      </c>
    </row>
    <row r="5" spans="2:4" x14ac:dyDescent="0.25">
      <c r="B5" s="2"/>
    </row>
    <row r="6" spans="2:4" x14ac:dyDescent="0.25">
      <c r="B6" s="47" t="s">
        <v>44</v>
      </c>
      <c r="C6"/>
    </row>
    <row r="7" spans="2:4" x14ac:dyDescent="0.25">
      <c r="B7" s="47" t="s">
        <v>16</v>
      </c>
      <c r="C7" s="47" t="s">
        <v>47</v>
      </c>
      <c r="D7" t="s">
        <v>58</v>
      </c>
    </row>
    <row r="8" spans="2:4" x14ac:dyDescent="0.25">
      <c r="B8" s="81">
        <v>0</v>
      </c>
      <c r="C8" t="s">
        <v>77</v>
      </c>
      <c r="D8" s="51">
        <v>0</v>
      </c>
    </row>
    <row r="9" spans="2:4" x14ac:dyDescent="0.25">
      <c r="B9" s="81" t="s">
        <v>40</v>
      </c>
      <c r="C9"/>
      <c r="D9" s="51">
        <v>0</v>
      </c>
    </row>
    <row r="10" spans="2:4" x14ac:dyDescent="0.25">
      <c r="C10"/>
    </row>
    <row r="11" spans="2:4" x14ac:dyDescent="0.25">
      <c r="C11"/>
    </row>
    <row r="12" spans="2:4" x14ac:dyDescent="0.25">
      <c r="C12"/>
    </row>
    <row r="13" spans="2:4" x14ac:dyDescent="0.25">
      <c r="C13"/>
    </row>
    <row r="14" spans="2:4" x14ac:dyDescent="0.25">
      <c r="C14"/>
    </row>
    <row r="15" spans="2:4" x14ac:dyDescent="0.25">
      <c r="C15"/>
    </row>
    <row r="16" spans="2:4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C4D6A-F198-4678-8176-E00614257500}">
  <sheetPr codeName="Sht_RelCompensacaoHoras">
    <tabColor theme="9" tint="-0.499984740745262"/>
  </sheetPr>
  <dimension ref="B2:BF301"/>
  <sheetViews>
    <sheetView showGridLines="0" workbookViewId="0">
      <selection activeCell="E14" sqref="E14"/>
    </sheetView>
  </sheetViews>
  <sheetFormatPr defaultRowHeight="15" x14ac:dyDescent="0.25"/>
  <cols>
    <col min="1" max="1" width="3.7109375" customWidth="1"/>
    <col min="2" max="2" width="14.28515625" hidden="1" customWidth="1"/>
    <col min="3" max="3" width="19.85546875" customWidth="1"/>
    <col min="4" max="4" width="10.5703125" style="1" customWidth="1"/>
    <col min="5" max="52" width="10.5703125" style="1" hidden="1" customWidth="1"/>
    <col min="53" max="53" width="5.85546875" style="1" customWidth="1"/>
    <col min="54" max="54" width="9" style="13" customWidth="1"/>
    <col min="55" max="55" width="11.140625" style="7" customWidth="1"/>
    <col min="56" max="56" width="33.85546875" style="7" bestFit="1" customWidth="1"/>
    <col min="57" max="57" width="6.140625" bestFit="1" customWidth="1"/>
  </cols>
  <sheetData>
    <row r="2" spans="2:58" ht="15.75" thickBot="1" x14ac:dyDescent="0.3">
      <c r="B2" s="108">
        <f>EOMONTH(D2,0)</f>
        <v>43159</v>
      </c>
      <c r="C2" s="109" t="s">
        <v>96</v>
      </c>
      <c r="D2" s="99">
        <v>43132</v>
      </c>
    </row>
    <row r="3" spans="2:58" x14ac:dyDescent="0.25">
      <c r="B3" s="108">
        <f>EOMONTH(D3,0)</f>
        <v>43220</v>
      </c>
      <c r="C3" s="110" t="s">
        <v>97</v>
      </c>
      <c r="D3" s="99">
        <v>43191</v>
      </c>
    </row>
    <row r="5" spans="2:58" x14ac:dyDescent="0.25">
      <c r="C5" s="47" t="s">
        <v>88</v>
      </c>
      <c r="D5" s="47" t="s">
        <v>86</v>
      </c>
      <c r="E5"/>
      <c r="F5"/>
      <c r="G5"/>
      <c r="H5"/>
      <c r="I5"/>
      <c r="BB5" s="138" t="s">
        <v>87</v>
      </c>
      <c r="BC5" s="138"/>
      <c r="BD5" s="138"/>
    </row>
    <row r="6" spans="2:58" ht="15" customHeight="1" x14ac:dyDescent="0.25">
      <c r="C6" s="47" t="s">
        <v>89</v>
      </c>
      <c r="D6" s="81" t="s">
        <v>40</v>
      </c>
      <c r="E6"/>
      <c r="F6"/>
      <c r="G6"/>
      <c r="H6"/>
      <c r="I6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142" t="s">
        <v>80</v>
      </c>
      <c r="BC6" s="139" t="s">
        <v>84</v>
      </c>
      <c r="BD6" s="139" t="s">
        <v>85</v>
      </c>
    </row>
    <row r="7" spans="2:58" x14ac:dyDescent="0.25">
      <c r="D7"/>
      <c r="E7"/>
      <c r="F7"/>
      <c r="G7"/>
      <c r="H7"/>
      <c r="I7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143"/>
      <c r="BC7" s="140"/>
      <c r="BD7" s="140"/>
    </row>
    <row r="8" spans="2:58" x14ac:dyDescent="0.25">
      <c r="D8"/>
      <c r="E8"/>
      <c r="F8"/>
      <c r="G8"/>
      <c r="H8"/>
      <c r="I8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143"/>
      <c r="BC8" s="140"/>
      <c r="BD8" s="140"/>
    </row>
    <row r="9" spans="2:58" x14ac:dyDescent="0.25">
      <c r="D9"/>
      <c r="E9"/>
      <c r="F9"/>
      <c r="G9"/>
      <c r="H9"/>
      <c r="I9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144"/>
      <c r="BC9" s="141"/>
      <c r="BD9" s="141"/>
    </row>
    <row r="10" spans="2:58" x14ac:dyDescent="0.25">
      <c r="D10"/>
      <c r="E10"/>
      <c r="F10"/>
      <c r="G10"/>
      <c r="H10"/>
      <c r="I10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13" t="str">
        <f t="shared" ref="BB10:BB73" si="0">IF(C10="","",GETPIVOTDATA("MINUTOS",$C$5,"CONTROLE","Empresa")-GETPIVOTDATA("MINUTOS",$C$5,"NOME",C10,"CONTROLE","Colaborador"))</f>
        <v/>
      </c>
      <c r="BC10" s="7" t="str">
        <f t="shared" ref="BC10:BC73" si="1">IF(BB10="","",BB10/60)</f>
        <v/>
      </c>
      <c r="BD10" s="87" t="str">
        <f t="shared" ref="BD10:BD73" si="2">IF(BB10="","",CONCATENATE(IF(BB10&gt;0,"Deve para Empresa ","Empresa deve "),INT(ROUNDDOWN(ABS(BC10),0)),"h e ",FIXED(((ABS(BC10)-INT(ROUNDDOWN(ABS(BC10),0)))*60),0)," min."))</f>
        <v/>
      </c>
      <c r="BE10" s="85"/>
    </row>
    <row r="11" spans="2:58" x14ac:dyDescent="0.25">
      <c r="D11"/>
      <c r="E11"/>
      <c r="F11"/>
      <c r="G11"/>
      <c r="H11"/>
      <c r="I11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 t="str">
        <f t="shared" ref="BA11:BA73" si="3">IF(B11="","",GETPIVOTDATA("MINUTOS",$B$4,"CONTROLE","Empresa")-GETPIVOTDATA("MINUTOS",$B$4,"NOME",B11,"CONTROLE","Colaborador"))</f>
        <v/>
      </c>
      <c r="BB11" s="13" t="str">
        <f t="shared" si="0"/>
        <v/>
      </c>
      <c r="BC11" s="7" t="str">
        <f t="shared" si="1"/>
        <v/>
      </c>
      <c r="BD11" s="87" t="str">
        <f t="shared" si="2"/>
        <v/>
      </c>
      <c r="BE11" s="85"/>
      <c r="BF11" s="85"/>
    </row>
    <row r="12" spans="2:58" x14ac:dyDescent="0.25">
      <c r="D12"/>
      <c r="E12"/>
      <c r="F12"/>
      <c r="G12"/>
      <c r="H12"/>
      <c r="I12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 t="str">
        <f t="shared" si="3"/>
        <v/>
      </c>
      <c r="BB12" s="13" t="str">
        <f t="shared" si="0"/>
        <v/>
      </c>
      <c r="BC12" s="7" t="str">
        <f t="shared" si="1"/>
        <v/>
      </c>
      <c r="BD12" s="87" t="str">
        <f t="shared" si="2"/>
        <v/>
      </c>
      <c r="BF12" s="85"/>
    </row>
    <row r="13" spans="2:58" x14ac:dyDescent="0.25">
      <c r="D13"/>
      <c r="E13"/>
      <c r="F13"/>
      <c r="G13"/>
      <c r="H1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 t="str">
        <f t="shared" si="3"/>
        <v/>
      </c>
      <c r="BB13" s="13" t="str">
        <f t="shared" si="0"/>
        <v/>
      </c>
      <c r="BC13" s="7" t="str">
        <f t="shared" si="1"/>
        <v/>
      </c>
      <c r="BD13" s="87" t="str">
        <f t="shared" si="2"/>
        <v/>
      </c>
      <c r="BE13" s="86"/>
    </row>
    <row r="14" spans="2:58" x14ac:dyDescent="0.25">
      <c r="D14"/>
      <c r="E14"/>
      <c r="F14"/>
      <c r="G14"/>
      <c r="H14"/>
      <c r="BA14" s="1" t="str">
        <f t="shared" si="3"/>
        <v/>
      </c>
      <c r="BB14" s="13" t="str">
        <f t="shared" si="0"/>
        <v/>
      </c>
      <c r="BC14" s="7" t="str">
        <f t="shared" si="1"/>
        <v/>
      </c>
      <c r="BD14" s="87" t="str">
        <f t="shared" si="2"/>
        <v/>
      </c>
    </row>
    <row r="15" spans="2:58" x14ac:dyDescent="0.25">
      <c r="BA15" s="1" t="str">
        <f t="shared" si="3"/>
        <v/>
      </c>
      <c r="BB15" s="13" t="str">
        <f t="shared" si="0"/>
        <v/>
      </c>
      <c r="BC15" s="7" t="str">
        <f t="shared" si="1"/>
        <v/>
      </c>
      <c r="BD15" s="87" t="str">
        <f t="shared" si="2"/>
        <v/>
      </c>
    </row>
    <row r="16" spans="2:58" x14ac:dyDescent="0.25">
      <c r="BA16" s="1" t="str">
        <f t="shared" si="3"/>
        <v/>
      </c>
      <c r="BB16" s="13" t="str">
        <f t="shared" si="0"/>
        <v/>
      </c>
      <c r="BC16" s="7" t="str">
        <f t="shared" si="1"/>
        <v/>
      </c>
      <c r="BD16" s="87" t="str">
        <f t="shared" si="2"/>
        <v/>
      </c>
    </row>
    <row r="17" spans="53:56" x14ac:dyDescent="0.25">
      <c r="BA17" s="1" t="str">
        <f t="shared" si="3"/>
        <v/>
      </c>
      <c r="BB17" s="13" t="str">
        <f t="shared" si="0"/>
        <v/>
      </c>
      <c r="BC17" s="7" t="str">
        <f t="shared" si="1"/>
        <v/>
      </c>
      <c r="BD17" s="87" t="str">
        <f t="shared" si="2"/>
        <v/>
      </c>
    </row>
    <row r="18" spans="53:56" x14ac:dyDescent="0.25">
      <c r="BA18" s="1" t="str">
        <f t="shared" si="3"/>
        <v/>
      </c>
      <c r="BB18" s="13" t="str">
        <f t="shared" si="0"/>
        <v/>
      </c>
      <c r="BC18" s="7" t="str">
        <f t="shared" si="1"/>
        <v/>
      </c>
      <c r="BD18" s="87" t="str">
        <f t="shared" si="2"/>
        <v/>
      </c>
    </row>
    <row r="19" spans="53:56" x14ac:dyDescent="0.25">
      <c r="BA19" s="1" t="str">
        <f t="shared" si="3"/>
        <v/>
      </c>
      <c r="BB19" s="13" t="str">
        <f t="shared" si="0"/>
        <v/>
      </c>
      <c r="BC19" s="7" t="str">
        <f t="shared" si="1"/>
        <v/>
      </c>
      <c r="BD19" s="87" t="str">
        <f t="shared" si="2"/>
        <v/>
      </c>
    </row>
    <row r="20" spans="53:56" x14ac:dyDescent="0.25">
      <c r="BA20" s="1" t="str">
        <f t="shared" si="3"/>
        <v/>
      </c>
      <c r="BB20" s="13" t="str">
        <f t="shared" si="0"/>
        <v/>
      </c>
      <c r="BC20" s="7" t="str">
        <f t="shared" si="1"/>
        <v/>
      </c>
      <c r="BD20" s="87" t="str">
        <f t="shared" si="2"/>
        <v/>
      </c>
    </row>
    <row r="21" spans="53:56" x14ac:dyDescent="0.25">
      <c r="BA21" s="1" t="str">
        <f t="shared" si="3"/>
        <v/>
      </c>
      <c r="BB21" s="13" t="str">
        <f t="shared" si="0"/>
        <v/>
      </c>
      <c r="BC21" s="7" t="str">
        <f t="shared" si="1"/>
        <v/>
      </c>
      <c r="BD21" s="87" t="str">
        <f t="shared" si="2"/>
        <v/>
      </c>
    </row>
    <row r="22" spans="53:56" x14ac:dyDescent="0.25">
      <c r="BA22" s="1" t="str">
        <f t="shared" si="3"/>
        <v/>
      </c>
      <c r="BB22" s="13" t="str">
        <f t="shared" si="0"/>
        <v/>
      </c>
      <c r="BC22" s="7" t="str">
        <f t="shared" si="1"/>
        <v/>
      </c>
      <c r="BD22" s="87" t="str">
        <f t="shared" si="2"/>
        <v/>
      </c>
    </row>
    <row r="23" spans="53:56" x14ac:dyDescent="0.25">
      <c r="BA23" s="1" t="str">
        <f t="shared" si="3"/>
        <v/>
      </c>
      <c r="BB23" s="13" t="str">
        <f t="shared" si="0"/>
        <v/>
      </c>
      <c r="BC23" s="7" t="str">
        <f t="shared" si="1"/>
        <v/>
      </c>
      <c r="BD23" s="87" t="str">
        <f t="shared" si="2"/>
        <v/>
      </c>
    </row>
    <row r="24" spans="53:56" x14ac:dyDescent="0.25">
      <c r="BA24" s="1" t="str">
        <f t="shared" si="3"/>
        <v/>
      </c>
      <c r="BB24" s="13" t="str">
        <f t="shared" si="0"/>
        <v/>
      </c>
      <c r="BC24" s="7" t="str">
        <f t="shared" si="1"/>
        <v/>
      </c>
      <c r="BD24" s="87" t="str">
        <f t="shared" si="2"/>
        <v/>
      </c>
    </row>
    <row r="25" spans="53:56" x14ac:dyDescent="0.25">
      <c r="BA25" s="1" t="str">
        <f t="shared" si="3"/>
        <v/>
      </c>
      <c r="BB25" s="13" t="str">
        <f t="shared" si="0"/>
        <v/>
      </c>
      <c r="BC25" s="7" t="str">
        <f t="shared" si="1"/>
        <v/>
      </c>
      <c r="BD25" s="87" t="str">
        <f t="shared" si="2"/>
        <v/>
      </c>
    </row>
    <row r="26" spans="53:56" x14ac:dyDescent="0.25">
      <c r="BA26" s="1" t="str">
        <f t="shared" si="3"/>
        <v/>
      </c>
      <c r="BB26" s="13" t="str">
        <f t="shared" si="0"/>
        <v/>
      </c>
      <c r="BC26" s="7" t="str">
        <f t="shared" si="1"/>
        <v/>
      </c>
      <c r="BD26" s="87" t="str">
        <f t="shared" si="2"/>
        <v/>
      </c>
    </row>
    <row r="27" spans="53:56" x14ac:dyDescent="0.25">
      <c r="BA27" s="1" t="str">
        <f t="shared" si="3"/>
        <v/>
      </c>
      <c r="BB27" s="13" t="str">
        <f t="shared" si="0"/>
        <v/>
      </c>
      <c r="BC27" s="7" t="str">
        <f t="shared" si="1"/>
        <v/>
      </c>
      <c r="BD27" s="87" t="str">
        <f t="shared" si="2"/>
        <v/>
      </c>
    </row>
    <row r="28" spans="53:56" x14ac:dyDescent="0.25">
      <c r="BA28" s="1" t="str">
        <f t="shared" si="3"/>
        <v/>
      </c>
      <c r="BB28" s="13" t="str">
        <f t="shared" si="0"/>
        <v/>
      </c>
      <c r="BC28" s="7" t="str">
        <f t="shared" si="1"/>
        <v/>
      </c>
      <c r="BD28" s="87" t="str">
        <f t="shared" si="2"/>
        <v/>
      </c>
    </row>
    <row r="29" spans="53:56" x14ac:dyDescent="0.25">
      <c r="BA29" s="1" t="str">
        <f t="shared" si="3"/>
        <v/>
      </c>
      <c r="BB29" s="13" t="str">
        <f t="shared" si="0"/>
        <v/>
      </c>
      <c r="BC29" s="7" t="str">
        <f t="shared" si="1"/>
        <v/>
      </c>
      <c r="BD29" s="87" t="str">
        <f t="shared" si="2"/>
        <v/>
      </c>
    </row>
    <row r="30" spans="53:56" x14ac:dyDescent="0.25">
      <c r="BA30" s="1" t="str">
        <f t="shared" si="3"/>
        <v/>
      </c>
      <c r="BB30" s="13" t="str">
        <f t="shared" si="0"/>
        <v/>
      </c>
      <c r="BC30" s="7" t="str">
        <f t="shared" si="1"/>
        <v/>
      </c>
      <c r="BD30" s="87" t="str">
        <f t="shared" si="2"/>
        <v/>
      </c>
    </row>
    <row r="31" spans="53:56" x14ac:dyDescent="0.25">
      <c r="BA31" s="1" t="str">
        <f t="shared" si="3"/>
        <v/>
      </c>
      <c r="BB31" s="13" t="str">
        <f t="shared" si="0"/>
        <v/>
      </c>
      <c r="BC31" s="7" t="str">
        <f t="shared" si="1"/>
        <v/>
      </c>
      <c r="BD31" s="87" t="str">
        <f t="shared" si="2"/>
        <v/>
      </c>
    </row>
    <row r="32" spans="53:56" x14ac:dyDescent="0.25">
      <c r="BA32" s="1" t="str">
        <f t="shared" si="3"/>
        <v/>
      </c>
      <c r="BB32" s="13" t="str">
        <f t="shared" si="0"/>
        <v/>
      </c>
      <c r="BC32" s="7" t="str">
        <f t="shared" si="1"/>
        <v/>
      </c>
      <c r="BD32" s="87" t="str">
        <f t="shared" si="2"/>
        <v/>
      </c>
    </row>
    <row r="33" spans="53:56" x14ac:dyDescent="0.25">
      <c r="BA33" s="1" t="str">
        <f t="shared" si="3"/>
        <v/>
      </c>
      <c r="BB33" s="13" t="str">
        <f t="shared" si="0"/>
        <v/>
      </c>
      <c r="BC33" s="7" t="str">
        <f t="shared" si="1"/>
        <v/>
      </c>
      <c r="BD33" s="87" t="str">
        <f t="shared" si="2"/>
        <v/>
      </c>
    </row>
    <row r="34" spans="53:56" x14ac:dyDescent="0.25">
      <c r="BA34" s="1" t="str">
        <f t="shared" si="3"/>
        <v/>
      </c>
      <c r="BB34" s="13" t="str">
        <f t="shared" si="0"/>
        <v/>
      </c>
      <c r="BC34" s="7" t="str">
        <f t="shared" si="1"/>
        <v/>
      </c>
      <c r="BD34" s="87" t="str">
        <f t="shared" si="2"/>
        <v/>
      </c>
    </row>
    <row r="35" spans="53:56" x14ac:dyDescent="0.25">
      <c r="BA35" s="1" t="str">
        <f t="shared" si="3"/>
        <v/>
      </c>
      <c r="BB35" s="13" t="str">
        <f t="shared" si="0"/>
        <v/>
      </c>
      <c r="BC35" s="7" t="str">
        <f t="shared" si="1"/>
        <v/>
      </c>
      <c r="BD35" s="87" t="str">
        <f t="shared" si="2"/>
        <v/>
      </c>
    </row>
    <row r="36" spans="53:56" x14ac:dyDescent="0.25">
      <c r="BA36" s="1" t="str">
        <f t="shared" si="3"/>
        <v/>
      </c>
      <c r="BB36" s="13" t="str">
        <f t="shared" si="0"/>
        <v/>
      </c>
      <c r="BC36" s="7" t="str">
        <f t="shared" si="1"/>
        <v/>
      </c>
      <c r="BD36" s="87" t="str">
        <f t="shared" si="2"/>
        <v/>
      </c>
    </row>
    <row r="37" spans="53:56" x14ac:dyDescent="0.25">
      <c r="BA37" s="1" t="str">
        <f t="shared" si="3"/>
        <v/>
      </c>
      <c r="BB37" s="13" t="str">
        <f t="shared" si="0"/>
        <v/>
      </c>
      <c r="BC37" s="7" t="str">
        <f t="shared" si="1"/>
        <v/>
      </c>
      <c r="BD37" s="87" t="str">
        <f t="shared" si="2"/>
        <v/>
      </c>
    </row>
    <row r="38" spans="53:56" x14ac:dyDescent="0.25">
      <c r="BA38" s="1" t="str">
        <f t="shared" si="3"/>
        <v/>
      </c>
      <c r="BB38" s="13" t="str">
        <f t="shared" si="0"/>
        <v/>
      </c>
      <c r="BC38" s="7" t="str">
        <f t="shared" si="1"/>
        <v/>
      </c>
      <c r="BD38" s="87" t="str">
        <f t="shared" si="2"/>
        <v/>
      </c>
    </row>
    <row r="39" spans="53:56" x14ac:dyDescent="0.25">
      <c r="BA39" s="1" t="str">
        <f t="shared" si="3"/>
        <v/>
      </c>
      <c r="BB39" s="13" t="str">
        <f t="shared" si="0"/>
        <v/>
      </c>
      <c r="BC39" s="7" t="str">
        <f t="shared" si="1"/>
        <v/>
      </c>
      <c r="BD39" s="87" t="str">
        <f t="shared" si="2"/>
        <v/>
      </c>
    </row>
    <row r="40" spans="53:56" x14ac:dyDescent="0.25">
      <c r="BA40" s="1" t="str">
        <f t="shared" si="3"/>
        <v/>
      </c>
      <c r="BB40" s="13" t="str">
        <f t="shared" si="0"/>
        <v/>
      </c>
      <c r="BC40" s="7" t="str">
        <f t="shared" si="1"/>
        <v/>
      </c>
      <c r="BD40" s="87" t="str">
        <f t="shared" si="2"/>
        <v/>
      </c>
    </row>
    <row r="41" spans="53:56" x14ac:dyDescent="0.25">
      <c r="BA41" s="1" t="str">
        <f t="shared" si="3"/>
        <v/>
      </c>
      <c r="BB41" s="13" t="str">
        <f t="shared" si="0"/>
        <v/>
      </c>
      <c r="BC41" s="7" t="str">
        <f t="shared" si="1"/>
        <v/>
      </c>
      <c r="BD41" s="87" t="str">
        <f t="shared" si="2"/>
        <v/>
      </c>
    </row>
    <row r="42" spans="53:56" x14ac:dyDescent="0.25">
      <c r="BA42" s="1" t="str">
        <f t="shared" si="3"/>
        <v/>
      </c>
      <c r="BB42" s="13" t="str">
        <f t="shared" si="0"/>
        <v/>
      </c>
      <c r="BC42" s="7" t="str">
        <f t="shared" si="1"/>
        <v/>
      </c>
      <c r="BD42" s="87" t="str">
        <f t="shared" si="2"/>
        <v/>
      </c>
    </row>
    <row r="43" spans="53:56" x14ac:dyDescent="0.25">
      <c r="BA43" s="1" t="str">
        <f t="shared" si="3"/>
        <v/>
      </c>
      <c r="BB43" s="13" t="str">
        <f t="shared" si="0"/>
        <v/>
      </c>
      <c r="BC43" s="7" t="str">
        <f t="shared" si="1"/>
        <v/>
      </c>
      <c r="BD43" s="87" t="str">
        <f t="shared" si="2"/>
        <v/>
      </c>
    </row>
    <row r="44" spans="53:56" x14ac:dyDescent="0.25">
      <c r="BA44" s="1" t="str">
        <f t="shared" si="3"/>
        <v/>
      </c>
      <c r="BB44" s="13" t="str">
        <f t="shared" si="0"/>
        <v/>
      </c>
      <c r="BC44" s="7" t="str">
        <f t="shared" si="1"/>
        <v/>
      </c>
      <c r="BD44" s="87" t="str">
        <f t="shared" si="2"/>
        <v/>
      </c>
    </row>
    <row r="45" spans="53:56" x14ac:dyDescent="0.25">
      <c r="BA45" s="1" t="str">
        <f t="shared" si="3"/>
        <v/>
      </c>
      <c r="BB45" s="13" t="str">
        <f t="shared" si="0"/>
        <v/>
      </c>
      <c r="BC45" s="7" t="str">
        <f t="shared" si="1"/>
        <v/>
      </c>
      <c r="BD45" s="87" t="str">
        <f t="shared" si="2"/>
        <v/>
      </c>
    </row>
    <row r="46" spans="53:56" x14ac:dyDescent="0.25">
      <c r="BA46" s="1" t="str">
        <f t="shared" si="3"/>
        <v/>
      </c>
      <c r="BB46" s="13" t="str">
        <f t="shared" si="0"/>
        <v/>
      </c>
      <c r="BC46" s="7" t="str">
        <f t="shared" si="1"/>
        <v/>
      </c>
      <c r="BD46" s="87" t="str">
        <f t="shared" si="2"/>
        <v/>
      </c>
    </row>
    <row r="47" spans="53:56" x14ac:dyDescent="0.25">
      <c r="BA47" s="1" t="str">
        <f t="shared" si="3"/>
        <v/>
      </c>
      <c r="BB47" s="13" t="str">
        <f t="shared" si="0"/>
        <v/>
      </c>
      <c r="BC47" s="7" t="str">
        <f t="shared" si="1"/>
        <v/>
      </c>
      <c r="BD47" s="87" t="str">
        <f t="shared" si="2"/>
        <v/>
      </c>
    </row>
    <row r="48" spans="53:56" x14ac:dyDescent="0.25">
      <c r="BA48" s="1" t="str">
        <f t="shared" si="3"/>
        <v/>
      </c>
      <c r="BB48" s="13" t="str">
        <f t="shared" si="0"/>
        <v/>
      </c>
      <c r="BC48" s="7" t="str">
        <f t="shared" si="1"/>
        <v/>
      </c>
      <c r="BD48" s="87" t="str">
        <f t="shared" si="2"/>
        <v/>
      </c>
    </row>
    <row r="49" spans="53:56" x14ac:dyDescent="0.25">
      <c r="BA49" s="1" t="str">
        <f t="shared" si="3"/>
        <v/>
      </c>
      <c r="BB49" s="13" t="str">
        <f t="shared" si="0"/>
        <v/>
      </c>
      <c r="BC49" s="7" t="str">
        <f t="shared" si="1"/>
        <v/>
      </c>
      <c r="BD49" s="87" t="str">
        <f t="shared" si="2"/>
        <v/>
      </c>
    </row>
    <row r="50" spans="53:56" x14ac:dyDescent="0.25">
      <c r="BA50" s="1" t="str">
        <f t="shared" si="3"/>
        <v/>
      </c>
      <c r="BB50" s="13" t="str">
        <f t="shared" si="0"/>
        <v/>
      </c>
      <c r="BC50" s="7" t="str">
        <f t="shared" si="1"/>
        <v/>
      </c>
      <c r="BD50" s="87" t="str">
        <f t="shared" si="2"/>
        <v/>
      </c>
    </row>
    <row r="51" spans="53:56" x14ac:dyDescent="0.25">
      <c r="BA51" s="1" t="str">
        <f t="shared" si="3"/>
        <v/>
      </c>
      <c r="BB51" s="13" t="str">
        <f t="shared" si="0"/>
        <v/>
      </c>
      <c r="BC51" s="7" t="str">
        <f t="shared" si="1"/>
        <v/>
      </c>
      <c r="BD51" s="87" t="str">
        <f t="shared" si="2"/>
        <v/>
      </c>
    </row>
    <row r="52" spans="53:56" x14ac:dyDescent="0.25">
      <c r="BA52" s="1" t="str">
        <f t="shared" si="3"/>
        <v/>
      </c>
      <c r="BB52" s="13" t="str">
        <f t="shared" si="0"/>
        <v/>
      </c>
      <c r="BC52" s="7" t="str">
        <f t="shared" si="1"/>
        <v/>
      </c>
      <c r="BD52" s="87" t="str">
        <f t="shared" si="2"/>
        <v/>
      </c>
    </row>
    <row r="53" spans="53:56" x14ac:dyDescent="0.25">
      <c r="BA53" s="1" t="str">
        <f t="shared" si="3"/>
        <v/>
      </c>
      <c r="BB53" s="13" t="str">
        <f t="shared" si="0"/>
        <v/>
      </c>
      <c r="BC53" s="7" t="str">
        <f t="shared" si="1"/>
        <v/>
      </c>
      <c r="BD53" s="87" t="str">
        <f t="shared" si="2"/>
        <v/>
      </c>
    </row>
    <row r="54" spans="53:56" x14ac:dyDescent="0.25">
      <c r="BA54" s="1" t="str">
        <f t="shared" si="3"/>
        <v/>
      </c>
      <c r="BB54" s="13" t="str">
        <f t="shared" si="0"/>
        <v/>
      </c>
      <c r="BC54" s="7" t="str">
        <f t="shared" si="1"/>
        <v/>
      </c>
      <c r="BD54" s="87" t="str">
        <f t="shared" si="2"/>
        <v/>
      </c>
    </row>
    <row r="55" spans="53:56" x14ac:dyDescent="0.25">
      <c r="BA55" s="1" t="str">
        <f t="shared" si="3"/>
        <v/>
      </c>
      <c r="BB55" s="13" t="str">
        <f t="shared" si="0"/>
        <v/>
      </c>
      <c r="BC55" s="7" t="str">
        <f t="shared" si="1"/>
        <v/>
      </c>
      <c r="BD55" s="87" t="str">
        <f t="shared" si="2"/>
        <v/>
      </c>
    </row>
    <row r="56" spans="53:56" x14ac:dyDescent="0.25">
      <c r="BA56" s="1" t="str">
        <f t="shared" si="3"/>
        <v/>
      </c>
      <c r="BB56" s="13" t="str">
        <f t="shared" si="0"/>
        <v/>
      </c>
      <c r="BC56" s="7" t="str">
        <f t="shared" si="1"/>
        <v/>
      </c>
      <c r="BD56" s="87" t="str">
        <f t="shared" si="2"/>
        <v/>
      </c>
    </row>
    <row r="57" spans="53:56" x14ac:dyDescent="0.25">
      <c r="BA57" s="1" t="str">
        <f t="shared" si="3"/>
        <v/>
      </c>
      <c r="BB57" s="13" t="str">
        <f t="shared" si="0"/>
        <v/>
      </c>
      <c r="BC57" s="7" t="str">
        <f t="shared" si="1"/>
        <v/>
      </c>
      <c r="BD57" s="87" t="str">
        <f t="shared" si="2"/>
        <v/>
      </c>
    </row>
    <row r="58" spans="53:56" x14ac:dyDescent="0.25">
      <c r="BA58" s="1" t="str">
        <f t="shared" si="3"/>
        <v/>
      </c>
      <c r="BB58" s="13" t="str">
        <f t="shared" si="0"/>
        <v/>
      </c>
      <c r="BC58" s="7" t="str">
        <f t="shared" si="1"/>
        <v/>
      </c>
      <c r="BD58" s="87" t="str">
        <f t="shared" si="2"/>
        <v/>
      </c>
    </row>
    <row r="59" spans="53:56" x14ac:dyDescent="0.25">
      <c r="BA59" s="1" t="str">
        <f t="shared" si="3"/>
        <v/>
      </c>
      <c r="BB59" s="13" t="str">
        <f t="shared" si="0"/>
        <v/>
      </c>
      <c r="BC59" s="7" t="str">
        <f t="shared" si="1"/>
        <v/>
      </c>
      <c r="BD59" s="87" t="str">
        <f t="shared" si="2"/>
        <v/>
      </c>
    </row>
    <row r="60" spans="53:56" x14ac:dyDescent="0.25">
      <c r="BA60" s="1" t="str">
        <f t="shared" si="3"/>
        <v/>
      </c>
      <c r="BB60" s="13" t="str">
        <f t="shared" si="0"/>
        <v/>
      </c>
      <c r="BC60" s="7" t="str">
        <f t="shared" si="1"/>
        <v/>
      </c>
      <c r="BD60" s="87" t="str">
        <f t="shared" si="2"/>
        <v/>
      </c>
    </row>
    <row r="61" spans="53:56" x14ac:dyDescent="0.25">
      <c r="BA61" s="1" t="str">
        <f t="shared" si="3"/>
        <v/>
      </c>
      <c r="BB61" s="13" t="str">
        <f t="shared" si="0"/>
        <v/>
      </c>
      <c r="BC61" s="7" t="str">
        <f t="shared" si="1"/>
        <v/>
      </c>
      <c r="BD61" s="87" t="str">
        <f t="shared" si="2"/>
        <v/>
      </c>
    </row>
    <row r="62" spans="53:56" x14ac:dyDescent="0.25">
      <c r="BA62" s="1" t="str">
        <f t="shared" si="3"/>
        <v/>
      </c>
      <c r="BB62" s="13" t="str">
        <f t="shared" si="0"/>
        <v/>
      </c>
      <c r="BC62" s="7" t="str">
        <f t="shared" si="1"/>
        <v/>
      </c>
      <c r="BD62" s="87" t="str">
        <f t="shared" si="2"/>
        <v/>
      </c>
    </row>
    <row r="63" spans="53:56" x14ac:dyDescent="0.25">
      <c r="BA63" s="1" t="str">
        <f t="shared" si="3"/>
        <v/>
      </c>
      <c r="BB63" s="13" t="str">
        <f t="shared" si="0"/>
        <v/>
      </c>
      <c r="BC63" s="7" t="str">
        <f t="shared" si="1"/>
        <v/>
      </c>
      <c r="BD63" s="87" t="str">
        <f t="shared" si="2"/>
        <v/>
      </c>
    </row>
    <row r="64" spans="53:56" x14ac:dyDescent="0.25">
      <c r="BA64" s="1" t="str">
        <f t="shared" si="3"/>
        <v/>
      </c>
      <c r="BB64" s="13" t="str">
        <f t="shared" si="0"/>
        <v/>
      </c>
      <c r="BC64" s="7" t="str">
        <f t="shared" si="1"/>
        <v/>
      </c>
      <c r="BD64" s="87" t="str">
        <f t="shared" si="2"/>
        <v/>
      </c>
    </row>
    <row r="65" spans="53:56" x14ac:dyDescent="0.25">
      <c r="BA65" s="1" t="str">
        <f t="shared" si="3"/>
        <v/>
      </c>
      <c r="BB65" s="13" t="str">
        <f t="shared" si="0"/>
        <v/>
      </c>
      <c r="BC65" s="7" t="str">
        <f t="shared" si="1"/>
        <v/>
      </c>
      <c r="BD65" s="87" t="str">
        <f t="shared" si="2"/>
        <v/>
      </c>
    </row>
    <row r="66" spans="53:56" x14ac:dyDescent="0.25">
      <c r="BA66" s="1" t="str">
        <f t="shared" si="3"/>
        <v/>
      </c>
      <c r="BB66" s="13" t="str">
        <f t="shared" si="0"/>
        <v/>
      </c>
      <c r="BC66" s="7" t="str">
        <f t="shared" si="1"/>
        <v/>
      </c>
      <c r="BD66" s="87" t="str">
        <f t="shared" si="2"/>
        <v/>
      </c>
    </row>
    <row r="67" spans="53:56" x14ac:dyDescent="0.25">
      <c r="BA67" s="1" t="str">
        <f t="shared" si="3"/>
        <v/>
      </c>
      <c r="BB67" s="13" t="str">
        <f t="shared" si="0"/>
        <v/>
      </c>
      <c r="BC67" s="7" t="str">
        <f t="shared" si="1"/>
        <v/>
      </c>
      <c r="BD67" s="87" t="str">
        <f t="shared" si="2"/>
        <v/>
      </c>
    </row>
    <row r="68" spans="53:56" x14ac:dyDescent="0.25">
      <c r="BA68" s="1" t="str">
        <f t="shared" si="3"/>
        <v/>
      </c>
      <c r="BB68" s="13" t="str">
        <f t="shared" si="0"/>
        <v/>
      </c>
      <c r="BC68" s="7" t="str">
        <f t="shared" si="1"/>
        <v/>
      </c>
      <c r="BD68" s="87" t="str">
        <f t="shared" si="2"/>
        <v/>
      </c>
    </row>
    <row r="69" spans="53:56" x14ac:dyDescent="0.25">
      <c r="BA69" s="1" t="str">
        <f t="shared" si="3"/>
        <v/>
      </c>
      <c r="BB69" s="13" t="str">
        <f t="shared" si="0"/>
        <v/>
      </c>
      <c r="BC69" s="7" t="str">
        <f t="shared" si="1"/>
        <v/>
      </c>
      <c r="BD69" s="87" t="str">
        <f t="shared" si="2"/>
        <v/>
      </c>
    </row>
    <row r="70" spans="53:56" x14ac:dyDescent="0.25">
      <c r="BA70" s="1" t="str">
        <f t="shared" si="3"/>
        <v/>
      </c>
      <c r="BB70" s="13" t="str">
        <f t="shared" si="0"/>
        <v/>
      </c>
      <c r="BC70" s="7" t="str">
        <f t="shared" si="1"/>
        <v/>
      </c>
      <c r="BD70" s="87" t="str">
        <f t="shared" si="2"/>
        <v/>
      </c>
    </row>
    <row r="71" spans="53:56" x14ac:dyDescent="0.25">
      <c r="BA71" s="1" t="str">
        <f t="shared" si="3"/>
        <v/>
      </c>
      <c r="BB71" s="13" t="str">
        <f t="shared" si="0"/>
        <v/>
      </c>
      <c r="BC71" s="7" t="str">
        <f t="shared" si="1"/>
        <v/>
      </c>
      <c r="BD71" s="87" t="str">
        <f t="shared" si="2"/>
        <v/>
      </c>
    </row>
    <row r="72" spans="53:56" x14ac:dyDescent="0.25">
      <c r="BA72" s="1" t="str">
        <f t="shared" si="3"/>
        <v/>
      </c>
      <c r="BB72" s="13" t="str">
        <f t="shared" si="0"/>
        <v/>
      </c>
      <c r="BC72" s="7" t="str">
        <f t="shared" si="1"/>
        <v/>
      </c>
      <c r="BD72" s="87" t="str">
        <f t="shared" si="2"/>
        <v/>
      </c>
    </row>
    <row r="73" spans="53:56" x14ac:dyDescent="0.25">
      <c r="BA73" s="1" t="str">
        <f t="shared" si="3"/>
        <v/>
      </c>
      <c r="BB73" s="13" t="str">
        <f t="shared" si="0"/>
        <v/>
      </c>
      <c r="BC73" s="7" t="str">
        <f t="shared" si="1"/>
        <v/>
      </c>
      <c r="BD73" s="87" t="str">
        <f t="shared" si="2"/>
        <v/>
      </c>
    </row>
    <row r="74" spans="53:56" x14ac:dyDescent="0.25">
      <c r="BA74" s="1" t="str">
        <f t="shared" ref="BA74:BA137" si="4">IF(B74="","",GETPIVOTDATA("MINUTOS",$B$4,"CONTROLE","Empresa")-GETPIVOTDATA("MINUTOS",$B$4,"NOME",B74,"CONTROLE","Colaborador"))</f>
        <v/>
      </c>
      <c r="BB74" s="13" t="str">
        <f t="shared" ref="BB74:BB137" si="5">IF(C74="","",GETPIVOTDATA("MINUTOS",$C$5,"CONTROLE","Empresa")-GETPIVOTDATA("MINUTOS",$C$5,"NOME",C74,"CONTROLE","Colaborador"))</f>
        <v/>
      </c>
      <c r="BC74" s="7" t="str">
        <f t="shared" ref="BC74:BC137" si="6">IF(BB74="","",BB74/60)</f>
        <v/>
      </c>
      <c r="BD74" s="87" t="str">
        <f t="shared" ref="BD74:BD137" si="7">IF(BB74="","",CONCATENATE(IF(BB74&gt;0,"Deve para Empresa ","Empresa deve "),INT(ROUNDDOWN(ABS(BC74),0)),"h e ",FIXED(((ABS(BC74)-INT(ROUNDDOWN(ABS(BC74),0)))*60),0)," min."))</f>
        <v/>
      </c>
    </row>
    <row r="75" spans="53:56" x14ac:dyDescent="0.25">
      <c r="BA75" s="1" t="str">
        <f t="shared" si="4"/>
        <v/>
      </c>
      <c r="BB75" s="13" t="str">
        <f t="shared" si="5"/>
        <v/>
      </c>
      <c r="BC75" s="7" t="str">
        <f t="shared" si="6"/>
        <v/>
      </c>
      <c r="BD75" s="87" t="str">
        <f t="shared" si="7"/>
        <v/>
      </c>
    </row>
    <row r="76" spans="53:56" x14ac:dyDescent="0.25">
      <c r="BA76" s="1" t="str">
        <f t="shared" si="4"/>
        <v/>
      </c>
      <c r="BB76" s="13" t="str">
        <f t="shared" si="5"/>
        <v/>
      </c>
      <c r="BC76" s="7" t="str">
        <f t="shared" si="6"/>
        <v/>
      </c>
      <c r="BD76" s="87" t="str">
        <f t="shared" si="7"/>
        <v/>
      </c>
    </row>
    <row r="77" spans="53:56" x14ac:dyDescent="0.25">
      <c r="BA77" s="1" t="str">
        <f t="shared" si="4"/>
        <v/>
      </c>
      <c r="BB77" s="13" t="str">
        <f t="shared" si="5"/>
        <v/>
      </c>
      <c r="BC77" s="7" t="str">
        <f t="shared" si="6"/>
        <v/>
      </c>
      <c r="BD77" s="87" t="str">
        <f t="shared" si="7"/>
        <v/>
      </c>
    </row>
    <row r="78" spans="53:56" x14ac:dyDescent="0.25">
      <c r="BA78" s="1" t="str">
        <f t="shared" si="4"/>
        <v/>
      </c>
      <c r="BB78" s="13" t="str">
        <f t="shared" si="5"/>
        <v/>
      </c>
      <c r="BC78" s="7" t="str">
        <f t="shared" si="6"/>
        <v/>
      </c>
      <c r="BD78" s="87" t="str">
        <f t="shared" si="7"/>
        <v/>
      </c>
    </row>
    <row r="79" spans="53:56" x14ac:dyDescent="0.25">
      <c r="BA79" s="1" t="str">
        <f t="shared" si="4"/>
        <v/>
      </c>
      <c r="BB79" s="13" t="str">
        <f t="shared" si="5"/>
        <v/>
      </c>
      <c r="BC79" s="7" t="str">
        <f t="shared" si="6"/>
        <v/>
      </c>
      <c r="BD79" s="87" t="str">
        <f t="shared" si="7"/>
        <v/>
      </c>
    </row>
    <row r="80" spans="53:56" x14ac:dyDescent="0.25">
      <c r="BA80" s="1" t="str">
        <f t="shared" si="4"/>
        <v/>
      </c>
      <c r="BB80" s="13" t="str">
        <f t="shared" si="5"/>
        <v/>
      </c>
      <c r="BC80" s="7" t="str">
        <f t="shared" si="6"/>
        <v/>
      </c>
      <c r="BD80" s="87" t="str">
        <f t="shared" si="7"/>
        <v/>
      </c>
    </row>
    <row r="81" spans="53:56" x14ac:dyDescent="0.25">
      <c r="BA81" s="1" t="str">
        <f t="shared" si="4"/>
        <v/>
      </c>
      <c r="BB81" s="13" t="str">
        <f t="shared" si="5"/>
        <v/>
      </c>
      <c r="BC81" s="7" t="str">
        <f t="shared" si="6"/>
        <v/>
      </c>
      <c r="BD81" s="87" t="str">
        <f t="shared" si="7"/>
        <v/>
      </c>
    </row>
    <row r="82" spans="53:56" x14ac:dyDescent="0.25">
      <c r="BA82" s="1" t="str">
        <f t="shared" si="4"/>
        <v/>
      </c>
      <c r="BB82" s="13" t="str">
        <f t="shared" si="5"/>
        <v/>
      </c>
      <c r="BC82" s="7" t="str">
        <f t="shared" si="6"/>
        <v/>
      </c>
      <c r="BD82" s="87" t="str">
        <f t="shared" si="7"/>
        <v/>
      </c>
    </row>
    <row r="83" spans="53:56" x14ac:dyDescent="0.25">
      <c r="BA83" s="1" t="str">
        <f t="shared" si="4"/>
        <v/>
      </c>
      <c r="BB83" s="13" t="str">
        <f t="shared" si="5"/>
        <v/>
      </c>
      <c r="BC83" s="7" t="str">
        <f t="shared" si="6"/>
        <v/>
      </c>
      <c r="BD83" s="87" t="str">
        <f t="shared" si="7"/>
        <v/>
      </c>
    </row>
    <row r="84" spans="53:56" x14ac:dyDescent="0.25">
      <c r="BA84" s="1" t="str">
        <f t="shared" si="4"/>
        <v/>
      </c>
      <c r="BB84" s="13" t="str">
        <f t="shared" si="5"/>
        <v/>
      </c>
      <c r="BC84" s="7" t="str">
        <f t="shared" si="6"/>
        <v/>
      </c>
      <c r="BD84" s="87" t="str">
        <f t="shared" si="7"/>
        <v/>
      </c>
    </row>
    <row r="85" spans="53:56" x14ac:dyDescent="0.25">
      <c r="BA85" s="1" t="str">
        <f t="shared" si="4"/>
        <v/>
      </c>
      <c r="BB85" s="13" t="str">
        <f t="shared" si="5"/>
        <v/>
      </c>
      <c r="BC85" s="7" t="str">
        <f t="shared" si="6"/>
        <v/>
      </c>
      <c r="BD85" s="87" t="str">
        <f t="shared" si="7"/>
        <v/>
      </c>
    </row>
    <row r="86" spans="53:56" x14ac:dyDescent="0.25">
      <c r="BA86" s="1" t="str">
        <f t="shared" si="4"/>
        <v/>
      </c>
      <c r="BB86" s="13" t="str">
        <f t="shared" si="5"/>
        <v/>
      </c>
      <c r="BC86" s="7" t="str">
        <f t="shared" si="6"/>
        <v/>
      </c>
      <c r="BD86" s="87" t="str">
        <f t="shared" si="7"/>
        <v/>
      </c>
    </row>
    <row r="87" spans="53:56" x14ac:dyDescent="0.25">
      <c r="BA87" s="1" t="str">
        <f t="shared" si="4"/>
        <v/>
      </c>
      <c r="BB87" s="13" t="str">
        <f t="shared" si="5"/>
        <v/>
      </c>
      <c r="BC87" s="7" t="str">
        <f t="shared" si="6"/>
        <v/>
      </c>
      <c r="BD87" s="87" t="str">
        <f t="shared" si="7"/>
        <v/>
      </c>
    </row>
    <row r="88" spans="53:56" x14ac:dyDescent="0.25">
      <c r="BA88" s="1" t="str">
        <f t="shared" si="4"/>
        <v/>
      </c>
      <c r="BB88" s="13" t="str">
        <f t="shared" si="5"/>
        <v/>
      </c>
      <c r="BC88" s="7" t="str">
        <f t="shared" si="6"/>
        <v/>
      </c>
      <c r="BD88" s="87" t="str">
        <f t="shared" si="7"/>
        <v/>
      </c>
    </row>
    <row r="89" spans="53:56" x14ac:dyDescent="0.25">
      <c r="BA89" s="1" t="str">
        <f t="shared" si="4"/>
        <v/>
      </c>
      <c r="BB89" s="13" t="str">
        <f t="shared" si="5"/>
        <v/>
      </c>
      <c r="BC89" s="7" t="str">
        <f t="shared" si="6"/>
        <v/>
      </c>
      <c r="BD89" s="87" t="str">
        <f t="shared" si="7"/>
        <v/>
      </c>
    </row>
    <row r="90" spans="53:56" x14ac:dyDescent="0.25">
      <c r="BA90" s="1" t="str">
        <f t="shared" si="4"/>
        <v/>
      </c>
      <c r="BB90" s="13" t="str">
        <f t="shared" si="5"/>
        <v/>
      </c>
      <c r="BC90" s="7" t="str">
        <f t="shared" si="6"/>
        <v/>
      </c>
      <c r="BD90" s="87" t="str">
        <f t="shared" si="7"/>
        <v/>
      </c>
    </row>
    <row r="91" spans="53:56" x14ac:dyDescent="0.25">
      <c r="BA91" s="1" t="str">
        <f t="shared" si="4"/>
        <v/>
      </c>
      <c r="BB91" s="13" t="str">
        <f t="shared" si="5"/>
        <v/>
      </c>
      <c r="BC91" s="7" t="str">
        <f t="shared" si="6"/>
        <v/>
      </c>
      <c r="BD91" s="87" t="str">
        <f t="shared" si="7"/>
        <v/>
      </c>
    </row>
    <row r="92" spans="53:56" x14ac:dyDescent="0.25">
      <c r="BA92" s="1" t="str">
        <f t="shared" si="4"/>
        <v/>
      </c>
      <c r="BB92" s="13" t="str">
        <f t="shared" si="5"/>
        <v/>
      </c>
      <c r="BC92" s="7" t="str">
        <f t="shared" si="6"/>
        <v/>
      </c>
      <c r="BD92" s="87" t="str">
        <f t="shared" si="7"/>
        <v/>
      </c>
    </row>
    <row r="93" spans="53:56" x14ac:dyDescent="0.25">
      <c r="BA93" s="1" t="str">
        <f t="shared" si="4"/>
        <v/>
      </c>
      <c r="BB93" s="13" t="str">
        <f t="shared" si="5"/>
        <v/>
      </c>
      <c r="BC93" s="7" t="str">
        <f t="shared" si="6"/>
        <v/>
      </c>
      <c r="BD93" s="87" t="str">
        <f t="shared" si="7"/>
        <v/>
      </c>
    </row>
    <row r="94" spans="53:56" x14ac:dyDescent="0.25">
      <c r="BA94" s="1" t="str">
        <f t="shared" si="4"/>
        <v/>
      </c>
      <c r="BB94" s="13" t="str">
        <f t="shared" si="5"/>
        <v/>
      </c>
      <c r="BC94" s="7" t="str">
        <f t="shared" si="6"/>
        <v/>
      </c>
      <c r="BD94" s="7" t="str">
        <f t="shared" si="7"/>
        <v/>
      </c>
    </row>
    <row r="95" spans="53:56" x14ac:dyDescent="0.25">
      <c r="BA95" s="1" t="str">
        <f t="shared" si="4"/>
        <v/>
      </c>
      <c r="BB95" s="13" t="str">
        <f t="shared" si="5"/>
        <v/>
      </c>
      <c r="BC95" s="7" t="str">
        <f t="shared" si="6"/>
        <v/>
      </c>
      <c r="BD95" s="7" t="str">
        <f t="shared" si="7"/>
        <v/>
      </c>
    </row>
    <row r="96" spans="53:56" x14ac:dyDescent="0.25">
      <c r="BA96" s="1" t="str">
        <f t="shared" si="4"/>
        <v/>
      </c>
      <c r="BB96" s="13" t="str">
        <f t="shared" si="5"/>
        <v/>
      </c>
      <c r="BC96" s="7" t="str">
        <f t="shared" si="6"/>
        <v/>
      </c>
      <c r="BD96" s="7" t="str">
        <f t="shared" si="7"/>
        <v/>
      </c>
    </row>
    <row r="97" spans="53:56" x14ac:dyDescent="0.25">
      <c r="BA97" s="1" t="str">
        <f t="shared" si="4"/>
        <v/>
      </c>
      <c r="BB97" s="13" t="str">
        <f t="shared" si="5"/>
        <v/>
      </c>
      <c r="BC97" s="7" t="str">
        <f t="shared" si="6"/>
        <v/>
      </c>
      <c r="BD97" s="7" t="str">
        <f t="shared" si="7"/>
        <v/>
      </c>
    </row>
    <row r="98" spans="53:56" x14ac:dyDescent="0.25">
      <c r="BA98" s="1" t="str">
        <f t="shared" si="4"/>
        <v/>
      </c>
      <c r="BB98" s="13" t="str">
        <f t="shared" si="5"/>
        <v/>
      </c>
      <c r="BC98" s="7" t="str">
        <f t="shared" si="6"/>
        <v/>
      </c>
      <c r="BD98" s="7" t="str">
        <f t="shared" si="7"/>
        <v/>
      </c>
    </row>
    <row r="99" spans="53:56" x14ac:dyDescent="0.25">
      <c r="BA99" s="1" t="str">
        <f t="shared" si="4"/>
        <v/>
      </c>
      <c r="BB99" s="13" t="str">
        <f t="shared" si="5"/>
        <v/>
      </c>
      <c r="BC99" s="7" t="str">
        <f t="shared" si="6"/>
        <v/>
      </c>
      <c r="BD99" s="7" t="str">
        <f t="shared" si="7"/>
        <v/>
      </c>
    </row>
    <row r="100" spans="53:56" x14ac:dyDescent="0.25">
      <c r="BA100" s="1" t="str">
        <f t="shared" si="4"/>
        <v/>
      </c>
      <c r="BB100" s="13" t="str">
        <f t="shared" si="5"/>
        <v/>
      </c>
      <c r="BC100" s="7" t="str">
        <f t="shared" si="6"/>
        <v/>
      </c>
      <c r="BD100" s="7" t="str">
        <f t="shared" si="7"/>
        <v/>
      </c>
    </row>
    <row r="101" spans="53:56" x14ac:dyDescent="0.25">
      <c r="BA101" s="1" t="str">
        <f t="shared" si="4"/>
        <v/>
      </c>
      <c r="BB101" s="13" t="str">
        <f t="shared" si="5"/>
        <v/>
      </c>
      <c r="BC101" s="7" t="str">
        <f t="shared" si="6"/>
        <v/>
      </c>
      <c r="BD101" s="7" t="str">
        <f t="shared" si="7"/>
        <v/>
      </c>
    </row>
    <row r="102" spans="53:56" x14ac:dyDescent="0.25">
      <c r="BA102" s="1" t="str">
        <f t="shared" si="4"/>
        <v/>
      </c>
      <c r="BB102" s="13" t="str">
        <f t="shared" si="5"/>
        <v/>
      </c>
      <c r="BC102" s="7" t="str">
        <f t="shared" si="6"/>
        <v/>
      </c>
      <c r="BD102" s="7" t="str">
        <f t="shared" si="7"/>
        <v/>
      </c>
    </row>
    <row r="103" spans="53:56" x14ac:dyDescent="0.25">
      <c r="BA103" s="1" t="str">
        <f t="shared" si="4"/>
        <v/>
      </c>
      <c r="BB103" s="13" t="str">
        <f t="shared" si="5"/>
        <v/>
      </c>
      <c r="BC103" s="7" t="str">
        <f t="shared" si="6"/>
        <v/>
      </c>
      <c r="BD103" s="7" t="str">
        <f t="shared" si="7"/>
        <v/>
      </c>
    </row>
    <row r="104" spans="53:56" x14ac:dyDescent="0.25">
      <c r="BA104" s="1" t="str">
        <f t="shared" si="4"/>
        <v/>
      </c>
      <c r="BB104" s="13" t="str">
        <f t="shared" si="5"/>
        <v/>
      </c>
      <c r="BC104" s="7" t="str">
        <f t="shared" si="6"/>
        <v/>
      </c>
      <c r="BD104" s="7" t="str">
        <f t="shared" si="7"/>
        <v/>
      </c>
    </row>
    <row r="105" spans="53:56" x14ac:dyDescent="0.25">
      <c r="BA105" s="1" t="str">
        <f t="shared" si="4"/>
        <v/>
      </c>
      <c r="BB105" s="13" t="str">
        <f t="shared" si="5"/>
        <v/>
      </c>
      <c r="BC105" s="7" t="str">
        <f t="shared" si="6"/>
        <v/>
      </c>
      <c r="BD105" s="7" t="str">
        <f t="shared" si="7"/>
        <v/>
      </c>
    </row>
    <row r="106" spans="53:56" x14ac:dyDescent="0.25">
      <c r="BA106" s="1" t="str">
        <f t="shared" si="4"/>
        <v/>
      </c>
      <c r="BB106" s="13" t="str">
        <f t="shared" si="5"/>
        <v/>
      </c>
      <c r="BC106" s="7" t="str">
        <f t="shared" si="6"/>
        <v/>
      </c>
      <c r="BD106" s="7" t="str">
        <f t="shared" si="7"/>
        <v/>
      </c>
    </row>
    <row r="107" spans="53:56" x14ac:dyDescent="0.25">
      <c r="BA107" s="1" t="str">
        <f t="shared" si="4"/>
        <v/>
      </c>
      <c r="BB107" s="13" t="str">
        <f t="shared" si="5"/>
        <v/>
      </c>
      <c r="BC107" s="7" t="str">
        <f t="shared" si="6"/>
        <v/>
      </c>
      <c r="BD107" s="7" t="str">
        <f t="shared" si="7"/>
        <v/>
      </c>
    </row>
    <row r="108" spans="53:56" x14ac:dyDescent="0.25">
      <c r="BA108" s="1" t="str">
        <f t="shared" si="4"/>
        <v/>
      </c>
      <c r="BB108" s="13" t="str">
        <f t="shared" si="5"/>
        <v/>
      </c>
      <c r="BC108" s="7" t="str">
        <f t="shared" si="6"/>
        <v/>
      </c>
      <c r="BD108" s="7" t="str">
        <f t="shared" si="7"/>
        <v/>
      </c>
    </row>
    <row r="109" spans="53:56" x14ac:dyDescent="0.25">
      <c r="BA109" s="1" t="str">
        <f t="shared" si="4"/>
        <v/>
      </c>
      <c r="BB109" s="13" t="str">
        <f t="shared" si="5"/>
        <v/>
      </c>
      <c r="BC109" s="7" t="str">
        <f t="shared" si="6"/>
        <v/>
      </c>
      <c r="BD109" s="7" t="str">
        <f t="shared" si="7"/>
        <v/>
      </c>
    </row>
    <row r="110" spans="53:56" x14ac:dyDescent="0.25">
      <c r="BA110" s="1" t="str">
        <f t="shared" si="4"/>
        <v/>
      </c>
      <c r="BB110" s="13" t="str">
        <f t="shared" si="5"/>
        <v/>
      </c>
      <c r="BC110" s="7" t="str">
        <f t="shared" si="6"/>
        <v/>
      </c>
      <c r="BD110" s="7" t="str">
        <f t="shared" si="7"/>
        <v/>
      </c>
    </row>
    <row r="111" spans="53:56" x14ac:dyDescent="0.25">
      <c r="BA111" s="1" t="str">
        <f t="shared" si="4"/>
        <v/>
      </c>
      <c r="BB111" s="13" t="str">
        <f t="shared" si="5"/>
        <v/>
      </c>
      <c r="BC111" s="7" t="str">
        <f t="shared" si="6"/>
        <v/>
      </c>
      <c r="BD111" s="7" t="str">
        <f t="shared" si="7"/>
        <v/>
      </c>
    </row>
    <row r="112" spans="53:56" x14ac:dyDescent="0.25">
      <c r="BA112" s="1" t="str">
        <f t="shared" si="4"/>
        <v/>
      </c>
      <c r="BB112" s="13" t="str">
        <f t="shared" si="5"/>
        <v/>
      </c>
      <c r="BC112" s="7" t="str">
        <f t="shared" si="6"/>
        <v/>
      </c>
      <c r="BD112" s="7" t="str">
        <f t="shared" si="7"/>
        <v/>
      </c>
    </row>
    <row r="113" spans="53:56" x14ac:dyDescent="0.25">
      <c r="BA113" s="1" t="str">
        <f t="shared" si="4"/>
        <v/>
      </c>
      <c r="BB113" s="13" t="str">
        <f t="shared" si="5"/>
        <v/>
      </c>
      <c r="BC113" s="7" t="str">
        <f t="shared" si="6"/>
        <v/>
      </c>
      <c r="BD113" s="7" t="str">
        <f t="shared" si="7"/>
        <v/>
      </c>
    </row>
    <row r="114" spans="53:56" x14ac:dyDescent="0.25">
      <c r="BA114" s="1" t="str">
        <f t="shared" si="4"/>
        <v/>
      </c>
      <c r="BB114" s="13" t="str">
        <f t="shared" si="5"/>
        <v/>
      </c>
      <c r="BC114" s="7" t="str">
        <f t="shared" si="6"/>
        <v/>
      </c>
      <c r="BD114" s="7" t="str">
        <f t="shared" si="7"/>
        <v/>
      </c>
    </row>
    <row r="115" spans="53:56" x14ac:dyDescent="0.25">
      <c r="BA115" s="1" t="str">
        <f t="shared" si="4"/>
        <v/>
      </c>
      <c r="BB115" s="13" t="str">
        <f t="shared" si="5"/>
        <v/>
      </c>
      <c r="BC115" s="7" t="str">
        <f t="shared" si="6"/>
        <v/>
      </c>
      <c r="BD115" s="7" t="str">
        <f t="shared" si="7"/>
        <v/>
      </c>
    </row>
    <row r="116" spans="53:56" x14ac:dyDescent="0.25">
      <c r="BA116" s="1" t="str">
        <f t="shared" si="4"/>
        <v/>
      </c>
      <c r="BB116" s="13" t="str">
        <f t="shared" si="5"/>
        <v/>
      </c>
      <c r="BC116" s="7" t="str">
        <f t="shared" si="6"/>
        <v/>
      </c>
      <c r="BD116" s="7" t="str">
        <f t="shared" si="7"/>
        <v/>
      </c>
    </row>
    <row r="117" spans="53:56" x14ac:dyDescent="0.25">
      <c r="BA117" s="1" t="str">
        <f t="shared" si="4"/>
        <v/>
      </c>
      <c r="BB117" s="13" t="str">
        <f t="shared" si="5"/>
        <v/>
      </c>
      <c r="BC117" s="7" t="str">
        <f t="shared" si="6"/>
        <v/>
      </c>
      <c r="BD117" s="7" t="str">
        <f t="shared" si="7"/>
        <v/>
      </c>
    </row>
    <row r="118" spans="53:56" x14ac:dyDescent="0.25">
      <c r="BA118" s="1" t="str">
        <f t="shared" si="4"/>
        <v/>
      </c>
      <c r="BB118" s="13" t="str">
        <f t="shared" si="5"/>
        <v/>
      </c>
      <c r="BC118" s="7" t="str">
        <f t="shared" si="6"/>
        <v/>
      </c>
      <c r="BD118" s="7" t="str">
        <f t="shared" si="7"/>
        <v/>
      </c>
    </row>
    <row r="119" spans="53:56" x14ac:dyDescent="0.25">
      <c r="BA119" s="1" t="str">
        <f t="shared" si="4"/>
        <v/>
      </c>
      <c r="BB119" s="13" t="str">
        <f t="shared" si="5"/>
        <v/>
      </c>
      <c r="BC119" s="7" t="str">
        <f t="shared" si="6"/>
        <v/>
      </c>
      <c r="BD119" s="7" t="str">
        <f t="shared" si="7"/>
        <v/>
      </c>
    </row>
    <row r="120" spans="53:56" x14ac:dyDescent="0.25">
      <c r="BA120" s="1" t="str">
        <f t="shared" si="4"/>
        <v/>
      </c>
      <c r="BB120" s="13" t="str">
        <f t="shared" si="5"/>
        <v/>
      </c>
      <c r="BC120" s="7" t="str">
        <f t="shared" si="6"/>
        <v/>
      </c>
      <c r="BD120" s="7" t="str">
        <f t="shared" si="7"/>
        <v/>
      </c>
    </row>
    <row r="121" spans="53:56" x14ac:dyDescent="0.25">
      <c r="BA121" s="1" t="str">
        <f t="shared" si="4"/>
        <v/>
      </c>
      <c r="BB121" s="13" t="str">
        <f t="shared" si="5"/>
        <v/>
      </c>
      <c r="BC121" s="7" t="str">
        <f t="shared" si="6"/>
        <v/>
      </c>
      <c r="BD121" s="7" t="str">
        <f t="shared" si="7"/>
        <v/>
      </c>
    </row>
    <row r="122" spans="53:56" x14ac:dyDescent="0.25">
      <c r="BA122" s="1" t="str">
        <f t="shared" si="4"/>
        <v/>
      </c>
      <c r="BB122" s="13" t="str">
        <f t="shared" si="5"/>
        <v/>
      </c>
      <c r="BC122" s="7" t="str">
        <f t="shared" si="6"/>
        <v/>
      </c>
      <c r="BD122" s="7" t="str">
        <f t="shared" si="7"/>
        <v/>
      </c>
    </row>
    <row r="123" spans="53:56" x14ac:dyDescent="0.25">
      <c r="BA123" s="1" t="str">
        <f t="shared" si="4"/>
        <v/>
      </c>
      <c r="BB123" s="13" t="str">
        <f t="shared" si="5"/>
        <v/>
      </c>
      <c r="BC123" s="7" t="str">
        <f t="shared" si="6"/>
        <v/>
      </c>
      <c r="BD123" s="7" t="str">
        <f t="shared" si="7"/>
        <v/>
      </c>
    </row>
    <row r="124" spans="53:56" x14ac:dyDescent="0.25">
      <c r="BA124" s="1" t="str">
        <f t="shared" si="4"/>
        <v/>
      </c>
      <c r="BB124" s="13" t="str">
        <f t="shared" si="5"/>
        <v/>
      </c>
      <c r="BC124" s="7" t="str">
        <f t="shared" si="6"/>
        <v/>
      </c>
      <c r="BD124" s="7" t="str">
        <f t="shared" si="7"/>
        <v/>
      </c>
    </row>
    <row r="125" spans="53:56" x14ac:dyDescent="0.25">
      <c r="BA125" s="1" t="str">
        <f t="shared" si="4"/>
        <v/>
      </c>
      <c r="BB125" s="13" t="str">
        <f t="shared" si="5"/>
        <v/>
      </c>
      <c r="BC125" s="7" t="str">
        <f t="shared" si="6"/>
        <v/>
      </c>
      <c r="BD125" s="7" t="str">
        <f t="shared" si="7"/>
        <v/>
      </c>
    </row>
    <row r="126" spans="53:56" x14ac:dyDescent="0.25">
      <c r="BA126" s="1" t="str">
        <f t="shared" si="4"/>
        <v/>
      </c>
      <c r="BB126" s="13" t="str">
        <f t="shared" si="5"/>
        <v/>
      </c>
      <c r="BC126" s="7" t="str">
        <f t="shared" si="6"/>
        <v/>
      </c>
      <c r="BD126" s="7" t="str">
        <f t="shared" si="7"/>
        <v/>
      </c>
    </row>
    <row r="127" spans="53:56" x14ac:dyDescent="0.25">
      <c r="BA127" s="1" t="str">
        <f t="shared" si="4"/>
        <v/>
      </c>
      <c r="BB127" s="13" t="str">
        <f t="shared" si="5"/>
        <v/>
      </c>
      <c r="BC127" s="7" t="str">
        <f t="shared" si="6"/>
        <v/>
      </c>
      <c r="BD127" s="7" t="str">
        <f t="shared" si="7"/>
        <v/>
      </c>
    </row>
    <row r="128" spans="53:56" x14ac:dyDescent="0.25">
      <c r="BA128" s="1" t="str">
        <f t="shared" si="4"/>
        <v/>
      </c>
      <c r="BB128" s="13" t="str">
        <f t="shared" si="5"/>
        <v/>
      </c>
      <c r="BC128" s="7" t="str">
        <f t="shared" si="6"/>
        <v/>
      </c>
      <c r="BD128" s="7" t="str">
        <f t="shared" si="7"/>
        <v/>
      </c>
    </row>
    <row r="129" spans="53:56" x14ac:dyDescent="0.25">
      <c r="BA129" s="1" t="str">
        <f t="shared" si="4"/>
        <v/>
      </c>
      <c r="BB129" s="13" t="str">
        <f t="shared" si="5"/>
        <v/>
      </c>
      <c r="BC129" s="7" t="str">
        <f t="shared" si="6"/>
        <v/>
      </c>
      <c r="BD129" s="7" t="str">
        <f t="shared" si="7"/>
        <v/>
      </c>
    </row>
    <row r="130" spans="53:56" x14ac:dyDescent="0.25">
      <c r="BA130" s="1" t="str">
        <f t="shared" si="4"/>
        <v/>
      </c>
      <c r="BB130" s="13" t="str">
        <f t="shared" si="5"/>
        <v/>
      </c>
      <c r="BC130" s="7" t="str">
        <f t="shared" si="6"/>
        <v/>
      </c>
      <c r="BD130" s="7" t="str">
        <f t="shared" si="7"/>
        <v/>
      </c>
    </row>
    <row r="131" spans="53:56" x14ac:dyDescent="0.25">
      <c r="BA131" s="1" t="str">
        <f t="shared" si="4"/>
        <v/>
      </c>
      <c r="BB131" s="13" t="str">
        <f t="shared" si="5"/>
        <v/>
      </c>
      <c r="BC131" s="7" t="str">
        <f t="shared" si="6"/>
        <v/>
      </c>
      <c r="BD131" s="7" t="str">
        <f t="shared" si="7"/>
        <v/>
      </c>
    </row>
    <row r="132" spans="53:56" x14ac:dyDescent="0.25">
      <c r="BA132" s="1" t="str">
        <f t="shared" si="4"/>
        <v/>
      </c>
      <c r="BB132" s="13" t="str">
        <f t="shared" si="5"/>
        <v/>
      </c>
      <c r="BC132" s="7" t="str">
        <f t="shared" si="6"/>
        <v/>
      </c>
      <c r="BD132" s="7" t="str">
        <f t="shared" si="7"/>
        <v/>
      </c>
    </row>
    <row r="133" spans="53:56" x14ac:dyDescent="0.25">
      <c r="BA133" s="1" t="str">
        <f t="shared" si="4"/>
        <v/>
      </c>
      <c r="BB133" s="13" t="str">
        <f t="shared" si="5"/>
        <v/>
      </c>
      <c r="BC133" s="7" t="str">
        <f t="shared" si="6"/>
        <v/>
      </c>
      <c r="BD133" s="7" t="str">
        <f t="shared" si="7"/>
        <v/>
      </c>
    </row>
    <row r="134" spans="53:56" x14ac:dyDescent="0.25">
      <c r="BA134" s="1" t="str">
        <f t="shared" si="4"/>
        <v/>
      </c>
      <c r="BB134" s="13" t="str">
        <f t="shared" si="5"/>
        <v/>
      </c>
      <c r="BC134" s="7" t="str">
        <f t="shared" si="6"/>
        <v/>
      </c>
      <c r="BD134" s="7" t="str">
        <f t="shared" si="7"/>
        <v/>
      </c>
    </row>
    <row r="135" spans="53:56" x14ac:dyDescent="0.25">
      <c r="BA135" s="1" t="str">
        <f t="shared" si="4"/>
        <v/>
      </c>
      <c r="BB135" s="13" t="str">
        <f t="shared" si="5"/>
        <v/>
      </c>
      <c r="BC135" s="7" t="str">
        <f t="shared" si="6"/>
        <v/>
      </c>
      <c r="BD135" s="7" t="str">
        <f t="shared" si="7"/>
        <v/>
      </c>
    </row>
    <row r="136" spans="53:56" x14ac:dyDescent="0.25">
      <c r="BA136" s="1" t="str">
        <f t="shared" si="4"/>
        <v/>
      </c>
      <c r="BB136" s="13" t="str">
        <f t="shared" si="5"/>
        <v/>
      </c>
      <c r="BC136" s="7" t="str">
        <f t="shared" si="6"/>
        <v/>
      </c>
      <c r="BD136" s="7" t="str">
        <f t="shared" si="7"/>
        <v/>
      </c>
    </row>
    <row r="137" spans="53:56" x14ac:dyDescent="0.25">
      <c r="BA137" s="1" t="str">
        <f t="shared" si="4"/>
        <v/>
      </c>
      <c r="BB137" s="13" t="str">
        <f t="shared" si="5"/>
        <v/>
      </c>
      <c r="BC137" s="7" t="str">
        <f t="shared" si="6"/>
        <v/>
      </c>
      <c r="BD137" s="7" t="str">
        <f t="shared" si="7"/>
        <v/>
      </c>
    </row>
    <row r="138" spans="53:56" x14ac:dyDescent="0.25">
      <c r="BA138" s="1" t="str">
        <f t="shared" ref="BA138:BA201" si="8">IF(B138="","",GETPIVOTDATA("MINUTOS",$B$4,"CONTROLE","Empresa")-GETPIVOTDATA("MINUTOS",$B$4,"NOME",B138,"CONTROLE","Colaborador"))</f>
        <v/>
      </c>
      <c r="BB138" s="13" t="str">
        <f t="shared" ref="BB138:BB201" si="9">IF(C138="","",GETPIVOTDATA("MINUTOS",$C$5,"CONTROLE","Empresa")-GETPIVOTDATA("MINUTOS",$C$5,"NOME",C138,"CONTROLE","Colaborador"))</f>
        <v/>
      </c>
      <c r="BC138" s="7" t="str">
        <f t="shared" ref="BC138:BC201" si="10">IF(BB138="","",BB138/60)</f>
        <v/>
      </c>
      <c r="BD138" s="7" t="str">
        <f t="shared" ref="BD138:BD201" si="11">IF(BB138="","",CONCATENATE(IF(BB138&gt;0,"Deve para Empresa ","Empresa deve "),INT(ROUNDDOWN(ABS(BC138),0)),"h e ",FIXED(((ABS(BC138)-INT(ROUNDDOWN(ABS(BC138),0)))*60),0)," min."))</f>
        <v/>
      </c>
    </row>
    <row r="139" spans="53:56" x14ac:dyDescent="0.25">
      <c r="BA139" s="1" t="str">
        <f t="shared" si="8"/>
        <v/>
      </c>
      <c r="BB139" s="13" t="str">
        <f t="shared" si="9"/>
        <v/>
      </c>
      <c r="BC139" s="7" t="str">
        <f t="shared" si="10"/>
        <v/>
      </c>
      <c r="BD139" s="7" t="str">
        <f t="shared" si="11"/>
        <v/>
      </c>
    </row>
    <row r="140" spans="53:56" x14ac:dyDescent="0.25">
      <c r="BA140" s="1" t="str">
        <f t="shared" si="8"/>
        <v/>
      </c>
      <c r="BB140" s="13" t="str">
        <f t="shared" si="9"/>
        <v/>
      </c>
      <c r="BC140" s="7" t="str">
        <f t="shared" si="10"/>
        <v/>
      </c>
      <c r="BD140" s="7" t="str">
        <f t="shared" si="11"/>
        <v/>
      </c>
    </row>
    <row r="141" spans="53:56" x14ac:dyDescent="0.25">
      <c r="BA141" s="1" t="str">
        <f t="shared" si="8"/>
        <v/>
      </c>
      <c r="BB141" s="13" t="str">
        <f t="shared" si="9"/>
        <v/>
      </c>
      <c r="BC141" s="7" t="str">
        <f t="shared" si="10"/>
        <v/>
      </c>
      <c r="BD141" s="7" t="str">
        <f t="shared" si="11"/>
        <v/>
      </c>
    </row>
    <row r="142" spans="53:56" x14ac:dyDescent="0.25">
      <c r="BA142" s="1" t="str">
        <f t="shared" si="8"/>
        <v/>
      </c>
      <c r="BB142" s="13" t="str">
        <f t="shared" si="9"/>
        <v/>
      </c>
      <c r="BC142" s="7" t="str">
        <f t="shared" si="10"/>
        <v/>
      </c>
      <c r="BD142" s="7" t="str">
        <f t="shared" si="11"/>
        <v/>
      </c>
    </row>
    <row r="143" spans="53:56" x14ac:dyDescent="0.25">
      <c r="BA143" s="1" t="str">
        <f t="shared" si="8"/>
        <v/>
      </c>
      <c r="BB143" s="13" t="str">
        <f t="shared" si="9"/>
        <v/>
      </c>
      <c r="BC143" s="7" t="str">
        <f t="shared" si="10"/>
        <v/>
      </c>
      <c r="BD143" s="7" t="str">
        <f t="shared" si="11"/>
        <v/>
      </c>
    </row>
    <row r="144" spans="53:56" x14ac:dyDescent="0.25">
      <c r="BA144" s="1" t="str">
        <f t="shared" si="8"/>
        <v/>
      </c>
      <c r="BB144" s="13" t="str">
        <f t="shared" si="9"/>
        <v/>
      </c>
      <c r="BC144" s="7" t="str">
        <f t="shared" si="10"/>
        <v/>
      </c>
      <c r="BD144" s="7" t="str">
        <f t="shared" si="11"/>
        <v/>
      </c>
    </row>
    <row r="145" spans="53:56" x14ac:dyDescent="0.25">
      <c r="BA145" s="1" t="str">
        <f t="shared" si="8"/>
        <v/>
      </c>
      <c r="BB145" s="13" t="str">
        <f t="shared" si="9"/>
        <v/>
      </c>
      <c r="BC145" s="7" t="str">
        <f t="shared" si="10"/>
        <v/>
      </c>
      <c r="BD145" s="7" t="str">
        <f t="shared" si="11"/>
        <v/>
      </c>
    </row>
    <row r="146" spans="53:56" x14ac:dyDescent="0.25">
      <c r="BA146" s="1" t="str">
        <f t="shared" si="8"/>
        <v/>
      </c>
      <c r="BB146" s="13" t="str">
        <f t="shared" si="9"/>
        <v/>
      </c>
      <c r="BC146" s="7" t="str">
        <f t="shared" si="10"/>
        <v/>
      </c>
      <c r="BD146" s="7" t="str">
        <f t="shared" si="11"/>
        <v/>
      </c>
    </row>
    <row r="147" spans="53:56" x14ac:dyDescent="0.25">
      <c r="BA147" s="1" t="str">
        <f t="shared" si="8"/>
        <v/>
      </c>
      <c r="BB147" s="13" t="str">
        <f t="shared" si="9"/>
        <v/>
      </c>
      <c r="BC147" s="7" t="str">
        <f t="shared" si="10"/>
        <v/>
      </c>
      <c r="BD147" s="7" t="str">
        <f t="shared" si="11"/>
        <v/>
      </c>
    </row>
    <row r="148" spans="53:56" x14ac:dyDescent="0.25">
      <c r="BA148" s="1" t="str">
        <f t="shared" si="8"/>
        <v/>
      </c>
      <c r="BB148" s="13" t="str">
        <f t="shared" si="9"/>
        <v/>
      </c>
      <c r="BC148" s="7" t="str">
        <f t="shared" si="10"/>
        <v/>
      </c>
      <c r="BD148" s="7" t="str">
        <f t="shared" si="11"/>
        <v/>
      </c>
    </row>
    <row r="149" spans="53:56" x14ac:dyDescent="0.25">
      <c r="BA149" s="1" t="str">
        <f t="shared" si="8"/>
        <v/>
      </c>
      <c r="BB149" s="13" t="str">
        <f t="shared" si="9"/>
        <v/>
      </c>
      <c r="BC149" s="7" t="str">
        <f t="shared" si="10"/>
        <v/>
      </c>
      <c r="BD149" s="7" t="str">
        <f t="shared" si="11"/>
        <v/>
      </c>
    </row>
    <row r="150" spans="53:56" x14ac:dyDescent="0.25">
      <c r="BA150" s="1" t="str">
        <f t="shared" si="8"/>
        <v/>
      </c>
      <c r="BB150" s="13" t="str">
        <f t="shared" si="9"/>
        <v/>
      </c>
      <c r="BC150" s="7" t="str">
        <f t="shared" si="10"/>
        <v/>
      </c>
      <c r="BD150" s="7" t="str">
        <f t="shared" si="11"/>
        <v/>
      </c>
    </row>
    <row r="151" spans="53:56" x14ac:dyDescent="0.25">
      <c r="BA151" s="1" t="str">
        <f t="shared" si="8"/>
        <v/>
      </c>
      <c r="BB151" s="13" t="str">
        <f t="shared" si="9"/>
        <v/>
      </c>
      <c r="BC151" s="7" t="str">
        <f t="shared" si="10"/>
        <v/>
      </c>
      <c r="BD151" s="7" t="str">
        <f t="shared" si="11"/>
        <v/>
      </c>
    </row>
    <row r="152" spans="53:56" x14ac:dyDescent="0.25">
      <c r="BA152" s="1" t="str">
        <f t="shared" si="8"/>
        <v/>
      </c>
      <c r="BB152" s="13" t="str">
        <f t="shared" si="9"/>
        <v/>
      </c>
      <c r="BC152" s="7" t="str">
        <f t="shared" si="10"/>
        <v/>
      </c>
      <c r="BD152" s="7" t="str">
        <f t="shared" si="11"/>
        <v/>
      </c>
    </row>
    <row r="153" spans="53:56" x14ac:dyDescent="0.25">
      <c r="BA153" s="1" t="str">
        <f t="shared" si="8"/>
        <v/>
      </c>
      <c r="BB153" s="13" t="str">
        <f t="shared" si="9"/>
        <v/>
      </c>
      <c r="BC153" s="7" t="str">
        <f t="shared" si="10"/>
        <v/>
      </c>
      <c r="BD153" s="7" t="str">
        <f t="shared" si="11"/>
        <v/>
      </c>
    </row>
    <row r="154" spans="53:56" x14ac:dyDescent="0.25">
      <c r="BA154" s="1" t="str">
        <f t="shared" si="8"/>
        <v/>
      </c>
      <c r="BB154" s="13" t="str">
        <f t="shared" si="9"/>
        <v/>
      </c>
      <c r="BC154" s="7" t="str">
        <f t="shared" si="10"/>
        <v/>
      </c>
      <c r="BD154" s="7" t="str">
        <f t="shared" si="11"/>
        <v/>
      </c>
    </row>
    <row r="155" spans="53:56" x14ac:dyDescent="0.25">
      <c r="BA155" s="1" t="str">
        <f t="shared" si="8"/>
        <v/>
      </c>
      <c r="BB155" s="13" t="str">
        <f t="shared" si="9"/>
        <v/>
      </c>
      <c r="BC155" s="7" t="str">
        <f t="shared" si="10"/>
        <v/>
      </c>
      <c r="BD155" s="7" t="str">
        <f t="shared" si="11"/>
        <v/>
      </c>
    </row>
    <row r="156" spans="53:56" x14ac:dyDescent="0.25">
      <c r="BA156" s="1" t="str">
        <f t="shared" si="8"/>
        <v/>
      </c>
      <c r="BB156" s="13" t="str">
        <f t="shared" si="9"/>
        <v/>
      </c>
      <c r="BC156" s="7" t="str">
        <f t="shared" si="10"/>
        <v/>
      </c>
      <c r="BD156" s="7" t="str">
        <f t="shared" si="11"/>
        <v/>
      </c>
    </row>
    <row r="157" spans="53:56" x14ac:dyDescent="0.25">
      <c r="BA157" s="1" t="str">
        <f t="shared" si="8"/>
        <v/>
      </c>
      <c r="BB157" s="13" t="str">
        <f t="shared" si="9"/>
        <v/>
      </c>
      <c r="BC157" s="7" t="str">
        <f t="shared" si="10"/>
        <v/>
      </c>
      <c r="BD157" s="7" t="str">
        <f t="shared" si="11"/>
        <v/>
      </c>
    </row>
    <row r="158" spans="53:56" x14ac:dyDescent="0.25">
      <c r="BA158" s="1" t="str">
        <f t="shared" si="8"/>
        <v/>
      </c>
      <c r="BB158" s="13" t="str">
        <f t="shared" si="9"/>
        <v/>
      </c>
      <c r="BC158" s="7" t="str">
        <f t="shared" si="10"/>
        <v/>
      </c>
      <c r="BD158" s="7" t="str">
        <f t="shared" si="11"/>
        <v/>
      </c>
    </row>
    <row r="159" spans="53:56" x14ac:dyDescent="0.25">
      <c r="BA159" s="1" t="str">
        <f t="shared" si="8"/>
        <v/>
      </c>
      <c r="BB159" s="13" t="str">
        <f t="shared" si="9"/>
        <v/>
      </c>
      <c r="BC159" s="7" t="str">
        <f t="shared" si="10"/>
        <v/>
      </c>
      <c r="BD159" s="7" t="str">
        <f t="shared" si="11"/>
        <v/>
      </c>
    </row>
    <row r="160" spans="53:56" x14ac:dyDescent="0.25">
      <c r="BA160" s="1" t="str">
        <f t="shared" si="8"/>
        <v/>
      </c>
      <c r="BB160" s="13" t="str">
        <f t="shared" si="9"/>
        <v/>
      </c>
      <c r="BC160" s="7" t="str">
        <f t="shared" si="10"/>
        <v/>
      </c>
      <c r="BD160" s="7" t="str">
        <f t="shared" si="11"/>
        <v/>
      </c>
    </row>
    <row r="161" spans="53:56" x14ac:dyDescent="0.25">
      <c r="BA161" s="1" t="str">
        <f t="shared" si="8"/>
        <v/>
      </c>
      <c r="BB161" s="13" t="str">
        <f t="shared" si="9"/>
        <v/>
      </c>
      <c r="BC161" s="7" t="str">
        <f t="shared" si="10"/>
        <v/>
      </c>
      <c r="BD161" s="7" t="str">
        <f t="shared" si="11"/>
        <v/>
      </c>
    </row>
    <row r="162" spans="53:56" x14ac:dyDescent="0.25">
      <c r="BA162" s="1" t="str">
        <f t="shared" si="8"/>
        <v/>
      </c>
      <c r="BB162" s="13" t="str">
        <f t="shared" si="9"/>
        <v/>
      </c>
      <c r="BC162" s="7" t="str">
        <f t="shared" si="10"/>
        <v/>
      </c>
      <c r="BD162" s="7" t="str">
        <f t="shared" si="11"/>
        <v/>
      </c>
    </row>
    <row r="163" spans="53:56" x14ac:dyDescent="0.25">
      <c r="BA163" s="1" t="str">
        <f t="shared" si="8"/>
        <v/>
      </c>
      <c r="BB163" s="13" t="str">
        <f t="shared" si="9"/>
        <v/>
      </c>
      <c r="BC163" s="7" t="str">
        <f t="shared" si="10"/>
        <v/>
      </c>
      <c r="BD163" s="7" t="str">
        <f t="shared" si="11"/>
        <v/>
      </c>
    </row>
    <row r="164" spans="53:56" x14ac:dyDescent="0.25">
      <c r="BA164" s="1" t="str">
        <f t="shared" si="8"/>
        <v/>
      </c>
      <c r="BB164" s="13" t="str">
        <f t="shared" si="9"/>
        <v/>
      </c>
      <c r="BC164" s="7" t="str">
        <f t="shared" si="10"/>
        <v/>
      </c>
      <c r="BD164" s="7" t="str">
        <f t="shared" si="11"/>
        <v/>
      </c>
    </row>
    <row r="165" spans="53:56" x14ac:dyDescent="0.25">
      <c r="BA165" s="1" t="str">
        <f t="shared" si="8"/>
        <v/>
      </c>
      <c r="BB165" s="13" t="str">
        <f t="shared" si="9"/>
        <v/>
      </c>
      <c r="BC165" s="7" t="str">
        <f t="shared" si="10"/>
        <v/>
      </c>
      <c r="BD165" s="7" t="str">
        <f t="shared" si="11"/>
        <v/>
      </c>
    </row>
    <row r="166" spans="53:56" x14ac:dyDescent="0.25">
      <c r="BA166" s="1" t="str">
        <f t="shared" si="8"/>
        <v/>
      </c>
      <c r="BB166" s="13" t="str">
        <f t="shared" si="9"/>
        <v/>
      </c>
      <c r="BC166" s="7" t="str">
        <f t="shared" si="10"/>
        <v/>
      </c>
      <c r="BD166" s="7" t="str">
        <f t="shared" si="11"/>
        <v/>
      </c>
    </row>
    <row r="167" spans="53:56" x14ac:dyDescent="0.25">
      <c r="BA167" s="1" t="str">
        <f t="shared" si="8"/>
        <v/>
      </c>
      <c r="BB167" s="13" t="str">
        <f t="shared" si="9"/>
        <v/>
      </c>
      <c r="BC167" s="7" t="str">
        <f t="shared" si="10"/>
        <v/>
      </c>
      <c r="BD167" s="7" t="str">
        <f t="shared" si="11"/>
        <v/>
      </c>
    </row>
    <row r="168" spans="53:56" x14ac:dyDescent="0.25">
      <c r="BA168" s="1" t="str">
        <f t="shared" si="8"/>
        <v/>
      </c>
      <c r="BB168" s="13" t="str">
        <f t="shared" si="9"/>
        <v/>
      </c>
      <c r="BC168" s="7" t="str">
        <f t="shared" si="10"/>
        <v/>
      </c>
      <c r="BD168" s="7" t="str">
        <f t="shared" si="11"/>
        <v/>
      </c>
    </row>
    <row r="169" spans="53:56" x14ac:dyDescent="0.25">
      <c r="BA169" s="1" t="str">
        <f t="shared" si="8"/>
        <v/>
      </c>
      <c r="BB169" s="13" t="str">
        <f t="shared" si="9"/>
        <v/>
      </c>
      <c r="BC169" s="7" t="str">
        <f t="shared" si="10"/>
        <v/>
      </c>
      <c r="BD169" s="7" t="str">
        <f t="shared" si="11"/>
        <v/>
      </c>
    </row>
    <row r="170" spans="53:56" x14ac:dyDescent="0.25">
      <c r="BA170" s="1" t="str">
        <f t="shared" si="8"/>
        <v/>
      </c>
      <c r="BB170" s="13" t="str">
        <f t="shared" si="9"/>
        <v/>
      </c>
      <c r="BC170" s="7" t="str">
        <f t="shared" si="10"/>
        <v/>
      </c>
      <c r="BD170" s="7" t="str">
        <f t="shared" si="11"/>
        <v/>
      </c>
    </row>
    <row r="171" spans="53:56" x14ac:dyDescent="0.25">
      <c r="BA171" s="1" t="str">
        <f t="shared" si="8"/>
        <v/>
      </c>
      <c r="BB171" s="13" t="str">
        <f t="shared" si="9"/>
        <v/>
      </c>
      <c r="BC171" s="7" t="str">
        <f t="shared" si="10"/>
        <v/>
      </c>
      <c r="BD171" s="7" t="str">
        <f t="shared" si="11"/>
        <v/>
      </c>
    </row>
    <row r="172" spans="53:56" x14ac:dyDescent="0.25">
      <c r="BA172" s="1" t="str">
        <f t="shared" si="8"/>
        <v/>
      </c>
      <c r="BB172" s="13" t="str">
        <f t="shared" si="9"/>
        <v/>
      </c>
      <c r="BC172" s="7" t="str">
        <f t="shared" si="10"/>
        <v/>
      </c>
      <c r="BD172" s="7" t="str">
        <f t="shared" si="11"/>
        <v/>
      </c>
    </row>
    <row r="173" spans="53:56" x14ac:dyDescent="0.25">
      <c r="BA173" s="1" t="str">
        <f t="shared" si="8"/>
        <v/>
      </c>
      <c r="BB173" s="13" t="str">
        <f t="shared" si="9"/>
        <v/>
      </c>
      <c r="BC173" s="7" t="str">
        <f t="shared" si="10"/>
        <v/>
      </c>
      <c r="BD173" s="7" t="str">
        <f t="shared" si="11"/>
        <v/>
      </c>
    </row>
    <row r="174" spans="53:56" x14ac:dyDescent="0.25">
      <c r="BA174" s="1" t="str">
        <f t="shared" si="8"/>
        <v/>
      </c>
      <c r="BB174" s="13" t="str">
        <f t="shared" si="9"/>
        <v/>
      </c>
      <c r="BC174" s="7" t="str">
        <f t="shared" si="10"/>
        <v/>
      </c>
      <c r="BD174" s="7" t="str">
        <f t="shared" si="11"/>
        <v/>
      </c>
    </row>
    <row r="175" spans="53:56" x14ac:dyDescent="0.25">
      <c r="BA175" s="1" t="str">
        <f t="shared" si="8"/>
        <v/>
      </c>
      <c r="BB175" s="13" t="str">
        <f t="shared" si="9"/>
        <v/>
      </c>
      <c r="BC175" s="7" t="str">
        <f t="shared" si="10"/>
        <v/>
      </c>
      <c r="BD175" s="7" t="str">
        <f t="shared" si="11"/>
        <v/>
      </c>
    </row>
    <row r="176" spans="53:56" x14ac:dyDescent="0.25">
      <c r="BA176" s="1" t="str">
        <f t="shared" si="8"/>
        <v/>
      </c>
      <c r="BB176" s="13" t="str">
        <f t="shared" si="9"/>
        <v/>
      </c>
      <c r="BC176" s="7" t="str">
        <f t="shared" si="10"/>
        <v/>
      </c>
      <c r="BD176" s="7" t="str">
        <f t="shared" si="11"/>
        <v/>
      </c>
    </row>
    <row r="177" spans="53:56" x14ac:dyDescent="0.25">
      <c r="BA177" s="1" t="str">
        <f t="shared" si="8"/>
        <v/>
      </c>
      <c r="BB177" s="13" t="str">
        <f t="shared" si="9"/>
        <v/>
      </c>
      <c r="BC177" s="7" t="str">
        <f t="shared" si="10"/>
        <v/>
      </c>
      <c r="BD177" s="7" t="str">
        <f t="shared" si="11"/>
        <v/>
      </c>
    </row>
    <row r="178" spans="53:56" x14ac:dyDescent="0.25">
      <c r="BA178" s="1" t="str">
        <f t="shared" si="8"/>
        <v/>
      </c>
      <c r="BB178" s="13" t="str">
        <f t="shared" si="9"/>
        <v/>
      </c>
      <c r="BC178" s="7" t="str">
        <f t="shared" si="10"/>
        <v/>
      </c>
      <c r="BD178" s="7" t="str">
        <f t="shared" si="11"/>
        <v/>
      </c>
    </row>
    <row r="179" spans="53:56" x14ac:dyDescent="0.25">
      <c r="BA179" s="1" t="str">
        <f t="shared" si="8"/>
        <v/>
      </c>
      <c r="BB179" s="13" t="str">
        <f t="shared" si="9"/>
        <v/>
      </c>
      <c r="BC179" s="7" t="str">
        <f t="shared" si="10"/>
        <v/>
      </c>
      <c r="BD179" s="7" t="str">
        <f t="shared" si="11"/>
        <v/>
      </c>
    </row>
    <row r="180" spans="53:56" x14ac:dyDescent="0.25">
      <c r="BA180" s="1" t="str">
        <f t="shared" si="8"/>
        <v/>
      </c>
      <c r="BB180" s="13" t="str">
        <f t="shared" si="9"/>
        <v/>
      </c>
      <c r="BC180" s="7" t="str">
        <f t="shared" si="10"/>
        <v/>
      </c>
      <c r="BD180" s="7" t="str">
        <f t="shared" si="11"/>
        <v/>
      </c>
    </row>
    <row r="181" spans="53:56" x14ac:dyDescent="0.25">
      <c r="BA181" s="1" t="str">
        <f t="shared" si="8"/>
        <v/>
      </c>
      <c r="BB181" s="13" t="str">
        <f t="shared" si="9"/>
        <v/>
      </c>
      <c r="BC181" s="7" t="str">
        <f t="shared" si="10"/>
        <v/>
      </c>
      <c r="BD181" s="7" t="str">
        <f t="shared" si="11"/>
        <v/>
      </c>
    </row>
    <row r="182" spans="53:56" x14ac:dyDescent="0.25">
      <c r="BA182" s="1" t="str">
        <f t="shared" si="8"/>
        <v/>
      </c>
      <c r="BB182" s="13" t="str">
        <f t="shared" si="9"/>
        <v/>
      </c>
      <c r="BC182" s="7" t="str">
        <f t="shared" si="10"/>
        <v/>
      </c>
      <c r="BD182" s="7" t="str">
        <f t="shared" si="11"/>
        <v/>
      </c>
    </row>
    <row r="183" spans="53:56" x14ac:dyDescent="0.25">
      <c r="BA183" s="1" t="str">
        <f t="shared" si="8"/>
        <v/>
      </c>
      <c r="BB183" s="13" t="str">
        <f t="shared" si="9"/>
        <v/>
      </c>
      <c r="BC183" s="7" t="str">
        <f t="shared" si="10"/>
        <v/>
      </c>
      <c r="BD183" s="7" t="str">
        <f t="shared" si="11"/>
        <v/>
      </c>
    </row>
    <row r="184" spans="53:56" x14ac:dyDescent="0.25">
      <c r="BA184" s="1" t="str">
        <f t="shared" si="8"/>
        <v/>
      </c>
      <c r="BB184" s="13" t="str">
        <f t="shared" si="9"/>
        <v/>
      </c>
      <c r="BC184" s="7" t="str">
        <f t="shared" si="10"/>
        <v/>
      </c>
      <c r="BD184" s="7" t="str">
        <f t="shared" si="11"/>
        <v/>
      </c>
    </row>
    <row r="185" spans="53:56" x14ac:dyDescent="0.25">
      <c r="BA185" s="1" t="str">
        <f t="shared" si="8"/>
        <v/>
      </c>
      <c r="BB185" s="13" t="str">
        <f t="shared" si="9"/>
        <v/>
      </c>
      <c r="BC185" s="7" t="str">
        <f t="shared" si="10"/>
        <v/>
      </c>
      <c r="BD185" s="7" t="str">
        <f t="shared" si="11"/>
        <v/>
      </c>
    </row>
    <row r="186" spans="53:56" x14ac:dyDescent="0.25">
      <c r="BA186" s="1" t="str">
        <f t="shared" si="8"/>
        <v/>
      </c>
      <c r="BB186" s="13" t="str">
        <f t="shared" si="9"/>
        <v/>
      </c>
      <c r="BC186" s="7" t="str">
        <f t="shared" si="10"/>
        <v/>
      </c>
      <c r="BD186" s="7" t="str">
        <f t="shared" si="11"/>
        <v/>
      </c>
    </row>
    <row r="187" spans="53:56" x14ac:dyDescent="0.25">
      <c r="BA187" s="1" t="str">
        <f t="shared" si="8"/>
        <v/>
      </c>
      <c r="BB187" s="13" t="str">
        <f t="shared" si="9"/>
        <v/>
      </c>
      <c r="BC187" s="7" t="str">
        <f t="shared" si="10"/>
        <v/>
      </c>
      <c r="BD187" s="7" t="str">
        <f t="shared" si="11"/>
        <v/>
      </c>
    </row>
    <row r="188" spans="53:56" x14ac:dyDescent="0.25">
      <c r="BA188" s="1" t="str">
        <f t="shared" si="8"/>
        <v/>
      </c>
      <c r="BB188" s="13" t="str">
        <f t="shared" si="9"/>
        <v/>
      </c>
      <c r="BC188" s="7" t="str">
        <f t="shared" si="10"/>
        <v/>
      </c>
      <c r="BD188" s="7" t="str">
        <f t="shared" si="11"/>
        <v/>
      </c>
    </row>
    <row r="189" spans="53:56" x14ac:dyDescent="0.25">
      <c r="BA189" s="1" t="str">
        <f t="shared" si="8"/>
        <v/>
      </c>
      <c r="BB189" s="13" t="str">
        <f t="shared" si="9"/>
        <v/>
      </c>
      <c r="BC189" s="7" t="str">
        <f t="shared" si="10"/>
        <v/>
      </c>
      <c r="BD189" s="7" t="str">
        <f t="shared" si="11"/>
        <v/>
      </c>
    </row>
    <row r="190" spans="53:56" x14ac:dyDescent="0.25">
      <c r="BA190" s="1" t="str">
        <f t="shared" si="8"/>
        <v/>
      </c>
      <c r="BB190" s="13" t="str">
        <f t="shared" si="9"/>
        <v/>
      </c>
      <c r="BC190" s="7" t="str">
        <f t="shared" si="10"/>
        <v/>
      </c>
      <c r="BD190" s="7" t="str">
        <f t="shared" si="11"/>
        <v/>
      </c>
    </row>
    <row r="191" spans="53:56" x14ac:dyDescent="0.25">
      <c r="BA191" s="1" t="str">
        <f t="shared" si="8"/>
        <v/>
      </c>
      <c r="BB191" s="13" t="str">
        <f t="shared" si="9"/>
        <v/>
      </c>
      <c r="BC191" s="7" t="str">
        <f t="shared" si="10"/>
        <v/>
      </c>
      <c r="BD191" s="7" t="str">
        <f t="shared" si="11"/>
        <v/>
      </c>
    </row>
    <row r="192" spans="53:56" x14ac:dyDescent="0.25">
      <c r="BA192" s="1" t="str">
        <f t="shared" si="8"/>
        <v/>
      </c>
      <c r="BB192" s="13" t="str">
        <f t="shared" si="9"/>
        <v/>
      </c>
      <c r="BC192" s="7" t="str">
        <f t="shared" si="10"/>
        <v/>
      </c>
      <c r="BD192" s="7" t="str">
        <f t="shared" si="11"/>
        <v/>
      </c>
    </row>
    <row r="193" spans="53:56" x14ac:dyDescent="0.25">
      <c r="BA193" s="1" t="str">
        <f t="shared" si="8"/>
        <v/>
      </c>
      <c r="BB193" s="13" t="str">
        <f t="shared" si="9"/>
        <v/>
      </c>
      <c r="BC193" s="7" t="str">
        <f t="shared" si="10"/>
        <v/>
      </c>
      <c r="BD193" s="7" t="str">
        <f t="shared" si="11"/>
        <v/>
      </c>
    </row>
    <row r="194" spans="53:56" x14ac:dyDescent="0.25">
      <c r="BA194" s="1" t="str">
        <f t="shared" si="8"/>
        <v/>
      </c>
      <c r="BB194" s="13" t="str">
        <f t="shared" si="9"/>
        <v/>
      </c>
      <c r="BC194" s="7" t="str">
        <f t="shared" si="10"/>
        <v/>
      </c>
      <c r="BD194" s="7" t="str">
        <f t="shared" si="11"/>
        <v/>
      </c>
    </row>
    <row r="195" spans="53:56" x14ac:dyDescent="0.25">
      <c r="BA195" s="1" t="str">
        <f t="shared" si="8"/>
        <v/>
      </c>
      <c r="BB195" s="13" t="str">
        <f t="shared" si="9"/>
        <v/>
      </c>
      <c r="BC195" s="7" t="str">
        <f t="shared" si="10"/>
        <v/>
      </c>
      <c r="BD195" s="7" t="str">
        <f t="shared" si="11"/>
        <v/>
      </c>
    </row>
    <row r="196" spans="53:56" x14ac:dyDescent="0.25">
      <c r="BA196" s="1" t="str">
        <f t="shared" si="8"/>
        <v/>
      </c>
      <c r="BB196" s="13" t="str">
        <f t="shared" si="9"/>
        <v/>
      </c>
      <c r="BC196" s="7" t="str">
        <f t="shared" si="10"/>
        <v/>
      </c>
      <c r="BD196" s="7" t="str">
        <f t="shared" si="11"/>
        <v/>
      </c>
    </row>
    <row r="197" spans="53:56" x14ac:dyDescent="0.25">
      <c r="BA197" s="1" t="str">
        <f t="shared" si="8"/>
        <v/>
      </c>
      <c r="BB197" s="13" t="str">
        <f t="shared" si="9"/>
        <v/>
      </c>
      <c r="BC197" s="7" t="str">
        <f t="shared" si="10"/>
        <v/>
      </c>
      <c r="BD197" s="7" t="str">
        <f t="shared" si="11"/>
        <v/>
      </c>
    </row>
    <row r="198" spans="53:56" x14ac:dyDescent="0.25">
      <c r="BA198" s="1" t="str">
        <f t="shared" si="8"/>
        <v/>
      </c>
      <c r="BB198" s="13" t="str">
        <f t="shared" si="9"/>
        <v/>
      </c>
      <c r="BC198" s="7" t="str">
        <f t="shared" si="10"/>
        <v/>
      </c>
      <c r="BD198" s="7" t="str">
        <f t="shared" si="11"/>
        <v/>
      </c>
    </row>
    <row r="199" spans="53:56" x14ac:dyDescent="0.25">
      <c r="BA199" s="1" t="str">
        <f t="shared" si="8"/>
        <v/>
      </c>
      <c r="BB199" s="13" t="str">
        <f t="shared" si="9"/>
        <v/>
      </c>
      <c r="BC199" s="7" t="str">
        <f t="shared" si="10"/>
        <v/>
      </c>
      <c r="BD199" s="7" t="str">
        <f t="shared" si="11"/>
        <v/>
      </c>
    </row>
    <row r="200" spans="53:56" x14ac:dyDescent="0.25">
      <c r="BA200" s="1" t="str">
        <f t="shared" si="8"/>
        <v/>
      </c>
      <c r="BB200" s="13" t="str">
        <f t="shared" si="9"/>
        <v/>
      </c>
      <c r="BC200" s="7" t="str">
        <f t="shared" si="10"/>
        <v/>
      </c>
      <c r="BD200" s="7" t="str">
        <f t="shared" si="11"/>
        <v/>
      </c>
    </row>
    <row r="201" spans="53:56" x14ac:dyDescent="0.25">
      <c r="BA201" s="1" t="str">
        <f t="shared" si="8"/>
        <v/>
      </c>
      <c r="BB201" s="13" t="str">
        <f t="shared" si="9"/>
        <v/>
      </c>
      <c r="BC201" s="7" t="str">
        <f t="shared" si="10"/>
        <v/>
      </c>
      <c r="BD201" s="7" t="str">
        <f t="shared" si="11"/>
        <v/>
      </c>
    </row>
    <row r="202" spans="53:56" x14ac:dyDescent="0.25">
      <c r="BA202" s="1" t="str">
        <f t="shared" ref="BA202:BA265" si="12">IF(B202="","",GETPIVOTDATA("MINUTOS",$B$4,"CONTROLE","Empresa")-GETPIVOTDATA("MINUTOS",$B$4,"NOME",B202,"CONTROLE","Colaborador"))</f>
        <v/>
      </c>
      <c r="BB202" s="13" t="str">
        <f t="shared" ref="BB202:BB265" si="13">IF(C202="","",GETPIVOTDATA("MINUTOS",$C$5,"CONTROLE","Empresa")-GETPIVOTDATA("MINUTOS",$C$5,"NOME",C202,"CONTROLE","Colaborador"))</f>
        <v/>
      </c>
      <c r="BC202" s="7" t="str">
        <f t="shared" ref="BC202:BC265" si="14">IF(BB202="","",BB202/60)</f>
        <v/>
      </c>
      <c r="BD202" s="7" t="str">
        <f t="shared" ref="BD202:BD265" si="15">IF(BB202="","",CONCATENATE(IF(BB202&gt;0,"Deve para Empresa ","Empresa deve "),INT(ROUNDDOWN(ABS(BC202),0)),"h e ",FIXED(((ABS(BC202)-INT(ROUNDDOWN(ABS(BC202),0)))*60),0)," min."))</f>
        <v/>
      </c>
    </row>
    <row r="203" spans="53:56" x14ac:dyDescent="0.25">
      <c r="BA203" s="1" t="str">
        <f t="shared" si="12"/>
        <v/>
      </c>
      <c r="BB203" s="13" t="str">
        <f t="shared" si="13"/>
        <v/>
      </c>
      <c r="BC203" s="7" t="str">
        <f t="shared" si="14"/>
        <v/>
      </c>
      <c r="BD203" s="7" t="str">
        <f t="shared" si="15"/>
        <v/>
      </c>
    </row>
    <row r="204" spans="53:56" x14ac:dyDescent="0.25">
      <c r="BA204" s="1" t="str">
        <f t="shared" si="12"/>
        <v/>
      </c>
      <c r="BB204" s="13" t="str">
        <f t="shared" si="13"/>
        <v/>
      </c>
      <c r="BC204" s="7" t="str">
        <f t="shared" si="14"/>
        <v/>
      </c>
      <c r="BD204" s="7" t="str">
        <f t="shared" si="15"/>
        <v/>
      </c>
    </row>
    <row r="205" spans="53:56" x14ac:dyDescent="0.25">
      <c r="BA205" s="1" t="str">
        <f t="shared" si="12"/>
        <v/>
      </c>
      <c r="BB205" s="13" t="str">
        <f t="shared" si="13"/>
        <v/>
      </c>
      <c r="BC205" s="7" t="str">
        <f t="shared" si="14"/>
        <v/>
      </c>
      <c r="BD205" s="7" t="str">
        <f t="shared" si="15"/>
        <v/>
      </c>
    </row>
    <row r="206" spans="53:56" x14ac:dyDescent="0.25">
      <c r="BA206" s="1" t="str">
        <f t="shared" si="12"/>
        <v/>
      </c>
      <c r="BB206" s="13" t="str">
        <f t="shared" si="13"/>
        <v/>
      </c>
      <c r="BC206" s="7" t="str">
        <f t="shared" si="14"/>
        <v/>
      </c>
      <c r="BD206" s="7" t="str">
        <f t="shared" si="15"/>
        <v/>
      </c>
    </row>
    <row r="207" spans="53:56" x14ac:dyDescent="0.25">
      <c r="BA207" s="1" t="str">
        <f t="shared" si="12"/>
        <v/>
      </c>
      <c r="BB207" s="13" t="str">
        <f t="shared" si="13"/>
        <v/>
      </c>
      <c r="BC207" s="7" t="str">
        <f t="shared" si="14"/>
        <v/>
      </c>
      <c r="BD207" s="7" t="str">
        <f t="shared" si="15"/>
        <v/>
      </c>
    </row>
    <row r="208" spans="53:56" x14ac:dyDescent="0.25">
      <c r="BA208" s="1" t="str">
        <f t="shared" si="12"/>
        <v/>
      </c>
      <c r="BB208" s="13" t="str">
        <f t="shared" si="13"/>
        <v/>
      </c>
      <c r="BC208" s="7" t="str">
        <f t="shared" si="14"/>
        <v/>
      </c>
      <c r="BD208" s="7" t="str">
        <f t="shared" si="15"/>
        <v/>
      </c>
    </row>
    <row r="209" spans="53:56" x14ac:dyDescent="0.25">
      <c r="BA209" s="1" t="str">
        <f t="shared" si="12"/>
        <v/>
      </c>
      <c r="BB209" s="13" t="str">
        <f t="shared" si="13"/>
        <v/>
      </c>
      <c r="BC209" s="7" t="str">
        <f t="shared" si="14"/>
        <v/>
      </c>
      <c r="BD209" s="7" t="str">
        <f t="shared" si="15"/>
        <v/>
      </c>
    </row>
    <row r="210" spans="53:56" x14ac:dyDescent="0.25">
      <c r="BA210" s="1" t="str">
        <f t="shared" si="12"/>
        <v/>
      </c>
      <c r="BB210" s="13" t="str">
        <f t="shared" si="13"/>
        <v/>
      </c>
      <c r="BC210" s="7" t="str">
        <f t="shared" si="14"/>
        <v/>
      </c>
      <c r="BD210" s="7" t="str">
        <f t="shared" si="15"/>
        <v/>
      </c>
    </row>
    <row r="211" spans="53:56" x14ac:dyDescent="0.25">
      <c r="BA211" s="1" t="str">
        <f t="shared" si="12"/>
        <v/>
      </c>
      <c r="BB211" s="13" t="str">
        <f t="shared" si="13"/>
        <v/>
      </c>
      <c r="BC211" s="7" t="str">
        <f t="shared" si="14"/>
        <v/>
      </c>
      <c r="BD211" s="7" t="str">
        <f t="shared" si="15"/>
        <v/>
      </c>
    </row>
    <row r="212" spans="53:56" x14ac:dyDescent="0.25">
      <c r="BA212" s="1" t="str">
        <f t="shared" si="12"/>
        <v/>
      </c>
      <c r="BB212" s="13" t="str">
        <f t="shared" si="13"/>
        <v/>
      </c>
      <c r="BC212" s="7" t="str">
        <f t="shared" si="14"/>
        <v/>
      </c>
      <c r="BD212" s="7" t="str">
        <f t="shared" si="15"/>
        <v/>
      </c>
    </row>
    <row r="213" spans="53:56" x14ac:dyDescent="0.25">
      <c r="BA213" s="1" t="str">
        <f t="shared" si="12"/>
        <v/>
      </c>
      <c r="BB213" s="13" t="str">
        <f t="shared" si="13"/>
        <v/>
      </c>
      <c r="BC213" s="7" t="str">
        <f t="shared" si="14"/>
        <v/>
      </c>
      <c r="BD213" s="7" t="str">
        <f t="shared" si="15"/>
        <v/>
      </c>
    </row>
    <row r="214" spans="53:56" x14ac:dyDescent="0.25">
      <c r="BA214" s="1" t="str">
        <f t="shared" si="12"/>
        <v/>
      </c>
      <c r="BB214" s="13" t="str">
        <f t="shared" si="13"/>
        <v/>
      </c>
      <c r="BC214" s="7" t="str">
        <f t="shared" si="14"/>
        <v/>
      </c>
      <c r="BD214" s="7" t="str">
        <f t="shared" si="15"/>
        <v/>
      </c>
    </row>
    <row r="215" spans="53:56" x14ac:dyDescent="0.25">
      <c r="BA215" s="1" t="str">
        <f t="shared" si="12"/>
        <v/>
      </c>
      <c r="BB215" s="13" t="str">
        <f t="shared" si="13"/>
        <v/>
      </c>
      <c r="BC215" s="7" t="str">
        <f t="shared" si="14"/>
        <v/>
      </c>
      <c r="BD215" s="7" t="str">
        <f t="shared" si="15"/>
        <v/>
      </c>
    </row>
    <row r="216" spans="53:56" x14ac:dyDescent="0.25">
      <c r="BA216" s="1" t="str">
        <f t="shared" si="12"/>
        <v/>
      </c>
      <c r="BB216" s="13" t="str">
        <f t="shared" si="13"/>
        <v/>
      </c>
      <c r="BC216" s="7" t="str">
        <f t="shared" si="14"/>
        <v/>
      </c>
      <c r="BD216" s="7" t="str">
        <f t="shared" si="15"/>
        <v/>
      </c>
    </row>
    <row r="217" spans="53:56" x14ac:dyDescent="0.25">
      <c r="BA217" s="1" t="str">
        <f t="shared" si="12"/>
        <v/>
      </c>
      <c r="BB217" s="13" t="str">
        <f t="shared" si="13"/>
        <v/>
      </c>
      <c r="BC217" s="7" t="str">
        <f t="shared" si="14"/>
        <v/>
      </c>
      <c r="BD217" s="7" t="str">
        <f t="shared" si="15"/>
        <v/>
      </c>
    </row>
    <row r="218" spans="53:56" x14ac:dyDescent="0.25">
      <c r="BA218" s="1" t="str">
        <f t="shared" si="12"/>
        <v/>
      </c>
      <c r="BB218" s="13" t="str">
        <f t="shared" si="13"/>
        <v/>
      </c>
      <c r="BC218" s="7" t="str">
        <f t="shared" si="14"/>
        <v/>
      </c>
      <c r="BD218" s="7" t="str">
        <f t="shared" si="15"/>
        <v/>
      </c>
    </row>
    <row r="219" spans="53:56" x14ac:dyDescent="0.25">
      <c r="BA219" s="1" t="str">
        <f t="shared" si="12"/>
        <v/>
      </c>
      <c r="BB219" s="13" t="str">
        <f t="shared" si="13"/>
        <v/>
      </c>
      <c r="BC219" s="7" t="str">
        <f t="shared" si="14"/>
        <v/>
      </c>
      <c r="BD219" s="7" t="str">
        <f t="shared" si="15"/>
        <v/>
      </c>
    </row>
    <row r="220" spans="53:56" x14ac:dyDescent="0.25">
      <c r="BA220" s="1" t="str">
        <f t="shared" si="12"/>
        <v/>
      </c>
      <c r="BB220" s="13" t="str">
        <f t="shared" si="13"/>
        <v/>
      </c>
      <c r="BC220" s="7" t="str">
        <f t="shared" si="14"/>
        <v/>
      </c>
      <c r="BD220" s="7" t="str">
        <f t="shared" si="15"/>
        <v/>
      </c>
    </row>
    <row r="221" spans="53:56" x14ac:dyDescent="0.25">
      <c r="BA221" s="1" t="str">
        <f t="shared" si="12"/>
        <v/>
      </c>
      <c r="BB221" s="13" t="str">
        <f t="shared" si="13"/>
        <v/>
      </c>
      <c r="BC221" s="7" t="str">
        <f t="shared" si="14"/>
        <v/>
      </c>
      <c r="BD221" s="7" t="str">
        <f t="shared" si="15"/>
        <v/>
      </c>
    </row>
    <row r="222" spans="53:56" x14ac:dyDescent="0.25">
      <c r="BA222" s="1" t="str">
        <f t="shared" si="12"/>
        <v/>
      </c>
      <c r="BB222" s="13" t="str">
        <f t="shared" si="13"/>
        <v/>
      </c>
      <c r="BC222" s="7" t="str">
        <f t="shared" si="14"/>
        <v/>
      </c>
      <c r="BD222" s="7" t="str">
        <f t="shared" si="15"/>
        <v/>
      </c>
    </row>
    <row r="223" spans="53:56" x14ac:dyDescent="0.25">
      <c r="BA223" s="1" t="str">
        <f t="shared" si="12"/>
        <v/>
      </c>
      <c r="BB223" s="13" t="str">
        <f t="shared" si="13"/>
        <v/>
      </c>
      <c r="BC223" s="7" t="str">
        <f t="shared" si="14"/>
        <v/>
      </c>
      <c r="BD223" s="7" t="str">
        <f t="shared" si="15"/>
        <v/>
      </c>
    </row>
    <row r="224" spans="53:56" x14ac:dyDescent="0.25">
      <c r="BA224" s="1" t="str">
        <f t="shared" si="12"/>
        <v/>
      </c>
      <c r="BB224" s="13" t="str">
        <f t="shared" si="13"/>
        <v/>
      </c>
      <c r="BC224" s="7" t="str">
        <f t="shared" si="14"/>
        <v/>
      </c>
      <c r="BD224" s="7" t="str">
        <f t="shared" si="15"/>
        <v/>
      </c>
    </row>
    <row r="225" spans="53:56" x14ac:dyDescent="0.25">
      <c r="BA225" s="1" t="str">
        <f t="shared" si="12"/>
        <v/>
      </c>
      <c r="BB225" s="13" t="str">
        <f t="shared" si="13"/>
        <v/>
      </c>
      <c r="BC225" s="7" t="str">
        <f t="shared" si="14"/>
        <v/>
      </c>
      <c r="BD225" s="7" t="str">
        <f t="shared" si="15"/>
        <v/>
      </c>
    </row>
    <row r="226" spans="53:56" x14ac:dyDescent="0.25">
      <c r="BA226" s="1" t="str">
        <f t="shared" si="12"/>
        <v/>
      </c>
      <c r="BB226" s="13" t="str">
        <f t="shared" si="13"/>
        <v/>
      </c>
      <c r="BC226" s="7" t="str">
        <f t="shared" si="14"/>
        <v/>
      </c>
      <c r="BD226" s="7" t="str">
        <f t="shared" si="15"/>
        <v/>
      </c>
    </row>
    <row r="227" spans="53:56" x14ac:dyDescent="0.25">
      <c r="BA227" s="1" t="str">
        <f t="shared" si="12"/>
        <v/>
      </c>
      <c r="BB227" s="13" t="str">
        <f t="shared" si="13"/>
        <v/>
      </c>
      <c r="BC227" s="7" t="str">
        <f t="shared" si="14"/>
        <v/>
      </c>
      <c r="BD227" s="7" t="str">
        <f t="shared" si="15"/>
        <v/>
      </c>
    </row>
    <row r="228" spans="53:56" x14ac:dyDescent="0.25">
      <c r="BA228" s="1" t="str">
        <f t="shared" si="12"/>
        <v/>
      </c>
      <c r="BB228" s="13" t="str">
        <f t="shared" si="13"/>
        <v/>
      </c>
      <c r="BC228" s="7" t="str">
        <f t="shared" si="14"/>
        <v/>
      </c>
      <c r="BD228" s="7" t="str">
        <f t="shared" si="15"/>
        <v/>
      </c>
    </row>
    <row r="229" spans="53:56" x14ac:dyDescent="0.25">
      <c r="BA229" s="1" t="str">
        <f t="shared" si="12"/>
        <v/>
      </c>
      <c r="BB229" s="13" t="str">
        <f t="shared" si="13"/>
        <v/>
      </c>
      <c r="BC229" s="7" t="str">
        <f t="shared" si="14"/>
        <v/>
      </c>
      <c r="BD229" s="7" t="str">
        <f t="shared" si="15"/>
        <v/>
      </c>
    </row>
    <row r="230" spans="53:56" x14ac:dyDescent="0.25">
      <c r="BA230" s="1" t="str">
        <f t="shared" si="12"/>
        <v/>
      </c>
      <c r="BB230" s="13" t="str">
        <f t="shared" si="13"/>
        <v/>
      </c>
      <c r="BC230" s="7" t="str">
        <f t="shared" si="14"/>
        <v/>
      </c>
      <c r="BD230" s="7" t="str">
        <f t="shared" si="15"/>
        <v/>
      </c>
    </row>
    <row r="231" spans="53:56" x14ac:dyDescent="0.25">
      <c r="BA231" s="1" t="str">
        <f t="shared" si="12"/>
        <v/>
      </c>
      <c r="BB231" s="13" t="str">
        <f t="shared" si="13"/>
        <v/>
      </c>
      <c r="BC231" s="7" t="str">
        <f t="shared" si="14"/>
        <v/>
      </c>
      <c r="BD231" s="7" t="str">
        <f t="shared" si="15"/>
        <v/>
      </c>
    </row>
    <row r="232" spans="53:56" x14ac:dyDescent="0.25">
      <c r="BA232" s="1" t="str">
        <f t="shared" si="12"/>
        <v/>
      </c>
      <c r="BB232" s="13" t="str">
        <f t="shared" si="13"/>
        <v/>
      </c>
      <c r="BC232" s="7" t="str">
        <f t="shared" si="14"/>
        <v/>
      </c>
      <c r="BD232" s="7" t="str">
        <f t="shared" si="15"/>
        <v/>
      </c>
    </row>
    <row r="233" spans="53:56" x14ac:dyDescent="0.25">
      <c r="BA233" s="1" t="str">
        <f t="shared" si="12"/>
        <v/>
      </c>
      <c r="BB233" s="13" t="str">
        <f t="shared" si="13"/>
        <v/>
      </c>
      <c r="BC233" s="7" t="str">
        <f t="shared" si="14"/>
        <v/>
      </c>
      <c r="BD233" s="7" t="str">
        <f t="shared" si="15"/>
        <v/>
      </c>
    </row>
    <row r="234" spans="53:56" x14ac:dyDescent="0.25">
      <c r="BA234" s="1" t="str">
        <f t="shared" si="12"/>
        <v/>
      </c>
      <c r="BB234" s="13" t="str">
        <f t="shared" si="13"/>
        <v/>
      </c>
      <c r="BC234" s="7" t="str">
        <f t="shared" si="14"/>
        <v/>
      </c>
      <c r="BD234" s="7" t="str">
        <f t="shared" si="15"/>
        <v/>
      </c>
    </row>
    <row r="235" spans="53:56" x14ac:dyDescent="0.25">
      <c r="BA235" s="1" t="str">
        <f t="shared" si="12"/>
        <v/>
      </c>
      <c r="BB235" s="13" t="str">
        <f t="shared" si="13"/>
        <v/>
      </c>
      <c r="BC235" s="7" t="str">
        <f t="shared" si="14"/>
        <v/>
      </c>
      <c r="BD235" s="7" t="str">
        <f t="shared" si="15"/>
        <v/>
      </c>
    </row>
    <row r="236" spans="53:56" x14ac:dyDescent="0.25">
      <c r="BA236" s="1" t="str">
        <f t="shared" si="12"/>
        <v/>
      </c>
      <c r="BB236" s="13" t="str">
        <f t="shared" si="13"/>
        <v/>
      </c>
      <c r="BC236" s="7" t="str">
        <f t="shared" si="14"/>
        <v/>
      </c>
      <c r="BD236" s="7" t="str">
        <f t="shared" si="15"/>
        <v/>
      </c>
    </row>
    <row r="237" spans="53:56" x14ac:dyDescent="0.25">
      <c r="BA237" s="1" t="str">
        <f t="shared" si="12"/>
        <v/>
      </c>
      <c r="BB237" s="13" t="str">
        <f t="shared" si="13"/>
        <v/>
      </c>
      <c r="BC237" s="7" t="str">
        <f t="shared" si="14"/>
        <v/>
      </c>
      <c r="BD237" s="7" t="str">
        <f t="shared" si="15"/>
        <v/>
      </c>
    </row>
    <row r="238" spans="53:56" x14ac:dyDescent="0.25">
      <c r="BA238" s="1" t="str">
        <f t="shared" si="12"/>
        <v/>
      </c>
      <c r="BB238" s="13" t="str">
        <f t="shared" si="13"/>
        <v/>
      </c>
      <c r="BC238" s="7" t="str">
        <f t="shared" si="14"/>
        <v/>
      </c>
      <c r="BD238" s="7" t="str">
        <f t="shared" si="15"/>
        <v/>
      </c>
    </row>
    <row r="239" spans="53:56" x14ac:dyDescent="0.25">
      <c r="BA239" s="1" t="str">
        <f t="shared" si="12"/>
        <v/>
      </c>
      <c r="BB239" s="13" t="str">
        <f t="shared" si="13"/>
        <v/>
      </c>
      <c r="BC239" s="7" t="str">
        <f t="shared" si="14"/>
        <v/>
      </c>
      <c r="BD239" s="7" t="str">
        <f t="shared" si="15"/>
        <v/>
      </c>
    </row>
    <row r="240" spans="53:56" x14ac:dyDescent="0.25">
      <c r="BA240" s="1" t="str">
        <f t="shared" si="12"/>
        <v/>
      </c>
      <c r="BB240" s="13" t="str">
        <f t="shared" si="13"/>
        <v/>
      </c>
      <c r="BC240" s="7" t="str">
        <f t="shared" si="14"/>
        <v/>
      </c>
      <c r="BD240" s="7" t="str">
        <f t="shared" si="15"/>
        <v/>
      </c>
    </row>
    <row r="241" spans="53:56" x14ac:dyDescent="0.25">
      <c r="BA241" s="1" t="str">
        <f t="shared" si="12"/>
        <v/>
      </c>
      <c r="BB241" s="13" t="str">
        <f t="shared" si="13"/>
        <v/>
      </c>
      <c r="BC241" s="7" t="str">
        <f t="shared" si="14"/>
        <v/>
      </c>
      <c r="BD241" s="7" t="str">
        <f t="shared" si="15"/>
        <v/>
      </c>
    </row>
    <row r="242" spans="53:56" x14ac:dyDescent="0.25">
      <c r="BA242" s="1" t="str">
        <f t="shared" si="12"/>
        <v/>
      </c>
      <c r="BB242" s="13" t="str">
        <f t="shared" si="13"/>
        <v/>
      </c>
      <c r="BC242" s="7" t="str">
        <f t="shared" si="14"/>
        <v/>
      </c>
      <c r="BD242" s="7" t="str">
        <f t="shared" si="15"/>
        <v/>
      </c>
    </row>
    <row r="243" spans="53:56" x14ac:dyDescent="0.25">
      <c r="BA243" s="1" t="str">
        <f t="shared" si="12"/>
        <v/>
      </c>
      <c r="BB243" s="13" t="str">
        <f t="shared" si="13"/>
        <v/>
      </c>
      <c r="BC243" s="7" t="str">
        <f t="shared" si="14"/>
        <v/>
      </c>
      <c r="BD243" s="7" t="str">
        <f t="shared" si="15"/>
        <v/>
      </c>
    </row>
    <row r="244" spans="53:56" x14ac:dyDescent="0.25">
      <c r="BA244" s="1" t="str">
        <f t="shared" si="12"/>
        <v/>
      </c>
      <c r="BB244" s="13" t="str">
        <f t="shared" si="13"/>
        <v/>
      </c>
      <c r="BC244" s="7" t="str">
        <f t="shared" si="14"/>
        <v/>
      </c>
      <c r="BD244" s="7" t="str">
        <f t="shared" si="15"/>
        <v/>
      </c>
    </row>
    <row r="245" spans="53:56" x14ac:dyDescent="0.25">
      <c r="BA245" s="1" t="str">
        <f t="shared" si="12"/>
        <v/>
      </c>
      <c r="BB245" s="13" t="str">
        <f t="shared" si="13"/>
        <v/>
      </c>
      <c r="BC245" s="7" t="str">
        <f t="shared" si="14"/>
        <v/>
      </c>
      <c r="BD245" s="7" t="str">
        <f t="shared" si="15"/>
        <v/>
      </c>
    </row>
    <row r="246" spans="53:56" x14ac:dyDescent="0.25">
      <c r="BA246" s="1" t="str">
        <f t="shared" si="12"/>
        <v/>
      </c>
      <c r="BB246" s="13" t="str">
        <f t="shared" si="13"/>
        <v/>
      </c>
      <c r="BC246" s="7" t="str">
        <f t="shared" si="14"/>
        <v/>
      </c>
      <c r="BD246" s="7" t="str">
        <f t="shared" si="15"/>
        <v/>
      </c>
    </row>
    <row r="247" spans="53:56" x14ac:dyDescent="0.25">
      <c r="BA247" s="1" t="str">
        <f t="shared" si="12"/>
        <v/>
      </c>
      <c r="BB247" s="13" t="str">
        <f t="shared" si="13"/>
        <v/>
      </c>
      <c r="BC247" s="7" t="str">
        <f t="shared" si="14"/>
        <v/>
      </c>
      <c r="BD247" s="7" t="str">
        <f t="shared" si="15"/>
        <v/>
      </c>
    </row>
    <row r="248" spans="53:56" x14ac:dyDescent="0.25">
      <c r="BA248" s="1" t="str">
        <f t="shared" si="12"/>
        <v/>
      </c>
      <c r="BB248" s="13" t="str">
        <f t="shared" si="13"/>
        <v/>
      </c>
      <c r="BC248" s="7" t="str">
        <f t="shared" si="14"/>
        <v/>
      </c>
      <c r="BD248" s="7" t="str">
        <f t="shared" si="15"/>
        <v/>
      </c>
    </row>
    <row r="249" spans="53:56" x14ac:dyDescent="0.25">
      <c r="BA249" s="1" t="str">
        <f t="shared" si="12"/>
        <v/>
      </c>
      <c r="BB249" s="13" t="str">
        <f t="shared" si="13"/>
        <v/>
      </c>
      <c r="BC249" s="7" t="str">
        <f t="shared" si="14"/>
        <v/>
      </c>
      <c r="BD249" s="7" t="str">
        <f t="shared" si="15"/>
        <v/>
      </c>
    </row>
    <row r="250" spans="53:56" x14ac:dyDescent="0.25">
      <c r="BA250" s="1" t="str">
        <f t="shared" si="12"/>
        <v/>
      </c>
      <c r="BB250" s="13" t="str">
        <f t="shared" si="13"/>
        <v/>
      </c>
      <c r="BC250" s="7" t="str">
        <f t="shared" si="14"/>
        <v/>
      </c>
      <c r="BD250" s="7" t="str">
        <f t="shared" si="15"/>
        <v/>
      </c>
    </row>
    <row r="251" spans="53:56" x14ac:dyDescent="0.25">
      <c r="BA251" s="1" t="str">
        <f t="shared" si="12"/>
        <v/>
      </c>
      <c r="BB251" s="13" t="str">
        <f t="shared" si="13"/>
        <v/>
      </c>
      <c r="BC251" s="7" t="str">
        <f t="shared" si="14"/>
        <v/>
      </c>
      <c r="BD251" s="7" t="str">
        <f t="shared" si="15"/>
        <v/>
      </c>
    </row>
    <row r="252" spans="53:56" x14ac:dyDescent="0.25">
      <c r="BA252" s="1" t="str">
        <f t="shared" si="12"/>
        <v/>
      </c>
      <c r="BB252" s="13" t="str">
        <f t="shared" si="13"/>
        <v/>
      </c>
      <c r="BC252" s="7" t="str">
        <f t="shared" si="14"/>
        <v/>
      </c>
      <c r="BD252" s="7" t="str">
        <f t="shared" si="15"/>
        <v/>
      </c>
    </row>
    <row r="253" spans="53:56" x14ac:dyDescent="0.25">
      <c r="BA253" s="1" t="str">
        <f t="shared" si="12"/>
        <v/>
      </c>
      <c r="BB253" s="13" t="str">
        <f t="shared" si="13"/>
        <v/>
      </c>
      <c r="BC253" s="7" t="str">
        <f t="shared" si="14"/>
        <v/>
      </c>
      <c r="BD253" s="7" t="str">
        <f t="shared" si="15"/>
        <v/>
      </c>
    </row>
    <row r="254" spans="53:56" x14ac:dyDescent="0.25">
      <c r="BA254" s="1" t="str">
        <f t="shared" si="12"/>
        <v/>
      </c>
      <c r="BB254" s="13" t="str">
        <f t="shared" si="13"/>
        <v/>
      </c>
      <c r="BC254" s="7" t="str">
        <f t="shared" si="14"/>
        <v/>
      </c>
      <c r="BD254" s="7" t="str">
        <f t="shared" si="15"/>
        <v/>
      </c>
    </row>
    <row r="255" spans="53:56" x14ac:dyDescent="0.25">
      <c r="BA255" s="1" t="str">
        <f t="shared" si="12"/>
        <v/>
      </c>
      <c r="BB255" s="13" t="str">
        <f t="shared" si="13"/>
        <v/>
      </c>
      <c r="BC255" s="7" t="str">
        <f t="shared" si="14"/>
        <v/>
      </c>
      <c r="BD255" s="7" t="str">
        <f t="shared" si="15"/>
        <v/>
      </c>
    </row>
    <row r="256" spans="53:56" x14ac:dyDescent="0.25">
      <c r="BA256" s="1" t="str">
        <f t="shared" si="12"/>
        <v/>
      </c>
      <c r="BB256" s="13" t="str">
        <f t="shared" si="13"/>
        <v/>
      </c>
      <c r="BC256" s="7" t="str">
        <f t="shared" si="14"/>
        <v/>
      </c>
      <c r="BD256" s="7" t="str">
        <f t="shared" si="15"/>
        <v/>
      </c>
    </row>
    <row r="257" spans="53:56" x14ac:dyDescent="0.25">
      <c r="BA257" s="1" t="str">
        <f t="shared" si="12"/>
        <v/>
      </c>
      <c r="BB257" s="13" t="str">
        <f t="shared" si="13"/>
        <v/>
      </c>
      <c r="BC257" s="7" t="str">
        <f t="shared" si="14"/>
        <v/>
      </c>
      <c r="BD257" s="7" t="str">
        <f t="shared" si="15"/>
        <v/>
      </c>
    </row>
    <row r="258" spans="53:56" x14ac:dyDescent="0.25">
      <c r="BA258" s="1" t="str">
        <f t="shared" si="12"/>
        <v/>
      </c>
      <c r="BB258" s="13" t="str">
        <f t="shared" si="13"/>
        <v/>
      </c>
      <c r="BC258" s="7" t="str">
        <f t="shared" si="14"/>
        <v/>
      </c>
      <c r="BD258" s="7" t="str">
        <f t="shared" si="15"/>
        <v/>
      </c>
    </row>
    <row r="259" spans="53:56" x14ac:dyDescent="0.25">
      <c r="BA259" s="1" t="str">
        <f t="shared" si="12"/>
        <v/>
      </c>
      <c r="BB259" s="13" t="str">
        <f t="shared" si="13"/>
        <v/>
      </c>
      <c r="BC259" s="7" t="str">
        <f t="shared" si="14"/>
        <v/>
      </c>
      <c r="BD259" s="7" t="str">
        <f t="shared" si="15"/>
        <v/>
      </c>
    </row>
    <row r="260" spans="53:56" x14ac:dyDescent="0.25">
      <c r="BA260" s="1" t="str">
        <f t="shared" si="12"/>
        <v/>
      </c>
      <c r="BB260" s="13" t="str">
        <f t="shared" si="13"/>
        <v/>
      </c>
      <c r="BC260" s="7" t="str">
        <f t="shared" si="14"/>
        <v/>
      </c>
      <c r="BD260" s="7" t="str">
        <f t="shared" si="15"/>
        <v/>
      </c>
    </row>
    <row r="261" spans="53:56" x14ac:dyDescent="0.25">
      <c r="BA261" s="1" t="str">
        <f t="shared" si="12"/>
        <v/>
      </c>
      <c r="BB261" s="13" t="str">
        <f t="shared" si="13"/>
        <v/>
      </c>
      <c r="BC261" s="7" t="str">
        <f t="shared" si="14"/>
        <v/>
      </c>
      <c r="BD261" s="7" t="str">
        <f t="shared" si="15"/>
        <v/>
      </c>
    </row>
    <row r="262" spans="53:56" x14ac:dyDescent="0.25">
      <c r="BA262" s="1" t="str">
        <f t="shared" si="12"/>
        <v/>
      </c>
      <c r="BB262" s="13" t="str">
        <f t="shared" si="13"/>
        <v/>
      </c>
      <c r="BC262" s="7" t="str">
        <f t="shared" si="14"/>
        <v/>
      </c>
      <c r="BD262" s="7" t="str">
        <f t="shared" si="15"/>
        <v/>
      </c>
    </row>
    <row r="263" spans="53:56" x14ac:dyDescent="0.25">
      <c r="BA263" s="1" t="str">
        <f t="shared" si="12"/>
        <v/>
      </c>
      <c r="BB263" s="13" t="str">
        <f t="shared" si="13"/>
        <v/>
      </c>
      <c r="BC263" s="7" t="str">
        <f t="shared" si="14"/>
        <v/>
      </c>
      <c r="BD263" s="7" t="str">
        <f t="shared" si="15"/>
        <v/>
      </c>
    </row>
    <row r="264" spans="53:56" x14ac:dyDescent="0.25">
      <c r="BA264" s="1" t="str">
        <f t="shared" si="12"/>
        <v/>
      </c>
      <c r="BB264" s="13" t="str">
        <f t="shared" si="13"/>
        <v/>
      </c>
      <c r="BC264" s="7" t="str">
        <f t="shared" si="14"/>
        <v/>
      </c>
      <c r="BD264" s="7" t="str">
        <f t="shared" si="15"/>
        <v/>
      </c>
    </row>
    <row r="265" spans="53:56" x14ac:dyDescent="0.25">
      <c r="BA265" s="1" t="str">
        <f t="shared" si="12"/>
        <v/>
      </c>
      <c r="BB265" s="13" t="str">
        <f t="shared" si="13"/>
        <v/>
      </c>
      <c r="BC265" s="7" t="str">
        <f t="shared" si="14"/>
        <v/>
      </c>
      <c r="BD265" s="7" t="str">
        <f t="shared" si="15"/>
        <v/>
      </c>
    </row>
    <row r="266" spans="53:56" x14ac:dyDescent="0.25">
      <c r="BA266" s="1" t="str">
        <f t="shared" ref="BA266:BA300" si="16">IF(B266="","",GETPIVOTDATA("MINUTOS",$B$4,"CONTROLE","Empresa")-GETPIVOTDATA("MINUTOS",$B$4,"NOME",B266,"CONTROLE","Colaborador"))</f>
        <v/>
      </c>
      <c r="BB266" s="13" t="str">
        <f t="shared" ref="BB266:BB300" si="17">IF(C266="","",GETPIVOTDATA("MINUTOS",$C$5,"CONTROLE","Empresa")-GETPIVOTDATA("MINUTOS",$C$5,"NOME",C266,"CONTROLE","Colaborador"))</f>
        <v/>
      </c>
      <c r="BC266" s="7" t="str">
        <f t="shared" ref="BC266:BC300" si="18">IF(BB266="","",BB266/60)</f>
        <v/>
      </c>
      <c r="BD266" s="7" t="str">
        <f t="shared" ref="BD266:BD300" si="19">IF(BB266="","",CONCATENATE(IF(BB266&gt;0,"Deve para Empresa ","Empresa deve "),INT(ROUNDDOWN(ABS(BC266),0)),"h e ",FIXED(((ABS(BC266)-INT(ROUNDDOWN(ABS(BC266),0)))*60),0)," min."))</f>
        <v/>
      </c>
    </row>
    <row r="267" spans="53:56" x14ac:dyDescent="0.25">
      <c r="BA267" s="1" t="str">
        <f t="shared" si="16"/>
        <v/>
      </c>
      <c r="BB267" s="13" t="str">
        <f t="shared" si="17"/>
        <v/>
      </c>
      <c r="BC267" s="7" t="str">
        <f t="shared" si="18"/>
        <v/>
      </c>
      <c r="BD267" s="7" t="str">
        <f t="shared" si="19"/>
        <v/>
      </c>
    </row>
    <row r="268" spans="53:56" x14ac:dyDescent="0.25">
      <c r="BA268" s="1" t="str">
        <f t="shared" si="16"/>
        <v/>
      </c>
      <c r="BB268" s="13" t="str">
        <f t="shared" si="17"/>
        <v/>
      </c>
      <c r="BC268" s="7" t="str">
        <f t="shared" si="18"/>
        <v/>
      </c>
      <c r="BD268" s="7" t="str">
        <f t="shared" si="19"/>
        <v/>
      </c>
    </row>
    <row r="269" spans="53:56" x14ac:dyDescent="0.25">
      <c r="BA269" s="1" t="str">
        <f t="shared" si="16"/>
        <v/>
      </c>
      <c r="BB269" s="13" t="str">
        <f t="shared" si="17"/>
        <v/>
      </c>
      <c r="BC269" s="7" t="str">
        <f t="shared" si="18"/>
        <v/>
      </c>
      <c r="BD269" s="7" t="str">
        <f t="shared" si="19"/>
        <v/>
      </c>
    </row>
    <row r="270" spans="53:56" x14ac:dyDescent="0.25">
      <c r="BA270" s="1" t="str">
        <f t="shared" si="16"/>
        <v/>
      </c>
      <c r="BB270" s="13" t="str">
        <f t="shared" si="17"/>
        <v/>
      </c>
      <c r="BC270" s="7" t="str">
        <f t="shared" si="18"/>
        <v/>
      </c>
      <c r="BD270" s="7" t="str">
        <f t="shared" si="19"/>
        <v/>
      </c>
    </row>
    <row r="271" spans="53:56" x14ac:dyDescent="0.25">
      <c r="BA271" s="1" t="str">
        <f t="shared" si="16"/>
        <v/>
      </c>
      <c r="BB271" s="13" t="str">
        <f t="shared" si="17"/>
        <v/>
      </c>
      <c r="BC271" s="7" t="str">
        <f t="shared" si="18"/>
        <v/>
      </c>
      <c r="BD271" s="7" t="str">
        <f t="shared" si="19"/>
        <v/>
      </c>
    </row>
    <row r="272" spans="53:56" x14ac:dyDescent="0.25">
      <c r="BA272" s="1" t="str">
        <f t="shared" si="16"/>
        <v/>
      </c>
      <c r="BB272" s="13" t="str">
        <f t="shared" si="17"/>
        <v/>
      </c>
      <c r="BC272" s="7" t="str">
        <f t="shared" si="18"/>
        <v/>
      </c>
      <c r="BD272" s="7" t="str">
        <f t="shared" si="19"/>
        <v/>
      </c>
    </row>
    <row r="273" spans="53:56" x14ac:dyDescent="0.25">
      <c r="BA273" s="1" t="str">
        <f t="shared" si="16"/>
        <v/>
      </c>
      <c r="BB273" s="13" t="str">
        <f t="shared" si="17"/>
        <v/>
      </c>
      <c r="BC273" s="7" t="str">
        <f t="shared" si="18"/>
        <v/>
      </c>
      <c r="BD273" s="7" t="str">
        <f t="shared" si="19"/>
        <v/>
      </c>
    </row>
    <row r="274" spans="53:56" x14ac:dyDescent="0.25">
      <c r="BA274" s="1" t="str">
        <f t="shared" si="16"/>
        <v/>
      </c>
      <c r="BB274" s="13" t="str">
        <f t="shared" si="17"/>
        <v/>
      </c>
      <c r="BC274" s="7" t="str">
        <f t="shared" si="18"/>
        <v/>
      </c>
      <c r="BD274" s="7" t="str">
        <f t="shared" si="19"/>
        <v/>
      </c>
    </row>
    <row r="275" spans="53:56" x14ac:dyDescent="0.25">
      <c r="BA275" s="1" t="str">
        <f t="shared" si="16"/>
        <v/>
      </c>
      <c r="BB275" s="13" t="str">
        <f t="shared" si="17"/>
        <v/>
      </c>
      <c r="BC275" s="7" t="str">
        <f t="shared" si="18"/>
        <v/>
      </c>
      <c r="BD275" s="7" t="str">
        <f t="shared" si="19"/>
        <v/>
      </c>
    </row>
    <row r="276" spans="53:56" x14ac:dyDescent="0.25">
      <c r="BA276" s="1" t="str">
        <f t="shared" si="16"/>
        <v/>
      </c>
      <c r="BB276" s="13" t="str">
        <f t="shared" si="17"/>
        <v/>
      </c>
      <c r="BC276" s="7" t="str">
        <f t="shared" si="18"/>
        <v/>
      </c>
      <c r="BD276" s="7" t="str">
        <f t="shared" si="19"/>
        <v/>
      </c>
    </row>
    <row r="277" spans="53:56" x14ac:dyDescent="0.25">
      <c r="BA277" s="1" t="str">
        <f t="shared" si="16"/>
        <v/>
      </c>
      <c r="BB277" s="13" t="str">
        <f t="shared" si="17"/>
        <v/>
      </c>
      <c r="BC277" s="7" t="str">
        <f t="shared" si="18"/>
        <v/>
      </c>
      <c r="BD277" s="7" t="str">
        <f t="shared" si="19"/>
        <v/>
      </c>
    </row>
    <row r="278" spans="53:56" x14ac:dyDescent="0.25">
      <c r="BA278" s="1" t="str">
        <f t="shared" si="16"/>
        <v/>
      </c>
      <c r="BB278" s="13" t="str">
        <f t="shared" si="17"/>
        <v/>
      </c>
      <c r="BC278" s="7" t="str">
        <f t="shared" si="18"/>
        <v/>
      </c>
      <c r="BD278" s="7" t="str">
        <f t="shared" si="19"/>
        <v/>
      </c>
    </row>
    <row r="279" spans="53:56" x14ac:dyDescent="0.25">
      <c r="BA279" s="1" t="str">
        <f t="shared" si="16"/>
        <v/>
      </c>
      <c r="BB279" s="13" t="str">
        <f t="shared" si="17"/>
        <v/>
      </c>
      <c r="BC279" s="7" t="str">
        <f t="shared" si="18"/>
        <v/>
      </c>
      <c r="BD279" s="7" t="str">
        <f t="shared" si="19"/>
        <v/>
      </c>
    </row>
    <row r="280" spans="53:56" x14ac:dyDescent="0.25">
      <c r="BA280" s="1" t="str">
        <f t="shared" si="16"/>
        <v/>
      </c>
      <c r="BB280" s="13" t="str">
        <f t="shared" si="17"/>
        <v/>
      </c>
      <c r="BC280" s="7" t="str">
        <f t="shared" si="18"/>
        <v/>
      </c>
      <c r="BD280" s="7" t="str">
        <f t="shared" si="19"/>
        <v/>
      </c>
    </row>
    <row r="281" spans="53:56" x14ac:dyDescent="0.25">
      <c r="BA281" s="1" t="str">
        <f t="shared" si="16"/>
        <v/>
      </c>
      <c r="BB281" s="13" t="str">
        <f t="shared" si="17"/>
        <v/>
      </c>
      <c r="BC281" s="7" t="str">
        <f t="shared" si="18"/>
        <v/>
      </c>
      <c r="BD281" s="7" t="str">
        <f t="shared" si="19"/>
        <v/>
      </c>
    </row>
    <row r="282" spans="53:56" x14ac:dyDescent="0.25">
      <c r="BA282" s="1" t="str">
        <f t="shared" si="16"/>
        <v/>
      </c>
      <c r="BB282" s="13" t="str">
        <f t="shared" si="17"/>
        <v/>
      </c>
      <c r="BC282" s="7" t="str">
        <f t="shared" si="18"/>
        <v/>
      </c>
      <c r="BD282" s="7" t="str">
        <f t="shared" si="19"/>
        <v/>
      </c>
    </row>
    <row r="283" spans="53:56" x14ac:dyDescent="0.25">
      <c r="BA283" s="1" t="str">
        <f t="shared" si="16"/>
        <v/>
      </c>
      <c r="BB283" s="13" t="str">
        <f t="shared" si="17"/>
        <v/>
      </c>
      <c r="BC283" s="7" t="str">
        <f t="shared" si="18"/>
        <v/>
      </c>
      <c r="BD283" s="7" t="str">
        <f t="shared" si="19"/>
        <v/>
      </c>
    </row>
    <row r="284" spans="53:56" x14ac:dyDescent="0.25">
      <c r="BA284" s="1" t="str">
        <f t="shared" si="16"/>
        <v/>
      </c>
      <c r="BB284" s="13" t="str">
        <f t="shared" si="17"/>
        <v/>
      </c>
      <c r="BC284" s="7" t="str">
        <f t="shared" si="18"/>
        <v/>
      </c>
      <c r="BD284" s="7" t="str">
        <f t="shared" si="19"/>
        <v/>
      </c>
    </row>
    <row r="285" spans="53:56" x14ac:dyDescent="0.25">
      <c r="BA285" s="1" t="str">
        <f t="shared" si="16"/>
        <v/>
      </c>
      <c r="BB285" s="13" t="str">
        <f t="shared" si="17"/>
        <v/>
      </c>
      <c r="BC285" s="7" t="str">
        <f t="shared" si="18"/>
        <v/>
      </c>
      <c r="BD285" s="7" t="str">
        <f t="shared" si="19"/>
        <v/>
      </c>
    </row>
    <row r="286" spans="53:56" x14ac:dyDescent="0.25">
      <c r="BA286" s="1" t="str">
        <f t="shared" si="16"/>
        <v/>
      </c>
      <c r="BB286" s="13" t="str">
        <f t="shared" si="17"/>
        <v/>
      </c>
      <c r="BC286" s="7" t="str">
        <f t="shared" si="18"/>
        <v/>
      </c>
      <c r="BD286" s="7" t="str">
        <f t="shared" si="19"/>
        <v/>
      </c>
    </row>
    <row r="287" spans="53:56" x14ac:dyDescent="0.25">
      <c r="BA287" s="1" t="str">
        <f t="shared" si="16"/>
        <v/>
      </c>
      <c r="BB287" s="13" t="str">
        <f t="shared" si="17"/>
        <v/>
      </c>
      <c r="BC287" s="7" t="str">
        <f t="shared" si="18"/>
        <v/>
      </c>
      <c r="BD287" s="7" t="str">
        <f t="shared" si="19"/>
        <v/>
      </c>
    </row>
    <row r="288" spans="53:56" x14ac:dyDescent="0.25">
      <c r="BA288" s="1" t="str">
        <f t="shared" si="16"/>
        <v/>
      </c>
      <c r="BB288" s="13" t="str">
        <f t="shared" si="17"/>
        <v/>
      </c>
      <c r="BC288" s="7" t="str">
        <f t="shared" si="18"/>
        <v/>
      </c>
      <c r="BD288" s="7" t="str">
        <f t="shared" si="19"/>
        <v/>
      </c>
    </row>
    <row r="289" spans="53:56" x14ac:dyDescent="0.25">
      <c r="BA289" s="1" t="str">
        <f t="shared" si="16"/>
        <v/>
      </c>
      <c r="BB289" s="13" t="str">
        <f t="shared" si="17"/>
        <v/>
      </c>
      <c r="BC289" s="7" t="str">
        <f t="shared" si="18"/>
        <v/>
      </c>
      <c r="BD289" s="7" t="str">
        <f t="shared" si="19"/>
        <v/>
      </c>
    </row>
    <row r="290" spans="53:56" x14ac:dyDescent="0.25">
      <c r="BA290" s="1" t="str">
        <f t="shared" si="16"/>
        <v/>
      </c>
      <c r="BB290" s="13" t="str">
        <f t="shared" si="17"/>
        <v/>
      </c>
      <c r="BC290" s="7" t="str">
        <f t="shared" si="18"/>
        <v/>
      </c>
      <c r="BD290" s="7" t="str">
        <f t="shared" si="19"/>
        <v/>
      </c>
    </row>
    <row r="291" spans="53:56" x14ac:dyDescent="0.25">
      <c r="BA291" s="1" t="str">
        <f t="shared" si="16"/>
        <v/>
      </c>
      <c r="BB291" s="13" t="str">
        <f t="shared" si="17"/>
        <v/>
      </c>
      <c r="BC291" s="7" t="str">
        <f t="shared" si="18"/>
        <v/>
      </c>
      <c r="BD291" s="7" t="str">
        <f t="shared" si="19"/>
        <v/>
      </c>
    </row>
    <row r="292" spans="53:56" x14ac:dyDescent="0.25">
      <c r="BA292" s="1" t="str">
        <f t="shared" si="16"/>
        <v/>
      </c>
      <c r="BB292" s="13" t="str">
        <f t="shared" si="17"/>
        <v/>
      </c>
      <c r="BC292" s="7" t="str">
        <f t="shared" si="18"/>
        <v/>
      </c>
      <c r="BD292" s="7" t="str">
        <f t="shared" si="19"/>
        <v/>
      </c>
    </row>
    <row r="293" spans="53:56" x14ac:dyDescent="0.25">
      <c r="BA293" s="1" t="str">
        <f t="shared" si="16"/>
        <v/>
      </c>
      <c r="BB293" s="13" t="str">
        <f t="shared" si="17"/>
        <v/>
      </c>
      <c r="BC293" s="7" t="str">
        <f t="shared" si="18"/>
        <v/>
      </c>
      <c r="BD293" s="7" t="str">
        <f t="shared" si="19"/>
        <v/>
      </c>
    </row>
    <row r="294" spans="53:56" x14ac:dyDescent="0.25">
      <c r="BA294" s="1" t="str">
        <f t="shared" si="16"/>
        <v/>
      </c>
      <c r="BB294" s="13" t="str">
        <f t="shared" si="17"/>
        <v/>
      </c>
      <c r="BC294" s="7" t="str">
        <f t="shared" si="18"/>
        <v/>
      </c>
      <c r="BD294" s="7" t="str">
        <f t="shared" si="19"/>
        <v/>
      </c>
    </row>
    <row r="295" spans="53:56" x14ac:dyDescent="0.25">
      <c r="BA295" s="1" t="str">
        <f t="shared" si="16"/>
        <v/>
      </c>
      <c r="BB295" s="13" t="str">
        <f t="shared" si="17"/>
        <v/>
      </c>
      <c r="BC295" s="7" t="str">
        <f t="shared" si="18"/>
        <v/>
      </c>
      <c r="BD295" s="7" t="str">
        <f t="shared" si="19"/>
        <v/>
      </c>
    </row>
    <row r="296" spans="53:56" x14ac:dyDescent="0.25">
      <c r="BA296" s="1" t="str">
        <f t="shared" si="16"/>
        <v/>
      </c>
      <c r="BB296" s="13" t="str">
        <f t="shared" si="17"/>
        <v/>
      </c>
      <c r="BC296" s="7" t="str">
        <f t="shared" si="18"/>
        <v/>
      </c>
      <c r="BD296" s="7" t="str">
        <f t="shared" si="19"/>
        <v/>
      </c>
    </row>
    <row r="297" spans="53:56" x14ac:dyDescent="0.25">
      <c r="BA297" s="1" t="str">
        <f t="shared" si="16"/>
        <v/>
      </c>
      <c r="BB297" s="13" t="str">
        <f t="shared" si="17"/>
        <v/>
      </c>
      <c r="BC297" s="7" t="str">
        <f t="shared" si="18"/>
        <v/>
      </c>
      <c r="BD297" s="7" t="str">
        <f t="shared" si="19"/>
        <v/>
      </c>
    </row>
    <row r="298" spans="53:56" x14ac:dyDescent="0.25">
      <c r="BA298" s="1" t="str">
        <f t="shared" si="16"/>
        <v/>
      </c>
      <c r="BB298" s="13" t="str">
        <f t="shared" si="17"/>
        <v/>
      </c>
      <c r="BC298" s="7" t="str">
        <f t="shared" si="18"/>
        <v/>
      </c>
      <c r="BD298" s="7" t="str">
        <f t="shared" si="19"/>
        <v/>
      </c>
    </row>
    <row r="299" spans="53:56" x14ac:dyDescent="0.25">
      <c r="BA299" s="1" t="str">
        <f t="shared" si="16"/>
        <v/>
      </c>
      <c r="BB299" s="13" t="str">
        <f t="shared" si="17"/>
        <v/>
      </c>
      <c r="BC299" s="7" t="str">
        <f t="shared" si="18"/>
        <v/>
      </c>
      <c r="BD299" s="7" t="str">
        <f t="shared" si="19"/>
        <v/>
      </c>
    </row>
    <row r="300" spans="53:56" x14ac:dyDescent="0.25">
      <c r="BA300" s="1" t="str">
        <f t="shared" si="16"/>
        <v/>
      </c>
      <c r="BB300" s="13" t="str">
        <f t="shared" si="17"/>
        <v/>
      </c>
      <c r="BC300" s="7" t="str">
        <f t="shared" si="18"/>
        <v/>
      </c>
      <c r="BD300" s="7" t="str">
        <f t="shared" si="19"/>
        <v/>
      </c>
    </row>
    <row r="301" spans="53:56" x14ac:dyDescent="0.25">
      <c r="BB301" s="13" t="str">
        <f>IF(C301="","",GETPIVOTDATA("MINUTOS",$C$5,"CONTROLE","Empresa")-GETPIVOTDATA("MINUTOS",$C$5,"NOME",C301,"CONTROLE","Colaborador"))</f>
        <v/>
      </c>
      <c r="BC301" s="7" t="str">
        <f t="shared" ref="BC301" si="20">IF(BB301="","",BB301/60)</f>
        <v/>
      </c>
      <c r="BD301" s="7" t="str">
        <f t="shared" ref="BD301" si="21">IF(BB301="","",CONCATENATE(IF(BB301&gt;0,"Deve para Empresa ","Empresa deve "),INT(ROUNDDOWN(ABS(BC301),0)),"h e ",FIXED(((ABS(BC301)-INT(ROUNDDOWN(ABS(BC301),0)))*60),0)," min."))</f>
        <v/>
      </c>
    </row>
  </sheetData>
  <mergeCells count="4">
    <mergeCell ref="BB5:BD5"/>
    <mergeCell ref="BD6:BD9"/>
    <mergeCell ref="BC6:BC9"/>
    <mergeCell ref="BB6:BB9"/>
  </mergeCells>
  <conditionalFormatting sqref="BB10:BD201">
    <cfRule type="expression" dxfId="3" priority="1">
      <formula>$BB10</formula>
    </cfRule>
  </conditionalFormatting>
  <dataValidations disablePrompts="1" count="1">
    <dataValidation type="date" allowBlank="1" showInputMessage="1" showErrorMessage="1" errorTitle="ERRO DE DIGITAÇÃO!" error="Você deve digitar uma data válida." sqref="B2:B3" xr:uid="{99544F94-5CC5-44E7-BD4F-A82663D6945C}">
      <formula1>42736</formula1>
      <formula2>46022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27E66-750D-41B1-A496-42389D26BBE3}">
  <sheetPr codeName="Sht_Feriados"/>
  <dimension ref="A1:F118"/>
  <sheetViews>
    <sheetView topLeftCell="A2" workbookViewId="0">
      <pane ySplit="2" topLeftCell="A4" activePane="bottomLeft" state="frozen"/>
      <selection activeCell="A2" sqref="A2"/>
      <selection pane="bottomLeft" activeCell="D84" sqref="D84"/>
    </sheetView>
  </sheetViews>
  <sheetFormatPr defaultRowHeight="15" x14ac:dyDescent="0.25"/>
  <cols>
    <col min="1" max="1" width="12.28515625" style="6" customWidth="1"/>
    <col min="2" max="2" width="9.140625" style="1"/>
    <col min="6" max="6" width="10.7109375" bestFit="1" customWidth="1"/>
  </cols>
  <sheetData>
    <row r="1" spans="1:2" hidden="1" x14ac:dyDescent="0.25"/>
    <row r="2" spans="1:2" ht="18" customHeight="1" x14ac:dyDescent="0.25"/>
    <row r="3" spans="1:2" s="103" customFormat="1" ht="30" x14ac:dyDescent="0.25">
      <c r="A3" s="101" t="s">
        <v>98</v>
      </c>
      <c r="B3" s="102" t="s">
        <v>3</v>
      </c>
    </row>
    <row r="4" spans="1:2" x14ac:dyDescent="0.25">
      <c r="A4" s="6">
        <v>43101</v>
      </c>
      <c r="B4" s="1">
        <f>IF(A4="","",WEEKDAY(A4,1))</f>
        <v>2</v>
      </c>
    </row>
    <row r="5" spans="1:2" x14ac:dyDescent="0.25">
      <c r="A5" s="6">
        <v>43143</v>
      </c>
      <c r="B5" s="1">
        <f t="shared" ref="B5:B68" si="0">IF(A5="","",WEEKDAY(A5,1))</f>
        <v>2</v>
      </c>
    </row>
    <row r="6" spans="1:2" x14ac:dyDescent="0.25">
      <c r="A6" s="6">
        <v>43144</v>
      </c>
      <c r="B6" s="1">
        <f t="shared" si="0"/>
        <v>3</v>
      </c>
    </row>
    <row r="7" spans="1:2" x14ac:dyDescent="0.25">
      <c r="A7" s="6">
        <v>43189</v>
      </c>
      <c r="B7" s="1">
        <f t="shared" si="0"/>
        <v>6</v>
      </c>
    </row>
    <row r="8" spans="1:2" x14ac:dyDescent="0.25">
      <c r="A8" s="6">
        <v>43221</v>
      </c>
      <c r="B8" s="1">
        <f t="shared" si="0"/>
        <v>3</v>
      </c>
    </row>
    <row r="9" spans="1:2" x14ac:dyDescent="0.25">
      <c r="A9" s="6">
        <v>43251</v>
      </c>
      <c r="B9" s="1">
        <f t="shared" si="0"/>
        <v>5</v>
      </c>
    </row>
    <row r="10" spans="1:2" x14ac:dyDescent="0.25">
      <c r="A10" s="6">
        <v>43350</v>
      </c>
      <c r="B10" s="1">
        <f t="shared" si="0"/>
        <v>6</v>
      </c>
    </row>
    <row r="11" spans="1:2" x14ac:dyDescent="0.25">
      <c r="A11" s="6">
        <v>43385</v>
      </c>
      <c r="B11" s="1">
        <f t="shared" si="0"/>
        <v>6</v>
      </c>
    </row>
    <row r="12" spans="1:2" x14ac:dyDescent="0.25">
      <c r="A12" s="6">
        <v>43406</v>
      </c>
      <c r="B12" s="1">
        <f t="shared" si="0"/>
        <v>6</v>
      </c>
    </row>
    <row r="13" spans="1:2" x14ac:dyDescent="0.25">
      <c r="A13" s="6">
        <v>43419</v>
      </c>
      <c r="B13" s="1">
        <f t="shared" si="0"/>
        <v>5</v>
      </c>
    </row>
    <row r="14" spans="1:2" x14ac:dyDescent="0.25">
      <c r="A14" s="6">
        <v>43459</v>
      </c>
      <c r="B14" s="1">
        <f t="shared" si="0"/>
        <v>3</v>
      </c>
    </row>
    <row r="15" spans="1:2" x14ac:dyDescent="0.25">
      <c r="A15" s="6">
        <v>43466</v>
      </c>
      <c r="B15" s="1">
        <f t="shared" si="0"/>
        <v>3</v>
      </c>
    </row>
    <row r="16" spans="1:2" x14ac:dyDescent="0.25">
      <c r="A16" s="6">
        <v>43528</v>
      </c>
      <c r="B16" s="1">
        <f t="shared" si="0"/>
        <v>2</v>
      </c>
    </row>
    <row r="17" spans="1:2" x14ac:dyDescent="0.25">
      <c r="A17" s="6">
        <v>43529</v>
      </c>
      <c r="B17" s="1">
        <f t="shared" si="0"/>
        <v>3</v>
      </c>
    </row>
    <row r="18" spans="1:2" x14ac:dyDescent="0.25">
      <c r="A18" s="6">
        <v>43574</v>
      </c>
      <c r="B18" s="1">
        <f t="shared" si="0"/>
        <v>6</v>
      </c>
    </row>
    <row r="19" spans="1:2" x14ac:dyDescent="0.25">
      <c r="A19" s="6">
        <v>43586</v>
      </c>
      <c r="B19" s="1">
        <f t="shared" si="0"/>
        <v>4</v>
      </c>
    </row>
    <row r="20" spans="1:2" x14ac:dyDescent="0.25">
      <c r="A20" s="6">
        <v>43636</v>
      </c>
      <c r="B20" s="1">
        <f t="shared" si="0"/>
        <v>5</v>
      </c>
    </row>
    <row r="21" spans="1:2" x14ac:dyDescent="0.25">
      <c r="A21" s="6">
        <v>43784</v>
      </c>
      <c r="B21" s="1">
        <f t="shared" si="0"/>
        <v>6</v>
      </c>
    </row>
    <row r="22" spans="1:2" x14ac:dyDescent="0.25">
      <c r="A22" s="6">
        <v>43824</v>
      </c>
      <c r="B22" s="1">
        <f t="shared" si="0"/>
        <v>4</v>
      </c>
    </row>
    <row r="23" spans="1:2" x14ac:dyDescent="0.25">
      <c r="A23" s="6">
        <v>43831</v>
      </c>
      <c r="B23" s="1">
        <f t="shared" si="0"/>
        <v>4</v>
      </c>
    </row>
    <row r="24" spans="1:2" x14ac:dyDescent="0.25">
      <c r="A24" s="6">
        <v>43885</v>
      </c>
      <c r="B24" s="1">
        <f t="shared" si="0"/>
        <v>2</v>
      </c>
    </row>
    <row r="25" spans="1:2" x14ac:dyDescent="0.25">
      <c r="A25" s="6">
        <v>43886</v>
      </c>
      <c r="B25" s="1">
        <f t="shared" si="0"/>
        <v>3</v>
      </c>
    </row>
    <row r="26" spans="1:2" x14ac:dyDescent="0.25">
      <c r="A26" s="6">
        <v>43931</v>
      </c>
      <c r="B26" s="1">
        <f t="shared" si="0"/>
        <v>6</v>
      </c>
    </row>
    <row r="27" spans="1:2" x14ac:dyDescent="0.25">
      <c r="A27" s="6">
        <v>43942</v>
      </c>
      <c r="B27" s="1">
        <f t="shared" si="0"/>
        <v>3</v>
      </c>
    </row>
    <row r="28" spans="1:2" x14ac:dyDescent="0.25">
      <c r="A28" s="6">
        <v>43952</v>
      </c>
      <c r="B28" s="1">
        <f t="shared" si="0"/>
        <v>6</v>
      </c>
    </row>
    <row r="29" spans="1:2" x14ac:dyDescent="0.25">
      <c r="A29" s="6">
        <v>43993</v>
      </c>
      <c r="B29" s="1">
        <f t="shared" si="0"/>
        <v>5</v>
      </c>
    </row>
    <row r="30" spans="1:2" x14ac:dyDescent="0.25">
      <c r="A30" s="6">
        <v>44081</v>
      </c>
      <c r="B30" s="1">
        <f t="shared" si="0"/>
        <v>2</v>
      </c>
    </row>
    <row r="31" spans="1:2" x14ac:dyDescent="0.25">
      <c r="A31" s="6">
        <v>44116</v>
      </c>
      <c r="B31" s="1">
        <f t="shared" si="0"/>
        <v>2</v>
      </c>
    </row>
    <row r="32" spans="1:2" x14ac:dyDescent="0.25">
      <c r="A32" s="6">
        <v>44137</v>
      </c>
      <c r="B32" s="1">
        <f t="shared" si="0"/>
        <v>2</v>
      </c>
    </row>
    <row r="33" spans="1:2" x14ac:dyDescent="0.25">
      <c r="A33" s="6">
        <v>44190</v>
      </c>
      <c r="B33" s="1">
        <f t="shared" si="0"/>
        <v>6</v>
      </c>
    </row>
    <row r="34" spans="1:2" x14ac:dyDescent="0.25">
      <c r="A34" s="6">
        <v>44197</v>
      </c>
      <c r="B34" s="1">
        <f t="shared" si="0"/>
        <v>6</v>
      </c>
    </row>
    <row r="35" spans="1:2" x14ac:dyDescent="0.25">
      <c r="A35" s="6">
        <v>44242</v>
      </c>
      <c r="B35" s="1">
        <f t="shared" si="0"/>
        <v>2</v>
      </c>
    </row>
    <row r="36" spans="1:2" x14ac:dyDescent="0.25">
      <c r="A36" s="6">
        <v>44243</v>
      </c>
      <c r="B36" s="1">
        <f t="shared" si="0"/>
        <v>3</v>
      </c>
    </row>
    <row r="37" spans="1:2" x14ac:dyDescent="0.25">
      <c r="A37" s="6">
        <v>44288</v>
      </c>
      <c r="B37" s="1">
        <f t="shared" si="0"/>
        <v>6</v>
      </c>
    </row>
    <row r="38" spans="1:2" x14ac:dyDescent="0.25">
      <c r="A38" s="6">
        <v>44307</v>
      </c>
      <c r="B38" s="1">
        <f t="shared" si="0"/>
        <v>4</v>
      </c>
    </row>
    <row r="39" spans="1:2" x14ac:dyDescent="0.25">
      <c r="A39" s="6">
        <v>44350</v>
      </c>
      <c r="B39" s="1">
        <f t="shared" si="0"/>
        <v>5</v>
      </c>
    </row>
    <row r="40" spans="1:2" x14ac:dyDescent="0.25">
      <c r="A40" s="6">
        <v>44446</v>
      </c>
      <c r="B40" s="1">
        <f t="shared" si="0"/>
        <v>3</v>
      </c>
    </row>
    <row r="41" spans="1:2" x14ac:dyDescent="0.25">
      <c r="A41" s="6">
        <v>44481</v>
      </c>
      <c r="B41" s="1">
        <f t="shared" si="0"/>
        <v>3</v>
      </c>
    </row>
    <row r="42" spans="1:2" x14ac:dyDescent="0.25">
      <c r="A42" s="6">
        <v>44502</v>
      </c>
      <c r="B42" s="1">
        <f t="shared" si="0"/>
        <v>3</v>
      </c>
    </row>
    <row r="43" spans="1:2" x14ac:dyDescent="0.25">
      <c r="A43" s="6">
        <v>44515</v>
      </c>
      <c r="B43" s="1">
        <f t="shared" si="0"/>
        <v>2</v>
      </c>
    </row>
    <row r="44" spans="1:2" x14ac:dyDescent="0.25">
      <c r="A44" s="6">
        <v>44620</v>
      </c>
      <c r="B44" s="1">
        <f t="shared" si="0"/>
        <v>2</v>
      </c>
    </row>
    <row r="45" spans="1:2" x14ac:dyDescent="0.25">
      <c r="A45" s="6">
        <v>44621</v>
      </c>
      <c r="B45" s="1">
        <f t="shared" si="0"/>
        <v>3</v>
      </c>
    </row>
    <row r="46" spans="1:2" x14ac:dyDescent="0.25">
      <c r="A46" s="6">
        <v>44666</v>
      </c>
      <c r="B46" s="1">
        <f t="shared" si="0"/>
        <v>6</v>
      </c>
    </row>
    <row r="47" spans="1:2" x14ac:dyDescent="0.25">
      <c r="A47" s="6">
        <v>44672</v>
      </c>
      <c r="B47" s="1">
        <f t="shared" si="0"/>
        <v>5</v>
      </c>
    </row>
    <row r="48" spans="1:2" x14ac:dyDescent="0.25">
      <c r="A48" s="6">
        <v>44728</v>
      </c>
      <c r="B48" s="1">
        <f t="shared" si="0"/>
        <v>5</v>
      </c>
    </row>
    <row r="49" spans="1:2" x14ac:dyDescent="0.25">
      <c r="A49" s="6">
        <v>44811</v>
      </c>
      <c r="B49" s="1">
        <f t="shared" si="0"/>
        <v>4</v>
      </c>
    </row>
    <row r="50" spans="1:2" x14ac:dyDescent="0.25">
      <c r="A50" s="6">
        <v>44846</v>
      </c>
      <c r="B50" s="1">
        <f t="shared" si="0"/>
        <v>4</v>
      </c>
    </row>
    <row r="51" spans="1:2" x14ac:dyDescent="0.25">
      <c r="A51" s="6">
        <v>44867</v>
      </c>
      <c r="B51" s="1">
        <f t="shared" si="0"/>
        <v>4</v>
      </c>
    </row>
    <row r="52" spans="1:2" x14ac:dyDescent="0.25">
      <c r="A52" s="6">
        <v>44880</v>
      </c>
      <c r="B52" s="1">
        <f t="shared" si="0"/>
        <v>3</v>
      </c>
    </row>
    <row r="53" spans="1:2" x14ac:dyDescent="0.25">
      <c r="A53" s="6">
        <v>44977</v>
      </c>
      <c r="B53" s="1">
        <f t="shared" si="0"/>
        <v>2</v>
      </c>
    </row>
    <row r="54" spans="1:2" x14ac:dyDescent="0.25">
      <c r="A54" s="6">
        <v>44978</v>
      </c>
      <c r="B54" s="1">
        <f t="shared" si="0"/>
        <v>3</v>
      </c>
    </row>
    <row r="55" spans="1:2" x14ac:dyDescent="0.25">
      <c r="A55" s="6">
        <v>45023</v>
      </c>
      <c r="B55" s="1">
        <f t="shared" si="0"/>
        <v>6</v>
      </c>
    </row>
    <row r="56" spans="1:2" x14ac:dyDescent="0.25">
      <c r="A56" s="6">
        <v>45037</v>
      </c>
      <c r="B56" s="1">
        <f t="shared" si="0"/>
        <v>6</v>
      </c>
    </row>
    <row r="57" spans="1:2" x14ac:dyDescent="0.25">
      <c r="A57" s="6">
        <v>45047</v>
      </c>
      <c r="B57" s="1">
        <f t="shared" si="0"/>
        <v>2</v>
      </c>
    </row>
    <row r="58" spans="1:2" x14ac:dyDescent="0.25">
      <c r="A58" s="6">
        <v>45085</v>
      </c>
      <c r="B58" s="1">
        <f t="shared" si="0"/>
        <v>5</v>
      </c>
    </row>
    <row r="59" spans="1:2" x14ac:dyDescent="0.25">
      <c r="A59" s="6">
        <v>45176</v>
      </c>
      <c r="B59" s="1">
        <f t="shared" si="0"/>
        <v>5</v>
      </c>
    </row>
    <row r="60" spans="1:2" x14ac:dyDescent="0.25">
      <c r="A60" s="6">
        <v>45211</v>
      </c>
      <c r="B60" s="1">
        <f t="shared" si="0"/>
        <v>5</v>
      </c>
    </row>
    <row r="61" spans="1:2" x14ac:dyDescent="0.25">
      <c r="A61" s="6">
        <v>45232</v>
      </c>
      <c r="B61" s="1">
        <f t="shared" si="0"/>
        <v>5</v>
      </c>
    </row>
    <row r="62" spans="1:2" x14ac:dyDescent="0.25">
      <c r="A62" s="6">
        <v>45245</v>
      </c>
      <c r="B62" s="1">
        <f t="shared" si="0"/>
        <v>4</v>
      </c>
    </row>
    <row r="63" spans="1:2" x14ac:dyDescent="0.25">
      <c r="A63" s="6">
        <v>45285</v>
      </c>
      <c r="B63" s="1">
        <f t="shared" si="0"/>
        <v>2</v>
      </c>
    </row>
    <row r="64" spans="1:2" x14ac:dyDescent="0.25">
      <c r="A64" s="6">
        <v>45292</v>
      </c>
      <c r="B64" s="1">
        <f t="shared" si="0"/>
        <v>2</v>
      </c>
    </row>
    <row r="65" spans="1:2" x14ac:dyDescent="0.25">
      <c r="A65" s="6">
        <v>45334</v>
      </c>
      <c r="B65" s="1">
        <f t="shared" si="0"/>
        <v>2</v>
      </c>
    </row>
    <row r="66" spans="1:2" x14ac:dyDescent="0.25">
      <c r="A66" s="6">
        <v>45335</v>
      </c>
      <c r="B66" s="1">
        <f t="shared" si="0"/>
        <v>3</v>
      </c>
    </row>
    <row r="67" spans="1:2" x14ac:dyDescent="0.25">
      <c r="A67" s="6">
        <v>45380</v>
      </c>
      <c r="B67" s="1">
        <f t="shared" si="0"/>
        <v>6</v>
      </c>
    </row>
    <row r="68" spans="1:2" x14ac:dyDescent="0.25">
      <c r="A68" s="6">
        <v>45413</v>
      </c>
      <c r="B68" s="1">
        <f t="shared" si="0"/>
        <v>4</v>
      </c>
    </row>
    <row r="69" spans="1:2" x14ac:dyDescent="0.25">
      <c r="A69" s="6">
        <v>45442</v>
      </c>
      <c r="B69" s="1">
        <f t="shared" ref="B69:B118" si="1">IF(A69="","",WEEKDAY(A69,1))</f>
        <v>5</v>
      </c>
    </row>
    <row r="70" spans="1:2" x14ac:dyDescent="0.25">
      <c r="A70" s="6">
        <v>45611</v>
      </c>
      <c r="B70" s="1">
        <f t="shared" si="1"/>
        <v>6</v>
      </c>
    </row>
    <row r="71" spans="1:2" x14ac:dyDescent="0.25">
      <c r="A71" s="6">
        <v>45651</v>
      </c>
      <c r="B71" s="1">
        <f t="shared" si="1"/>
        <v>4</v>
      </c>
    </row>
    <row r="72" spans="1:2" x14ac:dyDescent="0.25">
      <c r="A72" s="6">
        <v>45658</v>
      </c>
      <c r="B72" s="1">
        <f t="shared" si="1"/>
        <v>4</v>
      </c>
    </row>
    <row r="73" spans="1:2" x14ac:dyDescent="0.25">
      <c r="A73" s="6">
        <v>45719</v>
      </c>
      <c r="B73" s="1">
        <f t="shared" si="1"/>
        <v>2</v>
      </c>
    </row>
    <row r="74" spans="1:2" x14ac:dyDescent="0.25">
      <c r="A74" s="6">
        <v>45720</v>
      </c>
      <c r="B74" s="1">
        <f t="shared" si="1"/>
        <v>3</v>
      </c>
    </row>
    <row r="75" spans="1:2" x14ac:dyDescent="0.25">
      <c r="A75" s="6">
        <v>45765</v>
      </c>
      <c r="B75" s="1">
        <f t="shared" si="1"/>
        <v>6</v>
      </c>
    </row>
    <row r="76" spans="1:2" x14ac:dyDescent="0.25">
      <c r="A76" s="6">
        <v>45768</v>
      </c>
      <c r="B76" s="1">
        <f t="shared" si="1"/>
        <v>2</v>
      </c>
    </row>
    <row r="77" spans="1:2" x14ac:dyDescent="0.25">
      <c r="A77" s="6">
        <v>45778</v>
      </c>
      <c r="B77" s="1">
        <f t="shared" si="1"/>
        <v>5</v>
      </c>
    </row>
    <row r="78" spans="1:2" x14ac:dyDescent="0.25">
      <c r="A78" s="6">
        <v>45827</v>
      </c>
      <c r="B78" s="1">
        <f t="shared" si="1"/>
        <v>5</v>
      </c>
    </row>
    <row r="79" spans="1:2" x14ac:dyDescent="0.25">
      <c r="A79" s="6">
        <v>46016</v>
      </c>
      <c r="B79" s="1">
        <f t="shared" si="1"/>
        <v>5</v>
      </c>
    </row>
    <row r="80" spans="1:2" x14ac:dyDescent="0.25">
      <c r="A80" s="6">
        <v>46023</v>
      </c>
      <c r="B80" s="1">
        <f t="shared" si="1"/>
        <v>5</v>
      </c>
    </row>
    <row r="81" spans="1:6" x14ac:dyDescent="0.25">
      <c r="A81" s="6">
        <v>46069</v>
      </c>
      <c r="B81" s="1">
        <f t="shared" si="1"/>
        <v>2</v>
      </c>
    </row>
    <row r="82" spans="1:6" x14ac:dyDescent="0.25">
      <c r="A82" s="6">
        <v>46070</v>
      </c>
      <c r="B82" s="1">
        <f t="shared" si="1"/>
        <v>3</v>
      </c>
      <c r="F82" s="100"/>
    </row>
    <row r="83" spans="1:6" x14ac:dyDescent="0.25">
      <c r="A83" s="6">
        <v>46115</v>
      </c>
      <c r="B83" s="1">
        <f t="shared" si="1"/>
        <v>6</v>
      </c>
    </row>
    <row r="84" spans="1:6" x14ac:dyDescent="0.25">
      <c r="A84" s="6">
        <v>46133</v>
      </c>
      <c r="B84" s="1">
        <f t="shared" si="1"/>
        <v>3</v>
      </c>
    </row>
    <row r="85" spans="1:6" x14ac:dyDescent="0.25">
      <c r="A85" s="6">
        <v>46143</v>
      </c>
      <c r="B85" s="1">
        <f t="shared" si="1"/>
        <v>6</v>
      </c>
    </row>
    <row r="86" spans="1:6" x14ac:dyDescent="0.25">
      <c r="A86" s="6">
        <v>46177</v>
      </c>
      <c r="B86" s="1">
        <f t="shared" si="1"/>
        <v>5</v>
      </c>
    </row>
    <row r="87" spans="1:6" x14ac:dyDescent="0.25">
      <c r="A87" s="6">
        <v>46272</v>
      </c>
      <c r="B87" s="1">
        <f t="shared" si="1"/>
        <v>2</v>
      </c>
    </row>
    <row r="88" spans="1:6" x14ac:dyDescent="0.25">
      <c r="A88" s="6">
        <v>46307</v>
      </c>
      <c r="B88" s="1">
        <f t="shared" si="1"/>
        <v>2</v>
      </c>
    </row>
    <row r="89" spans="1:6" x14ac:dyDescent="0.25">
      <c r="A89" s="6">
        <v>46328</v>
      </c>
      <c r="B89" s="1">
        <f t="shared" si="1"/>
        <v>2</v>
      </c>
    </row>
    <row r="90" spans="1:6" x14ac:dyDescent="0.25">
      <c r="A90" s="6">
        <v>46381</v>
      </c>
      <c r="B90" s="1">
        <f t="shared" si="1"/>
        <v>6</v>
      </c>
    </row>
    <row r="91" spans="1:6" x14ac:dyDescent="0.25">
      <c r="B91" s="1" t="str">
        <f t="shared" si="1"/>
        <v/>
      </c>
    </row>
    <row r="92" spans="1:6" x14ac:dyDescent="0.25">
      <c r="B92" s="1" t="str">
        <f t="shared" si="1"/>
        <v/>
      </c>
    </row>
    <row r="93" spans="1:6" x14ac:dyDescent="0.25">
      <c r="B93" s="1" t="str">
        <f t="shared" si="1"/>
        <v/>
      </c>
    </row>
    <row r="94" spans="1:6" x14ac:dyDescent="0.25">
      <c r="B94" s="1" t="str">
        <f t="shared" si="1"/>
        <v/>
      </c>
    </row>
    <row r="95" spans="1:6" x14ac:dyDescent="0.25">
      <c r="B95" s="1" t="str">
        <f t="shared" si="1"/>
        <v/>
      </c>
    </row>
    <row r="96" spans="1:6" x14ac:dyDescent="0.25">
      <c r="B96" s="1" t="str">
        <f t="shared" si="1"/>
        <v/>
      </c>
    </row>
    <row r="97" spans="2:2" x14ac:dyDescent="0.25">
      <c r="B97" s="1" t="str">
        <f t="shared" si="1"/>
        <v/>
      </c>
    </row>
    <row r="98" spans="2:2" x14ac:dyDescent="0.25">
      <c r="B98" s="1" t="str">
        <f t="shared" si="1"/>
        <v/>
      </c>
    </row>
    <row r="99" spans="2:2" x14ac:dyDescent="0.25">
      <c r="B99" s="1" t="str">
        <f t="shared" si="1"/>
        <v/>
      </c>
    </row>
    <row r="100" spans="2:2" x14ac:dyDescent="0.25">
      <c r="B100" s="1" t="str">
        <f t="shared" si="1"/>
        <v/>
      </c>
    </row>
    <row r="101" spans="2:2" x14ac:dyDescent="0.25">
      <c r="B101" s="1" t="str">
        <f t="shared" si="1"/>
        <v/>
      </c>
    </row>
    <row r="102" spans="2:2" x14ac:dyDescent="0.25">
      <c r="B102" s="1" t="str">
        <f t="shared" si="1"/>
        <v/>
      </c>
    </row>
    <row r="103" spans="2:2" x14ac:dyDescent="0.25">
      <c r="B103" s="1" t="str">
        <f t="shared" si="1"/>
        <v/>
      </c>
    </row>
    <row r="104" spans="2:2" x14ac:dyDescent="0.25">
      <c r="B104" s="1" t="str">
        <f t="shared" si="1"/>
        <v/>
      </c>
    </row>
    <row r="105" spans="2:2" x14ac:dyDescent="0.25">
      <c r="B105" s="1" t="str">
        <f t="shared" si="1"/>
        <v/>
      </c>
    </row>
    <row r="106" spans="2:2" x14ac:dyDescent="0.25">
      <c r="B106" s="1" t="str">
        <f t="shared" si="1"/>
        <v/>
      </c>
    </row>
    <row r="107" spans="2:2" x14ac:dyDescent="0.25">
      <c r="B107" s="1" t="str">
        <f t="shared" si="1"/>
        <v/>
      </c>
    </row>
    <row r="108" spans="2:2" x14ac:dyDescent="0.25">
      <c r="B108" s="1" t="str">
        <f t="shared" si="1"/>
        <v/>
      </c>
    </row>
    <row r="109" spans="2:2" x14ac:dyDescent="0.25">
      <c r="B109" s="1" t="str">
        <f t="shared" si="1"/>
        <v/>
      </c>
    </row>
    <row r="110" spans="2:2" x14ac:dyDescent="0.25">
      <c r="B110" s="1" t="str">
        <f t="shared" si="1"/>
        <v/>
      </c>
    </row>
    <row r="111" spans="2:2" x14ac:dyDescent="0.25">
      <c r="B111" s="1" t="str">
        <f t="shared" si="1"/>
        <v/>
      </c>
    </row>
    <row r="112" spans="2:2" x14ac:dyDescent="0.25">
      <c r="B112" s="1" t="str">
        <f t="shared" si="1"/>
        <v/>
      </c>
    </row>
    <row r="113" spans="2:2" x14ac:dyDescent="0.25">
      <c r="B113" s="1" t="str">
        <f t="shared" si="1"/>
        <v/>
      </c>
    </row>
    <row r="114" spans="2:2" x14ac:dyDescent="0.25">
      <c r="B114" s="1" t="str">
        <f t="shared" si="1"/>
        <v/>
      </c>
    </row>
    <row r="115" spans="2:2" x14ac:dyDescent="0.25">
      <c r="B115" s="1" t="str">
        <f t="shared" si="1"/>
        <v/>
      </c>
    </row>
    <row r="116" spans="2:2" x14ac:dyDescent="0.25">
      <c r="B116" s="1" t="str">
        <f t="shared" si="1"/>
        <v/>
      </c>
    </row>
    <row r="117" spans="2:2" x14ac:dyDescent="0.25">
      <c r="B117" s="1" t="str">
        <f t="shared" si="1"/>
        <v/>
      </c>
    </row>
    <row r="118" spans="2:2" x14ac:dyDescent="0.25">
      <c r="B118" s="1" t="str">
        <f t="shared" si="1"/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C72F-A8AA-4D08-9E91-BC4D3DB2BD4E}">
  <sheetPr codeName="sht_Apoio"/>
  <dimension ref="B2:F9"/>
  <sheetViews>
    <sheetView workbookViewId="0">
      <selection activeCell="J18" sqref="J18"/>
    </sheetView>
  </sheetViews>
  <sheetFormatPr defaultRowHeight="15" x14ac:dyDescent="0.25"/>
  <cols>
    <col min="1" max="1" width="1.42578125" style="8" customWidth="1"/>
    <col min="2" max="2" width="3.42578125" style="4" customWidth="1"/>
    <col min="3" max="3" width="15.28515625" style="8" customWidth="1"/>
    <col min="4" max="5" width="9.140625" style="8"/>
    <col min="6" max="6" width="6.5703125" style="4" customWidth="1"/>
    <col min="7" max="16384" width="9.140625" style="8"/>
  </cols>
  <sheetData>
    <row r="2" spans="2:6" x14ac:dyDescent="0.25">
      <c r="B2" s="145" t="s">
        <v>3</v>
      </c>
      <c r="C2" s="145"/>
      <c r="E2" s="9" t="s">
        <v>34</v>
      </c>
      <c r="F2" s="11">
        <v>2018</v>
      </c>
    </row>
    <row r="3" spans="2:6" x14ac:dyDescent="0.25">
      <c r="B3" s="10">
        <v>1</v>
      </c>
      <c r="C3" s="9" t="s">
        <v>4</v>
      </c>
      <c r="E3" s="9" t="s">
        <v>35</v>
      </c>
      <c r="F3" s="11">
        <v>2025</v>
      </c>
    </row>
    <row r="4" spans="2:6" x14ac:dyDescent="0.25">
      <c r="B4" s="10">
        <v>2</v>
      </c>
      <c r="C4" s="9" t="s">
        <v>6</v>
      </c>
    </row>
    <row r="5" spans="2:6" x14ac:dyDescent="0.25">
      <c r="B5" s="10">
        <v>3</v>
      </c>
      <c r="C5" s="9" t="s">
        <v>7</v>
      </c>
    </row>
    <row r="6" spans="2:6" x14ac:dyDescent="0.25">
      <c r="B6" s="10">
        <v>4</v>
      </c>
      <c r="C6" s="9" t="s">
        <v>10</v>
      </c>
    </row>
    <row r="7" spans="2:6" x14ac:dyDescent="0.25">
      <c r="B7" s="10">
        <v>5</v>
      </c>
      <c r="C7" s="9" t="s">
        <v>8</v>
      </c>
    </row>
    <row r="8" spans="2:6" x14ac:dyDescent="0.25">
      <c r="B8" s="10">
        <v>6</v>
      </c>
      <c r="C8" s="9" t="s">
        <v>9</v>
      </c>
    </row>
    <row r="9" spans="2:6" x14ac:dyDescent="0.25">
      <c r="B9" s="10">
        <v>7</v>
      </c>
      <c r="C9" s="9" t="s">
        <v>5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24</vt:i4>
      </vt:variant>
    </vt:vector>
  </HeadingPairs>
  <TitlesOfParts>
    <vt:vector size="35" baseType="lpstr">
      <vt:lpstr>MENU</vt:lpstr>
      <vt:lpstr>Tutorial</vt:lpstr>
      <vt:lpstr>Cad. Colaboradores</vt:lpstr>
      <vt:lpstr>Cálculo Horas Colaboradores</vt:lpstr>
      <vt:lpstr>Registro Horas Colaboradores</vt:lpstr>
      <vt:lpstr>Banco de Horas</vt:lpstr>
      <vt:lpstr>Rel. Horas Colaboradores</vt:lpstr>
      <vt:lpstr>Rel. Horas Empresa</vt:lpstr>
      <vt:lpstr>Compensação de Horas</vt:lpstr>
      <vt:lpstr>Feriados</vt:lpstr>
      <vt:lpstr>Apoio</vt:lpstr>
      <vt:lpstr>Ano_Fim</vt:lpstr>
      <vt:lpstr>Ano_Inicio</vt:lpstr>
      <vt:lpstr>Colaborador</vt:lpstr>
      <vt:lpstr>ColaboradorDifHoras</vt:lpstr>
      <vt:lpstr>ColaboradorJaCadBcoHoras</vt:lpstr>
      <vt:lpstr>ColaboradorJaCadRegHoras</vt:lpstr>
      <vt:lpstr>Criterio</vt:lpstr>
      <vt:lpstr>DadosTransfColaboradores</vt:lpstr>
      <vt:lpstr>DadosTransfEmpresa</vt:lpstr>
      <vt:lpstr>DiasSemana</vt:lpstr>
      <vt:lpstr>EmpresaJaCadBcoHoras</vt:lpstr>
      <vt:lpstr>FormulaFH</vt:lpstr>
      <vt:lpstr>FormulaMin</vt:lpstr>
      <vt:lpstr>FormulaPosicao</vt:lpstr>
      <vt:lpstr>Intervalo</vt:lpstr>
      <vt:lpstr>Jornada</vt:lpstr>
      <vt:lpstr>Mes_Ano</vt:lpstr>
      <vt:lpstr>Nro_RI</vt:lpstr>
      <vt:lpstr>RegistroBcoHorasColaborador</vt:lpstr>
      <vt:lpstr>RelCompAte</vt:lpstr>
      <vt:lpstr>RelCompDe</vt:lpstr>
      <vt:lpstr>RelCompHorasFim</vt:lpstr>
      <vt:lpstr>RelCompHorasInicio</vt:lpstr>
      <vt:lpstr>Tolerancia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dcterms:created xsi:type="dcterms:W3CDTF">2018-03-22T14:39:52Z</dcterms:created>
  <dcterms:modified xsi:type="dcterms:W3CDTF">2018-04-10T12:38:04Z</dcterms:modified>
</cp:coreProperties>
</file>