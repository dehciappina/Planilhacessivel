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regispc\Downloads\"/>
    </mc:Choice>
  </mc:AlternateContent>
  <xr:revisionPtr revIDLastSave="0" documentId="13_ncr:1_{BE42D91C-9789-4D1A-AF0E-216F43E664BF}" xr6:coauthVersionLast="31" xr6:coauthVersionMax="31" xr10:uidLastSave="{00000000-0000-0000-0000-000000000000}"/>
  <bookViews>
    <workbookView xWindow="0" yWindow="0" windowWidth="20490" windowHeight="7545" xr2:uid="{00000000-000D-0000-FFFF-FFFF00000000}"/>
  </bookViews>
  <sheets>
    <sheet name="MENU" sheetId="12" r:id="rId1"/>
    <sheet name="Cad. Tomadores" sheetId="15" r:id="rId2"/>
    <sheet name="Cad. Prestadores" sheetId="16" r:id="rId3"/>
    <sheet name="Cad. Cidades" sheetId="21" r:id="rId4"/>
    <sheet name="Registro do RPA" sheetId="19" r:id="rId5"/>
    <sheet name="RPA - Serviços" sheetId="10" r:id="rId6"/>
    <sheet name="RPAs Registrados" sheetId="20" r:id="rId7"/>
    <sheet name="Tabela IRRF e INSS" sheetId="11" r:id="rId8"/>
    <sheet name="Sites Recomendados" sheetId="22" r:id="rId9"/>
  </sheets>
  <functionGroups builtInGroupCount="19"/>
  <definedNames>
    <definedName name="_xlnm._FilterDatabase" localSheetId="3" hidden="1">'Cad. Cidades'!$B$2:$B$3</definedName>
    <definedName name="_xlnm._FilterDatabase" localSheetId="2" hidden="1">'Cad. Prestadores'!$B$2:$I$3</definedName>
    <definedName name="_xlnm._FilterDatabase" localSheetId="1" hidden="1">'Cad. Tomadores'!$B$2:$D$3</definedName>
    <definedName name="_xlnm._FilterDatabase" localSheetId="6" hidden="1">'RPAs Registrados'!$B$2:$R$2</definedName>
    <definedName name="_xlnm.Print_Area" localSheetId="5">'RPA - Serviços'!$C$2:$BG$77</definedName>
    <definedName name="_xlnm.Print_Area" localSheetId="7">'Tabela IRRF e INSS'!$K$2:$N$15</definedName>
    <definedName name="Cidades">OFFSET('Cad. Cidades'!$B$3,0,0,COUNTA('Cad. Cidades'!$B:$B)-1,1)</definedName>
    <definedName name="Excluir">'Registro do RPA'!$BF$2</definedName>
    <definedName name="IR_RPA_Vlr">'Tabela IRRF e INSS'!$K$13</definedName>
    <definedName name="MaiorRPA">'Registro do RPA'!$AB$2</definedName>
    <definedName name="Novo_Editar">'Registro do RPA'!$AS$2</definedName>
    <definedName name="PrestadoresNomes">OFFSET('Cad. Prestadores'!$B$3,0,0,COUNTA('Cad. Prestadores'!$B:$B)-1,1)</definedName>
    <definedName name="PrestadoresTudo">OFFSET('Cad. Prestadores'!$B$3,0,0,COUNTA('Cad. Prestadores'!$B:$B),8)</definedName>
    <definedName name="PV_Tb_INSS">'Tabela IRRF e INSS'!$C$13:$F$15</definedName>
    <definedName name="PV_Tb_IR">'Tabela IRRF e INSS'!$C$4:$G$8</definedName>
    <definedName name="RegAliquotaISS">'Registro do RPA'!$Q$11</definedName>
    <definedName name="RegCidade">'Registro do RPA'!$Q$6</definedName>
    <definedName name="RegData">'Registro do RPA'!$Q$5</definedName>
    <definedName name="RegDeducaoINSS">'Registro do RPA'!$Q$15</definedName>
    <definedName name="RegDeducaoIRRF">'Registro do RPA'!$Q$14</definedName>
    <definedName name="RegDescricao">'Registro do RPA'!$Q$9</definedName>
    <definedName name="RegInscrMunicipal">'Registro do RPA'!$BE$12</definedName>
    <definedName name="RegNroDependentes">'Registro do RPA'!$BE$13</definedName>
    <definedName name="RegNroRPA">'Registro do RPA'!$BL$5</definedName>
    <definedName name="RegObservaçoes">'Registro do RPA'!$C$2</definedName>
    <definedName name="RegOutrasDeducoes">'Registro do RPA'!$BE$15</definedName>
    <definedName name="RegOutrasReceitas">'Registro do RPA'!$Q$13</definedName>
    <definedName name="RegPensaoAlim">'Registro do RPA'!$BE$14</definedName>
    <definedName name="RegPrestador">'Registro do RPA'!$Q$8</definedName>
    <definedName name="RegRespTomador">'Registro do RPA'!$BB$7</definedName>
    <definedName name="RegTomador">'Registro do RPA'!$Q$7</definedName>
    <definedName name="RegValor">'Registro do RPA'!$Q$12</definedName>
    <definedName name="RetençãoINSS">'Tabela IRRF e INSS'!$L$5</definedName>
    <definedName name="RPA_Dependentes">'RPA - Serviços'!$AW$28</definedName>
    <definedName name="RPA_I_Municipal">'RPA - Serviços'!$AW$26</definedName>
    <definedName name="RPA_OutrasRet">'RPA - Serviços'!$AW$32</definedName>
    <definedName name="RPA_Prestador">'RPA - Serviços'!$E$11</definedName>
    <definedName name="RPA_Registrada">'Registro do RPA'!$AI$2</definedName>
    <definedName name="RPA_Tomador">'RPA - Serviços'!$E$4</definedName>
    <definedName name="RPA_Valor">'RPA - Serviços'!$AW$45</definedName>
    <definedName name="RPAsRegNro">OFFSET('RPAs Registrados'!$B$2,1,0,COUNTA('RPAs Registrados'!$B$3:$B$9966),1)</definedName>
    <definedName name="RPAsRegTudo">OFFSET('RPAs Registrados'!$B$2,1,0,COUNTA('RPAs Registrados'!$B$3:$B$9966),16)</definedName>
    <definedName name="TomadoresNomes">OFFSET('Cad. Tomadores'!$B$3,0,0,COUNTA('Cad. Tomadores'!$B:$B)-1,1)</definedName>
    <definedName name="TomadoresTudo">OFFSET('Cad. Tomadores'!$B$3,0,0,COUNTA('Cad. Tomadores'!$B:$B)-1,3)</definedName>
    <definedName name="VlrMaxContrib">'Tabela IRRF e INSS'!$F$16</definedName>
  </definedNames>
  <calcPr calcId="179017"/>
</workbook>
</file>

<file path=xl/calcChain.xml><?xml version="1.0" encoding="utf-8"?>
<calcChain xmlns="http://schemas.openxmlformats.org/spreadsheetml/2006/main">
  <c r="BE15" i="19" l="1"/>
  <c r="BE14" i="19"/>
  <c r="BE12" i="19"/>
  <c r="BE13" i="19"/>
  <c r="C2" i="19"/>
  <c r="AW30" i="10" l="1"/>
  <c r="AW36" i="10"/>
  <c r="AW34" i="10"/>
  <c r="AW38" i="10"/>
  <c r="N14" i="11"/>
  <c r="AW32" i="10" l="1"/>
  <c r="AW26" i="10"/>
  <c r="AW28" i="10"/>
  <c r="AW45" i="10"/>
  <c r="AR54" i="10"/>
  <c r="M8" i="11"/>
  <c r="M7" i="11"/>
  <c r="M5" i="11"/>
  <c r="M4" i="11"/>
  <c r="M6" i="11"/>
  <c r="L8" i="11" l="1"/>
  <c r="N8" i="11" s="1"/>
  <c r="L7" i="11"/>
  <c r="N7" i="11" s="1"/>
  <c r="M9" i="11"/>
  <c r="AI2" i="19"/>
  <c r="E18" i="10"/>
  <c r="P2" i="19"/>
  <c r="L4" i="11"/>
  <c r="N4" i="11" s="1"/>
  <c r="BB7" i="19" l="1"/>
  <c r="AB2" i="19"/>
  <c r="L6" i="11" l="1"/>
  <c r="AI76" i="10"/>
  <c r="D76" i="10"/>
  <c r="E65" i="10"/>
  <c r="AB65" i="10"/>
  <c r="E11" i="10"/>
  <c r="E13" i="10" s="1"/>
  <c r="E4" i="10"/>
  <c r="E6" i="10" s="1"/>
  <c r="CR5" i="19"/>
  <c r="CR8" i="19" s="1"/>
  <c r="N6" i="11" l="1"/>
  <c r="L5" i="11"/>
  <c r="N5" i="11" s="1"/>
  <c r="CR6" i="19" s="1"/>
  <c r="X13" i="10"/>
  <c r="AW54" i="10"/>
  <c r="N9" i="11" l="1"/>
  <c r="N12" i="11" s="1"/>
  <c r="L9" i="11"/>
  <c r="F16" i="11"/>
  <c r="N10" i="11" l="1"/>
  <c r="N11" i="11" s="1"/>
  <c r="N13" i="11" s="1"/>
  <c r="N15" i="11" s="1"/>
  <c r="CR7" i="19" s="1"/>
  <c r="C5" i="11"/>
  <c r="C6" i="11"/>
  <c r="C7" i="11"/>
  <c r="C8" i="11"/>
  <c r="C14" i="11"/>
  <c r="C15" i="11"/>
  <c r="C20" i="11"/>
  <c r="AW51" i="10" l="1"/>
  <c r="AW48" i="10"/>
  <c r="AW57" i="10" l="1"/>
  <c r="CR13" i="19"/>
  <c r="CR9" i="19"/>
  <c r="CR12" i="19" s="1"/>
  <c r="E59" i="10"/>
  <c r="CR14" i="19" l="1"/>
  <c r="CR15" i="19" s="1"/>
  <c r="CR16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Q6" authorId="0" shapeId="0" xr:uid="{5FCDE84C-668A-4233-94D5-E04FCA1945F9}">
      <text>
        <r>
          <rPr>
            <sz val="9"/>
            <color indexed="81"/>
            <rFont val="Segoe UI"/>
            <family val="2"/>
          </rPr>
          <t>Clique na célula e utilize o botão de seleção à direta para escolher uma das cidades já cadastradas.</t>
        </r>
      </text>
    </comment>
    <comment ref="Q7" authorId="0" shapeId="0" xr:uid="{F78F0318-01AE-437A-B8C9-1A5E9BE0B7CA}">
      <text>
        <r>
          <rPr>
            <sz val="9"/>
            <color indexed="81"/>
            <rFont val="Segoe UI"/>
            <family val="2"/>
          </rPr>
          <t>Clique na célula e utilize o botão de seleção à direta para escolher um dos Tomadores já cadastrados.</t>
        </r>
      </text>
    </comment>
    <comment ref="Q8" authorId="0" shapeId="0" xr:uid="{6371344F-583E-4943-98BC-6921B0ACAD43}">
      <text>
        <r>
          <rPr>
            <sz val="9"/>
            <color indexed="81"/>
            <rFont val="Segoe UI"/>
            <family val="2"/>
          </rPr>
          <t>Clique na célula e utilize o botão de seleção à direta para escolher um dos Prestadores de Serviços já cadastrados.</t>
        </r>
      </text>
    </comment>
    <comment ref="Q11" authorId="0" shapeId="0" xr:uid="{73EA3961-D043-4C95-A776-B2250AAEFA09}">
      <text>
        <r>
          <rPr>
            <sz val="9"/>
            <color indexed="81"/>
            <rFont val="Segoe UI"/>
            <family val="2"/>
          </rPr>
          <t>A alíquota do ISS pode oscilar de um Munícipio para outro, sendo que algumas alíquotas podem variar também em razão de determinados tipos de serviços.</t>
        </r>
      </text>
    </comment>
    <comment ref="BE12" authorId="0" shapeId="0" xr:uid="{A1703A87-2E01-4D76-A4A1-89EF9ADE7962}">
      <text>
        <r>
          <rPr>
            <sz val="9"/>
            <color indexed="81"/>
            <rFont val="Segoe UI"/>
            <family val="2"/>
          </rPr>
          <t>Se SIM; então não será retido o valor correspondente à alíquota do ISS.</t>
        </r>
      </text>
    </comment>
    <comment ref="Q13" authorId="0" shapeId="0" xr:uid="{10C22AC9-3EEA-4F4E-BD02-1942C3D62CAC}">
      <text>
        <r>
          <rPr>
            <u/>
            <sz val="9"/>
            <color indexed="81"/>
            <rFont val="Segoe UI"/>
            <family val="2"/>
          </rPr>
          <t>Dado do Prestador dos Serviços:</t>
        </r>
        <r>
          <rPr>
            <sz val="9"/>
            <color indexed="81"/>
            <rFont val="Segoe UI"/>
            <family val="2"/>
          </rPr>
          <t xml:space="preserve">
Informe aqui a soma dos serviços prestados anteriormente; porém dentro do mesmo mês de competência, para efeito de apuração da base do I.R..</t>
        </r>
      </text>
    </comment>
    <comment ref="BE13" authorId="0" shapeId="0" xr:uid="{C9860D7B-6143-4DA9-B053-D0ED170160A7}">
      <text>
        <r>
          <rPr>
            <sz val="9"/>
            <color indexed="81"/>
            <rFont val="Segoe UI"/>
            <family val="2"/>
          </rPr>
          <t>Influencia a base de cálculo para a apuração do I.R. a ser retido.</t>
        </r>
      </text>
    </comment>
    <comment ref="Q14" authorId="0" shapeId="0" xr:uid="{33A15FB5-BF97-4291-8D52-BE09259C289D}">
      <text>
        <r>
          <rPr>
            <u/>
            <sz val="9"/>
            <color indexed="81"/>
            <rFont val="Segoe UI"/>
            <family val="2"/>
          </rPr>
          <t>Dado do Prestador dos Serviços:</t>
        </r>
        <r>
          <rPr>
            <sz val="9"/>
            <color indexed="81"/>
            <rFont val="Segoe UI"/>
            <family val="2"/>
          </rPr>
          <t xml:space="preserve">
Informe aqui a soma dos valores de Imposto de Renda já retido anteriormente pelos Tomadores de serviços, porém dentro do mesmo mês de competência, para efeito de apuração do novo valor do IRRF.</t>
        </r>
      </text>
    </comment>
    <comment ref="BE14" authorId="0" shapeId="0" xr:uid="{A3EF7D8F-B7BB-47C8-92B8-4DD93AF62F53}">
      <text>
        <r>
          <rPr>
            <sz val="9"/>
            <color indexed="81"/>
            <rFont val="Segoe UI"/>
            <family val="2"/>
          </rPr>
          <t>Influencia a base de cálculo para a apuração do I.R. a ser retido.</t>
        </r>
      </text>
    </comment>
    <comment ref="Q15" authorId="0" shapeId="0" xr:uid="{C1703018-58C0-453C-AD19-03BEB254224D}">
      <text>
        <r>
          <rPr>
            <u/>
            <sz val="9"/>
            <color indexed="81"/>
            <rFont val="Segoe UI"/>
            <family val="2"/>
          </rPr>
          <t>Dado do Prestador dos Serviços:</t>
        </r>
        <r>
          <rPr>
            <sz val="9"/>
            <color indexed="81"/>
            <rFont val="Segoe UI"/>
            <family val="2"/>
          </rPr>
          <t xml:space="preserve">
Informe aqui a soma dos valores já retidos ao INSS pelos Tomadores em serviços anteriores, porém dentro do mesmo mês de competência, para efeito de apuração da base do I.R..</t>
        </r>
      </text>
    </comment>
    <comment ref="BE15" authorId="0" shapeId="0" xr:uid="{7074CCA8-494B-4089-8962-6BC29CEA4EBD}">
      <text>
        <r>
          <rPr>
            <sz val="9"/>
            <color indexed="81"/>
            <rFont val="Segoe UI"/>
            <family val="2"/>
          </rPr>
          <t>Influencia a base de cálculo para a apuração do I.R. a ser retido.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</author>
  </authors>
  <commentList>
    <comment ref="AW26" authorId="0" shapeId="0" xr:uid="{00000000-0006-0000-0400-000001000000}">
      <text>
        <r>
          <rPr>
            <sz val="9"/>
            <color indexed="81"/>
            <rFont val="Tahoma"/>
            <family val="2"/>
          </rPr>
          <t>Em caso positivo, o prestador dos serviços precisa comprovar seu registro como autônomo na PMSP.</t>
        </r>
      </text>
    </comment>
    <comment ref="AW28" authorId="0" shapeId="0" xr:uid="{00000000-0006-0000-0400-000002000000}">
      <text>
        <r>
          <rPr>
            <sz val="9"/>
            <color indexed="81"/>
            <rFont val="Tahoma"/>
            <family val="2"/>
          </rPr>
          <t>O prestador dos serviços precisa entregar declaração informando o nome, idade e CPF dos dependentes.</t>
        </r>
      </text>
    </comment>
    <comment ref="AW30" authorId="0" shapeId="0" xr:uid="{00C1D0F7-0BFB-487D-89BB-98A1FBA2AF28}">
      <text>
        <r>
          <rPr>
            <sz val="9"/>
            <color indexed="81"/>
            <rFont val="Tahoma"/>
            <family val="2"/>
          </rPr>
          <t>O prestador dos serviços precisa entregar declaração informando o nome, idade e CPF dos dependentes.</t>
        </r>
      </text>
    </comment>
    <comment ref="AW32" authorId="0" shapeId="0" xr:uid="{00000000-0006-0000-0400-000003000000}">
      <text>
        <r>
          <rPr>
            <sz val="9"/>
            <color indexed="81"/>
            <rFont val="Tahoma"/>
            <family val="2"/>
          </rPr>
          <t>O valor deve constar de declaração da empresa empregadora do prestador dos serviços.</t>
        </r>
      </text>
    </comment>
    <comment ref="AW34" authorId="0" shapeId="0" xr:uid="{6FAA1AD6-C84E-4ABE-97B8-01E7188F85A2}">
      <text>
        <r>
          <rPr>
            <sz val="9"/>
            <color indexed="81"/>
            <rFont val="Tahoma"/>
            <family val="2"/>
          </rPr>
          <t>O prestador dos serviços precisa entregar declaração informando o nome, idade e CPF dos dependentes.</t>
        </r>
      </text>
    </comment>
    <comment ref="AW36" authorId="0" shapeId="0" xr:uid="{D09A7CA1-0F6E-4A7F-A20C-C59CEE4726C4}">
      <text>
        <r>
          <rPr>
            <sz val="9"/>
            <color indexed="81"/>
            <rFont val="Tahoma"/>
            <family val="2"/>
          </rPr>
          <t>O prestador dos serviços precisa entregar declaração informando o nome, idade e CPF dos dependentes.</t>
        </r>
      </text>
    </comment>
    <comment ref="AW38" authorId="0" shapeId="0" xr:uid="{DE511CB1-E182-43EA-84C4-0215CA6184A6}">
      <text>
        <r>
          <rPr>
            <sz val="9"/>
            <color indexed="81"/>
            <rFont val="Tahoma"/>
            <family val="2"/>
          </rPr>
          <t>O prestador dos serviços precisa entregar declaração informando o nome, idade e CPF dos dependentes.</t>
        </r>
      </text>
    </comment>
    <comment ref="AW45" authorId="0" shapeId="0" xr:uid="{24130E7F-DF75-4CE7-8D8F-8F124DDEE93A}">
      <text>
        <r>
          <rPr>
            <sz val="9"/>
            <color indexed="81"/>
            <rFont val="Tahoma"/>
            <family val="2"/>
          </rPr>
          <t>O valor deve constar de declaração da empresa empregadora do prestador dos serviços.</t>
        </r>
      </text>
    </comment>
    <comment ref="AW48" authorId="0" shapeId="0" xr:uid="{3F55241C-B436-4004-86FB-751BADA1DE6C}">
      <text>
        <r>
          <rPr>
            <sz val="9"/>
            <color indexed="81"/>
            <rFont val="Tahoma"/>
            <family val="2"/>
          </rPr>
          <t>O valor deve constar de declaração da empresa empregadora do prestador dos serviços.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N10" authorId="0" shapeId="0" xr:uid="{70F09003-253B-4B18-8A58-3452AFFE0B62}">
      <text>
        <r>
          <rPr>
            <sz val="9"/>
            <color indexed="81"/>
            <rFont val="Segoe UI"/>
            <family val="2"/>
          </rPr>
          <t>Alíquota da tabela correspondente à faixa de valor dos serviços prestados.</t>
        </r>
      </text>
    </comment>
    <comment ref="N12" authorId="0" shapeId="0" xr:uid="{F0152F99-0ADC-49BA-94EB-9F22CA1CD48A}">
      <text>
        <r>
          <rPr>
            <sz val="9"/>
            <color indexed="81"/>
            <rFont val="Segoe UI"/>
            <family val="2"/>
          </rPr>
          <t xml:space="preserve">Dedução prevista na tabela correspondente à faixa de valor dos serviços prestados.
</t>
        </r>
      </text>
    </comment>
  </commentList>
</comments>
</file>

<file path=xl/sharedStrings.xml><?xml version="1.0" encoding="utf-8"?>
<sst xmlns="http://schemas.openxmlformats.org/spreadsheetml/2006/main" count="130" uniqueCount="103">
  <si>
    <t>Base do cálculo mensal</t>
  </si>
  <si>
    <t>Alíquota</t>
  </si>
  <si>
    <t>Vlr. a Deduzir</t>
  </si>
  <si>
    <t>até</t>
  </si>
  <si>
    <t>de</t>
  </si>
  <si>
    <t>acima de</t>
  </si>
  <si>
    <t>Salário de Contribuição</t>
  </si>
  <si>
    <t>Valor máximo de Contribuição =</t>
  </si>
  <si>
    <t>Dedução Dependentes</t>
  </si>
  <si>
    <t>Retenção do ISS</t>
  </si>
  <si>
    <t>Valor a Recolher ao Erário</t>
  </si>
  <si>
    <t>Sub-Total</t>
  </si>
  <si>
    <t>Valor Líquido a Pagar pelos Serviços</t>
  </si>
  <si>
    <t>Valor dos Serviços</t>
  </si>
  <si>
    <t>CADASTRO DOS TOMADORES DOS SERVIÇOS</t>
  </si>
  <si>
    <t>CADASTRO DOS PRESTADORES DOS SERVIÇOS</t>
  </si>
  <si>
    <t>EMISSÃO DO RECIBO DE AUTONÔMO</t>
  </si>
  <si>
    <t>Tabela Atual do Imposto de Renda</t>
  </si>
  <si>
    <t>Tabela Atual do INSS</t>
  </si>
  <si>
    <t>Tabela Atual de Salário Família</t>
  </si>
  <si>
    <t>Nº CPF</t>
  </si>
  <si>
    <t>Descrição dos Serviços</t>
  </si>
  <si>
    <t>Tomador dos Serviços</t>
  </si>
  <si>
    <t>Prestador dos Serviços</t>
  </si>
  <si>
    <t>Retenção do Imposto de Renda</t>
  </si>
  <si>
    <t>CUSTO EFETIVO DO TOMADOR (CONTRATANTE)</t>
  </si>
  <si>
    <t>Possui Inscrição como Contribuinte Municipal, para efeito de isenção do ISS?</t>
  </si>
  <si>
    <t>Valor do Serviços Prestados</t>
  </si>
  <si>
    <t>Empresa Tomadora dos Serviços</t>
  </si>
  <si>
    <t>Prestador dos Serviços Autônomos</t>
  </si>
  <si>
    <t>Nº DEPENDENTES</t>
  </si>
  <si>
    <t>DEDUÇÃO INSS</t>
  </si>
  <si>
    <t>VALOR DOS SERVIÇOS</t>
  </si>
  <si>
    <t>Nº CNPJ</t>
  </si>
  <si>
    <t>DATA DO RPA</t>
  </si>
  <si>
    <t>DESCRIÇÃO DOS SERVIÇOS</t>
  </si>
  <si>
    <t>TOMADOR DOS SERVIÇOS</t>
  </si>
  <si>
    <t>PRESTADOR DOS SERVIÇOS</t>
  </si>
  <si>
    <t>CÁLCULO DO VALOR LÍQUIDO A PAGAR</t>
  </si>
  <si>
    <t>Valor dos Serviços Prestados</t>
  </si>
  <si>
    <t>Valor Base para o Cálculo do IR</t>
  </si>
  <si>
    <t>Alíquota do IR</t>
  </si>
  <si>
    <t>Valor Bruto do IR</t>
  </si>
  <si>
    <t>CÁLCULO DO IMPOSTO DE RENDA (IR)</t>
  </si>
  <si>
    <t>Deduções por dependente = &gt;</t>
  </si>
  <si>
    <t>INSS a Recolher ao Erário</t>
  </si>
  <si>
    <t>Valor a Pagar ao Prestador dos Serviços</t>
  </si>
  <si>
    <t>Custo Total para o Tomador</t>
  </si>
  <si>
    <t>Local (Cidade)</t>
  </si>
  <si>
    <t>Nº Dependentes</t>
  </si>
  <si>
    <t>Inscrito como Contribuinte Municipal?</t>
  </si>
  <si>
    <t>Data de Emissão do RPA</t>
  </si>
  <si>
    <t xml:space="preserve">  CÁLCULO E EMISSÃO DE RECIBO DE PAGAMENTO À AUTÔNOMOS - RPA</t>
  </si>
  <si>
    <t>Nº RPA</t>
  </si>
  <si>
    <t>ALÍQUOTA ISS</t>
  </si>
  <si>
    <t>INSCR. MUNICIPAL</t>
  </si>
  <si>
    <t>RESPONSÁVEL</t>
  </si>
  <si>
    <t>Resp.</t>
  </si>
  <si>
    <t>STATUS</t>
  </si>
  <si>
    <t>Nº</t>
  </si>
  <si>
    <t>LOCAL (CIDADE)</t>
  </si>
  <si>
    <t>N</t>
  </si>
  <si>
    <t>CIDADE</t>
  </si>
  <si>
    <t>CADASTRO DE CIDADES</t>
  </si>
  <si>
    <t>Alíquota do ISS, em %</t>
  </si>
  <si>
    <t>Valor já Retido ao INSS</t>
  </si>
  <si>
    <t>VLR. PENSÃO ALIMENTÍCIA</t>
  </si>
  <si>
    <t>VLR. OUTRAS DEDUÇÕES</t>
  </si>
  <si>
    <t>INSCRITO COMO CONTRIBUINTE MUNICIPAL?</t>
  </si>
  <si>
    <t>Nº INSCRIÇÃO NO INSS</t>
  </si>
  <si>
    <t>OBSERVAÇÕES</t>
  </si>
  <si>
    <t>Valor da Pensão Alimentícia</t>
  </si>
  <si>
    <t>Valor de Outras Deduções</t>
  </si>
  <si>
    <t>Descrição</t>
  </si>
  <si>
    <t>Serviço Atual</t>
  </si>
  <si>
    <t>Serviços Anteriores</t>
  </si>
  <si>
    <t>Total</t>
  </si>
  <si>
    <t>Retenção para o INSS</t>
  </si>
  <si>
    <t>Dedução Pensão Alimentícia</t>
  </si>
  <si>
    <t>Outras Deduções</t>
  </si>
  <si>
    <t>Dedução pela Tabela do IR</t>
  </si>
  <si>
    <t>VALOR OUTROS SERVIÇOS</t>
  </si>
  <si>
    <t>Retenção ao INSS</t>
  </si>
  <si>
    <t>Retençao ao INSS</t>
  </si>
  <si>
    <t>https://www.metadados.com.br/blog/entenda-quais-sao-as-deducoes-cabiveis-ao-irrf/</t>
  </si>
  <si>
    <t>Valor de Outros Serviços</t>
  </si>
  <si>
    <t>Retenção do Imposto de Renda - IRRF</t>
  </si>
  <si>
    <t>Valor de IRRF anterior</t>
  </si>
  <si>
    <t>Valor do Imposto de Renda</t>
  </si>
  <si>
    <t>Novo Valor a ser Retido ao Imposto de Renda - IRRF</t>
  </si>
  <si>
    <t>DEDUÇÃO IRRF</t>
  </si>
  <si>
    <t>Site: CONTEÚDO RH</t>
  </si>
  <si>
    <t>SITES RECOMENDADOS</t>
  </si>
  <si>
    <t>SITES RECOMENDADOS:</t>
  </si>
  <si>
    <t>https://suficienciacontabil.com.br/2017/03/12/o-que-e-rpa-e-como-emitir/</t>
  </si>
  <si>
    <t>Site: SUFICIÊNCIA CONTÁBIL</t>
  </si>
  <si>
    <t>TABELA DE "IRRF" E "INSS" (para o cálculo do RPA)</t>
  </si>
  <si>
    <t>Nº de Dependentes, para efeito de redução da base de cálculo do IRRF</t>
  </si>
  <si>
    <t>Dedução de Pensão Alimentícia, para efeito de redução da base de cálculo do IRRF</t>
  </si>
  <si>
    <t>Outras deduções, para efeito de redução da base de cálculo do IRRF</t>
  </si>
  <si>
    <t>Outros serviços prestados no mesmo período de competência</t>
  </si>
  <si>
    <t>Outras retenções de INSS sobre os serviços prestados no mesmo período de competência</t>
  </si>
  <si>
    <t>Outros IRRFs sobre os serviços prestados no mesmo período de competência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</si>
</sst>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-&quot;R$&quot;\ * #,##0.00_-;\-&quot;R$&quot;\ * #,##0.00_-;_-&quot;R$&quot;\ * &quot;-&quot;??_-;_-@_-"/>
    <numFmt numFmtId="167" formatCode="_(&quot;R$ &quot;* #,##0.00_);_(&quot;R$ &quot;* \(#,##0.00\);_(&quot;R$ &quot;* &quot;-&quot;??_);_(@_)"/>
    <numFmt numFmtId="168" formatCode="_([$R$ -416]* #,##0.00_);_([$R$ -416]* \(#,##0.00\);_([$R$ -416]* &quot;-&quot;??_);_(@_)"/>
    <numFmt numFmtId="169" formatCode="0.0%"/>
    <numFmt numFmtId="170" formatCode="_-[$R$-416]* #,##0.00_-;\-[$R$-416]* #,##0.00_-;_-[$R$-416]* &quot;-&quot;??_-;_-@_-"/>
    <numFmt numFmtId="171" formatCode="dd&quot; de &quot;mmmm&quot; de &quot;yyyy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i/>
      <sz val="11"/>
      <color theme="1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b/>
      <i/>
      <sz val="14"/>
      <color theme="1"/>
      <name val="Calibri"/>
      <family val="2"/>
      <scheme val="minor"/>
    </font>
    <font>
      <b/>
      <sz val="10"/>
      <color theme="0" tint="-0.499984740745262"/>
      <name val="Arial"/>
      <family val="2"/>
    </font>
    <font>
      <sz val="8"/>
      <color rgb="FF000000"/>
      <name val="Segoe UI"/>
      <family val="2"/>
    </font>
    <font>
      <b/>
      <i/>
      <sz val="12"/>
      <color theme="1"/>
      <name val="Calibri"/>
      <family val="2"/>
      <scheme val="minor"/>
    </font>
    <font>
      <b/>
      <sz val="9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9"/>
      <color indexed="81"/>
      <name val="Segoe UI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gradientFill degree="90">
        <stop position="0">
          <color theme="4" tint="0.59999389629810485"/>
        </stop>
        <stop position="0.5">
          <color theme="0"/>
        </stop>
        <stop position="1">
          <color theme="4" tint="0.59999389629810485"/>
        </stop>
      </gradientFill>
    </fill>
    <fill>
      <patternFill patternType="solid">
        <fgColor theme="2" tint="-9.9948118533890809E-2"/>
        <bgColor indexed="64"/>
      </patternFill>
    </fill>
    <fill>
      <patternFill patternType="solid">
        <fgColor theme="6" tint="0.59996337778862885"/>
        <bgColor indexed="64"/>
      </patternFill>
    </fill>
    <fill>
      <gradientFill degree="180">
        <stop position="0">
          <color theme="0"/>
        </stop>
        <stop position="1">
          <color theme="7" tint="0.40000610370189521"/>
        </stop>
      </gradientFill>
    </fill>
    <fill>
      <patternFill patternType="solid">
        <fgColor theme="1" tint="0.4999847407452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64"/>
      </left>
      <right style="thin">
        <color indexed="55"/>
      </right>
      <top style="thin">
        <color indexed="55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 style="thick">
        <color theme="0"/>
      </left>
      <right/>
      <top style="thin">
        <color theme="0" tint="-0.499984740745262"/>
      </top>
      <bottom/>
      <diagonal/>
    </border>
    <border>
      <left style="thick">
        <color theme="0"/>
      </left>
      <right/>
      <top/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165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4" fillId="0" borderId="0" applyNumberFormat="0" applyFill="0" applyBorder="0" applyAlignment="0" applyProtection="0"/>
  </cellStyleXfs>
  <cellXfs count="214">
    <xf numFmtId="0" fontId="0" fillId="0" borderId="0" xfId="0"/>
    <xf numFmtId="0" fontId="3" fillId="0" borderId="0" xfId="9" applyAlignment="1">
      <alignment vertical="center"/>
    </xf>
    <xf numFmtId="0" fontId="4" fillId="0" borderId="4" xfId="9" applyFont="1" applyBorder="1" applyAlignment="1">
      <alignment horizontal="center" vertical="center"/>
    </xf>
    <xf numFmtId="0" fontId="3" fillId="0" borderId="7" xfId="9" applyBorder="1" applyAlignment="1">
      <alignment horizontal="right" vertical="center"/>
    </xf>
    <xf numFmtId="167" fontId="0" fillId="0" borderId="8" xfId="10" applyNumberFormat="1" applyFont="1" applyBorder="1" applyAlignment="1">
      <alignment vertical="center"/>
    </xf>
    <xf numFmtId="167" fontId="0" fillId="0" borderId="9" xfId="10" applyNumberFormat="1" applyFont="1" applyBorder="1" applyAlignment="1">
      <alignment vertical="center"/>
    </xf>
    <xf numFmtId="0" fontId="3" fillId="0" borderId="0" xfId="9" quotePrefix="1" applyAlignment="1">
      <alignment vertical="center"/>
    </xf>
    <xf numFmtId="165" fontId="0" fillId="0" borderId="0" xfId="10" applyFont="1" applyAlignment="1">
      <alignment vertical="center"/>
    </xf>
    <xf numFmtId="0" fontId="3" fillId="0" borderId="0" xfId="9" applyAlignment="1">
      <alignment horizontal="right" vertical="center"/>
    </xf>
    <xf numFmtId="9" fontId="0" fillId="0" borderId="9" xfId="7" applyFont="1" applyBorder="1" applyAlignment="1">
      <alignment horizontal="center" vertical="center"/>
    </xf>
    <xf numFmtId="167" fontId="3" fillId="0" borderId="4" xfId="9" applyNumberFormat="1" applyFont="1" applyBorder="1" applyAlignment="1">
      <alignment vertical="center"/>
    </xf>
    <xf numFmtId="167" fontId="3" fillId="0" borderId="0" xfId="10" applyNumberFormat="1" applyFont="1" applyAlignment="1">
      <alignment vertical="center" shrinkToFit="1"/>
    </xf>
    <xf numFmtId="167" fontId="3" fillId="0" borderId="0" xfId="9" applyNumberFormat="1" applyAlignment="1">
      <alignment vertical="center"/>
    </xf>
    <xf numFmtId="165" fontId="0" fillId="0" borderId="8" xfId="10" applyFont="1" applyBorder="1" applyAlignment="1">
      <alignment horizontal="center" vertical="center"/>
    </xf>
    <xf numFmtId="165" fontId="0" fillId="0" borderId="0" xfId="10" applyFont="1" applyAlignment="1">
      <alignment horizontal="center" vertical="center"/>
    </xf>
    <xf numFmtId="165" fontId="3" fillId="0" borderId="8" xfId="10" applyFont="1" applyBorder="1" applyAlignment="1">
      <alignment horizontal="center" vertical="center"/>
    </xf>
    <xf numFmtId="0" fontId="3" fillId="0" borderId="0" xfId="9" applyAlignment="1">
      <alignment horizontal="center" vertical="center"/>
    </xf>
    <xf numFmtId="9" fontId="3" fillId="0" borderId="9" xfId="2" applyFont="1" applyBorder="1" applyAlignment="1">
      <alignment horizontal="center" vertical="center"/>
    </xf>
    <xf numFmtId="0" fontId="3" fillId="0" borderId="0" xfId="9" applyAlignment="1" applyProtection="1">
      <alignment vertical="center" shrinkToFit="1"/>
    </xf>
    <xf numFmtId="0" fontId="3" fillId="0" borderId="0" xfId="9" applyAlignment="1" applyProtection="1">
      <alignment horizontal="right" vertical="center" shrinkToFit="1"/>
    </xf>
    <xf numFmtId="0" fontId="3" fillId="0" borderId="0" xfId="9" applyBorder="1" applyAlignment="1" applyProtection="1">
      <alignment vertical="center" shrinkToFit="1"/>
    </xf>
    <xf numFmtId="0" fontId="3" fillId="0" borderId="0" xfId="9" applyAlignment="1" applyProtection="1">
      <alignment horizontal="left" vertical="center" shrinkToFit="1"/>
    </xf>
    <xf numFmtId="165" fontId="0" fillId="0" borderId="19" xfId="10" applyFont="1" applyBorder="1" applyAlignment="1">
      <alignment horizontal="center" vertical="center"/>
    </xf>
    <xf numFmtId="167" fontId="0" fillId="0" borderId="19" xfId="10" applyNumberFormat="1" applyFont="1" applyBorder="1" applyAlignment="1">
      <alignment vertical="center"/>
    </xf>
    <xf numFmtId="0" fontId="3" fillId="0" borderId="20" xfId="9" applyBorder="1" applyAlignment="1">
      <alignment horizontal="right" vertical="center"/>
    </xf>
    <xf numFmtId="9" fontId="0" fillId="0" borderId="21" xfId="7" applyFont="1" applyBorder="1" applyAlignment="1">
      <alignment horizontal="center" vertical="center"/>
    </xf>
    <xf numFmtId="165" fontId="0" fillId="0" borderId="22" xfId="10" applyFont="1" applyBorder="1" applyAlignment="1">
      <alignment horizontal="center" vertical="center"/>
    </xf>
    <xf numFmtId="167" fontId="0" fillId="0" borderId="22" xfId="10" applyNumberFormat="1" applyFont="1" applyBorder="1" applyAlignment="1">
      <alignment vertical="center"/>
    </xf>
    <xf numFmtId="10" fontId="0" fillId="0" borderId="24" xfId="10" applyNumberFormat="1" applyFont="1" applyBorder="1" applyAlignment="1">
      <alignment horizontal="center" vertical="center"/>
    </xf>
    <xf numFmtId="165" fontId="0" fillId="0" borderId="24" xfId="10" applyFont="1" applyBorder="1" applyAlignment="1">
      <alignment vertical="center"/>
    </xf>
    <xf numFmtId="165" fontId="0" fillId="0" borderId="25" xfId="10" applyFont="1" applyBorder="1" applyAlignment="1">
      <alignment horizontal="center" vertical="center"/>
    </xf>
    <xf numFmtId="167" fontId="0" fillId="0" borderId="25" xfId="10" applyNumberFormat="1" applyFont="1" applyBorder="1" applyAlignment="1">
      <alignment vertical="center"/>
    </xf>
    <xf numFmtId="0" fontId="3" fillId="0" borderId="26" xfId="9" applyBorder="1" applyAlignment="1">
      <alignment horizontal="right" vertical="center"/>
    </xf>
    <xf numFmtId="10" fontId="0" fillId="0" borderId="21" xfId="10" applyNumberFormat="1" applyFont="1" applyBorder="1" applyAlignment="1">
      <alignment horizontal="center" vertical="center"/>
    </xf>
    <xf numFmtId="0" fontId="3" fillId="0" borderId="0" xfId="9" applyFont="1" applyBorder="1" applyAlignment="1" applyProtection="1">
      <alignment vertical="center" shrinkToFit="1"/>
    </xf>
    <xf numFmtId="165" fontId="0" fillId="0" borderId="0" xfId="10" applyFont="1" applyBorder="1" applyAlignment="1" applyProtection="1">
      <alignment horizontal="center" vertical="center" shrinkToFit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9" applyBorder="1" applyAlignment="1" applyProtection="1">
      <alignment horizontal="right" vertical="center" shrinkToFit="1"/>
    </xf>
    <xf numFmtId="0" fontId="3" fillId="0" borderId="5" xfId="9" applyBorder="1" applyAlignment="1" applyProtection="1">
      <alignment vertical="center" shrinkToFit="1"/>
    </xf>
    <xf numFmtId="0" fontId="3" fillId="0" borderId="0" xfId="9" applyBorder="1" applyAlignment="1" applyProtection="1">
      <alignment vertical="top" shrinkToFit="1"/>
    </xf>
    <xf numFmtId="0" fontId="3" fillId="0" borderId="0" xfId="9" applyFill="1" applyAlignment="1" applyProtection="1">
      <alignment vertical="center" shrinkToFit="1"/>
    </xf>
    <xf numFmtId="167" fontId="4" fillId="0" borderId="0" xfId="10" applyNumberFormat="1" applyFont="1" applyFill="1" applyBorder="1" applyAlignment="1" applyProtection="1">
      <alignment vertical="center" shrinkToFit="1"/>
      <protection locked="0"/>
    </xf>
    <xf numFmtId="0" fontId="8" fillId="0" borderId="0" xfId="9" applyFont="1" applyBorder="1" applyAlignment="1" applyProtection="1">
      <alignment vertical="center" shrinkToFit="1"/>
    </xf>
    <xf numFmtId="0" fontId="3" fillId="0" borderId="5" xfId="9" applyBorder="1" applyAlignment="1" applyProtection="1">
      <alignment horizontal="right" vertical="center" shrinkToFit="1"/>
    </xf>
    <xf numFmtId="0" fontId="3" fillId="0" borderId="0" xfId="9" applyFill="1" applyBorder="1" applyAlignment="1" applyProtection="1">
      <alignment vertical="top" shrinkToFit="1"/>
    </xf>
    <xf numFmtId="0" fontId="3" fillId="0" borderId="0" xfId="9" applyFill="1" applyBorder="1" applyAlignment="1" applyProtection="1">
      <alignment vertical="center" shrinkToFit="1"/>
    </xf>
    <xf numFmtId="0" fontId="9" fillId="3" borderId="4" xfId="0" applyFont="1" applyFill="1" applyBorder="1" applyAlignment="1">
      <alignment horizontal="center" vertical="top" wrapText="1"/>
    </xf>
    <xf numFmtId="49" fontId="9" fillId="3" borderId="4" xfId="0" applyNumberFormat="1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64" fontId="3" fillId="0" borderId="4" xfId="9" applyNumberFormat="1" applyFont="1" applyBorder="1" applyAlignment="1">
      <alignment vertical="center"/>
    </xf>
    <xf numFmtId="167" fontId="0" fillId="5" borderId="8" xfId="10" applyNumberFormat="1" applyFont="1" applyFill="1" applyBorder="1" applyAlignment="1">
      <alignment vertical="center"/>
    </xf>
    <xf numFmtId="167" fontId="0" fillId="5" borderId="21" xfId="10" applyNumberFormat="1" applyFont="1" applyFill="1" applyBorder="1" applyAlignment="1">
      <alignment vertical="center"/>
    </xf>
    <xf numFmtId="168" fontId="0" fillId="5" borderId="21" xfId="10" applyNumberFormat="1" applyFont="1" applyFill="1" applyBorder="1" applyAlignment="1">
      <alignment vertical="center"/>
    </xf>
    <xf numFmtId="168" fontId="0" fillId="5" borderId="24" xfId="10" applyNumberFormat="1" applyFont="1" applyFill="1" applyBorder="1" applyAlignment="1">
      <alignment vertical="center"/>
    </xf>
    <xf numFmtId="167" fontId="3" fillId="5" borderId="4" xfId="9" applyNumberFormat="1" applyFill="1" applyBorder="1" applyAlignment="1">
      <alignment vertical="center"/>
    </xf>
    <xf numFmtId="165" fontId="0" fillId="5" borderId="10" xfId="10" applyFont="1" applyFill="1" applyBorder="1" applyAlignment="1">
      <alignment vertical="center"/>
    </xf>
    <xf numFmtId="166" fontId="0" fillId="5" borderId="9" xfId="12" applyFont="1" applyFill="1" applyBorder="1" applyAlignment="1">
      <alignment horizontal="center" vertical="center"/>
    </xf>
    <xf numFmtId="167" fontId="0" fillId="5" borderId="18" xfId="10" applyNumberFormat="1" applyFont="1" applyFill="1" applyBorder="1" applyAlignment="1">
      <alignment vertical="center"/>
    </xf>
    <xf numFmtId="166" fontId="0" fillId="5" borderId="18" xfId="12" applyFont="1" applyFill="1" applyBorder="1" applyAlignment="1">
      <alignment horizontal="center" vertical="center"/>
    </xf>
    <xf numFmtId="0" fontId="0" fillId="0" borderId="0" xfId="0" applyFill="1" applyBorder="1"/>
    <xf numFmtId="169" fontId="0" fillId="0" borderId="0" xfId="2" applyNumberFormat="1" applyFont="1" applyAlignment="1">
      <alignment horizontal="center"/>
    </xf>
    <xf numFmtId="0" fontId="3" fillId="0" borderId="14" xfId="9" applyBorder="1" applyAlignment="1" applyProtection="1">
      <alignment vertical="center" shrinkToFit="1"/>
    </xf>
    <xf numFmtId="0" fontId="3" fillId="0" borderId="14" xfId="9" applyFill="1" applyBorder="1" applyAlignment="1" applyProtection="1">
      <alignment vertical="center" shrinkToFit="1"/>
    </xf>
    <xf numFmtId="0" fontId="3" fillId="0" borderId="16" xfId="9" applyBorder="1" applyAlignment="1" applyProtection="1">
      <alignment vertical="center" shrinkToFit="1"/>
    </xf>
    <xf numFmtId="0" fontId="3" fillId="0" borderId="16" xfId="9" applyBorder="1" applyAlignment="1" applyProtection="1">
      <alignment horizontal="right" vertical="center" shrinkToFit="1"/>
    </xf>
    <xf numFmtId="0" fontId="3" fillId="0" borderId="16" xfId="9" applyBorder="1" applyAlignment="1" applyProtection="1">
      <alignment vertical="top" shrinkToFit="1"/>
    </xf>
    <xf numFmtId="0" fontId="3" fillId="0" borderId="12" xfId="9" applyFill="1" applyBorder="1" applyAlignment="1" applyProtection="1">
      <alignment vertical="center" shrinkToFit="1"/>
    </xf>
    <xf numFmtId="0" fontId="3" fillId="0" borderId="17" xfId="9" applyBorder="1" applyAlignment="1" applyProtection="1">
      <alignment vertical="top" shrinkToFit="1"/>
    </xf>
    <xf numFmtId="0" fontId="3" fillId="0" borderId="12" xfId="9" applyBorder="1" applyAlignment="1" applyProtection="1">
      <alignment vertical="center" shrinkToFit="1"/>
    </xf>
    <xf numFmtId="0" fontId="3" fillId="0" borderId="17" xfId="9" applyBorder="1" applyAlignment="1" applyProtection="1">
      <alignment vertical="center" shrinkToFit="1"/>
    </xf>
    <xf numFmtId="167" fontId="4" fillId="0" borderId="14" xfId="10" applyNumberFormat="1" applyFont="1" applyFill="1" applyBorder="1" applyAlignment="1" applyProtection="1">
      <alignment vertical="center" shrinkToFit="1"/>
      <protection locked="0"/>
    </xf>
    <xf numFmtId="0" fontId="3" fillId="0" borderId="11" xfId="9" applyBorder="1" applyAlignment="1" applyProtection="1">
      <alignment horizontal="right" vertical="center" shrinkToFit="1"/>
    </xf>
    <xf numFmtId="0" fontId="3" fillId="0" borderId="11" xfId="9" applyBorder="1" applyAlignment="1" applyProtection="1">
      <alignment vertical="center" shrinkToFit="1"/>
    </xf>
    <xf numFmtId="0" fontId="3" fillId="0" borderId="13" xfId="9" applyBorder="1" applyAlignment="1" applyProtection="1">
      <alignment vertical="center" shrinkToFit="1"/>
    </xf>
    <xf numFmtId="0" fontId="3" fillId="0" borderId="15" xfId="9" applyBorder="1" applyAlignment="1" applyProtection="1">
      <alignment vertical="center" shrinkToFit="1"/>
    </xf>
    <xf numFmtId="0" fontId="0" fillId="0" borderId="0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9" fillId="3" borderId="4" xfId="0" applyNumberFormat="1" applyFont="1" applyFill="1" applyBorder="1" applyAlignment="1">
      <alignment horizontal="center" vertical="top" wrapText="1"/>
    </xf>
    <xf numFmtId="0" fontId="19" fillId="0" borderId="0" xfId="0" applyFont="1" applyBorder="1" applyAlignment="1">
      <alignment vertical="center"/>
    </xf>
    <xf numFmtId="170" fontId="19" fillId="0" borderId="0" xfId="0" applyNumberFormat="1" applyFont="1" applyFill="1" applyBorder="1" applyAlignment="1">
      <alignment vertical="center"/>
    </xf>
    <xf numFmtId="165" fontId="21" fillId="0" borderId="0" xfId="1" applyFont="1" applyAlignment="1">
      <alignment horizontal="right" vertical="center"/>
    </xf>
    <xf numFmtId="0" fontId="21" fillId="0" borderId="0" xfId="0" applyFont="1" applyAlignment="1">
      <alignment horizontal="right" vertical="center"/>
    </xf>
    <xf numFmtId="0" fontId="21" fillId="0" borderId="0" xfId="0" applyFont="1" applyBorder="1" applyAlignment="1">
      <alignment horizontal="right" vertical="center"/>
    </xf>
    <xf numFmtId="164" fontId="4" fillId="0" borderId="4" xfId="9" applyNumberFormat="1" applyFont="1" applyBorder="1" applyAlignment="1">
      <alignment vertical="center"/>
    </xf>
    <xf numFmtId="1" fontId="9" fillId="3" borderId="4" xfId="0" applyNumberFormat="1" applyFont="1" applyFill="1" applyBorder="1" applyAlignment="1">
      <alignment horizontal="center" vertical="top" wrapText="1"/>
    </xf>
    <xf numFmtId="14" fontId="9" fillId="3" borderId="4" xfId="0" applyNumberFormat="1" applyFont="1" applyFill="1" applyBorder="1" applyAlignment="1">
      <alignment horizontal="center" vertical="top" wrapText="1"/>
    </xf>
    <xf numFmtId="169" fontId="9" fillId="3" borderId="4" xfId="2" applyNumberFormat="1" applyFont="1" applyFill="1" applyBorder="1" applyAlignment="1">
      <alignment horizontal="center" vertical="top" wrapText="1"/>
    </xf>
    <xf numFmtId="164" fontId="9" fillId="3" borderId="4" xfId="0" applyNumberFormat="1" applyFont="1" applyFill="1" applyBorder="1" applyAlignment="1">
      <alignment horizontal="center" vertical="top" wrapText="1"/>
    </xf>
    <xf numFmtId="0" fontId="17" fillId="0" borderId="0" xfId="0" applyFont="1" applyAlignment="1">
      <alignment vertical="center"/>
    </xf>
    <xf numFmtId="0" fontId="17" fillId="0" borderId="27" xfId="0" applyFont="1" applyBorder="1" applyAlignment="1">
      <alignment vertical="center"/>
    </xf>
    <xf numFmtId="164" fontId="0" fillId="0" borderId="0" xfId="0" applyNumberFormat="1" applyAlignment="1">
      <alignment horizontal="left"/>
    </xf>
    <xf numFmtId="0" fontId="0" fillId="0" borderId="0" xfId="0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23" fillId="0" borderId="0" xfId="0" applyFont="1"/>
    <xf numFmtId="0" fontId="4" fillId="0" borderId="37" xfId="9" applyFont="1" applyBorder="1" applyAlignment="1">
      <alignment horizontal="center" vertical="center"/>
    </xf>
    <xf numFmtId="0" fontId="4" fillId="0" borderId="38" xfId="9" applyFont="1" applyBorder="1" applyAlignment="1">
      <alignment horizontal="center" vertical="center"/>
    </xf>
    <xf numFmtId="0" fontId="3" fillId="0" borderId="37" xfId="9" applyFont="1" applyBorder="1" applyAlignment="1">
      <alignment vertical="center"/>
    </xf>
    <xf numFmtId="164" fontId="3" fillId="0" borderId="38" xfId="9" applyNumberFormat="1" applyFont="1" applyBorder="1" applyAlignment="1">
      <alignment vertical="center"/>
    </xf>
    <xf numFmtId="0" fontId="4" fillId="0" borderId="37" xfId="9" applyFont="1" applyBorder="1" applyAlignment="1">
      <alignment vertical="center"/>
    </xf>
    <xf numFmtId="164" fontId="4" fillId="0" borderId="38" xfId="9" applyNumberFormat="1" applyFont="1" applyBorder="1" applyAlignment="1">
      <alignment vertical="center"/>
    </xf>
    <xf numFmtId="10" fontId="3" fillId="0" borderId="38" xfId="5" applyNumberFormat="1" applyFont="1" applyBorder="1" applyAlignment="1">
      <alignment vertical="center"/>
    </xf>
    <xf numFmtId="167" fontId="3" fillId="0" borderId="38" xfId="9" applyNumberFormat="1" applyFont="1" applyBorder="1" applyAlignment="1">
      <alignment vertical="center"/>
    </xf>
    <xf numFmtId="165" fontId="3" fillId="0" borderId="38" xfId="1" applyFont="1" applyBorder="1" applyAlignment="1">
      <alignment vertical="center"/>
    </xf>
    <xf numFmtId="167" fontId="4" fillId="0" borderId="38" xfId="9" applyNumberFormat="1" applyFont="1" applyBorder="1" applyAlignment="1">
      <alignment vertical="center"/>
    </xf>
    <xf numFmtId="0" fontId="24" fillId="0" borderId="0" xfId="13"/>
    <xf numFmtId="0" fontId="3" fillId="0" borderId="7" xfId="9" applyBorder="1" applyAlignment="1">
      <alignment horizontal="center" vertical="center"/>
    </xf>
    <xf numFmtId="0" fontId="3" fillId="0" borderId="23" xfId="9" applyBorder="1" applyAlignment="1">
      <alignment horizontal="center" vertical="center"/>
    </xf>
    <xf numFmtId="167" fontId="25" fillId="9" borderId="43" xfId="9" applyNumberFormat="1" applyFont="1" applyFill="1" applyBorder="1" applyAlignment="1">
      <alignment vertical="center"/>
    </xf>
    <xf numFmtId="165" fontId="6" fillId="2" borderId="0" xfId="1" applyFont="1" applyFill="1" applyAlignment="1">
      <alignment horizontal="left"/>
    </xf>
    <xf numFmtId="165" fontId="6" fillId="8" borderId="0" xfId="1" applyFont="1" applyFill="1" applyAlignment="1">
      <alignment horizontal="left"/>
    </xf>
    <xf numFmtId="165" fontId="7" fillId="2" borderId="0" xfId="1" applyFont="1" applyFill="1" applyAlignment="1">
      <alignment horizontal="left" vertical="center"/>
    </xf>
    <xf numFmtId="49" fontId="11" fillId="0" borderId="27" xfId="0" applyNumberFormat="1" applyFont="1" applyFill="1" applyBorder="1" applyAlignment="1">
      <alignment horizontal="left" vertical="center"/>
    </xf>
    <xf numFmtId="164" fontId="9" fillId="5" borderId="27" xfId="12" applyNumberFormat="1" applyFont="1" applyFill="1" applyBorder="1" applyAlignment="1" applyProtection="1">
      <alignment horizontal="left" vertical="center"/>
      <protection locked="0"/>
    </xf>
    <xf numFmtId="0" fontId="0" fillId="0" borderId="0" xfId="0" applyNumberFormat="1" applyAlignment="1" applyProtection="1">
      <alignment horizontal="left" vertical="center"/>
      <protection locked="0"/>
    </xf>
    <xf numFmtId="165" fontId="21" fillId="0" borderId="0" xfId="1" applyFont="1" applyBorder="1" applyAlignment="1">
      <alignment horizontal="right" vertical="center"/>
    </xf>
    <xf numFmtId="170" fontId="20" fillId="0" borderId="27" xfId="0" applyNumberFormat="1" applyFont="1" applyFill="1" applyBorder="1" applyAlignment="1" applyProtection="1">
      <alignment horizontal="center" vertical="center"/>
      <protection locked="0"/>
    </xf>
    <xf numFmtId="0" fontId="11" fillId="0" borderId="27" xfId="1" applyNumberFormat="1" applyFont="1" applyFill="1" applyBorder="1" applyAlignment="1">
      <alignment horizontal="left" vertical="center"/>
    </xf>
    <xf numFmtId="0" fontId="20" fillId="0" borderId="27" xfId="0" applyFont="1" applyFill="1" applyBorder="1" applyAlignment="1" applyProtection="1">
      <alignment horizontal="center" vertical="center"/>
      <protection locked="0"/>
    </xf>
    <xf numFmtId="165" fontId="9" fillId="5" borderId="27" xfId="1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4" fontId="9" fillId="5" borderId="27" xfId="0" applyNumberFormat="1" applyFont="1" applyFill="1" applyBorder="1" applyAlignment="1" applyProtection="1">
      <alignment horizontal="center" vertical="center"/>
      <protection locked="0"/>
    </xf>
    <xf numFmtId="165" fontId="0" fillId="0" borderId="0" xfId="1" applyFont="1" applyAlignment="1" applyProtection="1">
      <alignment horizontal="center" vertical="center"/>
      <protection locked="0"/>
    </xf>
    <xf numFmtId="0" fontId="12" fillId="0" borderId="27" xfId="9" applyFont="1" applyFill="1" applyBorder="1" applyAlignment="1" applyProtection="1">
      <alignment horizontal="right" vertical="center" shrinkToFit="1"/>
    </xf>
    <xf numFmtId="170" fontId="3" fillId="0" borderId="27" xfId="1" applyNumberFormat="1" applyFont="1" applyFill="1" applyBorder="1" applyAlignment="1" applyProtection="1">
      <alignment horizontal="right" vertical="center"/>
    </xf>
    <xf numFmtId="0" fontId="13" fillId="0" borderId="27" xfId="9" applyFont="1" applyFill="1" applyBorder="1" applyAlignment="1" applyProtection="1">
      <alignment horizontal="right" vertical="center" shrinkToFit="1"/>
    </xf>
    <xf numFmtId="170" fontId="4" fillId="0" borderId="27" xfId="1" applyNumberFormat="1" applyFont="1" applyFill="1" applyBorder="1" applyAlignment="1" applyProtection="1">
      <alignment horizontal="right" vertical="center"/>
    </xf>
    <xf numFmtId="0" fontId="11" fillId="0" borderId="27" xfId="0" applyFont="1" applyBorder="1" applyAlignment="1">
      <alignment horizontal="right" vertical="center"/>
    </xf>
    <xf numFmtId="49" fontId="11" fillId="0" borderId="11" xfId="0" applyNumberFormat="1" applyFont="1" applyFill="1" applyBorder="1" applyAlignment="1">
      <alignment horizontal="left" vertical="center"/>
    </xf>
    <xf numFmtId="49" fontId="11" fillId="0" borderId="16" xfId="0" applyNumberFormat="1" applyFont="1" applyFill="1" applyBorder="1" applyAlignment="1">
      <alignment horizontal="left" vertical="center"/>
    </xf>
    <xf numFmtId="165" fontId="9" fillId="5" borderId="11" xfId="1" applyFont="1" applyFill="1" applyBorder="1" applyAlignment="1" applyProtection="1">
      <alignment horizontal="left" vertical="center"/>
      <protection locked="0"/>
    </xf>
    <xf numFmtId="165" fontId="9" fillId="5" borderId="16" xfId="1" applyFont="1" applyFill="1" applyBorder="1" applyAlignment="1" applyProtection="1">
      <alignment horizontal="left" vertical="center"/>
      <protection locked="0"/>
    </xf>
    <xf numFmtId="165" fontId="11" fillId="6" borderId="27" xfId="1" applyFont="1" applyFill="1" applyBorder="1" applyAlignment="1">
      <alignment horizontal="left" vertical="center"/>
    </xf>
    <xf numFmtId="10" fontId="9" fillId="5" borderId="16" xfId="0" applyNumberFormat="1" applyFont="1" applyFill="1" applyBorder="1" applyAlignment="1" applyProtection="1">
      <alignment horizontal="center" vertical="center"/>
      <protection locked="0"/>
    </xf>
    <xf numFmtId="170" fontId="4" fillId="0" borderId="27" xfId="10" applyNumberFormat="1" applyFont="1" applyFill="1" applyBorder="1" applyAlignment="1" applyProtection="1">
      <alignment horizontal="center" vertical="center"/>
    </xf>
    <xf numFmtId="9" fontId="13" fillId="5" borderId="27" xfId="9" applyNumberFormat="1" applyFont="1" applyFill="1" applyBorder="1" applyAlignment="1" applyProtection="1">
      <alignment horizontal="center" vertical="center" shrinkToFit="1"/>
      <protection locked="0"/>
    </xf>
    <xf numFmtId="0" fontId="13" fillId="5" borderId="27" xfId="9" applyFont="1" applyFill="1" applyBorder="1" applyAlignment="1" applyProtection="1">
      <alignment horizontal="center" vertical="center" shrinkToFit="1"/>
      <protection locked="0"/>
    </xf>
    <xf numFmtId="0" fontId="18" fillId="7" borderId="28" xfId="9" applyFont="1" applyFill="1" applyBorder="1" applyAlignment="1" applyProtection="1">
      <alignment horizontal="center" vertical="center" shrinkToFit="1"/>
    </xf>
    <xf numFmtId="0" fontId="18" fillId="7" borderId="29" xfId="9" applyFont="1" applyFill="1" applyBorder="1" applyAlignment="1" applyProtection="1">
      <alignment horizontal="center" vertical="center" shrinkToFit="1"/>
    </xf>
    <xf numFmtId="0" fontId="18" fillId="7" borderId="30" xfId="9" applyFont="1" applyFill="1" applyBorder="1" applyAlignment="1" applyProtection="1">
      <alignment horizontal="center" vertical="center" shrinkToFit="1"/>
    </xf>
    <xf numFmtId="170" fontId="3" fillId="0" borderId="27" xfId="10" applyNumberFormat="1" applyFont="1" applyFill="1" applyBorder="1" applyAlignment="1" applyProtection="1">
      <alignment horizontal="center" vertical="center"/>
    </xf>
    <xf numFmtId="170" fontId="3" fillId="0" borderId="31" xfId="1" applyNumberFormat="1" applyFont="1" applyFill="1" applyBorder="1" applyAlignment="1" applyProtection="1">
      <alignment horizontal="right" vertical="center"/>
    </xf>
    <xf numFmtId="0" fontId="14" fillId="4" borderId="0" xfId="0" applyFont="1" applyFill="1" applyAlignment="1">
      <alignment horizontal="center" vertical="center"/>
    </xf>
    <xf numFmtId="164" fontId="9" fillId="5" borderId="27" xfId="0" applyNumberFormat="1" applyFont="1" applyFill="1" applyBorder="1" applyAlignment="1" applyProtection="1">
      <alignment horizontal="left" vertical="center"/>
      <protection locked="0"/>
    </xf>
    <xf numFmtId="0" fontId="11" fillId="0" borderId="27" xfId="0" applyFont="1" applyFill="1" applyBorder="1" applyAlignment="1">
      <alignment horizontal="left" vertical="center"/>
    </xf>
    <xf numFmtId="164" fontId="3" fillId="0" borderId="11" xfId="12" applyNumberFormat="1" applyFont="1" applyFill="1" applyBorder="1" applyAlignment="1" applyProtection="1">
      <alignment horizontal="left" vertical="center" shrinkToFit="1"/>
      <protection locked="0"/>
    </xf>
    <xf numFmtId="164" fontId="3" fillId="0" borderId="16" xfId="12" applyNumberFormat="1" applyFont="1" applyFill="1" applyBorder="1" applyAlignment="1" applyProtection="1">
      <alignment horizontal="left" vertical="center" shrinkToFit="1"/>
      <protection locked="0"/>
    </xf>
    <xf numFmtId="165" fontId="8" fillId="0" borderId="11" xfId="1" applyFont="1" applyFill="1" applyBorder="1" applyAlignment="1" applyProtection="1">
      <alignment horizontal="right" vertical="center" shrinkToFit="1"/>
    </xf>
    <xf numFmtId="165" fontId="8" fillId="0" borderId="16" xfId="1" applyFont="1" applyFill="1" applyBorder="1" applyAlignment="1" applyProtection="1">
      <alignment horizontal="right" vertical="center" shrinkToFit="1"/>
    </xf>
    <xf numFmtId="0" fontId="3" fillId="0" borderId="6" xfId="9" applyBorder="1" applyAlignment="1" applyProtection="1">
      <alignment horizontal="center" vertical="center" shrinkToFit="1"/>
    </xf>
    <xf numFmtId="0" fontId="3" fillId="0" borderId="0" xfId="9" applyAlignment="1" applyProtection="1">
      <alignment horizontal="center" vertical="center" shrinkToFit="1"/>
    </xf>
    <xf numFmtId="0" fontId="3" fillId="0" borderId="5" xfId="9" applyBorder="1" applyAlignment="1" applyProtection="1">
      <alignment horizontal="center" vertical="center" shrinkToFit="1"/>
    </xf>
    <xf numFmtId="0" fontId="3" fillId="0" borderId="0" xfId="9" applyFont="1" applyBorder="1" applyAlignment="1" applyProtection="1">
      <alignment horizontal="center" vertical="top" shrinkToFit="1"/>
    </xf>
    <xf numFmtId="167" fontId="3" fillId="0" borderId="0" xfId="10" applyNumberFormat="1" applyFont="1" applyFill="1" applyBorder="1" applyAlignment="1" applyProtection="1">
      <alignment horizontal="left" vertical="top" shrinkToFit="1"/>
      <protection locked="0"/>
    </xf>
    <xf numFmtId="165" fontId="3" fillId="0" borderId="0" xfId="1" applyFont="1" applyBorder="1" applyAlignment="1" applyProtection="1">
      <alignment horizontal="left" vertical="top" shrinkToFit="1"/>
    </xf>
    <xf numFmtId="165" fontId="3" fillId="0" borderId="16" xfId="1" applyFont="1" applyBorder="1" applyAlignment="1" applyProtection="1">
      <alignment horizontal="left" vertical="top" shrinkToFit="1"/>
    </xf>
    <xf numFmtId="0" fontId="8" fillId="0" borderId="0" xfId="9" applyFont="1" applyBorder="1" applyAlignment="1" applyProtection="1">
      <alignment horizontal="center" vertical="center" shrinkToFit="1"/>
    </xf>
    <xf numFmtId="0" fontId="8" fillId="0" borderId="0" xfId="9" applyFont="1" applyFill="1" applyBorder="1" applyAlignment="1" applyProtection="1">
      <alignment horizontal="right" vertical="top" shrinkToFit="1"/>
    </xf>
    <xf numFmtId="0" fontId="8" fillId="0" borderId="16" xfId="9" applyFont="1" applyFill="1" applyBorder="1" applyAlignment="1" applyProtection="1">
      <alignment horizontal="right" vertical="top" shrinkToFit="1"/>
    </xf>
    <xf numFmtId="171" fontId="8" fillId="0" borderId="0" xfId="9" applyNumberFormat="1" applyFont="1" applyFill="1" applyBorder="1" applyAlignment="1" applyProtection="1">
      <alignment horizontal="left" vertical="top" shrinkToFit="1"/>
    </xf>
    <xf numFmtId="171" fontId="8" fillId="0" borderId="16" xfId="9" applyNumberFormat="1" applyFont="1" applyFill="1" applyBorder="1" applyAlignment="1" applyProtection="1">
      <alignment horizontal="left" vertical="top" shrinkToFit="1"/>
    </xf>
    <xf numFmtId="165" fontId="3" fillId="0" borderId="14" xfId="1" applyFont="1" applyBorder="1" applyAlignment="1" applyProtection="1">
      <alignment horizontal="left" vertical="top" shrinkToFit="1"/>
    </xf>
    <xf numFmtId="165" fontId="3" fillId="0" borderId="17" xfId="1" applyFont="1" applyBorder="1" applyAlignment="1" applyProtection="1">
      <alignment horizontal="left" vertical="top" shrinkToFit="1"/>
    </xf>
    <xf numFmtId="0" fontId="3" fillId="0" borderId="0" xfId="9" applyFill="1" applyAlignment="1" applyProtection="1">
      <alignment horizontal="left" vertical="center" shrinkToFit="1"/>
    </xf>
    <xf numFmtId="0" fontId="3" fillId="0" borderId="0" xfId="9" applyBorder="1" applyAlignment="1" applyProtection="1">
      <alignment horizontal="left" vertical="center" shrinkToFit="1"/>
    </xf>
    <xf numFmtId="169" fontId="3" fillId="0" borderId="32" xfId="9" applyNumberFormat="1" applyFill="1" applyBorder="1" applyAlignment="1" applyProtection="1">
      <alignment horizontal="center" vertical="center" shrinkToFit="1"/>
    </xf>
    <xf numFmtId="169" fontId="3" fillId="0" borderId="11" xfId="9" applyNumberFormat="1" applyFill="1" applyBorder="1" applyAlignment="1" applyProtection="1">
      <alignment horizontal="center" vertical="center" shrinkToFit="1"/>
    </xf>
    <xf numFmtId="169" fontId="3" fillId="0" borderId="33" xfId="9" applyNumberFormat="1" applyFill="1" applyBorder="1" applyAlignment="1" applyProtection="1">
      <alignment horizontal="center" vertical="center" shrinkToFit="1"/>
    </xf>
    <xf numFmtId="169" fontId="3" fillId="0" borderId="16" xfId="9" applyNumberFormat="1" applyFill="1" applyBorder="1" applyAlignment="1" applyProtection="1">
      <alignment horizontal="center" vertical="center" shrinkToFit="1"/>
    </xf>
    <xf numFmtId="165" fontId="15" fillId="0" borderId="11" xfId="1" applyFont="1" applyFill="1" applyBorder="1" applyAlignment="1" applyProtection="1">
      <alignment horizontal="right" vertical="center" shrinkToFit="1"/>
    </xf>
    <xf numFmtId="165" fontId="15" fillId="0" borderId="16" xfId="1" applyFont="1" applyFill="1" applyBorder="1" applyAlignment="1" applyProtection="1">
      <alignment horizontal="right" vertical="center" shrinkToFit="1"/>
    </xf>
    <xf numFmtId="167" fontId="3" fillId="0" borderId="11" xfId="10" applyNumberFormat="1" applyFont="1" applyFill="1" applyBorder="1" applyAlignment="1" applyProtection="1">
      <alignment horizontal="center" vertical="center" shrinkToFit="1"/>
      <protection locked="0"/>
    </xf>
    <xf numFmtId="167" fontId="3" fillId="0" borderId="16" xfId="10" applyNumberFormat="1" applyFont="1" applyFill="1" applyBorder="1" applyAlignment="1" applyProtection="1">
      <alignment horizontal="center" vertical="center" shrinkToFit="1"/>
      <protection locked="0"/>
    </xf>
    <xf numFmtId="0" fontId="3" fillId="0" borderId="11" xfId="1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10" applyNumberFormat="1" applyFont="1" applyFill="1" applyBorder="1" applyAlignment="1" applyProtection="1">
      <alignment horizontal="center" vertical="center" shrinkToFit="1"/>
      <protection locked="0"/>
    </xf>
    <xf numFmtId="165" fontId="3" fillId="0" borderId="39" xfId="1" applyFont="1" applyBorder="1" applyAlignment="1">
      <alignment horizontal="right" vertical="center"/>
    </xf>
    <xf numFmtId="165" fontId="3" fillId="0" borderId="29" xfId="1" applyFont="1" applyBorder="1" applyAlignment="1">
      <alignment horizontal="right" vertical="center"/>
    </xf>
    <xf numFmtId="165" fontId="3" fillId="0" borderId="30" xfId="1" applyFont="1" applyBorder="1" applyAlignment="1">
      <alignment horizontal="right" vertical="center"/>
    </xf>
    <xf numFmtId="0" fontId="4" fillId="0" borderId="1" xfId="9" applyFont="1" applyBorder="1" applyAlignment="1">
      <alignment horizontal="center" vertical="center"/>
    </xf>
    <xf numFmtId="0" fontId="4" fillId="0" borderId="2" xfId="9" applyFont="1" applyBorder="1" applyAlignment="1">
      <alignment horizontal="center" vertical="center"/>
    </xf>
    <xf numFmtId="0" fontId="4" fillId="0" borderId="3" xfId="9" applyFont="1" applyBorder="1" applyAlignment="1">
      <alignment horizontal="center" vertical="center"/>
    </xf>
    <xf numFmtId="0" fontId="3" fillId="0" borderId="1" xfId="9" applyBorder="1" applyAlignment="1">
      <alignment horizontal="center" vertical="center"/>
    </xf>
    <xf numFmtId="0" fontId="3" fillId="0" borderId="2" xfId="9" applyBorder="1" applyAlignment="1">
      <alignment horizontal="center" vertical="center"/>
    </xf>
    <xf numFmtId="0" fontId="3" fillId="0" borderId="1" xfId="9" applyFont="1" applyBorder="1" applyAlignment="1">
      <alignment horizontal="right" vertical="center"/>
    </xf>
    <xf numFmtId="0" fontId="3" fillId="0" borderId="2" xfId="9" applyBorder="1" applyAlignment="1">
      <alignment horizontal="right" vertical="center"/>
    </xf>
    <xf numFmtId="0" fontId="3" fillId="0" borderId="3" xfId="9" applyBorder="1" applyAlignment="1">
      <alignment horizontal="right" vertical="center"/>
    </xf>
    <xf numFmtId="167" fontId="25" fillId="9" borderId="34" xfId="10" applyNumberFormat="1" applyFont="1" applyFill="1" applyBorder="1" applyAlignment="1">
      <alignment horizontal="center" vertical="center" shrinkToFit="1"/>
    </xf>
    <xf numFmtId="167" fontId="25" fillId="9" borderId="35" xfId="10" applyNumberFormat="1" applyFont="1" applyFill="1" applyBorder="1" applyAlignment="1">
      <alignment horizontal="center" vertical="center" shrinkToFit="1"/>
    </xf>
    <xf numFmtId="167" fontId="25" fillId="9" borderId="36" xfId="10" applyNumberFormat="1" applyFont="1" applyFill="1" applyBorder="1" applyAlignment="1">
      <alignment horizontal="center" vertical="center" shrinkToFit="1"/>
    </xf>
    <xf numFmtId="165" fontId="4" fillId="0" borderId="39" xfId="1" applyFont="1" applyBorder="1" applyAlignment="1">
      <alignment horizontal="right" vertical="center"/>
    </xf>
    <xf numFmtId="165" fontId="4" fillId="0" borderId="29" xfId="1" applyFont="1" applyBorder="1" applyAlignment="1">
      <alignment horizontal="right" vertical="center"/>
    </xf>
    <xf numFmtId="165" fontId="4" fillId="0" borderId="30" xfId="1" applyFont="1" applyBorder="1" applyAlignment="1">
      <alignment horizontal="right" vertical="center"/>
    </xf>
    <xf numFmtId="165" fontId="25" fillId="9" borderId="40" xfId="1" applyFont="1" applyFill="1" applyBorder="1" applyAlignment="1">
      <alignment horizontal="right" vertical="center"/>
    </xf>
    <xf numFmtId="165" fontId="25" fillId="9" borderId="41" xfId="1" applyFont="1" applyFill="1" applyBorder="1" applyAlignment="1">
      <alignment horizontal="right" vertical="center"/>
    </xf>
    <xf numFmtId="165" fontId="25" fillId="9" borderId="42" xfId="1" applyFont="1" applyFill="1" applyBorder="1" applyAlignment="1">
      <alignment horizontal="right" vertical="center"/>
    </xf>
    <xf numFmtId="0" fontId="9" fillId="3" borderId="44" xfId="0" applyFont="1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49" fontId="0" fillId="0" borderId="46" xfId="0" applyNumberFormat="1" applyBorder="1" applyAlignment="1">
      <alignment horizontal="center"/>
    </xf>
    <xf numFmtId="164" fontId="0" fillId="0" borderId="46" xfId="0" applyNumberFormat="1" applyBorder="1" applyAlignment="1">
      <alignment horizontal="center"/>
    </xf>
    <xf numFmtId="164" fontId="0" fillId="0" borderId="47" xfId="0" applyNumberFormat="1" applyBorder="1" applyAlignment="1">
      <alignment horizontal="left"/>
    </xf>
    <xf numFmtId="0" fontId="0" fillId="0" borderId="44" xfId="0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/>
    </xf>
    <xf numFmtId="0" fontId="9" fillId="3" borderId="45" xfId="0" applyFont="1" applyFill="1" applyBorder="1" applyAlignment="1">
      <alignment horizontal="center" vertical="top" wrapText="1"/>
    </xf>
    <xf numFmtId="0" fontId="9" fillId="3" borderId="46" xfId="0" applyFont="1" applyFill="1" applyBorder="1" applyAlignment="1">
      <alignment horizontal="center" vertical="top" wrapText="1"/>
    </xf>
    <xf numFmtId="49" fontId="9" fillId="3" borderId="46" xfId="0" applyNumberFormat="1" applyFont="1" applyFill="1" applyBorder="1" applyAlignment="1">
      <alignment horizontal="center" vertical="top" wrapText="1"/>
    </xf>
    <xf numFmtId="164" fontId="9" fillId="3" borderId="46" xfId="0" applyNumberFormat="1" applyFont="1" applyFill="1" applyBorder="1" applyAlignment="1">
      <alignment horizontal="center" vertical="top" wrapText="1"/>
    </xf>
    <xf numFmtId="164" fontId="9" fillId="3" borderId="47" xfId="0" applyNumberFormat="1" applyFont="1" applyFill="1" applyBorder="1" applyAlignment="1">
      <alignment horizontal="center" vertical="top" wrapText="1"/>
    </xf>
  </cellXfs>
  <cellStyles count="14">
    <cellStyle name="Hiperlink" xfId="13" builtinId="8"/>
    <cellStyle name="Moeda" xfId="12" builtinId="4"/>
    <cellStyle name="Moeda 2" xfId="4" xr:uid="{00000000-0005-0000-0000-000001000000}"/>
    <cellStyle name="Moeda 3" xfId="11" xr:uid="{00000000-0005-0000-0000-000002000000}"/>
    <cellStyle name="Normal" xfId="0" builtinId="0"/>
    <cellStyle name="Normal 2" xfId="3" xr:uid="{00000000-0005-0000-0000-000004000000}"/>
    <cellStyle name="Normal 2 2" xfId="9" xr:uid="{00000000-0005-0000-0000-000005000000}"/>
    <cellStyle name="Porcentagem" xfId="2" builtinId="5"/>
    <cellStyle name="Porcentagem 2" xfId="5" xr:uid="{00000000-0005-0000-0000-000007000000}"/>
    <cellStyle name="Porcentagem 3" xfId="7" xr:uid="{00000000-0005-0000-0000-000008000000}"/>
    <cellStyle name="Separador de milhares 2" xfId="8" xr:uid="{00000000-0005-0000-0000-000009000000}"/>
    <cellStyle name="Vírgula" xfId="1" builtinId="3"/>
    <cellStyle name="Vírgula 2" xfId="6" xr:uid="{00000000-0005-0000-0000-00000B000000}"/>
    <cellStyle name="Vírgula 2 2" xfId="10" xr:uid="{00000000-0005-0000-0000-00000C000000}"/>
  </cellStyles>
  <dxfs count="81"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</dxf>
    <dxf>
      <border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  <fill>
        <patternFill patternType="solid">
          <fgColor indexed="64"/>
          <bgColor theme="6" tint="0.3999755851924192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Servi&#231;os Quota X Cen&#225;rios'!E5"/><Relationship Id="rId1" Type="http://schemas.openxmlformats.org/officeDocument/2006/relationships/hyperlink" Target="#Permuta!E6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B3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B3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1</xdr:rowOff>
    </xdr:from>
    <xdr:to>
      <xdr:col>3</xdr:col>
      <xdr:colOff>0</xdr:colOff>
      <xdr:row>7</xdr:row>
      <xdr:rowOff>0</xdr:rowOff>
    </xdr:to>
    <xdr:sp macro="[0]!Ir_CadTomadores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96058" y="1143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7</xdr:row>
      <xdr:rowOff>1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96058" y="1524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3</xdr:col>
      <xdr:colOff>0</xdr:colOff>
      <xdr:row>9</xdr:row>
      <xdr:rowOff>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96058" y="1905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11</xdr:row>
      <xdr:rowOff>1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96058" y="2667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7</xdr:row>
      <xdr:rowOff>1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696058" y="1524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3</xdr:col>
      <xdr:colOff>0</xdr:colOff>
      <xdr:row>9</xdr:row>
      <xdr:rowOff>0</xdr:rowOff>
    </xdr:to>
    <xdr:sp macro="[0]!Ir_CadPrestadores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696058" y="1905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11</xdr:row>
      <xdr:rowOff>1</xdr:rowOff>
    </xdr:to>
    <xdr:sp macro="" textlink="">
      <xdr:nvSpPr>
        <xdr:cNvPr id="10" name="CaixaDeText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696058" y="2667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12</xdr:row>
      <xdr:rowOff>1</xdr:rowOff>
    </xdr:from>
    <xdr:to>
      <xdr:col>3</xdr:col>
      <xdr:colOff>0</xdr:colOff>
      <xdr:row>13</xdr:row>
      <xdr:rowOff>1</xdr:rowOff>
    </xdr:to>
    <xdr:sp macro="[0]!Ir_RegistroRPAs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96058" y="3048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14</xdr:row>
      <xdr:rowOff>1</xdr:rowOff>
    </xdr:from>
    <xdr:to>
      <xdr:col>3</xdr:col>
      <xdr:colOff>0</xdr:colOff>
      <xdr:row>15</xdr:row>
      <xdr:rowOff>0</xdr:rowOff>
    </xdr:to>
    <xdr:sp macro="[0]!Ir_TabelaIRINSS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696058" y="3429001"/>
          <a:ext cx="241788" cy="190499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9</xdr:row>
      <xdr:rowOff>1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04800" y="1333500"/>
          <a:ext cx="238125" cy="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10</xdr:row>
      <xdr:rowOff>1</xdr:rowOff>
    </xdr:from>
    <xdr:to>
      <xdr:col>3</xdr:col>
      <xdr:colOff>0</xdr:colOff>
      <xdr:row>11</xdr:row>
      <xdr:rowOff>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04800" y="1524001"/>
          <a:ext cx="238125" cy="190499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9</xdr:row>
      <xdr:rowOff>1</xdr:rowOff>
    </xdr:to>
    <xdr:sp macro="" textlink="">
      <xdr:nvSpPr>
        <xdr:cNvPr id="15" name="CaixaDeTexto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04800" y="1333500"/>
          <a:ext cx="238125" cy="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10</xdr:row>
      <xdr:rowOff>1</xdr:rowOff>
    </xdr:from>
    <xdr:to>
      <xdr:col>3</xdr:col>
      <xdr:colOff>0</xdr:colOff>
      <xdr:row>11</xdr:row>
      <xdr:rowOff>0</xdr:rowOff>
    </xdr:to>
    <xdr:sp macro="[0]!Ir_CadCidades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304800" y="1524001"/>
          <a:ext cx="238125" cy="190499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14</xdr:row>
      <xdr:rowOff>1</xdr:rowOff>
    </xdr:from>
    <xdr:to>
      <xdr:col>3</xdr:col>
      <xdr:colOff>0</xdr:colOff>
      <xdr:row>15</xdr:row>
      <xdr:rowOff>1</xdr:rowOff>
    </xdr:to>
    <xdr:sp macro="[0]!Ir_TabelaIRINSS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304800" y="2286001"/>
          <a:ext cx="238125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16</xdr:row>
      <xdr:rowOff>1</xdr:rowOff>
    </xdr:from>
    <xdr:to>
      <xdr:col>3</xdr:col>
      <xdr:colOff>0</xdr:colOff>
      <xdr:row>17</xdr:row>
      <xdr:rowOff>0</xdr:rowOff>
    </xdr:to>
    <xdr:sp macro="[0]!Ir_SitesRecomendados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304800" y="2667001"/>
          <a:ext cx="238125" cy="190499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71</xdr:col>
          <xdr:colOff>19050</xdr:colOff>
          <xdr:row>16</xdr:row>
          <xdr:rowOff>0</xdr:rowOff>
        </xdr:to>
        <xdr:sp macro="" textlink="">
          <xdr:nvSpPr>
            <xdr:cNvPr id="16389" name="Group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4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EMISSÃO DO RPA:</a:t>
              </a:r>
            </a:p>
          </xdr:txBody>
        </xdr:sp>
        <xdr:clientData/>
      </xdr:twoCellAnchor>
    </mc:Choice>
    <mc:Fallback/>
  </mc:AlternateContent>
  <xdr:twoCellAnchor>
    <xdr:from>
      <xdr:col>52</xdr:col>
      <xdr:colOff>9526</xdr:colOff>
      <xdr:row>16</xdr:row>
      <xdr:rowOff>142874</xdr:rowOff>
    </xdr:from>
    <xdr:to>
      <xdr:col>59</xdr:col>
      <xdr:colOff>62626</xdr:colOff>
      <xdr:row>17</xdr:row>
      <xdr:rowOff>104775</xdr:rowOff>
    </xdr:to>
    <xdr:sp macro="[0]!RegistrarRPA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5915026" y="3838574"/>
          <a:ext cx="853200" cy="22860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/>
            <a:t>REGISTRAR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104775</xdr:colOff>
          <xdr:row>4</xdr:row>
          <xdr:rowOff>0</xdr:rowOff>
        </xdr:from>
        <xdr:to>
          <xdr:col>70</xdr:col>
          <xdr:colOff>9525</xdr:colOff>
          <xdr:row>5</xdr:row>
          <xdr:rowOff>19050</xdr:rowOff>
        </xdr:to>
        <xdr:sp macro="" textlink="">
          <xdr:nvSpPr>
            <xdr:cNvPr id="16410" name="SpinButton1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4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3</xdr:row>
          <xdr:rowOff>57150</xdr:rowOff>
        </xdr:from>
        <xdr:to>
          <xdr:col>45</xdr:col>
          <xdr:colOff>95250</xdr:colOff>
          <xdr:row>4</xdr:row>
          <xdr:rowOff>28575</xdr:rowOff>
        </xdr:to>
        <xdr:sp macro="" textlink="">
          <xdr:nvSpPr>
            <xdr:cNvPr id="16415" name="CheckBox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4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46</xdr:col>
      <xdr:colOff>12886</xdr:colOff>
      <xdr:row>3</xdr:row>
      <xdr:rowOff>66675</xdr:rowOff>
    </xdr:from>
    <xdr:to>
      <xdr:col>51</xdr:col>
      <xdr:colOff>47626</xdr:colOff>
      <xdr:row>4</xdr:row>
      <xdr:rowOff>28574</xdr:rowOff>
    </xdr:to>
    <xdr:sp macro="[0]!Limpar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384986" y="323850"/>
          <a:ext cx="606240" cy="22859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pt-BR" sz="1000" b="1"/>
            <a:t>LIMPAR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5</xdr:row>
          <xdr:rowOff>47625</xdr:rowOff>
        </xdr:from>
        <xdr:to>
          <xdr:col>69</xdr:col>
          <xdr:colOff>104775</xdr:colOff>
          <xdr:row>5</xdr:row>
          <xdr:rowOff>228600</xdr:rowOff>
        </xdr:to>
        <xdr:sp macro="" textlink="">
          <xdr:nvSpPr>
            <xdr:cNvPr id="16420" name="CheckBox2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4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65</xdr:col>
      <xdr:colOff>9525</xdr:colOff>
      <xdr:row>16</xdr:row>
      <xdr:rowOff>38100</xdr:rowOff>
    </xdr:from>
    <xdr:to>
      <xdr:col>70</xdr:col>
      <xdr:colOff>0</xdr:colOff>
      <xdr:row>18</xdr:row>
      <xdr:rowOff>36868</xdr:rowOff>
    </xdr:to>
    <xdr:pic macro="[0]!ImprimirForm">
      <xdr:nvPicPr>
        <xdr:cNvPr id="12" name="Imagem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00925" y="3733800"/>
          <a:ext cx="561975" cy="532168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47625</xdr:colOff>
          <xdr:row>10</xdr:row>
          <xdr:rowOff>142875</xdr:rowOff>
        </xdr:from>
        <xdr:to>
          <xdr:col>67</xdr:col>
          <xdr:colOff>38100</xdr:colOff>
          <xdr:row>15</xdr:row>
          <xdr:rowOff>95250</xdr:rowOff>
        </xdr:to>
        <xdr:sp macro="" textlink="">
          <xdr:nvSpPr>
            <xdr:cNvPr id="16434" name="Group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4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Dados Pré Cadastrados na aba 'Cad. Prestadores':</a:t>
              </a:r>
            </a:p>
          </xdr:txBody>
        </xdr:sp>
        <xdr:clientData/>
      </xdr:twoCellAnchor>
    </mc:Choice>
    <mc:Fallback/>
  </mc:AlternateContent>
  <xdr:twoCellAnchor>
    <xdr:from>
      <xdr:col>95</xdr:col>
      <xdr:colOff>57150</xdr:colOff>
      <xdr:row>16</xdr:row>
      <xdr:rowOff>76200</xdr:rowOff>
    </xdr:from>
    <xdr:to>
      <xdr:col>104</xdr:col>
      <xdr:colOff>66675</xdr:colOff>
      <xdr:row>17</xdr:row>
      <xdr:rowOff>238125</xdr:rowOff>
    </xdr:to>
    <xdr:sp macro="[0]!Ir_CalcIRRF" textlink="">
      <xdr:nvSpPr>
        <xdr:cNvPr id="4" name="Seta: Entalhada para a Direita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1029950" y="3800475"/>
          <a:ext cx="1038225" cy="428625"/>
        </a:xfrm>
        <a:prstGeom prst="notchedRightArrow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chemeClr val="accent1">
                  <a:lumMod val="50000"/>
                </a:schemeClr>
              </a:solidFill>
            </a:rPr>
            <a:t>IR CÁLC.</a:t>
          </a:r>
          <a:r>
            <a:rPr lang="pt-BR" sz="900" b="1" baseline="0">
              <a:solidFill>
                <a:schemeClr val="accent1">
                  <a:lumMod val="50000"/>
                </a:schemeClr>
              </a:solidFill>
            </a:rPr>
            <a:t> IRRF</a:t>
          </a:r>
          <a:endParaRPr lang="pt-BR" sz="9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76200</xdr:colOff>
      <xdr:row>0</xdr:row>
      <xdr:rowOff>114300</xdr:rowOff>
    </xdr:from>
    <xdr:to>
      <xdr:col>64</xdr:col>
      <xdr:colOff>103243</xdr:colOff>
      <xdr:row>2</xdr:row>
      <xdr:rowOff>57150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477000" y="114300"/>
          <a:ext cx="484243" cy="1905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/>
            <a:t>Voltar</a:t>
          </a:r>
        </a:p>
      </xdr:txBody>
    </xdr:sp>
    <xdr:clientData/>
  </xdr:twoCellAnchor>
  <xdr:twoCellAnchor>
    <xdr:from>
      <xdr:col>3</xdr:col>
      <xdr:colOff>95250</xdr:colOff>
      <xdr:row>1</xdr:row>
      <xdr:rowOff>47625</xdr:rowOff>
    </xdr:from>
    <xdr:to>
      <xdr:col>17</xdr:col>
      <xdr:colOff>47625</xdr:colOff>
      <xdr:row>2</xdr:row>
      <xdr:rowOff>95250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438150" y="171450"/>
          <a:ext cx="1552575" cy="171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/>
            <a:t>Empresa</a:t>
          </a:r>
          <a:r>
            <a:rPr lang="pt-BR" sz="800" baseline="0"/>
            <a:t> Tomadora dos Serviços:</a:t>
          </a:r>
          <a:endParaRPr lang="pt-BR" sz="800"/>
        </a:p>
      </xdr:txBody>
    </xdr:sp>
    <xdr:clientData/>
  </xdr:twoCellAnchor>
  <xdr:twoCellAnchor>
    <xdr:from>
      <xdr:col>3</xdr:col>
      <xdr:colOff>104775</xdr:colOff>
      <xdr:row>8</xdr:row>
      <xdr:rowOff>38099</xdr:rowOff>
    </xdr:from>
    <xdr:to>
      <xdr:col>14</xdr:col>
      <xdr:colOff>0</xdr:colOff>
      <xdr:row>9</xdr:row>
      <xdr:rowOff>95250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447675" y="1028699"/>
          <a:ext cx="1152525" cy="1809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/>
            <a:t>Prestador</a:t>
          </a:r>
          <a:r>
            <a:rPr lang="pt-BR" sz="800" baseline="0"/>
            <a:t> dos Serviços:</a:t>
          </a:r>
          <a:endParaRPr lang="pt-BR" sz="800"/>
        </a:p>
      </xdr:txBody>
    </xdr:sp>
    <xdr:clientData/>
  </xdr:twoCellAnchor>
  <xdr:twoCellAnchor>
    <xdr:from>
      <xdr:col>3</xdr:col>
      <xdr:colOff>85725</xdr:colOff>
      <xdr:row>22</xdr:row>
      <xdr:rowOff>47624</xdr:rowOff>
    </xdr:from>
    <xdr:to>
      <xdr:col>27</xdr:col>
      <xdr:colOff>19050</xdr:colOff>
      <xdr:row>23</xdr:row>
      <xdr:rowOff>95250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428625" y="2771774"/>
          <a:ext cx="2676525" cy="1714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/>
            <a:t>Dados para o Cálculo do Imposto de Renda Retido na Fonte</a:t>
          </a:r>
          <a:r>
            <a:rPr lang="pt-BR" sz="800" baseline="0"/>
            <a:t>:</a:t>
          </a:r>
          <a:endParaRPr lang="pt-BR" sz="800"/>
        </a:p>
      </xdr:txBody>
    </xdr:sp>
    <xdr:clientData/>
  </xdr:twoCellAnchor>
  <xdr:twoCellAnchor>
    <xdr:from>
      <xdr:col>3</xdr:col>
      <xdr:colOff>85725</xdr:colOff>
      <xdr:row>15</xdr:row>
      <xdr:rowOff>9524</xdr:rowOff>
    </xdr:from>
    <xdr:to>
      <xdr:col>13</xdr:col>
      <xdr:colOff>85725</xdr:colOff>
      <xdr:row>17</xdr:row>
      <xdr:rowOff>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428625" y="1866899"/>
          <a:ext cx="1143000" cy="2381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/>
            <a:t>Descrição</a:t>
          </a:r>
          <a:r>
            <a:rPr lang="pt-BR" sz="800" baseline="0"/>
            <a:t> dos Serviços:</a:t>
          </a:r>
          <a:endParaRPr lang="pt-BR" sz="800"/>
        </a:p>
      </xdr:txBody>
    </xdr:sp>
    <xdr:clientData/>
  </xdr:twoCellAnchor>
  <xdr:twoCellAnchor>
    <xdr:from>
      <xdr:col>3</xdr:col>
      <xdr:colOff>85725</xdr:colOff>
      <xdr:row>41</xdr:row>
      <xdr:rowOff>47625</xdr:rowOff>
    </xdr:from>
    <xdr:to>
      <xdr:col>17</xdr:col>
      <xdr:colOff>38100</xdr:colOff>
      <xdr:row>42</xdr:row>
      <xdr:rowOff>95250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428625" y="5124450"/>
          <a:ext cx="1552575" cy="171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/>
            <a:t>Cálculo do Valor Líquido a Pagar</a:t>
          </a:r>
          <a:r>
            <a:rPr lang="pt-BR" sz="800" baseline="0"/>
            <a:t>:</a:t>
          </a:r>
          <a:endParaRPr lang="pt-BR" sz="800"/>
        </a:p>
      </xdr:txBody>
    </xdr:sp>
    <xdr:clientData/>
  </xdr:twoCellAnchor>
  <xdr:twoCellAnchor>
    <xdr:from>
      <xdr:col>3</xdr:col>
      <xdr:colOff>85727</xdr:colOff>
      <xdr:row>62</xdr:row>
      <xdr:rowOff>114300</xdr:rowOff>
    </xdr:from>
    <xdr:to>
      <xdr:col>10</xdr:col>
      <xdr:colOff>1</xdr:colOff>
      <xdr:row>64</xdr:row>
      <xdr:rowOff>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428627" y="7791450"/>
          <a:ext cx="714374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/>
            <a:t>Local e Data: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57151</xdr:colOff>
      <xdr:row>0</xdr:row>
      <xdr:rowOff>47624</xdr:rowOff>
    </xdr:from>
    <xdr:to>
      <xdr:col>0</xdr:col>
      <xdr:colOff>514350</xdr:colOff>
      <xdr:row>1</xdr:row>
      <xdr:rowOff>123825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57151" y="47624"/>
          <a:ext cx="457199" cy="20955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/>
            <a:t>Voltar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FDA5B-A920-48ED-A765-F682E45A46E5}" name="TabTomadores" displayName="TabTomadores" ref="B2:D3" insertRow="1" headerRowDxfId="75" headerRowBorderDxfId="79" tableBorderDxfId="80">
  <autoFilter ref="B2:D3" xr:uid="{427A0600-2AC3-4EC1-AD55-F094F82EC585}"/>
  <tableColumns count="3">
    <tableColumn id="1" xr3:uid="{909BB37A-1749-417B-B8A1-E6B3F1F375C0}" name="TOMADOR DOS SERVIÇOS" totalsRowLabel="Total" dataDxfId="78" totalsRowDxfId="72"/>
    <tableColumn id="2" xr3:uid="{8E9BA1E2-A4A0-4323-A551-3BDA0BF11540}" name="Nº CNPJ" dataDxfId="77" totalsRowDxfId="73"/>
    <tableColumn id="3" xr3:uid="{70E0BE5E-4702-4BA9-8365-7B797652CFF6}" name="RESPONSÁVEL" totalsRowFunction="count" dataDxfId="76" totalsRowDxfId="74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67111B-A81A-4CCD-A313-4DFC4C2FA6B4}" name="TabPrestServ" displayName="TabPrestServ" ref="B2:I3" totalsRowShown="0" headerRowDxfId="59" dataDxfId="60" headerRowBorderDxfId="70" tableBorderDxfId="71" totalsRowBorderDxfId="69">
  <autoFilter ref="B2:I3" xr:uid="{B0D6111E-5F43-4027-B708-5D46FE122BA2}"/>
  <tableColumns count="8">
    <tableColumn id="1" xr3:uid="{AD37FFB8-5EBE-42C4-BD31-C453BC04DE63}" name="PRESTADOR DOS SERVIÇOS" dataDxfId="68"/>
    <tableColumn id="2" xr3:uid="{637F552B-1265-4A47-9FE5-61E90C932780}" name="Nº CPF" dataDxfId="67"/>
    <tableColumn id="3" xr3:uid="{1B3F120D-C72A-4646-A017-FFE195D5E070}" name="Nº INSCRIÇÃO NO INSS" dataDxfId="66"/>
    <tableColumn id="4" xr3:uid="{48E4A898-3C63-4FC3-8D3C-ADB7E5629340}" name="INSCRITO COMO CONTRIBUINTE MUNICIPAL?" dataDxfId="65"/>
    <tableColumn id="5" xr3:uid="{887D73E3-F874-430C-94B2-C59D711D745C}" name="Nº DEPENDENTES" dataDxfId="64"/>
    <tableColumn id="6" xr3:uid="{07B43345-7EBD-40B4-959F-581AD5B18461}" name="VLR. PENSÃO ALIMENTÍCIA" dataDxfId="63"/>
    <tableColumn id="7" xr3:uid="{0557C0CF-8D1D-4763-A212-1A9F24BF008D}" name="VLR. OUTRAS DEDUÇÕES" dataDxfId="62"/>
    <tableColumn id="8" xr3:uid="{8EEF2149-647B-491D-9FD1-1013BC916F2E}" name="OBSERVAÇÕES" dataDxfId="6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1A763-2D28-4874-B51B-3921E248C321}" name="TabCidade" displayName="TabCidade" ref="B2:B3" totalsRowShown="0" headerRowDxfId="56" headerRowBorderDxfId="57" tableBorderDxfId="58">
  <autoFilter ref="B2:B3" xr:uid="{A5709053-9230-4918-A18A-D155370F3593}"/>
  <tableColumns count="1">
    <tableColumn id="1" xr3:uid="{DA555AF7-0D4B-4532-B352-F11071F59B59}" name="CIDAD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metadados.com.br/blog/entenda-quais-sao-as-deducoes-cabiveis-ao-irrf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Menu">
    <tabColor rgb="FFC00000"/>
    <pageSetUpPr fitToPage="1"/>
  </sheetPr>
  <dimension ref="B3:O17"/>
  <sheetViews>
    <sheetView showGridLines="0" tabSelected="1" zoomScaleNormal="100" workbookViewId="0">
      <selection activeCell="B3" sqref="B3:O4"/>
    </sheetView>
  </sheetViews>
  <sheetFormatPr defaultRowHeight="15" x14ac:dyDescent="0.25"/>
  <cols>
    <col min="1" max="1" width="3.28515625" customWidth="1"/>
    <col min="2" max="2" width="1.28515625" customWidth="1"/>
    <col min="3" max="3" width="3.5703125" customWidth="1"/>
  </cols>
  <sheetData>
    <row r="3" spans="2:15" ht="15" customHeight="1" x14ac:dyDescent="0.25">
      <c r="B3" s="117" t="s">
        <v>52</v>
      </c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</row>
    <row r="4" spans="2:15" ht="15" customHeight="1" x14ac:dyDescent="0.25"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</row>
    <row r="7" spans="2:15" x14ac:dyDescent="0.25">
      <c r="D7" s="115" t="s">
        <v>14</v>
      </c>
      <c r="E7" s="115"/>
      <c r="F7" s="115"/>
      <c r="G7" s="115"/>
      <c r="H7" s="115"/>
      <c r="I7" s="115"/>
      <c r="J7" s="115"/>
      <c r="K7" s="115"/>
    </row>
    <row r="9" spans="2:15" x14ac:dyDescent="0.25">
      <c r="D9" s="115" t="s">
        <v>15</v>
      </c>
      <c r="E9" s="115"/>
      <c r="F9" s="115"/>
      <c r="G9" s="115"/>
      <c r="H9" s="115"/>
      <c r="I9" s="115"/>
      <c r="J9" s="115"/>
      <c r="K9" s="115"/>
    </row>
    <row r="11" spans="2:15" x14ac:dyDescent="0.25">
      <c r="D11" s="115" t="s">
        <v>63</v>
      </c>
      <c r="E11" s="115"/>
      <c r="F11" s="115"/>
      <c r="G11" s="115"/>
      <c r="H11" s="115"/>
      <c r="I11" s="115"/>
      <c r="J11" s="115"/>
      <c r="K11" s="115"/>
    </row>
    <row r="13" spans="2:15" x14ac:dyDescent="0.25">
      <c r="D13" s="116" t="s">
        <v>16</v>
      </c>
      <c r="E13" s="116"/>
      <c r="F13" s="116"/>
      <c r="G13" s="116"/>
      <c r="H13" s="116"/>
      <c r="I13" s="116"/>
      <c r="J13" s="116"/>
      <c r="K13" s="116"/>
    </row>
    <row r="15" spans="2:15" x14ac:dyDescent="0.25">
      <c r="D15" s="115" t="s">
        <v>96</v>
      </c>
      <c r="E15" s="115"/>
      <c r="F15" s="115"/>
      <c r="G15" s="115"/>
      <c r="H15" s="115"/>
      <c r="I15" s="115"/>
      <c r="J15" s="115"/>
      <c r="K15" s="115"/>
    </row>
    <row r="17" spans="4:11" x14ac:dyDescent="0.25">
      <c r="D17" s="115" t="s">
        <v>92</v>
      </c>
      <c r="E17" s="115"/>
      <c r="F17" s="115"/>
      <c r="G17" s="115"/>
      <c r="H17" s="115"/>
      <c r="I17" s="115"/>
      <c r="J17" s="115"/>
      <c r="K17" s="115"/>
    </row>
  </sheetData>
  <mergeCells count="7">
    <mergeCell ref="B3:O4"/>
    <mergeCell ref="D11:K11"/>
    <mergeCell ref="D17:K17"/>
    <mergeCell ref="D15:K15"/>
    <mergeCell ref="D7:K7"/>
    <mergeCell ref="D9:K9"/>
    <mergeCell ref="D13:K13"/>
  </mergeCells>
  <pageMargins left="0.51181102362204722" right="0.51181102362204722" top="0.78740157480314965" bottom="0.78740157480314965" header="0.31496062992125984" footer="0.31496062992125984"/>
  <pageSetup paperSize="9" orientation="landscape" horizontalDpi="0" verticalDpi="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BF000-CE8A-4E78-80AA-3A1C97D44A56}">
  <sheetPr codeName="sht_CadTomadores"/>
  <dimension ref="B1:D3"/>
  <sheetViews>
    <sheetView workbookViewId="0">
      <selection activeCell="B3" sqref="B3"/>
    </sheetView>
  </sheetViews>
  <sheetFormatPr defaultRowHeight="15" x14ac:dyDescent="0.25"/>
  <cols>
    <col min="1" max="1" width="1.7109375" customWidth="1"/>
    <col min="2" max="2" width="47.7109375" customWidth="1"/>
    <col min="3" max="3" width="19.42578125" style="36" customWidth="1"/>
    <col min="4" max="4" width="23.28515625" style="36" customWidth="1"/>
  </cols>
  <sheetData>
    <row r="1" spans="2:4" ht="4.5" customHeight="1" x14ac:dyDescent="0.25"/>
    <row r="2" spans="2:4" x14ac:dyDescent="0.25">
      <c r="B2" s="207" t="s">
        <v>36</v>
      </c>
      <c r="C2" s="208" t="s">
        <v>33</v>
      </c>
      <c r="D2" s="208" t="s">
        <v>56</v>
      </c>
    </row>
    <row r="3" spans="2:4" x14ac:dyDescent="0.25">
      <c r="B3" s="62"/>
      <c r="C3" s="78"/>
      <c r="D3" s="78"/>
    </row>
  </sheetData>
  <sortState ref="B2:D2">
    <sortCondition ref="B3"/>
  </sortState>
  <conditionalFormatting sqref="D2">
    <cfRule type="expression" dxfId="55" priority="27">
      <formula>$B1&lt;&gt;""</formula>
    </cfRule>
  </conditionalFormatting>
  <conditionalFormatting sqref="C2">
    <cfRule type="expression" dxfId="54" priority="28">
      <formula>$B1&lt;&gt;""</formula>
    </cfRule>
  </conditionalFormatting>
  <conditionalFormatting sqref="B3:D100">
    <cfRule type="expression" dxfId="0" priority="1">
      <formula>$B2&lt;&gt;""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23346-D054-41D1-9C92-FC0C692B8C3E}">
  <sheetPr codeName="sht_CadPrestadores"/>
  <dimension ref="B1:I3"/>
  <sheetViews>
    <sheetView workbookViewId="0">
      <selection activeCell="B3" sqref="B3"/>
    </sheetView>
  </sheetViews>
  <sheetFormatPr defaultRowHeight="15" x14ac:dyDescent="0.25"/>
  <cols>
    <col min="1" max="1" width="1.7109375" customWidth="1"/>
    <col min="2" max="2" width="40" bestFit="1" customWidth="1"/>
    <col min="3" max="3" width="18" style="36" bestFit="1" customWidth="1"/>
    <col min="4" max="4" width="23.42578125" style="37" customWidth="1"/>
    <col min="5" max="5" width="43.140625" style="37" customWidth="1"/>
    <col min="6" max="6" width="18.5703125" style="37" customWidth="1"/>
    <col min="7" max="7" width="27.5703125" style="83" customWidth="1"/>
    <col min="8" max="8" width="25.5703125" style="83" customWidth="1"/>
    <col min="9" max="9" width="31.140625" style="97" customWidth="1"/>
  </cols>
  <sheetData>
    <row r="1" spans="2:9" ht="6.75" customHeight="1" x14ac:dyDescent="0.25"/>
    <row r="2" spans="2:9" x14ac:dyDescent="0.25">
      <c r="B2" s="209" t="s">
        <v>37</v>
      </c>
      <c r="C2" s="210" t="s">
        <v>20</v>
      </c>
      <c r="D2" s="211" t="s">
        <v>69</v>
      </c>
      <c r="E2" s="211" t="s">
        <v>68</v>
      </c>
      <c r="F2" s="211" t="s">
        <v>30</v>
      </c>
      <c r="G2" s="212" t="s">
        <v>66</v>
      </c>
      <c r="H2" s="212" t="s">
        <v>67</v>
      </c>
      <c r="I2" s="213" t="s">
        <v>70</v>
      </c>
    </row>
    <row r="3" spans="2:9" x14ac:dyDescent="0.25">
      <c r="B3" s="202"/>
      <c r="C3" s="203"/>
      <c r="D3" s="204"/>
      <c r="E3" s="204"/>
      <c r="F3" s="204"/>
      <c r="G3" s="205"/>
      <c r="H3" s="205"/>
      <c r="I3" s="206"/>
    </row>
  </sheetData>
  <sortState ref="B3:I3">
    <sortCondition ref="B3"/>
  </sortState>
  <conditionalFormatting sqref="B101:F9996 G5:I98">
    <cfRule type="expression" dxfId="53" priority="199">
      <formula>$B4&lt;&gt;""</formula>
    </cfRule>
  </conditionalFormatting>
  <conditionalFormatting sqref="D101:F9996">
    <cfRule type="expression" dxfId="52" priority="198">
      <formula>$B100&lt;&gt;""</formula>
    </cfRule>
  </conditionalFormatting>
  <conditionalFormatting sqref="G99:G9996">
    <cfRule type="expression" dxfId="51" priority="100">
      <formula>$B98&lt;&gt;""</formula>
    </cfRule>
  </conditionalFormatting>
  <conditionalFormatting sqref="G99:G9996">
    <cfRule type="expression" dxfId="50" priority="99">
      <formula>$B98&lt;&gt;""</formula>
    </cfRule>
  </conditionalFormatting>
  <conditionalFormatting sqref="H99:H9996">
    <cfRule type="expression" dxfId="49" priority="97">
      <formula>$B98&lt;&gt;""</formula>
    </cfRule>
  </conditionalFormatting>
  <conditionalFormatting sqref="H99:H9996">
    <cfRule type="expression" dxfId="48" priority="96">
      <formula>$B98&lt;&gt;""</formula>
    </cfRule>
  </conditionalFormatting>
  <conditionalFormatting sqref="I99:I9996">
    <cfRule type="expression" dxfId="47" priority="94">
      <formula>$B98&lt;&gt;""</formula>
    </cfRule>
  </conditionalFormatting>
  <conditionalFormatting sqref="I99:I9996">
    <cfRule type="expression" dxfId="46" priority="93">
      <formula>$B98&lt;&gt;""</formula>
    </cfRule>
  </conditionalFormatting>
  <conditionalFormatting sqref="G2">
    <cfRule type="expression" dxfId="44" priority="34">
      <formula>$B1&lt;&gt;""</formula>
    </cfRule>
  </conditionalFormatting>
  <conditionalFormatting sqref="H2">
    <cfRule type="expression" dxfId="43" priority="33">
      <formula>$B1&lt;&gt;""</formula>
    </cfRule>
  </conditionalFormatting>
  <conditionalFormatting sqref="I2">
    <cfRule type="expression" dxfId="42" priority="32">
      <formula>$B1&lt;&gt;""</formula>
    </cfRule>
  </conditionalFormatting>
  <conditionalFormatting sqref="B2:F2">
    <cfRule type="expression" dxfId="41" priority="31">
      <formula>$B1&lt;&gt;""</formula>
    </cfRule>
  </conditionalFormatting>
  <conditionalFormatting sqref="G3">
    <cfRule type="expression" dxfId="40" priority="26">
      <formula>$B2&lt;&gt;""</formula>
    </cfRule>
  </conditionalFormatting>
  <conditionalFormatting sqref="H3">
    <cfRule type="expression" dxfId="39" priority="25">
      <formula>$B2&lt;&gt;""</formula>
    </cfRule>
  </conditionalFormatting>
  <conditionalFormatting sqref="I3">
    <cfRule type="expression" dxfId="38" priority="24">
      <formula>$B2&lt;&gt;""</formula>
    </cfRule>
  </conditionalFormatting>
  <conditionalFormatting sqref="G4:I4">
    <cfRule type="expression" dxfId="37" priority="374">
      <formula>#REF!&lt;&gt;""</formula>
    </cfRule>
  </conditionalFormatting>
  <conditionalFormatting sqref="B3:F100">
    <cfRule type="expression" dxfId="2" priority="1">
      <formula>$B2&lt;&gt;""</formula>
    </cfRule>
  </conditionalFormatting>
  <dataValidations count="2">
    <dataValidation type="list" allowBlank="1" showInputMessage="1" showErrorMessage="1" sqref="E99:E1048576" xr:uid="{E497A684-996E-40F4-99A5-0A11F53AFD2C}">
      <formula1>"SIM,NÃO"</formula1>
    </dataValidation>
    <dataValidation type="list" allowBlank="1" showInputMessage="1" showErrorMessage="1" errorTitle="ERRO!" error="Campo somente aceita SIM ou NÃO!" promptTitle="INSCRITO COMO AUTÔNOMO?" prompt="Escolha SIM ou NÃO no botão de seleção à direita." sqref="E2:E98" xr:uid="{0C61ECD7-5AEE-47CC-AB9E-9CDFB6BF1C02}">
      <formula1>"SIM,NÃO"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57A6D-F75A-4A1C-AEEA-190FC46D243C}">
  <sheetPr codeName="sht_CadCidades"/>
  <dimension ref="B1:B2"/>
  <sheetViews>
    <sheetView workbookViewId="0">
      <selection activeCell="B14" sqref="B14"/>
    </sheetView>
  </sheetViews>
  <sheetFormatPr defaultRowHeight="15" x14ac:dyDescent="0.25"/>
  <cols>
    <col min="1" max="1" width="1.7109375" customWidth="1"/>
    <col min="2" max="2" width="47.7109375" customWidth="1"/>
  </cols>
  <sheetData>
    <row r="1" spans="2:2" ht="4.5" customHeight="1" x14ac:dyDescent="0.25"/>
    <row r="2" spans="2:2" x14ac:dyDescent="0.25">
      <c r="B2" s="201" t="s">
        <v>62</v>
      </c>
    </row>
  </sheetData>
  <sortState ref="B2">
    <sortCondition ref="B3"/>
  </sortState>
  <conditionalFormatting sqref="B3:B100">
    <cfRule type="expression" dxfId="1" priority="1">
      <formula>$B2&lt;&gt;""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EBC3C-C149-472A-89B8-CBB846381677}">
  <sheetPr codeName="sht_RegistroRPA">
    <tabColor theme="4" tint="-0.249977111117893"/>
  </sheetPr>
  <dimension ref="B1:DA27"/>
  <sheetViews>
    <sheetView showGridLines="0" showRowColHeaders="0" topLeftCell="A3" zoomScaleNormal="100" workbookViewId="0">
      <selection activeCell="Q5" sqref="Q5:Y5"/>
    </sheetView>
  </sheetViews>
  <sheetFormatPr defaultColWidth="1.7109375" defaultRowHeight="15" x14ac:dyDescent="0.25"/>
  <cols>
    <col min="1" max="1" width="3.7109375" style="51" customWidth="1"/>
    <col min="2" max="2" width="1.42578125" style="51" customWidth="1"/>
    <col min="3" max="16" width="1.7109375" style="50" customWidth="1"/>
    <col min="17" max="17" width="1.7109375" style="50"/>
    <col min="18" max="19" width="1.7109375" style="51"/>
    <col min="20" max="22" width="1.7109375" style="50"/>
    <col min="23" max="16384" width="1.7109375" style="51"/>
  </cols>
  <sheetData>
    <row r="1" spans="2:105" hidden="1" x14ac:dyDescent="0.25"/>
    <row r="2" spans="2:105" s="98" customFormat="1" hidden="1" x14ac:dyDescent="0.25">
      <c r="C2" s="120" t="str">
        <f ca="1">IFERROR(VLOOKUP(RegPrestador,PrestadoresTudo,8,FALSE),"")</f>
        <v/>
      </c>
      <c r="D2" s="120"/>
      <c r="E2" s="120"/>
      <c r="F2" s="99"/>
      <c r="G2" s="99"/>
      <c r="H2" s="99"/>
      <c r="I2" s="99"/>
      <c r="J2" s="99"/>
      <c r="K2" s="99"/>
      <c r="L2" s="99"/>
      <c r="M2" s="99"/>
      <c r="N2" s="99"/>
      <c r="O2" s="99"/>
      <c r="P2" s="128">
        <f>'Tabela IRRF e INSS'!F16-RegDeducaoINSS</f>
        <v>621.03800000000001</v>
      </c>
      <c r="Q2" s="128"/>
      <c r="R2" s="128"/>
      <c r="S2" s="128"/>
      <c r="T2" s="128"/>
      <c r="U2" s="128"/>
      <c r="V2" s="128"/>
      <c r="W2" s="128"/>
      <c r="X2" s="128"/>
      <c r="Y2" s="128"/>
      <c r="AB2" s="126">
        <f ca="1">IFERROR(LARGE([0]!RPAsRegNro,1),0)</f>
        <v>0</v>
      </c>
      <c r="AC2" s="126"/>
      <c r="AD2" s="126"/>
      <c r="AE2" s="126"/>
      <c r="AF2" s="126"/>
      <c r="AG2" s="126"/>
      <c r="AH2" s="126"/>
      <c r="AI2" s="126">
        <f ca="1">IFERROR(COUNTIF([0]!RPAsRegNro,RegNroRPA),0)</f>
        <v>0</v>
      </c>
      <c r="AJ2" s="126"/>
      <c r="AK2" s="126"/>
      <c r="AL2" s="126"/>
      <c r="AM2" s="126"/>
      <c r="AN2" s="126"/>
      <c r="AO2" s="126"/>
      <c r="AS2" s="126" t="b">
        <v>1</v>
      </c>
      <c r="AT2" s="126"/>
      <c r="AU2" s="126"/>
      <c r="AV2" s="126"/>
      <c r="AW2" s="126"/>
      <c r="AX2" s="126"/>
      <c r="AY2" s="126"/>
      <c r="AZ2" s="126"/>
      <c r="BA2" s="126"/>
      <c r="BF2" s="98" t="s">
        <v>61</v>
      </c>
      <c r="BL2" s="126">
        <v>1</v>
      </c>
      <c r="BM2" s="126"/>
      <c r="BN2" s="126"/>
      <c r="BO2" s="126"/>
      <c r="BP2" s="126"/>
      <c r="BQ2" s="126"/>
      <c r="BR2" s="126"/>
    </row>
    <row r="3" spans="2:105" ht="20.25" customHeight="1" x14ac:dyDescent="0.25"/>
    <row r="4" spans="2:105" ht="21" customHeight="1" x14ac:dyDescent="0.25">
      <c r="B4" s="51">
        <v>1</v>
      </c>
      <c r="BV4" s="143" t="s">
        <v>38</v>
      </c>
      <c r="BW4" s="144"/>
      <c r="BX4" s="144"/>
      <c r="BY4" s="144"/>
      <c r="BZ4" s="144"/>
      <c r="CA4" s="144"/>
      <c r="CB4" s="144"/>
      <c r="CC4" s="144"/>
      <c r="CD4" s="144"/>
      <c r="CE4" s="144"/>
      <c r="CF4" s="144"/>
      <c r="CG4" s="144"/>
      <c r="CH4" s="144"/>
      <c r="CI4" s="144"/>
      <c r="CJ4" s="144"/>
      <c r="CK4" s="144"/>
      <c r="CL4" s="144"/>
      <c r="CM4" s="144"/>
      <c r="CN4" s="144"/>
      <c r="CO4" s="144"/>
      <c r="CP4" s="144"/>
      <c r="CQ4" s="144"/>
      <c r="CR4" s="144"/>
      <c r="CS4" s="144"/>
      <c r="CT4" s="144"/>
      <c r="CU4" s="144"/>
      <c r="CV4" s="144"/>
      <c r="CW4" s="144"/>
      <c r="CX4" s="144"/>
      <c r="CY4" s="144"/>
      <c r="CZ4" s="144"/>
      <c r="DA4" s="145"/>
    </row>
    <row r="5" spans="2:105" ht="21" customHeight="1" x14ac:dyDescent="0.25">
      <c r="B5" s="51">
        <v>1</v>
      </c>
      <c r="C5" s="118" t="s">
        <v>51</v>
      </c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27"/>
      <c r="R5" s="127"/>
      <c r="S5" s="127"/>
      <c r="T5" s="127"/>
      <c r="U5" s="127"/>
      <c r="V5" s="127"/>
      <c r="W5" s="127"/>
      <c r="X5" s="127"/>
      <c r="Y5" s="127"/>
      <c r="BD5" s="95"/>
      <c r="BE5" s="95"/>
      <c r="BG5" s="96" t="s">
        <v>53</v>
      </c>
      <c r="BH5" s="96"/>
      <c r="BI5" s="96"/>
      <c r="BJ5" s="96"/>
      <c r="BK5" s="96"/>
      <c r="BL5" s="148">
        <v>1</v>
      </c>
      <c r="BM5" s="148"/>
      <c r="BN5" s="148"/>
      <c r="BO5" s="148"/>
      <c r="BP5" s="148"/>
      <c r="BQ5" s="148"/>
      <c r="BR5" s="148"/>
      <c r="BV5" s="129" t="s">
        <v>39</v>
      </c>
      <c r="BW5" s="129"/>
      <c r="BX5" s="129"/>
      <c r="BY5" s="129"/>
      <c r="BZ5" s="129"/>
      <c r="CA5" s="129"/>
      <c r="CB5" s="129"/>
      <c r="CC5" s="129"/>
      <c r="CD5" s="129"/>
      <c r="CE5" s="129"/>
      <c r="CF5" s="129"/>
      <c r="CG5" s="129"/>
      <c r="CH5" s="129"/>
      <c r="CI5" s="129"/>
      <c r="CJ5" s="129"/>
      <c r="CK5" s="129"/>
      <c r="CL5" s="129"/>
      <c r="CM5" s="129"/>
      <c r="CN5" s="129"/>
      <c r="CO5" s="129"/>
      <c r="CP5" s="129"/>
      <c r="CQ5" s="41"/>
      <c r="CR5" s="147">
        <f>Q12</f>
        <v>0</v>
      </c>
      <c r="CS5" s="147"/>
      <c r="CT5" s="147"/>
      <c r="CU5" s="147"/>
      <c r="CV5" s="147"/>
      <c r="CW5" s="147"/>
      <c r="CX5" s="147"/>
      <c r="CY5" s="147"/>
      <c r="CZ5" s="147"/>
      <c r="DA5" s="147"/>
    </row>
    <row r="6" spans="2:105" ht="21" customHeight="1" x14ac:dyDescent="0.25">
      <c r="C6" s="118" t="s">
        <v>48</v>
      </c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25"/>
      <c r="R6" s="125"/>
      <c r="S6" s="125"/>
      <c r="T6" s="125"/>
      <c r="U6" s="125"/>
      <c r="V6" s="125"/>
      <c r="W6" s="125"/>
      <c r="X6" s="125"/>
      <c r="Y6" s="125"/>
      <c r="Z6" s="125"/>
      <c r="AA6" s="125"/>
      <c r="AB6" s="125"/>
      <c r="AC6" s="125"/>
      <c r="AD6" s="125"/>
      <c r="AE6" s="125"/>
      <c r="AF6" s="125"/>
      <c r="AG6" s="125"/>
      <c r="AH6" s="125"/>
      <c r="AI6" s="125"/>
      <c r="BV6" s="129" t="s">
        <v>83</v>
      </c>
      <c r="BW6" s="129"/>
      <c r="BX6" s="129"/>
      <c r="BY6" s="129"/>
      <c r="BZ6" s="129"/>
      <c r="CA6" s="129"/>
      <c r="CB6" s="129"/>
      <c r="CC6" s="129"/>
      <c r="CD6" s="129"/>
      <c r="CE6" s="129"/>
      <c r="CF6" s="129"/>
      <c r="CG6" s="129"/>
      <c r="CH6" s="129"/>
      <c r="CI6" s="129"/>
      <c r="CJ6" s="129"/>
      <c r="CK6" s="129"/>
      <c r="CL6" s="129"/>
      <c r="CM6" s="129"/>
      <c r="CN6" s="129"/>
      <c r="CO6" s="129"/>
      <c r="CP6" s="129"/>
      <c r="CQ6" s="41"/>
      <c r="CR6" s="130">
        <f>'Tabela IRRF e INSS'!N5</f>
        <v>0</v>
      </c>
      <c r="CS6" s="130"/>
      <c r="CT6" s="130"/>
      <c r="CU6" s="130"/>
      <c r="CV6" s="130"/>
      <c r="CW6" s="130"/>
      <c r="CX6" s="130"/>
      <c r="CY6" s="130"/>
      <c r="CZ6" s="130"/>
      <c r="DA6" s="130"/>
    </row>
    <row r="7" spans="2:105" ht="21" customHeight="1" x14ac:dyDescent="0.25">
      <c r="C7" s="150" t="s">
        <v>22</v>
      </c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X7" s="133" t="s">
        <v>57</v>
      </c>
      <c r="AY7" s="133"/>
      <c r="AZ7" s="133"/>
      <c r="BA7" s="133"/>
      <c r="BB7" s="138" t="str">
        <f ca="1">IFERROR(VLOOKUP(RegTomador,TomadoresTudo,3,FALSE),"")</f>
        <v/>
      </c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8"/>
      <c r="BN7" s="138"/>
      <c r="BO7" s="138"/>
      <c r="BP7" s="138"/>
      <c r="BQ7" s="138"/>
      <c r="BR7" s="138"/>
      <c r="BV7" s="129" t="s">
        <v>86</v>
      </c>
      <c r="BW7" s="129"/>
      <c r="BX7" s="129"/>
      <c r="BY7" s="129"/>
      <c r="BZ7" s="129"/>
      <c r="CA7" s="129"/>
      <c r="CB7" s="129"/>
      <c r="CC7" s="129"/>
      <c r="CD7" s="129"/>
      <c r="CE7" s="129"/>
      <c r="CF7" s="129"/>
      <c r="CG7" s="129"/>
      <c r="CH7" s="129"/>
      <c r="CI7" s="129"/>
      <c r="CJ7" s="129"/>
      <c r="CK7" s="129"/>
      <c r="CL7" s="129"/>
      <c r="CM7" s="129"/>
      <c r="CN7" s="129"/>
      <c r="CO7" s="129"/>
      <c r="CP7" s="129"/>
      <c r="CQ7" s="41"/>
      <c r="CR7" s="130">
        <f ca="1">-'Tabela IRRF e INSS'!N15</f>
        <v>0</v>
      </c>
      <c r="CS7" s="130"/>
      <c r="CT7" s="130"/>
      <c r="CU7" s="130"/>
      <c r="CV7" s="130"/>
      <c r="CW7" s="130"/>
      <c r="CX7" s="130"/>
      <c r="CY7" s="130"/>
      <c r="CZ7" s="130"/>
      <c r="DA7" s="130"/>
    </row>
    <row r="8" spans="2:105" ht="21" customHeight="1" x14ac:dyDescent="0.25">
      <c r="C8" s="150" t="s">
        <v>23</v>
      </c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AO8" s="136"/>
      <c r="AP8" s="136"/>
      <c r="AQ8" s="136"/>
      <c r="AR8" s="136"/>
      <c r="AS8" s="136"/>
      <c r="AT8" s="136"/>
      <c r="AU8" s="136"/>
      <c r="AV8" s="136"/>
      <c r="BV8" s="129" t="s">
        <v>9</v>
      </c>
      <c r="BW8" s="129"/>
      <c r="BX8" s="129"/>
      <c r="BY8" s="129"/>
      <c r="BZ8" s="129"/>
      <c r="CA8" s="129"/>
      <c r="CB8" s="129"/>
      <c r="CC8" s="129"/>
      <c r="CD8" s="129"/>
      <c r="CE8" s="129"/>
      <c r="CF8" s="129"/>
      <c r="CG8" s="129"/>
      <c r="CH8" s="129"/>
      <c r="CI8" s="129"/>
      <c r="CJ8" s="129"/>
      <c r="CK8" s="129"/>
      <c r="CL8" s="129"/>
      <c r="CM8" s="129"/>
      <c r="CN8" s="129"/>
      <c r="CO8" s="129"/>
      <c r="CP8" s="129"/>
      <c r="CQ8" s="41"/>
      <c r="CR8" s="130">
        <f ca="1">-IF(RegInscrMunicipal="NÃO",CR5*RegAliquotaISS,0)</f>
        <v>0</v>
      </c>
      <c r="CS8" s="130"/>
      <c r="CT8" s="130"/>
      <c r="CU8" s="130"/>
      <c r="CV8" s="130"/>
      <c r="CW8" s="130"/>
      <c r="CX8" s="130"/>
      <c r="CY8" s="130"/>
      <c r="CZ8" s="130"/>
      <c r="DA8" s="130"/>
    </row>
    <row r="9" spans="2:105" ht="21" customHeight="1" x14ac:dyDescent="0.25">
      <c r="C9" s="134" t="s">
        <v>21</v>
      </c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6"/>
      <c r="R9" s="136"/>
      <c r="S9" s="136"/>
      <c r="T9" s="136"/>
      <c r="U9" s="136"/>
      <c r="V9" s="136"/>
      <c r="W9" s="136"/>
      <c r="X9" s="136"/>
      <c r="Y9" s="136"/>
      <c r="Z9" s="136"/>
      <c r="AA9" s="136"/>
      <c r="AB9" s="136"/>
      <c r="AC9" s="136"/>
      <c r="AD9" s="136"/>
      <c r="AE9" s="136"/>
      <c r="AF9" s="136"/>
      <c r="AG9" s="136"/>
      <c r="AH9" s="136"/>
      <c r="AI9" s="136"/>
      <c r="AJ9" s="136"/>
      <c r="AK9" s="136"/>
      <c r="AL9" s="136"/>
      <c r="AM9" s="136"/>
      <c r="AN9" s="136"/>
      <c r="AO9" s="136"/>
      <c r="AP9" s="136"/>
      <c r="AQ9" s="136"/>
      <c r="AR9" s="136"/>
      <c r="AS9" s="136"/>
      <c r="AT9" s="136"/>
      <c r="AU9" s="136"/>
      <c r="AV9" s="136"/>
      <c r="AW9" s="136"/>
      <c r="AX9" s="136"/>
      <c r="AY9" s="136"/>
      <c r="AZ9" s="136"/>
      <c r="BA9" s="136"/>
      <c r="BB9" s="136"/>
      <c r="BC9" s="136"/>
      <c r="BD9" s="136"/>
      <c r="BE9" s="136"/>
      <c r="BF9" s="136"/>
      <c r="BG9" s="136"/>
      <c r="BH9" s="136"/>
      <c r="BI9" s="136"/>
      <c r="BJ9" s="136"/>
      <c r="BK9" s="136"/>
      <c r="BL9" s="136"/>
      <c r="BM9" s="136"/>
      <c r="BN9" s="136"/>
      <c r="BO9" s="136"/>
      <c r="BP9" s="136"/>
      <c r="BQ9" s="136"/>
      <c r="BR9" s="136"/>
      <c r="BV9" s="131" t="s">
        <v>12</v>
      </c>
      <c r="BW9" s="131"/>
      <c r="BX9" s="131"/>
      <c r="BY9" s="131"/>
      <c r="BZ9" s="131"/>
      <c r="CA9" s="131"/>
      <c r="CB9" s="131"/>
      <c r="CC9" s="131"/>
      <c r="CD9" s="131"/>
      <c r="CE9" s="131"/>
      <c r="CF9" s="131"/>
      <c r="CG9" s="131"/>
      <c r="CH9" s="131"/>
      <c r="CI9" s="131"/>
      <c r="CJ9" s="131"/>
      <c r="CK9" s="131"/>
      <c r="CL9" s="131"/>
      <c r="CM9" s="131"/>
      <c r="CN9" s="131"/>
      <c r="CO9" s="131"/>
      <c r="CP9" s="131"/>
      <c r="CQ9" s="41"/>
      <c r="CR9" s="132">
        <f ca="1">SUM(CR5:DA8)</f>
        <v>0</v>
      </c>
      <c r="CS9" s="132"/>
      <c r="CT9" s="132"/>
      <c r="CU9" s="132"/>
      <c r="CV9" s="132"/>
      <c r="CW9" s="132"/>
      <c r="CX9" s="132"/>
      <c r="CY9" s="132"/>
      <c r="CZ9" s="132"/>
      <c r="DA9" s="132"/>
    </row>
    <row r="10" spans="2:105" ht="21" customHeight="1" x14ac:dyDescent="0.25"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</row>
    <row r="11" spans="2:105" ht="21" customHeight="1" x14ac:dyDescent="0.25">
      <c r="C11" s="123" t="s">
        <v>64</v>
      </c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39"/>
      <c r="R11" s="139"/>
      <c r="S11" s="139"/>
      <c r="T11" s="139"/>
      <c r="U11" s="139"/>
      <c r="V11" s="139"/>
      <c r="BV11" s="143" t="s">
        <v>25</v>
      </c>
      <c r="BW11" s="144"/>
      <c r="BX11" s="144"/>
      <c r="BY11" s="144"/>
      <c r="BZ11" s="144"/>
      <c r="CA11" s="144"/>
      <c r="CB11" s="144"/>
      <c r="CC11" s="144"/>
      <c r="CD11" s="144"/>
      <c r="CE11" s="144"/>
      <c r="CF11" s="144"/>
      <c r="CG11" s="144"/>
      <c r="CH11" s="144"/>
      <c r="CI11" s="144"/>
      <c r="CJ11" s="144"/>
      <c r="CK11" s="144"/>
      <c r="CL11" s="144"/>
      <c r="CM11" s="144"/>
      <c r="CN11" s="144"/>
      <c r="CO11" s="144"/>
      <c r="CP11" s="144"/>
      <c r="CQ11" s="144"/>
      <c r="CR11" s="144"/>
      <c r="CS11" s="144"/>
      <c r="CT11" s="144"/>
      <c r="CU11" s="144"/>
      <c r="CV11" s="144"/>
      <c r="CW11" s="144"/>
      <c r="CX11" s="144"/>
      <c r="CY11" s="144"/>
      <c r="CZ11" s="144"/>
      <c r="DA11" s="145"/>
    </row>
    <row r="12" spans="2:105" ht="21" customHeight="1" x14ac:dyDescent="0.25">
      <c r="C12" s="118" t="s">
        <v>13</v>
      </c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49"/>
      <c r="R12" s="149"/>
      <c r="S12" s="149"/>
      <c r="T12" s="149"/>
      <c r="U12" s="149"/>
      <c r="V12" s="149"/>
      <c r="W12" s="149"/>
      <c r="X12" s="149"/>
      <c r="Y12" s="149"/>
      <c r="Z12" s="149"/>
      <c r="AA12" s="149"/>
      <c r="AB12" s="149"/>
      <c r="AI12" s="121" t="s">
        <v>50</v>
      </c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4" t="str">
        <f ca="1">IFERROR(VLOOKUP(RegPrestador,PrestadoresTudo,4,FALSE),"")</f>
        <v/>
      </c>
      <c r="BF12" s="124"/>
      <c r="BG12" s="124"/>
      <c r="BH12" s="124"/>
      <c r="BI12" s="124"/>
      <c r="BJ12" s="124"/>
      <c r="BK12" s="124"/>
      <c r="BL12" s="124"/>
      <c r="BM12" s="124"/>
      <c r="BN12" s="124"/>
      <c r="BV12" s="129" t="s">
        <v>46</v>
      </c>
      <c r="BW12" s="129"/>
      <c r="BX12" s="129"/>
      <c r="BY12" s="129"/>
      <c r="BZ12" s="129"/>
      <c r="CA12" s="129"/>
      <c r="CB12" s="129"/>
      <c r="CC12" s="129"/>
      <c r="CD12" s="129"/>
      <c r="CE12" s="129"/>
      <c r="CF12" s="129"/>
      <c r="CG12" s="129"/>
      <c r="CH12" s="129"/>
      <c r="CI12" s="129"/>
      <c r="CJ12" s="129"/>
      <c r="CK12" s="129"/>
      <c r="CL12" s="129"/>
      <c r="CM12" s="129"/>
      <c r="CN12" s="129"/>
      <c r="CO12" s="129"/>
      <c r="CP12" s="129"/>
      <c r="CQ12" s="41"/>
      <c r="CR12" s="146">
        <f ca="1">CR9</f>
        <v>0</v>
      </c>
      <c r="CS12" s="146"/>
      <c r="CT12" s="146"/>
      <c r="CU12" s="146"/>
      <c r="CV12" s="146"/>
      <c r="CW12" s="146"/>
      <c r="CX12" s="146"/>
      <c r="CY12" s="146"/>
      <c r="CZ12" s="146"/>
      <c r="DA12" s="146"/>
    </row>
    <row r="13" spans="2:105" ht="21" customHeight="1" x14ac:dyDescent="0.25">
      <c r="C13" s="118" t="s">
        <v>85</v>
      </c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121" t="s">
        <v>49</v>
      </c>
      <c r="AV13" s="121"/>
      <c r="AW13" s="121"/>
      <c r="AX13" s="121"/>
      <c r="AY13" s="121"/>
      <c r="AZ13" s="121"/>
      <c r="BA13" s="121"/>
      <c r="BB13" s="121"/>
      <c r="BC13" s="121"/>
      <c r="BD13" s="121"/>
      <c r="BE13" s="124" t="str">
        <f ca="1">IFERROR(VLOOKUP(RegPrestador,PrestadoresTudo,5,FALSE),"")</f>
        <v/>
      </c>
      <c r="BF13" s="124"/>
      <c r="BG13" s="124"/>
      <c r="BH13" s="124"/>
      <c r="BI13" s="124"/>
      <c r="BJ13" s="124"/>
      <c r="BK13" s="124"/>
      <c r="BL13" s="124"/>
      <c r="BM13" s="124"/>
      <c r="BN13" s="124"/>
      <c r="BV13" s="129" t="s">
        <v>10</v>
      </c>
      <c r="BW13" s="129"/>
      <c r="BX13" s="129"/>
      <c r="BY13" s="129"/>
      <c r="BZ13" s="129"/>
      <c r="CA13" s="129"/>
      <c r="CB13" s="129"/>
      <c r="CC13" s="129"/>
      <c r="CD13" s="129"/>
      <c r="CE13" s="129"/>
      <c r="CF13" s="129"/>
      <c r="CG13" s="129"/>
      <c r="CH13" s="129"/>
      <c r="CI13" s="129"/>
      <c r="CJ13" s="129"/>
      <c r="CK13" s="129"/>
      <c r="CL13" s="129"/>
      <c r="CM13" s="129"/>
      <c r="CN13" s="129"/>
      <c r="CO13" s="129"/>
      <c r="CP13" s="129"/>
      <c r="CQ13" s="41"/>
      <c r="CR13" s="146">
        <f ca="1">-SUM(CR6:DA8)</f>
        <v>0</v>
      </c>
      <c r="CS13" s="146"/>
      <c r="CT13" s="146"/>
      <c r="CU13" s="146"/>
      <c r="CV13" s="146"/>
      <c r="CW13" s="146"/>
      <c r="CX13" s="146"/>
      <c r="CY13" s="146"/>
      <c r="CZ13" s="146"/>
      <c r="DA13" s="146"/>
    </row>
    <row r="14" spans="2:105" ht="21" customHeight="1" x14ac:dyDescent="0.25">
      <c r="C14" s="118" t="s">
        <v>87</v>
      </c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I14" s="88"/>
      <c r="AJ14" s="89"/>
      <c r="AK14" s="89"/>
      <c r="AL14" s="89"/>
      <c r="AM14" s="89"/>
      <c r="AN14" s="88"/>
      <c r="AO14" s="121" t="s">
        <v>71</v>
      </c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2" t="str">
        <f ca="1">IFERROR(VLOOKUP(RegPrestador,PrestadoresTudo,6,FALSE),"")</f>
        <v/>
      </c>
      <c r="BF14" s="122"/>
      <c r="BG14" s="122"/>
      <c r="BH14" s="122"/>
      <c r="BI14" s="122"/>
      <c r="BJ14" s="122"/>
      <c r="BK14" s="122"/>
      <c r="BL14" s="122"/>
      <c r="BM14" s="122"/>
      <c r="BN14" s="122"/>
      <c r="BV14" s="131" t="s">
        <v>11</v>
      </c>
      <c r="BW14" s="131"/>
      <c r="BX14" s="131"/>
      <c r="BY14" s="131"/>
      <c r="BZ14" s="131"/>
      <c r="CA14" s="131"/>
      <c r="CB14" s="131"/>
      <c r="CC14" s="131"/>
      <c r="CD14" s="131"/>
      <c r="CE14" s="131"/>
      <c r="CF14" s="131"/>
      <c r="CG14" s="131"/>
      <c r="CH14" s="131"/>
      <c r="CI14" s="131"/>
      <c r="CJ14" s="131"/>
      <c r="CK14" s="131"/>
      <c r="CL14" s="131"/>
      <c r="CM14" s="131"/>
      <c r="CN14" s="131"/>
      <c r="CO14" s="131"/>
      <c r="CP14" s="131"/>
      <c r="CQ14" s="41"/>
      <c r="CR14" s="140">
        <f ca="1">CR12+CR13</f>
        <v>0</v>
      </c>
      <c r="CS14" s="140"/>
      <c r="CT14" s="140"/>
      <c r="CU14" s="140"/>
      <c r="CV14" s="140"/>
      <c r="CW14" s="140"/>
      <c r="CX14" s="140"/>
      <c r="CY14" s="140"/>
      <c r="CZ14" s="140"/>
      <c r="DA14" s="140"/>
    </row>
    <row r="15" spans="2:105" ht="21" customHeight="1" x14ac:dyDescent="0.25">
      <c r="C15" s="118" t="s">
        <v>65</v>
      </c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I15" s="88"/>
      <c r="AJ15" s="88"/>
      <c r="AK15" s="88"/>
      <c r="AL15" s="88"/>
      <c r="AM15" s="88"/>
      <c r="AN15" s="88"/>
      <c r="AO15" s="121" t="s">
        <v>72</v>
      </c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2" t="str">
        <f ca="1">IFERROR(VLOOKUP(RegPrestador,PrestadoresTudo,7,FALSE),"")</f>
        <v/>
      </c>
      <c r="BF15" s="122"/>
      <c r="BG15" s="122"/>
      <c r="BH15" s="122"/>
      <c r="BI15" s="122"/>
      <c r="BJ15" s="122"/>
      <c r="BK15" s="122"/>
      <c r="BL15" s="122"/>
      <c r="BM15" s="122"/>
      <c r="BN15" s="122"/>
      <c r="BV15" s="129" t="s">
        <v>45</v>
      </c>
      <c r="BW15" s="129"/>
      <c r="BX15" s="129"/>
      <c r="BY15" s="129"/>
      <c r="BZ15" s="129"/>
      <c r="CA15" s="129"/>
      <c r="CB15" s="129"/>
      <c r="CC15" s="129"/>
      <c r="CD15" s="129"/>
      <c r="CE15" s="129"/>
      <c r="CF15" s="129"/>
      <c r="CG15" s="129"/>
      <c r="CH15" s="129"/>
      <c r="CI15" s="129"/>
      <c r="CJ15" s="129"/>
      <c r="CK15" s="129"/>
      <c r="CL15" s="129"/>
      <c r="CM15" s="141">
        <v>0.2</v>
      </c>
      <c r="CN15" s="142"/>
      <c r="CO15" s="142"/>
      <c r="CP15" s="142"/>
      <c r="CQ15" s="41"/>
      <c r="CR15" s="146">
        <f ca="1">CR14*CM15</f>
        <v>0</v>
      </c>
      <c r="CS15" s="146"/>
      <c r="CT15" s="146"/>
      <c r="CU15" s="146"/>
      <c r="CV15" s="146"/>
      <c r="CW15" s="146"/>
      <c r="CX15" s="146"/>
      <c r="CY15" s="146"/>
      <c r="CZ15" s="146"/>
      <c r="DA15" s="146"/>
    </row>
    <row r="16" spans="2:105" ht="21" customHeight="1" x14ac:dyDescent="0.25">
      <c r="BV16" s="131" t="s">
        <v>47</v>
      </c>
      <c r="BW16" s="131"/>
      <c r="BX16" s="131"/>
      <c r="BY16" s="131"/>
      <c r="BZ16" s="131"/>
      <c r="CA16" s="131"/>
      <c r="CB16" s="131"/>
      <c r="CC16" s="131"/>
      <c r="CD16" s="131"/>
      <c r="CE16" s="131"/>
      <c r="CF16" s="131"/>
      <c r="CG16" s="131"/>
      <c r="CH16" s="131"/>
      <c r="CI16" s="131"/>
      <c r="CJ16" s="131"/>
      <c r="CK16" s="131"/>
      <c r="CL16" s="131"/>
      <c r="CM16" s="131"/>
      <c r="CN16" s="131"/>
      <c r="CO16" s="131"/>
      <c r="CP16" s="131"/>
      <c r="CQ16" s="41"/>
      <c r="CR16" s="140">
        <f ca="1">CR14+CR15</f>
        <v>0</v>
      </c>
      <c r="CS16" s="140"/>
      <c r="CT16" s="140"/>
      <c r="CU16" s="140"/>
      <c r="CV16" s="140"/>
      <c r="CW16" s="140"/>
      <c r="CX16" s="140"/>
      <c r="CY16" s="140"/>
      <c r="CZ16" s="140"/>
      <c r="DA16" s="140"/>
    </row>
    <row r="17" spans="3:43" ht="21" customHeight="1" x14ac:dyDescent="0.25"/>
    <row r="18" spans="3:43" ht="21" customHeight="1" x14ac:dyDescent="0.25">
      <c r="AC18" s="85"/>
      <c r="AD18" s="85"/>
      <c r="AE18" s="85"/>
      <c r="AF18" s="85"/>
      <c r="AG18" s="85"/>
      <c r="AH18" s="85"/>
      <c r="AI18" s="85"/>
      <c r="AJ18" s="85"/>
      <c r="AK18" s="86"/>
      <c r="AL18" s="86"/>
      <c r="AM18" s="86"/>
      <c r="AN18" s="86"/>
      <c r="AO18" s="86"/>
      <c r="AP18" s="86"/>
      <c r="AQ18" s="86"/>
    </row>
    <row r="19" spans="3:43" ht="21" customHeight="1" x14ac:dyDescent="0.25"/>
    <row r="20" spans="3:43" ht="21" customHeight="1" x14ac:dyDescent="0.25"/>
    <row r="21" spans="3:43" ht="21" customHeight="1" x14ac:dyDescent="0.25"/>
    <row r="22" spans="3:43" ht="21" customHeight="1" x14ac:dyDescent="0.25"/>
    <row r="23" spans="3:43" ht="21" customHeight="1" x14ac:dyDescent="0.25"/>
    <row r="24" spans="3:43" ht="21" customHeight="1" x14ac:dyDescent="0.25"/>
    <row r="25" spans="3:43" ht="21" customHeight="1" x14ac:dyDescent="0.25"/>
    <row r="26" spans="3:43" ht="21" customHeight="1" x14ac:dyDescent="0.25"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T26" s="51"/>
      <c r="U26" s="51"/>
      <c r="V26" s="51"/>
    </row>
    <row r="27" spans="3:43" ht="21" customHeight="1" x14ac:dyDescent="0.25"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T27" s="51"/>
      <c r="U27" s="51"/>
      <c r="V27" s="51"/>
    </row>
  </sheetData>
  <sheetProtection sheet="1" objects="1" scenarios="1" selectLockedCells="1"/>
  <mergeCells count="60">
    <mergeCell ref="BL5:BR5"/>
    <mergeCell ref="BE14:BN14"/>
    <mergeCell ref="Q12:AB12"/>
    <mergeCell ref="Q8:AV8"/>
    <mergeCell ref="C8:P8"/>
    <mergeCell ref="C7:P7"/>
    <mergeCell ref="C12:P12"/>
    <mergeCell ref="BV16:CP16"/>
    <mergeCell ref="CR16:DA16"/>
    <mergeCell ref="CM15:CP15"/>
    <mergeCell ref="BV11:DA11"/>
    <mergeCell ref="BV12:CP12"/>
    <mergeCell ref="CR12:DA12"/>
    <mergeCell ref="BV13:CP13"/>
    <mergeCell ref="CR13:DA13"/>
    <mergeCell ref="BV15:CL15"/>
    <mergeCell ref="BV14:CP14"/>
    <mergeCell ref="CR14:DA14"/>
    <mergeCell ref="CR15:DA15"/>
    <mergeCell ref="CR7:DA7"/>
    <mergeCell ref="BV8:CP8"/>
    <mergeCell ref="CR8:DA8"/>
    <mergeCell ref="BV9:CP9"/>
    <mergeCell ref="CR9:DA9"/>
    <mergeCell ref="BL2:BR2"/>
    <mergeCell ref="P2:Y2"/>
    <mergeCell ref="BV7:CP7"/>
    <mergeCell ref="C13:P13"/>
    <mergeCell ref="Q13:AB13"/>
    <mergeCell ref="Q7:AV7"/>
    <mergeCell ref="AX7:BA7"/>
    <mergeCell ref="C9:P10"/>
    <mergeCell ref="Q9:BR10"/>
    <mergeCell ref="BB7:BR7"/>
    <mergeCell ref="Q11:V11"/>
    <mergeCell ref="BV4:DA4"/>
    <mergeCell ref="BV5:CP5"/>
    <mergeCell ref="CR5:DA5"/>
    <mergeCell ref="BV6:CP6"/>
    <mergeCell ref="CR6:DA6"/>
    <mergeCell ref="BE15:BN15"/>
    <mergeCell ref="C11:P11"/>
    <mergeCell ref="BE12:BN12"/>
    <mergeCell ref="BE13:BN13"/>
    <mergeCell ref="AI12:BD12"/>
    <mergeCell ref="AU13:BD13"/>
    <mergeCell ref="C15:P15"/>
    <mergeCell ref="Q15:AB15"/>
    <mergeCell ref="C14:P14"/>
    <mergeCell ref="Q14:AB14"/>
    <mergeCell ref="C2:E2"/>
    <mergeCell ref="AO14:BD14"/>
    <mergeCell ref="AO15:BD15"/>
    <mergeCell ref="Q6:AI6"/>
    <mergeCell ref="AS2:BA2"/>
    <mergeCell ref="AI2:AO2"/>
    <mergeCell ref="AB2:AH2"/>
    <mergeCell ref="Q5:Y5"/>
    <mergeCell ref="C6:P6"/>
    <mergeCell ref="C5:P5"/>
  </mergeCells>
  <conditionalFormatting sqref="S29:V46 C29:Q46 Q5:Q6 Q8:Q9">
    <cfRule type="expression" dxfId="35" priority="23">
      <formula>$S4&lt;&gt;""</formula>
    </cfRule>
  </conditionalFormatting>
  <conditionalFormatting sqref="S4:V4 C4:Q4">
    <cfRule type="expression" dxfId="34" priority="26">
      <formula>#REF!&lt;&gt;""</formula>
    </cfRule>
  </conditionalFormatting>
  <conditionalFormatting sqref="S28:V28 CI12:CL14 CI16:CL16 BV15 C28:Q28 BV4:CG9 BV12:CG14 BV16:CG16">
    <cfRule type="expression" dxfId="33" priority="36">
      <formula>#REF!&lt;&gt;""</formula>
    </cfRule>
  </conditionalFormatting>
  <conditionalFormatting sqref="CI4:CL4">
    <cfRule type="expression" dxfId="32" priority="9">
      <formula>#REF!&lt;&gt;""</formula>
    </cfRule>
  </conditionalFormatting>
  <conditionalFormatting sqref="CI5:CL9">
    <cfRule type="expression" dxfId="31" priority="11">
      <formula>#REF!&lt;&gt;""</formula>
    </cfRule>
  </conditionalFormatting>
  <conditionalFormatting sqref="Q7">
    <cfRule type="expression" dxfId="30" priority="180">
      <formula>$S6&lt;&gt;""</formula>
    </cfRule>
  </conditionalFormatting>
  <conditionalFormatting sqref="Q11">
    <cfRule type="expression" dxfId="29" priority="8">
      <formula>$S6&lt;&gt;""</formula>
    </cfRule>
  </conditionalFormatting>
  <conditionalFormatting sqref="CI11:CL11 BV11:CG11">
    <cfRule type="expression" dxfId="28" priority="349">
      <formula>#REF!&lt;&gt;""</formula>
    </cfRule>
  </conditionalFormatting>
  <conditionalFormatting sqref="Q12">
    <cfRule type="expression" dxfId="27" priority="366">
      <formula>$S9&lt;&gt;""</formula>
    </cfRule>
  </conditionalFormatting>
  <conditionalFormatting sqref="Q13">
    <cfRule type="expression" dxfId="26" priority="2">
      <formula>$S10&lt;&gt;""</formula>
    </cfRule>
  </conditionalFormatting>
  <conditionalFormatting sqref="AC18:AQ18">
    <cfRule type="expression" dxfId="25" priority="367">
      <formula>#REF!&lt;&gt;""</formula>
    </cfRule>
  </conditionalFormatting>
  <conditionalFormatting sqref="AK18:AQ18">
    <cfRule type="expression" dxfId="24" priority="368">
      <formula>#REF!&lt;&gt;""</formula>
    </cfRule>
  </conditionalFormatting>
  <conditionalFormatting sqref="Q15">
    <cfRule type="expression" dxfId="23" priority="369">
      <formula>$S12&lt;&gt;""</formula>
    </cfRule>
  </conditionalFormatting>
  <conditionalFormatting sqref="Q14">
    <cfRule type="expression" dxfId="22" priority="1">
      <formula>$S13&lt;&gt;""</formula>
    </cfRule>
  </conditionalFormatting>
  <dataValidations count="5">
    <dataValidation type="list" allowBlank="1" showInputMessage="1" showErrorMessage="1" errorTitle="ERRO!" error="Escolha um dos tomadores cadastrados, através do botão de seleção à direita." sqref="Q7:AV7" xr:uid="{68AA0C73-4E23-4E3E-967F-C95C964AD1BA}">
      <formula1>TomadoresNomes</formula1>
    </dataValidation>
    <dataValidation type="list" allowBlank="1" showInputMessage="1" showErrorMessage="1" errorTitle="ERRO!" error="Escolha um dos prestadores de serviços cadastrados, através do botão de seleção à direita." sqref="Q8:AV8" xr:uid="{AD6AA4B3-C152-45FF-89AF-7BBE976D889A}">
      <formula1>PrestadoresNomes</formula1>
    </dataValidation>
    <dataValidation type="list" allowBlank="1" showInputMessage="1" showErrorMessage="1" errorTitle="ERRO!" error="Escolha uma das cidades cadastradas, através do botão de seleção à direita." sqref="Q6:AI6" xr:uid="{3D1FDAB5-AC7D-4464-B85F-1E23DA0180E3}">
      <formula1>Cidades</formula1>
    </dataValidation>
    <dataValidation type="list" allowBlank="1" showInputMessage="1" showErrorMessage="1" sqref="BE12:BN12" xr:uid="{CD12FA98-376C-436A-978E-66CFE241B4DA}">
      <formula1>"SIM,NÃO"</formula1>
    </dataValidation>
    <dataValidation type="decimal" allowBlank="1" showInputMessage="1" showErrorMessage="1" errorTitle="ERRO!" error="A soma dos recolhimentos anteriores, dentro do mesmo mês de competência, não pode ser superior ao teto de recolhimento ao INSS." sqref="Q14:AB14 Q15:AB15" xr:uid="{33B5B8EC-93A6-44D4-9FA5-D36BF8245009}">
      <formula1>0</formula1>
      <formula2>VlrMaxContrib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420" r:id="rId4" name="CheckBox2">
          <controlPr defaultSize="0" autoLine="0" r:id="rId5">
            <anchor moveWithCells="1">
              <from>
                <xdr:col>63</xdr:col>
                <xdr:colOff>0</xdr:colOff>
                <xdr:row>5</xdr:row>
                <xdr:rowOff>47625</xdr:rowOff>
              </from>
              <to>
                <xdr:col>69</xdr:col>
                <xdr:colOff>104775</xdr:colOff>
                <xdr:row>5</xdr:row>
                <xdr:rowOff>228600</xdr:rowOff>
              </to>
            </anchor>
          </controlPr>
        </control>
      </mc:Choice>
      <mc:Fallback>
        <control shapeId="16420" r:id="rId4" name="CheckBox2"/>
      </mc:Fallback>
    </mc:AlternateContent>
    <mc:AlternateContent xmlns:mc="http://schemas.openxmlformats.org/markup-compatibility/2006">
      <mc:Choice Requires="x14">
        <control shapeId="16415" r:id="rId6" name="CheckBox1">
          <controlPr defaultSize="0" autoLine="0" linkedCell="Novo_Editar" r:id="rId7">
            <anchor moveWithCells="1">
              <from>
                <xdr:col>40</xdr:col>
                <xdr:colOff>57150</xdr:colOff>
                <xdr:row>3</xdr:row>
                <xdr:rowOff>57150</xdr:rowOff>
              </from>
              <to>
                <xdr:col>45</xdr:col>
                <xdr:colOff>95250</xdr:colOff>
                <xdr:row>4</xdr:row>
                <xdr:rowOff>28575</xdr:rowOff>
              </to>
            </anchor>
          </controlPr>
        </control>
      </mc:Choice>
      <mc:Fallback>
        <control shapeId="16415" r:id="rId6" name="CheckBox1"/>
      </mc:Fallback>
    </mc:AlternateContent>
    <mc:AlternateContent xmlns:mc="http://schemas.openxmlformats.org/markup-compatibility/2006">
      <mc:Choice Requires="x14">
        <control shapeId="16410" r:id="rId8" name="SpinButton1">
          <controlPr defaultSize="0" autoLine="0" linkedCell="BL2" r:id="rId9">
            <anchor moveWithCells="1">
              <from>
                <xdr:col>67</xdr:col>
                <xdr:colOff>104775</xdr:colOff>
                <xdr:row>4</xdr:row>
                <xdr:rowOff>0</xdr:rowOff>
              </from>
              <to>
                <xdr:col>70</xdr:col>
                <xdr:colOff>9525</xdr:colOff>
                <xdr:row>5</xdr:row>
                <xdr:rowOff>19050</xdr:rowOff>
              </to>
            </anchor>
          </controlPr>
        </control>
      </mc:Choice>
      <mc:Fallback>
        <control shapeId="16410" r:id="rId8" name="SpinButton1"/>
      </mc:Fallback>
    </mc:AlternateContent>
    <mc:AlternateContent xmlns:mc="http://schemas.openxmlformats.org/markup-compatibility/2006">
      <mc:Choice Requires="x14">
        <control shapeId="16389" r:id="rId10" name="Group Box 5">
          <controlPr defaultSize="0" autoFill="0" autoPict="0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71</xdr:col>
                <xdr:colOff>19050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4" r:id="rId11" name="Group Box 50">
          <controlPr defaultSize="0" autoFill="0" autoPict="0">
            <anchor moveWithCells="1">
              <from>
                <xdr:col>34</xdr:col>
                <xdr:colOff>47625</xdr:colOff>
                <xdr:row>10</xdr:row>
                <xdr:rowOff>142875</xdr:rowOff>
              </from>
              <to>
                <xdr:col>67</xdr:col>
                <xdr:colOff>38100</xdr:colOff>
                <xdr:row>15</xdr:row>
                <xdr:rowOff>95250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" id="{9E8899CC-ABA6-49E8-9B27-8C76F762CD2E}">
            <xm:f>'Cad. Tomadores'!$B14&lt;&gt;""</xm:f>
            <x14:dxf>
              <fill>
                <gradientFill degree="90">
                  <stop position="0">
                    <color theme="0"/>
                  </stop>
                  <stop position="1">
                    <color theme="4" tint="0.59999389629810485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CH4</xm:sqref>
        </x14:conditionalFormatting>
        <x14:conditionalFormatting xmlns:xm="http://schemas.microsoft.com/office/excel/2006/main">
          <x14:cfRule type="expression" priority="46" id="{9E8899CC-ABA6-49E8-9B27-8C76F762CD2E}">
            <xm:f>'Cad. Tomadores'!$B17&lt;&gt;""</xm:f>
            <x14:dxf>
              <fill>
                <gradientFill degree="90">
                  <stop position="0">
                    <color theme="0"/>
                  </stop>
                  <stop position="1">
                    <color theme="4" tint="0.59999389629810485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CH5</xm:sqref>
        </x14:conditionalFormatting>
        <x14:conditionalFormatting xmlns:xm="http://schemas.microsoft.com/office/excel/2006/main">
          <x14:cfRule type="expression" priority="138" id="{9E8899CC-ABA6-49E8-9B27-8C76F762CD2E}">
            <xm:f>'Cad. Tomadores'!$B29&lt;&gt;""</xm:f>
            <x14:dxf>
              <fill>
                <gradientFill degree="90">
                  <stop position="0">
                    <color theme="0"/>
                  </stop>
                  <stop position="1">
                    <color theme="4" tint="0.59999389629810485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CH9</xm:sqref>
        </x14:conditionalFormatting>
        <x14:conditionalFormatting xmlns:xm="http://schemas.microsoft.com/office/excel/2006/main">
          <x14:cfRule type="expression" priority="149" id="{9E8899CC-ABA6-49E8-9B27-8C76F762CD2E}">
            <xm:f>'Cad. Tomadores'!$B26&lt;&gt;""</xm:f>
            <x14:dxf>
              <fill>
                <gradientFill degree="90">
                  <stop position="0">
                    <color theme="0"/>
                  </stop>
                  <stop position="1">
                    <color theme="4" tint="0.59999389629810485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CH8</xm:sqref>
        </x14:conditionalFormatting>
        <x14:conditionalFormatting xmlns:xm="http://schemas.microsoft.com/office/excel/2006/main">
          <x14:cfRule type="expression" priority="159" id="{9E8899CC-ABA6-49E8-9B27-8C76F762CD2E}">
            <xm:f>'Cad. Tomadores'!$B23&lt;&gt;""</xm:f>
            <x14:dxf>
              <fill>
                <gradientFill degree="90">
                  <stop position="0">
                    <color theme="0"/>
                  </stop>
                  <stop position="1">
                    <color theme="4" tint="0.59999389629810485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CH7</xm:sqref>
        </x14:conditionalFormatting>
        <x14:conditionalFormatting xmlns:xm="http://schemas.microsoft.com/office/excel/2006/main">
          <x14:cfRule type="expression" priority="168" id="{9E8899CC-ABA6-49E8-9B27-8C76F762CD2E}">
            <xm:f>'Cad. Tomadores'!$B20&lt;&gt;""</xm:f>
            <x14:dxf>
              <fill>
                <gradientFill degree="90">
                  <stop position="0">
                    <color theme="0"/>
                  </stop>
                  <stop position="1">
                    <color theme="4" tint="0.59999389629810485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CH6</xm:sqref>
        </x14:conditionalFormatting>
        <x14:conditionalFormatting xmlns:xm="http://schemas.microsoft.com/office/excel/2006/main">
          <x14:cfRule type="expression" priority="208" id="{9E8899CC-ABA6-49E8-9B27-8C76F762CD2E}">
            <xm:f>'Cad. Tomadores'!$B37&lt;&gt;""</xm:f>
            <x14:dxf>
              <fill>
                <gradientFill degree="90">
                  <stop position="0">
                    <color theme="0"/>
                  </stop>
                  <stop position="1">
                    <color theme="4" tint="0.59999389629810485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CH16</xm:sqref>
        </x14:conditionalFormatting>
        <x14:conditionalFormatting xmlns:xm="http://schemas.microsoft.com/office/excel/2006/main">
          <x14:cfRule type="expression" priority="210" id="{9E8899CC-ABA6-49E8-9B27-8C76F762CD2E}">
            <xm:f>'Cad. Tomadores'!$B31&lt;&gt;""</xm:f>
            <x14:dxf>
              <fill>
                <gradientFill degree="90">
                  <stop position="0">
                    <color theme="0"/>
                  </stop>
                  <stop position="1">
                    <color theme="4" tint="0.59999389629810485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CH14</xm:sqref>
        </x14:conditionalFormatting>
        <x14:conditionalFormatting xmlns:xm="http://schemas.microsoft.com/office/excel/2006/main">
          <x14:cfRule type="expression" priority="211" id="{9E8899CC-ABA6-49E8-9B27-8C76F762CD2E}">
            <xm:f>'Cad. Tomadores'!$B28&lt;&gt;""</xm:f>
            <x14:dxf>
              <fill>
                <gradientFill degree="90">
                  <stop position="0">
                    <color theme="0"/>
                  </stop>
                  <stop position="1">
                    <color theme="4" tint="0.59999389629810485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CH13</xm:sqref>
        </x14:conditionalFormatting>
        <x14:conditionalFormatting xmlns:xm="http://schemas.microsoft.com/office/excel/2006/main">
          <x14:cfRule type="expression" priority="212" id="{9E8899CC-ABA6-49E8-9B27-8C76F762CD2E}">
            <xm:f>'Cad. Tomadores'!$B25&lt;&gt;""</xm:f>
            <x14:dxf>
              <fill>
                <gradientFill degree="90">
                  <stop position="0">
                    <color theme="0"/>
                  </stop>
                  <stop position="1">
                    <color theme="4" tint="0.59999389629810485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CH12</xm:sqref>
        </x14:conditionalFormatting>
        <x14:conditionalFormatting xmlns:xm="http://schemas.microsoft.com/office/excel/2006/main">
          <x14:cfRule type="expression" priority="242" id="{9E8899CC-ABA6-49E8-9B27-8C76F762CD2E}">
            <xm:f>'Cad. Tomadores'!$B22&lt;&gt;""</xm:f>
            <x14:dxf>
              <fill>
                <gradientFill degree="90">
                  <stop position="0">
                    <color theme="0"/>
                  </stop>
                  <stop position="1">
                    <color theme="4" tint="0.59999389629810485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CH11 R28:R46</xm:sqref>
        </x14:conditionalFormatting>
        <x14:conditionalFormatting xmlns:xm="http://schemas.microsoft.com/office/excel/2006/main">
          <x14:cfRule type="expression" priority="330" id="{9E8899CC-ABA6-49E8-9B27-8C76F762CD2E}">
            <xm:f>'Cad. Tomadores'!#REF!&lt;&gt;""</xm:f>
            <x14:dxf>
              <fill>
                <gradientFill degree="90">
                  <stop position="0">
                    <color theme="0"/>
                  </stop>
                  <stop position="1">
                    <color theme="4" tint="0.59999389629810485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R4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_RPA">
    <pageSetUpPr fitToPage="1"/>
  </sheetPr>
  <dimension ref="C2:CN84"/>
  <sheetViews>
    <sheetView showGridLines="0" showRowColHeaders="0" topLeftCell="A19" zoomScaleNormal="100" workbookViewId="0">
      <selection activeCell="BL62" sqref="BL62"/>
    </sheetView>
  </sheetViews>
  <sheetFormatPr defaultColWidth="1.7109375" defaultRowHeight="9.9499999999999993" customHeight="1" x14ac:dyDescent="0.25"/>
  <cols>
    <col min="1" max="4" width="1.7109375" style="18" customWidth="1"/>
    <col min="5" max="5" width="1.7109375" style="19" customWidth="1"/>
    <col min="6" max="57" width="1.7109375" style="18"/>
    <col min="58" max="58" width="1.7109375" style="18" customWidth="1"/>
    <col min="59" max="63" width="1.7109375" style="18"/>
    <col min="64" max="64" width="1.7109375" style="18" customWidth="1"/>
    <col min="65" max="16384" width="1.7109375" style="18"/>
  </cols>
  <sheetData>
    <row r="2" spans="3:92" ht="9.9499999999999993" customHeight="1" x14ac:dyDescent="0.25">
      <c r="D2" s="66"/>
      <c r="E2" s="67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</row>
    <row r="3" spans="3:92" ht="9.9499999999999993" customHeight="1" x14ac:dyDescent="0.25">
      <c r="C3" s="64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1"/>
    </row>
    <row r="4" spans="3:92" ht="9.9499999999999993" customHeight="1" x14ac:dyDescent="0.25">
      <c r="C4" s="64"/>
      <c r="E4" s="159">
        <f>[0]!RegTomador</f>
        <v>0</v>
      </c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  <c r="W4" s="159"/>
      <c r="X4" s="159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64"/>
      <c r="BG4" s="20"/>
      <c r="BH4" s="20"/>
      <c r="BI4" s="20"/>
      <c r="BJ4" s="20"/>
      <c r="BK4" s="20"/>
      <c r="BL4" s="20"/>
      <c r="BM4" s="20"/>
      <c r="BN4" s="20"/>
      <c r="BO4" s="20"/>
    </row>
    <row r="5" spans="3:92" ht="9.9499999999999993" customHeight="1" x14ac:dyDescent="0.25">
      <c r="C5" s="6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/>
      <c r="W5" s="159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  <c r="BA5" s="159"/>
      <c r="BB5" s="159"/>
      <c r="BC5" s="159"/>
      <c r="BD5" s="159"/>
      <c r="BE5" s="159"/>
      <c r="BF5" s="64"/>
      <c r="BG5" s="20"/>
      <c r="BH5" s="20"/>
      <c r="BI5" s="20"/>
      <c r="BJ5" s="20"/>
      <c r="BK5" s="20"/>
      <c r="BL5" s="20"/>
      <c r="BM5" s="20"/>
      <c r="BN5" s="20"/>
      <c r="BO5" s="20"/>
    </row>
    <row r="6" spans="3:92" ht="9.9499999999999993" customHeight="1" x14ac:dyDescent="0.25">
      <c r="C6" s="64"/>
      <c r="D6" s="20"/>
      <c r="E6" s="160" t="e">
        <f ca="1">"CNPJ: "&amp;VLOOKUP(RPA_Tomador,TomadoresTudo,2,FALSE)</f>
        <v>#REF!</v>
      </c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  <c r="AZ6" s="160"/>
      <c r="BA6" s="160"/>
      <c r="BB6" s="160"/>
      <c r="BC6" s="160"/>
      <c r="BD6" s="160"/>
      <c r="BE6" s="160"/>
      <c r="BF6" s="167"/>
      <c r="BG6" s="20"/>
      <c r="BH6" s="20"/>
      <c r="BI6" s="20"/>
      <c r="BJ6" s="20"/>
      <c r="BK6" s="20"/>
      <c r="BL6" s="20"/>
      <c r="BM6" s="20"/>
      <c r="BN6" s="20"/>
      <c r="BO6" s="20"/>
    </row>
    <row r="7" spans="3:92" ht="9.9499999999999993" customHeight="1" x14ac:dyDescent="0.25">
      <c r="C7" s="64"/>
      <c r="D7" s="66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8"/>
      <c r="BG7" s="20"/>
      <c r="BH7" s="20"/>
      <c r="BI7" s="20"/>
      <c r="BJ7" s="20"/>
      <c r="BK7" s="20"/>
      <c r="BL7" s="20"/>
      <c r="BM7" s="20"/>
      <c r="BN7" s="20"/>
      <c r="BO7" s="20"/>
    </row>
    <row r="8" spans="3:92" ht="9.9499999999999993" customHeight="1" x14ac:dyDescent="0.25">
      <c r="BG8" s="20"/>
      <c r="BH8" s="20"/>
      <c r="BI8" s="20"/>
      <c r="BJ8" s="20"/>
      <c r="BK8" s="20"/>
      <c r="BL8" s="20"/>
      <c r="BM8" s="20"/>
      <c r="BN8" s="20"/>
      <c r="BO8" s="20"/>
    </row>
    <row r="9" spans="3:92" ht="9.9499999999999993" customHeight="1" x14ac:dyDescent="0.25"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20"/>
      <c r="BH9" s="20"/>
      <c r="BI9" s="20"/>
      <c r="BJ9" s="20"/>
      <c r="BK9" s="20"/>
      <c r="BL9" s="20"/>
      <c r="BM9" s="20"/>
      <c r="BN9" s="20"/>
      <c r="BO9" s="20"/>
    </row>
    <row r="10" spans="3:92" ht="9.9499999999999993" customHeight="1" x14ac:dyDescent="0.25">
      <c r="C10" s="64"/>
      <c r="E10" s="18"/>
      <c r="BF10" s="71"/>
      <c r="BG10" s="20"/>
      <c r="BH10" s="20"/>
      <c r="BI10" s="20"/>
      <c r="BJ10" s="20"/>
      <c r="BK10" s="20"/>
      <c r="BL10" s="20"/>
      <c r="BM10" s="20"/>
      <c r="BN10" s="20"/>
      <c r="BO10" s="20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</row>
    <row r="11" spans="3:92" ht="9.9499999999999993" customHeight="1" x14ac:dyDescent="0.25">
      <c r="C11" s="64"/>
      <c r="D11" s="41"/>
      <c r="E11" s="159">
        <f>[0]!RegPrestador</f>
        <v>0</v>
      </c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  <c r="BE11" s="159"/>
      <c r="BF11" s="73"/>
      <c r="BG11" s="20"/>
      <c r="BH11" s="20"/>
      <c r="BI11" s="20"/>
      <c r="BJ11" s="20"/>
      <c r="BK11" s="20"/>
      <c r="BL11" s="20"/>
      <c r="BM11" s="20"/>
      <c r="BN11" s="20"/>
      <c r="BO11" s="20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</row>
    <row r="12" spans="3:92" ht="9.9499999999999993" customHeight="1" x14ac:dyDescent="0.25">
      <c r="C12" s="64"/>
      <c r="D12" s="42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  <c r="BE12" s="159"/>
      <c r="BF12" s="73"/>
      <c r="BG12" s="20"/>
      <c r="BH12" s="20"/>
      <c r="BI12" s="20"/>
      <c r="BJ12" s="20"/>
      <c r="BK12" s="20"/>
      <c r="BL12" s="20"/>
      <c r="BM12" s="20"/>
      <c r="BN12" s="20"/>
      <c r="BO12" s="20"/>
    </row>
    <row r="13" spans="3:92" ht="9.9499999999999993" customHeight="1" x14ac:dyDescent="0.25">
      <c r="C13" s="64"/>
      <c r="D13" s="76"/>
      <c r="E13" s="160" t="e">
        <f ca="1">"CPF: "&amp;VLOOKUP(RPA_Prestador,PrestadoresTudo,2,FALSE)</f>
        <v>#N/A</v>
      </c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40"/>
      <c r="T13" s="40"/>
      <c r="U13" s="40"/>
      <c r="V13" s="40"/>
      <c r="W13" s="40"/>
      <c r="X13" s="160" t="e">
        <f ca="1">"Inscrição no INSS: "&amp;VLOOKUP(RPA_Prestador,PrestadoresTudo,3,FALSE)</f>
        <v>#N/A</v>
      </c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160"/>
      <c r="AL13" s="160"/>
      <c r="AM13" s="160"/>
      <c r="AN13" s="160"/>
      <c r="AO13" s="160"/>
      <c r="AP13" s="160"/>
      <c r="AQ13" s="160"/>
      <c r="AR13" s="160"/>
      <c r="AS13" s="16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64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3:92" ht="9.9499999999999993" customHeight="1" x14ac:dyDescent="0.25">
      <c r="C14" s="64"/>
      <c r="D14" s="77"/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68"/>
      <c r="T14" s="68"/>
      <c r="U14" s="68"/>
      <c r="V14" s="68"/>
      <c r="W14" s="68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/>
      <c r="AM14" s="161"/>
      <c r="AN14" s="161"/>
      <c r="AO14" s="161"/>
      <c r="AP14" s="161"/>
      <c r="AQ14" s="161"/>
      <c r="AR14" s="161"/>
      <c r="AS14" s="161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72"/>
      <c r="BG14" s="20"/>
      <c r="BH14" s="20"/>
      <c r="BI14" s="20"/>
      <c r="BJ14" s="20"/>
      <c r="BK14" s="20"/>
      <c r="BL14" s="20"/>
      <c r="BM14" s="20"/>
      <c r="BN14" s="20"/>
      <c r="BO14" s="20"/>
    </row>
    <row r="15" spans="3:92" ht="9.9499999999999993" customHeight="1" x14ac:dyDescent="0.25">
      <c r="E15" s="18"/>
      <c r="BG15" s="20"/>
      <c r="BH15" s="20"/>
      <c r="BI15" s="20"/>
      <c r="BJ15" s="20"/>
      <c r="BK15" s="20"/>
      <c r="BL15" s="20"/>
      <c r="BM15" s="20"/>
      <c r="BN15" s="20"/>
      <c r="BO15" s="20"/>
    </row>
    <row r="16" spans="3:92" ht="9.9499999999999993" customHeight="1" x14ac:dyDescent="0.25"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20"/>
      <c r="BH16" s="20"/>
      <c r="BI16" s="20"/>
      <c r="BJ16" s="20"/>
      <c r="BK16" s="20"/>
      <c r="BL16" s="20"/>
      <c r="BM16" s="20"/>
      <c r="BN16" s="20"/>
      <c r="BO16" s="20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</row>
    <row r="17" spans="3:92" ht="9.9499999999999993" customHeight="1" x14ac:dyDescent="0.25">
      <c r="C17" s="64"/>
      <c r="E17" s="18"/>
      <c r="BF17" s="71"/>
      <c r="BG17" s="20"/>
      <c r="BH17" s="20"/>
      <c r="BI17" s="20"/>
      <c r="BJ17" s="20"/>
      <c r="BK17" s="20"/>
      <c r="BL17" s="20"/>
      <c r="BM17" s="20"/>
      <c r="BN17" s="20"/>
      <c r="BO17" s="20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</row>
    <row r="18" spans="3:92" ht="9.9499999999999993" customHeight="1" x14ac:dyDescent="0.25">
      <c r="C18" s="64"/>
      <c r="E18" s="169">
        <f>[0]!RegDescricao</f>
        <v>0</v>
      </c>
      <c r="F18" s="169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  <c r="AG18" s="169"/>
      <c r="AH18" s="169"/>
      <c r="AI18" s="169"/>
      <c r="AJ18" s="169"/>
      <c r="AK18" s="169"/>
      <c r="AL18" s="169"/>
      <c r="AM18" s="169"/>
      <c r="AN18" s="169"/>
      <c r="AO18" s="169"/>
      <c r="AP18" s="169"/>
      <c r="AQ18" s="169"/>
      <c r="AR18" s="169"/>
      <c r="AS18" s="169"/>
      <c r="AT18" s="169"/>
      <c r="AU18" s="169"/>
      <c r="AV18" s="169"/>
      <c r="AW18" s="169"/>
      <c r="AX18" s="169"/>
      <c r="AY18" s="169"/>
      <c r="AZ18" s="169"/>
      <c r="BA18" s="169"/>
      <c r="BB18" s="169"/>
      <c r="BC18" s="169"/>
      <c r="BD18" s="169"/>
      <c r="BE18" s="169"/>
      <c r="BF18" s="64"/>
      <c r="BG18" s="20"/>
      <c r="BH18" s="20"/>
      <c r="BI18" s="20"/>
      <c r="BJ18" s="20"/>
      <c r="BK18" s="20"/>
      <c r="BL18" s="20"/>
      <c r="BM18" s="20"/>
      <c r="BN18" s="20"/>
      <c r="BO18" s="20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</row>
    <row r="19" spans="3:92" ht="9.9499999999999993" customHeight="1" x14ac:dyDescent="0.25">
      <c r="C19" s="64"/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69"/>
      <c r="AX19" s="169"/>
      <c r="AY19" s="169"/>
      <c r="AZ19" s="169"/>
      <c r="BA19" s="169"/>
      <c r="BB19" s="169"/>
      <c r="BC19" s="169"/>
      <c r="BD19" s="169"/>
      <c r="BE19" s="169"/>
      <c r="BF19" s="64"/>
      <c r="BG19" s="20"/>
      <c r="BH19" s="20"/>
      <c r="BI19" s="20"/>
      <c r="BJ19" s="20"/>
      <c r="BK19" s="20"/>
      <c r="BL19" s="20"/>
      <c r="BM19" s="20"/>
      <c r="BN19" s="20"/>
      <c r="BO19" s="20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</row>
    <row r="20" spans="3:92" ht="9.9499999999999993" customHeight="1" x14ac:dyDescent="0.25">
      <c r="C20" s="64"/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S20" s="169"/>
      <c r="T20" s="169"/>
      <c r="U20" s="169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169"/>
      <c r="AM20" s="169"/>
      <c r="AN20" s="169"/>
      <c r="AO20" s="169"/>
      <c r="AP20" s="169"/>
      <c r="AQ20" s="169"/>
      <c r="AR20" s="169"/>
      <c r="AS20" s="169"/>
      <c r="AT20" s="169"/>
      <c r="AU20" s="169"/>
      <c r="AV20" s="169"/>
      <c r="AW20" s="169"/>
      <c r="AX20" s="169"/>
      <c r="AY20" s="169"/>
      <c r="AZ20" s="169"/>
      <c r="BA20" s="169"/>
      <c r="BB20" s="169"/>
      <c r="BC20" s="169"/>
      <c r="BD20" s="169"/>
      <c r="BE20" s="169"/>
      <c r="BF20" s="64"/>
      <c r="BG20" s="20"/>
      <c r="BH20" s="20"/>
      <c r="BI20" s="20"/>
      <c r="BJ20" s="20"/>
      <c r="BK20" s="20"/>
      <c r="BL20" s="20"/>
      <c r="BM20" s="20"/>
      <c r="BN20" s="20"/>
      <c r="BO20" s="20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</row>
    <row r="21" spans="3:92" ht="9.9499999999999993" customHeight="1" x14ac:dyDescent="0.25">
      <c r="C21" s="64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72"/>
      <c r="BG21" s="20"/>
      <c r="BH21" s="20"/>
      <c r="BI21" s="20"/>
      <c r="BJ21" s="20"/>
      <c r="BK21" s="20"/>
      <c r="BL21" s="20"/>
      <c r="BM21" s="20"/>
      <c r="BN21" s="20"/>
      <c r="BO21" s="20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</row>
    <row r="22" spans="3:92" ht="9.9499999999999993" customHeight="1" x14ac:dyDescent="0.25">
      <c r="E22" s="18"/>
      <c r="BG22" s="20"/>
      <c r="BH22" s="20"/>
      <c r="BI22" s="20"/>
      <c r="BJ22" s="20"/>
      <c r="BK22" s="20"/>
      <c r="BL22" s="20"/>
      <c r="BM22" s="20"/>
      <c r="BN22" s="20"/>
      <c r="BO22" s="20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</row>
    <row r="23" spans="3:92" ht="9.9499999999999993" customHeight="1" x14ac:dyDescent="0.25"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20"/>
      <c r="BH23" s="20"/>
      <c r="BI23" s="20"/>
      <c r="BJ23" s="20"/>
      <c r="BK23" s="20"/>
      <c r="BL23" s="20"/>
      <c r="BM23" s="20"/>
      <c r="BN23" s="20"/>
      <c r="BO23" s="20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</row>
    <row r="24" spans="3:92" ht="9.9499999999999993" customHeight="1" x14ac:dyDescent="0.25">
      <c r="C24" s="64"/>
      <c r="E24" s="18"/>
      <c r="BF24" s="71"/>
      <c r="BG24" s="20"/>
      <c r="BH24" s="20"/>
      <c r="BI24" s="20"/>
      <c r="BJ24" s="20"/>
      <c r="BK24" s="20"/>
      <c r="BL24" s="20"/>
      <c r="BM24" s="20"/>
      <c r="BN24" s="20"/>
      <c r="BO24" s="20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</row>
    <row r="25" spans="3:92" ht="9.9499999999999993" customHeight="1" x14ac:dyDescent="0.25">
      <c r="C25" s="64"/>
      <c r="E25" s="18"/>
      <c r="BF25" s="64"/>
      <c r="BG25" s="20"/>
      <c r="BH25" s="20"/>
      <c r="BI25" s="20"/>
      <c r="BJ25" s="20"/>
      <c r="BK25" s="20"/>
      <c r="BL25" s="20"/>
      <c r="BM25" s="20"/>
      <c r="BN25" s="20"/>
      <c r="BO25" s="20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</row>
    <row r="26" spans="3:92" ht="9.9499999999999993" customHeight="1" x14ac:dyDescent="0.25">
      <c r="C26" s="64"/>
      <c r="E26" s="153" t="s">
        <v>26</v>
      </c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3"/>
      <c r="AF26" s="153"/>
      <c r="AG26" s="153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  <c r="AW26" s="177" t="str">
        <f ca="1">RegInscrMunicipal</f>
        <v/>
      </c>
      <c r="AX26" s="177"/>
      <c r="AY26" s="177"/>
      <c r="AZ26" s="177"/>
      <c r="BA26" s="177"/>
      <c r="BB26" s="177"/>
      <c r="BC26" s="177"/>
      <c r="BD26" s="177"/>
      <c r="BE26" s="177"/>
      <c r="BF26" s="64"/>
      <c r="BG26" s="20"/>
      <c r="BH26" s="20"/>
      <c r="BI26" s="20"/>
      <c r="BJ26" s="20"/>
      <c r="BK26" s="20"/>
      <c r="BL26" s="20"/>
      <c r="BM26" s="20"/>
      <c r="BN26" s="20"/>
      <c r="BO26" s="20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</row>
    <row r="27" spans="3:92" ht="9.9499999999999993" customHeight="1" x14ac:dyDescent="0.25">
      <c r="C27" s="64"/>
      <c r="E27" s="154"/>
      <c r="F27" s="154"/>
      <c r="G27" s="154"/>
      <c r="H27" s="154"/>
      <c r="I27" s="154"/>
      <c r="J27" s="154"/>
      <c r="K27" s="154"/>
      <c r="L27" s="154"/>
      <c r="M27" s="154"/>
      <c r="N27" s="154"/>
      <c r="O27" s="154"/>
      <c r="P27" s="154"/>
      <c r="Q27" s="154"/>
      <c r="R27" s="154"/>
      <c r="S27" s="154"/>
      <c r="T27" s="154"/>
      <c r="U27" s="154"/>
      <c r="V27" s="154"/>
      <c r="W27" s="154"/>
      <c r="X27" s="154"/>
      <c r="Y27" s="154"/>
      <c r="Z27" s="154"/>
      <c r="AA27" s="154"/>
      <c r="AB27" s="154"/>
      <c r="AC27" s="154"/>
      <c r="AD27" s="154"/>
      <c r="AE27" s="154"/>
      <c r="AF27" s="154"/>
      <c r="AG27" s="154"/>
      <c r="AH27" s="154"/>
      <c r="AI27" s="154"/>
      <c r="AJ27" s="154"/>
      <c r="AK27" s="154"/>
      <c r="AL27" s="154"/>
      <c r="AM27" s="154"/>
      <c r="AN27" s="154"/>
      <c r="AO27" s="154"/>
      <c r="AP27" s="154"/>
      <c r="AQ27" s="154"/>
      <c r="AR27" s="154"/>
      <c r="AS27" s="154"/>
      <c r="AT27" s="154"/>
      <c r="AU27" s="154"/>
      <c r="AW27" s="178"/>
      <c r="AX27" s="178"/>
      <c r="AY27" s="178"/>
      <c r="AZ27" s="178"/>
      <c r="BA27" s="178"/>
      <c r="BB27" s="178"/>
      <c r="BC27" s="178"/>
      <c r="BD27" s="178"/>
      <c r="BE27" s="178"/>
      <c r="BF27" s="64"/>
      <c r="BG27" s="20"/>
      <c r="BH27" s="20"/>
      <c r="BI27" s="20"/>
      <c r="BJ27" s="20"/>
      <c r="BK27" s="20"/>
      <c r="BL27" s="20"/>
      <c r="BM27" s="20"/>
      <c r="BN27" s="20"/>
      <c r="BO27" s="20"/>
      <c r="BP27" s="170"/>
      <c r="BQ27" s="170"/>
      <c r="BR27" s="170"/>
      <c r="BS27" s="170"/>
      <c r="BT27" s="170"/>
      <c r="BU27" s="170"/>
      <c r="BV27" s="170"/>
      <c r="BW27" s="170"/>
      <c r="BX27" s="170"/>
      <c r="BY27" s="170"/>
      <c r="BZ27" s="170"/>
      <c r="CA27" s="170"/>
      <c r="CB27" s="170"/>
      <c r="CC27" s="170"/>
      <c r="CD27" s="170"/>
      <c r="CE27" s="170"/>
      <c r="CF27" s="170"/>
      <c r="CG27" s="170"/>
      <c r="CH27" s="170"/>
      <c r="CI27" s="170"/>
      <c r="CJ27" s="170"/>
      <c r="CK27" s="170"/>
      <c r="CL27" s="170"/>
      <c r="CM27" s="170"/>
      <c r="CN27" s="170"/>
    </row>
    <row r="28" spans="3:92" ht="9.9499999999999993" customHeight="1" x14ac:dyDescent="0.25">
      <c r="C28" s="64"/>
      <c r="E28" s="153" t="s">
        <v>97</v>
      </c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  <c r="AW28" s="179" t="str">
        <f ca="1">RegNroDependentes</f>
        <v/>
      </c>
      <c r="AX28" s="179"/>
      <c r="AY28" s="179"/>
      <c r="AZ28" s="179"/>
      <c r="BA28" s="179"/>
      <c r="BB28" s="179"/>
      <c r="BC28" s="179"/>
      <c r="BD28" s="179"/>
      <c r="BE28" s="179"/>
      <c r="BF28" s="64"/>
      <c r="BG28" s="20"/>
      <c r="BH28" s="20"/>
      <c r="BI28" s="20"/>
      <c r="BJ28" s="20"/>
      <c r="BK28" s="20"/>
      <c r="BL28" s="20"/>
      <c r="BM28" s="20"/>
      <c r="BN28" s="20"/>
      <c r="BO28" s="20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</row>
    <row r="29" spans="3:92" ht="9.9499999999999993" customHeight="1" x14ac:dyDescent="0.25">
      <c r="C29" s="64"/>
      <c r="E29" s="154"/>
      <c r="F29" s="154"/>
      <c r="G29" s="154"/>
      <c r="H29" s="154"/>
      <c r="I29" s="154"/>
      <c r="J29" s="154"/>
      <c r="K29" s="154"/>
      <c r="L29" s="154"/>
      <c r="M29" s="154"/>
      <c r="N29" s="154"/>
      <c r="O29" s="154"/>
      <c r="P29" s="154"/>
      <c r="Q29" s="154"/>
      <c r="R29" s="154"/>
      <c r="S29" s="154"/>
      <c r="T29" s="154"/>
      <c r="U29" s="154"/>
      <c r="V29" s="154"/>
      <c r="W29" s="154"/>
      <c r="X29" s="154"/>
      <c r="Y29" s="154"/>
      <c r="Z29" s="154"/>
      <c r="AA29" s="154"/>
      <c r="AB29" s="154"/>
      <c r="AC29" s="154"/>
      <c r="AD29" s="154"/>
      <c r="AE29" s="154"/>
      <c r="AF29" s="154"/>
      <c r="AG29" s="154"/>
      <c r="AH29" s="154"/>
      <c r="AI29" s="154"/>
      <c r="AJ29" s="154"/>
      <c r="AK29" s="154"/>
      <c r="AL29" s="154"/>
      <c r="AM29" s="154"/>
      <c r="AN29" s="154"/>
      <c r="AO29" s="154"/>
      <c r="AP29" s="154"/>
      <c r="AQ29" s="154"/>
      <c r="AR29" s="154"/>
      <c r="AS29" s="154"/>
      <c r="AT29" s="154"/>
      <c r="AU29" s="154"/>
      <c r="AW29" s="180"/>
      <c r="AX29" s="180"/>
      <c r="AY29" s="180"/>
      <c r="AZ29" s="180"/>
      <c r="BA29" s="180"/>
      <c r="BB29" s="180"/>
      <c r="BC29" s="180"/>
      <c r="BD29" s="180"/>
      <c r="BE29" s="180"/>
      <c r="BF29" s="64"/>
      <c r="BG29" s="20"/>
      <c r="BH29" s="20"/>
      <c r="BI29" s="20"/>
      <c r="BJ29" s="20"/>
      <c r="BK29" s="20"/>
      <c r="BL29" s="20"/>
      <c r="BM29" s="20"/>
      <c r="BN29" s="20"/>
      <c r="BO29" s="20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</row>
    <row r="30" spans="3:92" ht="9.9499999999999993" customHeight="1" x14ac:dyDescent="0.25">
      <c r="C30" s="64"/>
      <c r="E30" s="153" t="s">
        <v>98</v>
      </c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/>
      <c r="AD30" s="153"/>
      <c r="AE30" s="153"/>
      <c r="AF30" s="153"/>
      <c r="AG30" s="153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  <c r="AW30" s="151" t="str">
        <f ca="1">RegPensaoAlim</f>
        <v/>
      </c>
      <c r="AX30" s="151"/>
      <c r="AY30" s="151"/>
      <c r="AZ30" s="151"/>
      <c r="BA30" s="151"/>
      <c r="BB30" s="151"/>
      <c r="BC30" s="151"/>
      <c r="BD30" s="151"/>
      <c r="BE30" s="151"/>
      <c r="BF30" s="64"/>
      <c r="BG30" s="20"/>
      <c r="BH30" s="20"/>
      <c r="BI30" s="20"/>
      <c r="BJ30" s="20"/>
      <c r="BK30" s="20"/>
      <c r="BL30" s="20"/>
      <c r="BM30" s="20"/>
      <c r="BN30" s="20"/>
      <c r="BO30" s="20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</row>
    <row r="31" spans="3:92" ht="9.9499999999999993" customHeight="1" x14ac:dyDescent="0.25">
      <c r="C31" s="64"/>
      <c r="E31" s="154"/>
      <c r="F31" s="154"/>
      <c r="G31" s="154"/>
      <c r="H31" s="154"/>
      <c r="I31" s="154"/>
      <c r="J31" s="154"/>
      <c r="K31" s="154"/>
      <c r="L31" s="154"/>
      <c r="M31" s="154"/>
      <c r="N31" s="154"/>
      <c r="O31" s="154"/>
      <c r="P31" s="154"/>
      <c r="Q31" s="154"/>
      <c r="R31" s="154"/>
      <c r="S31" s="154"/>
      <c r="T31" s="154"/>
      <c r="U31" s="154"/>
      <c r="V31" s="154"/>
      <c r="W31" s="154"/>
      <c r="X31" s="154"/>
      <c r="Y31" s="154"/>
      <c r="Z31" s="154"/>
      <c r="AA31" s="154"/>
      <c r="AB31" s="154"/>
      <c r="AC31" s="154"/>
      <c r="AD31" s="154"/>
      <c r="AE31" s="154"/>
      <c r="AF31" s="154"/>
      <c r="AG31" s="154"/>
      <c r="AH31" s="154"/>
      <c r="AI31" s="154"/>
      <c r="AJ31" s="154"/>
      <c r="AK31" s="154"/>
      <c r="AL31" s="154"/>
      <c r="AM31" s="154"/>
      <c r="AN31" s="154"/>
      <c r="AO31" s="154"/>
      <c r="AP31" s="154"/>
      <c r="AQ31" s="154"/>
      <c r="AR31" s="154"/>
      <c r="AS31" s="154"/>
      <c r="AT31" s="154"/>
      <c r="AU31" s="154"/>
      <c r="AW31" s="152"/>
      <c r="AX31" s="152"/>
      <c r="AY31" s="152"/>
      <c r="AZ31" s="152"/>
      <c r="BA31" s="152"/>
      <c r="BB31" s="152"/>
      <c r="BC31" s="152"/>
      <c r="BD31" s="152"/>
      <c r="BE31" s="152"/>
      <c r="BF31" s="64"/>
      <c r="BG31" s="20"/>
      <c r="BH31" s="20"/>
      <c r="BI31" s="20"/>
      <c r="BJ31" s="20"/>
      <c r="BK31" s="20"/>
      <c r="BL31" s="20"/>
      <c r="BM31" s="20"/>
      <c r="BN31" s="20"/>
      <c r="BO31" s="20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</row>
    <row r="32" spans="3:92" ht="9.9499999999999993" customHeight="1" x14ac:dyDescent="0.25">
      <c r="C32" s="64"/>
      <c r="E32" s="153" t="s">
        <v>99</v>
      </c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Q32" s="153"/>
      <c r="R32" s="153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/>
      <c r="AD32" s="153"/>
      <c r="AE32" s="153"/>
      <c r="AF32" s="153"/>
      <c r="AG32" s="153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  <c r="AW32" s="151" t="str">
        <f ca="1">RegOutrasDeducoes</f>
        <v/>
      </c>
      <c r="AX32" s="151"/>
      <c r="AY32" s="151"/>
      <c r="AZ32" s="151"/>
      <c r="BA32" s="151"/>
      <c r="BB32" s="151"/>
      <c r="BC32" s="151"/>
      <c r="BD32" s="151"/>
      <c r="BE32" s="151"/>
      <c r="BF32" s="64"/>
      <c r="BG32" s="20"/>
      <c r="BH32" s="20"/>
      <c r="BI32" s="20"/>
      <c r="BJ32" s="20"/>
      <c r="BK32" s="20"/>
      <c r="BL32" s="20"/>
      <c r="BM32" s="20"/>
      <c r="BN32" s="20"/>
      <c r="BO32" s="20"/>
    </row>
    <row r="33" spans="3:92" ht="9.9499999999999993" customHeight="1" x14ac:dyDescent="0.25">
      <c r="C33" s="64"/>
      <c r="E33" s="154"/>
      <c r="F33" s="154"/>
      <c r="G33" s="154"/>
      <c r="H33" s="154"/>
      <c r="I33" s="154"/>
      <c r="J33" s="154"/>
      <c r="K33" s="154"/>
      <c r="L33" s="154"/>
      <c r="M33" s="154"/>
      <c r="N33" s="154"/>
      <c r="O33" s="154"/>
      <c r="P33" s="154"/>
      <c r="Q33" s="154"/>
      <c r="R33" s="154"/>
      <c r="S33" s="154"/>
      <c r="T33" s="154"/>
      <c r="U33" s="154"/>
      <c r="V33" s="154"/>
      <c r="W33" s="154"/>
      <c r="X33" s="154"/>
      <c r="Y33" s="154"/>
      <c r="Z33" s="154"/>
      <c r="AA33" s="154"/>
      <c r="AB33" s="154"/>
      <c r="AC33" s="154"/>
      <c r="AD33" s="154"/>
      <c r="AE33" s="154"/>
      <c r="AF33" s="154"/>
      <c r="AG33" s="154"/>
      <c r="AH33" s="154"/>
      <c r="AI33" s="154"/>
      <c r="AJ33" s="154"/>
      <c r="AK33" s="154"/>
      <c r="AL33" s="154"/>
      <c r="AM33" s="154"/>
      <c r="AN33" s="154"/>
      <c r="AO33" s="154"/>
      <c r="AP33" s="154"/>
      <c r="AQ33" s="154"/>
      <c r="AR33" s="154"/>
      <c r="AS33" s="154"/>
      <c r="AT33" s="154"/>
      <c r="AU33" s="154"/>
      <c r="AW33" s="152"/>
      <c r="AX33" s="152"/>
      <c r="AY33" s="152"/>
      <c r="AZ33" s="152"/>
      <c r="BA33" s="152"/>
      <c r="BB33" s="152"/>
      <c r="BC33" s="152"/>
      <c r="BD33" s="152"/>
      <c r="BE33" s="152"/>
      <c r="BF33" s="64"/>
    </row>
    <row r="34" spans="3:92" ht="9.9499999999999993" customHeight="1" x14ac:dyDescent="0.25">
      <c r="C34" s="64"/>
      <c r="E34" s="153" t="s">
        <v>100</v>
      </c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  <c r="AW34" s="151">
        <f>RegOutrasReceitas</f>
        <v>0</v>
      </c>
      <c r="AX34" s="151"/>
      <c r="AY34" s="151"/>
      <c r="AZ34" s="151"/>
      <c r="BA34" s="151"/>
      <c r="BB34" s="151"/>
      <c r="BC34" s="151"/>
      <c r="BD34" s="151"/>
      <c r="BE34" s="151"/>
      <c r="BF34" s="64"/>
      <c r="BG34" s="20"/>
      <c r="BH34" s="20"/>
      <c r="BI34" s="20"/>
      <c r="BJ34" s="20"/>
      <c r="BK34" s="20"/>
      <c r="BL34" s="20"/>
      <c r="BM34" s="20"/>
      <c r="BN34" s="20"/>
      <c r="BO34" s="20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</row>
    <row r="35" spans="3:92" ht="9.9499999999999993" customHeight="1" x14ac:dyDescent="0.25">
      <c r="C35" s="64"/>
      <c r="E35" s="154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54"/>
      <c r="R35" s="154"/>
      <c r="S35" s="154"/>
      <c r="T35" s="154"/>
      <c r="U35" s="154"/>
      <c r="V35" s="154"/>
      <c r="W35" s="154"/>
      <c r="X35" s="154"/>
      <c r="Y35" s="154"/>
      <c r="Z35" s="154"/>
      <c r="AA35" s="154"/>
      <c r="AB35" s="154"/>
      <c r="AC35" s="154"/>
      <c r="AD35" s="154"/>
      <c r="AE35" s="154"/>
      <c r="AF35" s="154"/>
      <c r="AG35" s="154"/>
      <c r="AH35" s="154"/>
      <c r="AI35" s="154"/>
      <c r="AJ35" s="154"/>
      <c r="AK35" s="154"/>
      <c r="AL35" s="154"/>
      <c r="AM35" s="154"/>
      <c r="AN35" s="154"/>
      <c r="AO35" s="154"/>
      <c r="AP35" s="154"/>
      <c r="AQ35" s="154"/>
      <c r="AR35" s="154"/>
      <c r="AS35" s="154"/>
      <c r="AT35" s="154"/>
      <c r="AU35" s="154"/>
      <c r="AW35" s="152"/>
      <c r="AX35" s="152"/>
      <c r="AY35" s="152"/>
      <c r="AZ35" s="152"/>
      <c r="BA35" s="152"/>
      <c r="BB35" s="152"/>
      <c r="BC35" s="152"/>
      <c r="BD35" s="152"/>
      <c r="BE35" s="152"/>
      <c r="BF35" s="64"/>
      <c r="BG35" s="20"/>
      <c r="BH35" s="20"/>
      <c r="BI35" s="20"/>
      <c r="BJ35" s="20"/>
      <c r="BK35" s="20"/>
      <c r="BL35" s="20"/>
      <c r="BM35" s="20"/>
      <c r="BN35" s="20"/>
      <c r="BO35" s="20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</row>
    <row r="36" spans="3:92" ht="9.9499999999999993" customHeight="1" x14ac:dyDescent="0.25">
      <c r="C36" s="64"/>
      <c r="E36" s="153" t="s">
        <v>102</v>
      </c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  <c r="AW36" s="151">
        <f>RegDeducaoIRRF</f>
        <v>0</v>
      </c>
      <c r="AX36" s="151"/>
      <c r="AY36" s="151"/>
      <c r="AZ36" s="151"/>
      <c r="BA36" s="151"/>
      <c r="BB36" s="151"/>
      <c r="BC36" s="151"/>
      <c r="BD36" s="151"/>
      <c r="BE36" s="151"/>
      <c r="BF36" s="64"/>
      <c r="BG36" s="20"/>
      <c r="BH36" s="20"/>
      <c r="BI36" s="20"/>
      <c r="BJ36" s="20"/>
      <c r="BK36" s="20"/>
      <c r="BL36" s="20"/>
      <c r="BM36" s="20"/>
      <c r="BN36" s="20"/>
      <c r="BO36" s="20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</row>
    <row r="37" spans="3:92" ht="9.9499999999999993" customHeight="1" x14ac:dyDescent="0.25">
      <c r="C37" s="64"/>
      <c r="E37" s="154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54"/>
      <c r="R37" s="154"/>
      <c r="S37" s="154"/>
      <c r="T37" s="154"/>
      <c r="U37" s="154"/>
      <c r="V37" s="154"/>
      <c r="W37" s="154"/>
      <c r="X37" s="154"/>
      <c r="Y37" s="154"/>
      <c r="Z37" s="154"/>
      <c r="AA37" s="154"/>
      <c r="AB37" s="154"/>
      <c r="AC37" s="154"/>
      <c r="AD37" s="154"/>
      <c r="AE37" s="154"/>
      <c r="AF37" s="154"/>
      <c r="AG37" s="154"/>
      <c r="AH37" s="154"/>
      <c r="AI37" s="154"/>
      <c r="AJ37" s="154"/>
      <c r="AK37" s="154"/>
      <c r="AL37" s="154"/>
      <c r="AM37" s="154"/>
      <c r="AN37" s="154"/>
      <c r="AO37" s="154"/>
      <c r="AP37" s="154"/>
      <c r="AQ37" s="154"/>
      <c r="AR37" s="154"/>
      <c r="AS37" s="154"/>
      <c r="AT37" s="154"/>
      <c r="AU37" s="154"/>
      <c r="AW37" s="152"/>
      <c r="AX37" s="152"/>
      <c r="AY37" s="152"/>
      <c r="AZ37" s="152"/>
      <c r="BA37" s="152"/>
      <c r="BB37" s="152"/>
      <c r="BC37" s="152"/>
      <c r="BD37" s="152"/>
      <c r="BE37" s="152"/>
      <c r="BF37" s="64"/>
      <c r="BG37" s="20"/>
      <c r="BH37" s="20"/>
      <c r="BI37" s="20"/>
      <c r="BJ37" s="20"/>
      <c r="BK37" s="20"/>
      <c r="BL37" s="20"/>
      <c r="BM37" s="20"/>
      <c r="BN37" s="20"/>
      <c r="BO37" s="20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</row>
    <row r="38" spans="3:92" ht="9.9499999999999993" customHeight="1" x14ac:dyDescent="0.25">
      <c r="C38" s="64"/>
      <c r="E38" s="153" t="s">
        <v>101</v>
      </c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  <c r="AW38" s="151">
        <f>RegDeducaoINSS</f>
        <v>0</v>
      </c>
      <c r="AX38" s="151"/>
      <c r="AY38" s="151"/>
      <c r="AZ38" s="151"/>
      <c r="BA38" s="151"/>
      <c r="BB38" s="151"/>
      <c r="BC38" s="151"/>
      <c r="BD38" s="151"/>
      <c r="BE38" s="151"/>
      <c r="BF38" s="64"/>
      <c r="BG38" s="20"/>
      <c r="BH38" s="20"/>
      <c r="BI38" s="20"/>
      <c r="BJ38" s="20"/>
      <c r="BK38" s="20"/>
      <c r="BL38" s="20"/>
      <c r="BM38" s="20"/>
      <c r="BN38" s="20"/>
      <c r="BO38" s="20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</row>
    <row r="39" spans="3:92" ht="9.9499999999999993" customHeight="1" x14ac:dyDescent="0.25">
      <c r="C39" s="64"/>
      <c r="E39" s="154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54"/>
      <c r="R39" s="154"/>
      <c r="S39" s="154"/>
      <c r="T39" s="154"/>
      <c r="U39" s="154"/>
      <c r="V39" s="154"/>
      <c r="W39" s="154"/>
      <c r="X39" s="154"/>
      <c r="Y39" s="154"/>
      <c r="Z39" s="154"/>
      <c r="AA39" s="154"/>
      <c r="AB39" s="154"/>
      <c r="AC39" s="154"/>
      <c r="AD39" s="154"/>
      <c r="AE39" s="154"/>
      <c r="AF39" s="154"/>
      <c r="AG39" s="154"/>
      <c r="AH39" s="154"/>
      <c r="AI39" s="154"/>
      <c r="AJ39" s="154"/>
      <c r="AK39" s="154"/>
      <c r="AL39" s="154"/>
      <c r="AM39" s="154"/>
      <c r="AN39" s="154"/>
      <c r="AO39" s="154"/>
      <c r="AP39" s="154"/>
      <c r="AQ39" s="154"/>
      <c r="AR39" s="154"/>
      <c r="AS39" s="154"/>
      <c r="AT39" s="154"/>
      <c r="AU39" s="154"/>
      <c r="AW39" s="152"/>
      <c r="AX39" s="152"/>
      <c r="AY39" s="152"/>
      <c r="AZ39" s="152"/>
      <c r="BA39" s="152"/>
      <c r="BB39" s="152"/>
      <c r="BC39" s="152"/>
      <c r="BD39" s="152"/>
      <c r="BE39" s="152"/>
      <c r="BF39" s="64"/>
      <c r="BG39" s="20"/>
      <c r="BH39" s="20"/>
      <c r="BI39" s="20"/>
      <c r="BJ39" s="20"/>
      <c r="BK39" s="20"/>
      <c r="BL39" s="20"/>
      <c r="BM39" s="20"/>
      <c r="BN39" s="20"/>
      <c r="BO39" s="20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</row>
    <row r="40" spans="3:92" ht="9.9499999999999993" customHeight="1" x14ac:dyDescent="0.25">
      <c r="C40" s="64"/>
      <c r="D40" s="66"/>
      <c r="E40" s="67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72"/>
    </row>
    <row r="42" spans="3:92" ht="9.9499999999999993" customHeight="1" x14ac:dyDescent="0.25"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</row>
    <row r="43" spans="3:92" ht="9.9499999999999993" customHeight="1" x14ac:dyDescent="0.25">
      <c r="C43" s="64"/>
      <c r="BF43" s="71"/>
    </row>
    <row r="44" spans="3:92" ht="9.9499999999999993" customHeight="1" x14ac:dyDescent="0.25">
      <c r="C44" s="64"/>
      <c r="BF44" s="64"/>
    </row>
    <row r="45" spans="3:92" ht="9.9499999999999993" customHeight="1" x14ac:dyDescent="0.25">
      <c r="C45" s="64"/>
      <c r="E45" s="175" t="s">
        <v>27</v>
      </c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20"/>
      <c r="AW45" s="151">
        <f>RegValor</f>
        <v>0</v>
      </c>
      <c r="AX45" s="151"/>
      <c r="AY45" s="151"/>
      <c r="AZ45" s="151"/>
      <c r="BA45" s="151"/>
      <c r="BB45" s="151"/>
      <c r="BC45" s="151"/>
      <c r="BD45" s="151"/>
      <c r="BE45" s="151"/>
      <c r="BF45" s="64"/>
    </row>
    <row r="46" spans="3:92" ht="9.9499999999999993" customHeight="1" x14ac:dyDescent="0.25">
      <c r="C46" s="64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  <c r="AO46" s="176"/>
      <c r="AP46" s="176"/>
      <c r="AQ46" s="176"/>
      <c r="AR46" s="176"/>
      <c r="AS46" s="176"/>
      <c r="AT46" s="176"/>
      <c r="AU46" s="176"/>
      <c r="AV46" s="20"/>
      <c r="AW46" s="152"/>
      <c r="AX46" s="152"/>
      <c r="AY46" s="152"/>
      <c r="AZ46" s="152"/>
      <c r="BA46" s="152"/>
      <c r="BB46" s="152"/>
      <c r="BC46" s="152"/>
      <c r="BD46" s="152"/>
      <c r="BE46" s="152"/>
      <c r="BF46" s="64"/>
    </row>
    <row r="47" spans="3:92" ht="9.9499999999999993" customHeight="1" x14ac:dyDescent="0.25">
      <c r="C47" s="64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34"/>
      <c r="AX47" s="34"/>
      <c r="AY47" s="34"/>
      <c r="AZ47" s="34"/>
      <c r="BA47" s="34"/>
      <c r="BB47" s="34"/>
      <c r="BC47" s="34"/>
      <c r="BD47" s="34"/>
      <c r="BE47" s="34"/>
      <c r="BF47" s="64"/>
    </row>
    <row r="48" spans="3:92" ht="9.9499999999999993" customHeight="1" x14ac:dyDescent="0.25">
      <c r="C48" s="64"/>
      <c r="E48" s="153" t="s">
        <v>82</v>
      </c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  <c r="AV48" s="20"/>
      <c r="AW48" s="151">
        <f>'Registro do RPA'!CR6</f>
        <v>0</v>
      </c>
      <c r="AX48" s="151"/>
      <c r="AY48" s="151"/>
      <c r="AZ48" s="151"/>
      <c r="BA48" s="151"/>
      <c r="BB48" s="151"/>
      <c r="BC48" s="151"/>
      <c r="BD48" s="151"/>
      <c r="BE48" s="151"/>
      <c r="BF48" s="64"/>
    </row>
    <row r="49" spans="3:58" ht="9.9499999999999993" customHeight="1" x14ac:dyDescent="0.25">
      <c r="C49" s="64"/>
      <c r="E49" s="154"/>
      <c r="F49" s="154"/>
      <c r="G49" s="154"/>
      <c r="H49" s="154"/>
      <c r="I49" s="154"/>
      <c r="J49" s="154"/>
      <c r="K49" s="154"/>
      <c r="L49" s="154"/>
      <c r="M49" s="154"/>
      <c r="N49" s="154"/>
      <c r="O49" s="154"/>
      <c r="P49" s="154"/>
      <c r="Q49" s="154"/>
      <c r="R49" s="154"/>
      <c r="S49" s="154"/>
      <c r="T49" s="154"/>
      <c r="U49" s="154"/>
      <c r="V49" s="154"/>
      <c r="W49" s="154"/>
      <c r="X49" s="154"/>
      <c r="Y49" s="154"/>
      <c r="Z49" s="154"/>
      <c r="AA49" s="154"/>
      <c r="AB49" s="154"/>
      <c r="AC49" s="154"/>
      <c r="AD49" s="154"/>
      <c r="AE49" s="154"/>
      <c r="AF49" s="154"/>
      <c r="AG49" s="154"/>
      <c r="AH49" s="154"/>
      <c r="AI49" s="154"/>
      <c r="AJ49" s="154"/>
      <c r="AK49" s="154"/>
      <c r="AL49" s="154"/>
      <c r="AM49" s="154"/>
      <c r="AN49" s="154"/>
      <c r="AO49" s="154"/>
      <c r="AP49" s="154"/>
      <c r="AQ49" s="154"/>
      <c r="AR49" s="154"/>
      <c r="AS49" s="154"/>
      <c r="AT49" s="154"/>
      <c r="AU49" s="154"/>
      <c r="AV49" s="20"/>
      <c r="AW49" s="152"/>
      <c r="AX49" s="152"/>
      <c r="AY49" s="152"/>
      <c r="AZ49" s="152"/>
      <c r="BA49" s="152"/>
      <c r="BB49" s="152"/>
      <c r="BC49" s="152"/>
      <c r="BD49" s="152"/>
      <c r="BE49" s="152"/>
      <c r="BF49" s="64"/>
    </row>
    <row r="50" spans="3:58" ht="9.9499999999999993" customHeight="1" x14ac:dyDescent="0.25">
      <c r="C50" s="64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34"/>
      <c r="AX50" s="34"/>
      <c r="AY50" s="34"/>
      <c r="AZ50" s="34"/>
      <c r="BA50" s="34"/>
      <c r="BB50" s="34"/>
      <c r="BC50" s="34"/>
      <c r="BD50" s="34"/>
      <c r="BE50" s="34"/>
      <c r="BF50" s="64"/>
    </row>
    <row r="51" spans="3:58" ht="9.9499999999999993" customHeight="1" x14ac:dyDescent="0.25">
      <c r="C51" s="64"/>
      <c r="E51" s="153" t="s">
        <v>24</v>
      </c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  <c r="AV51" s="20"/>
      <c r="AW51" s="151">
        <f ca="1">'Registro do RPA'!CR7</f>
        <v>0</v>
      </c>
      <c r="AX51" s="151"/>
      <c r="AY51" s="151"/>
      <c r="AZ51" s="151"/>
      <c r="BA51" s="151"/>
      <c r="BB51" s="151"/>
      <c r="BC51" s="151"/>
      <c r="BD51" s="151"/>
      <c r="BE51" s="151"/>
      <c r="BF51" s="64"/>
    </row>
    <row r="52" spans="3:58" ht="9.9499999999999993" customHeight="1" x14ac:dyDescent="0.25">
      <c r="C52" s="64"/>
      <c r="E52" s="154"/>
      <c r="F52" s="154"/>
      <c r="G52" s="154"/>
      <c r="H52" s="154"/>
      <c r="I52" s="154"/>
      <c r="J52" s="154"/>
      <c r="K52" s="154"/>
      <c r="L52" s="154"/>
      <c r="M52" s="154"/>
      <c r="N52" s="154"/>
      <c r="O52" s="154"/>
      <c r="P52" s="154"/>
      <c r="Q52" s="154"/>
      <c r="R52" s="154"/>
      <c r="S52" s="154"/>
      <c r="T52" s="154"/>
      <c r="U52" s="154"/>
      <c r="V52" s="154"/>
      <c r="W52" s="154"/>
      <c r="X52" s="154"/>
      <c r="Y52" s="154"/>
      <c r="Z52" s="154"/>
      <c r="AA52" s="154"/>
      <c r="AB52" s="154"/>
      <c r="AC52" s="154"/>
      <c r="AD52" s="154"/>
      <c r="AE52" s="154"/>
      <c r="AF52" s="154"/>
      <c r="AG52" s="154"/>
      <c r="AH52" s="154"/>
      <c r="AI52" s="154"/>
      <c r="AJ52" s="154"/>
      <c r="AK52" s="154"/>
      <c r="AL52" s="154"/>
      <c r="AM52" s="154"/>
      <c r="AN52" s="154"/>
      <c r="AO52" s="154"/>
      <c r="AP52" s="154"/>
      <c r="AQ52" s="154"/>
      <c r="AR52" s="154"/>
      <c r="AS52" s="154"/>
      <c r="AT52" s="154"/>
      <c r="AU52" s="154"/>
      <c r="AV52" s="20"/>
      <c r="AW52" s="152"/>
      <c r="AX52" s="152"/>
      <c r="AY52" s="152"/>
      <c r="AZ52" s="152"/>
      <c r="BA52" s="152"/>
      <c r="BB52" s="152"/>
      <c r="BC52" s="152"/>
      <c r="BD52" s="152"/>
      <c r="BE52" s="152"/>
      <c r="BF52" s="64"/>
    </row>
    <row r="53" spans="3:58" ht="9.9499999999999993" customHeight="1" x14ac:dyDescent="0.25">
      <c r="C53" s="64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34"/>
      <c r="AX53" s="34"/>
      <c r="AY53" s="34"/>
      <c r="AZ53" s="34"/>
      <c r="BA53" s="34"/>
      <c r="BB53" s="34"/>
      <c r="BC53" s="34"/>
      <c r="BD53" s="34"/>
      <c r="BE53" s="34"/>
      <c r="BF53" s="64"/>
    </row>
    <row r="54" spans="3:58" ht="9.9499999999999993" customHeight="1" x14ac:dyDescent="0.25">
      <c r="C54" s="64"/>
      <c r="E54" s="153" t="s">
        <v>9</v>
      </c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71">
        <f>[0]!RegAliquotaISS</f>
        <v>0</v>
      </c>
      <c r="AS54" s="172"/>
      <c r="AT54" s="172"/>
      <c r="AU54" s="172"/>
      <c r="AV54" s="20"/>
      <c r="AW54" s="151">
        <f ca="1">'Registro do RPA'!CR8</f>
        <v>0</v>
      </c>
      <c r="AX54" s="151"/>
      <c r="AY54" s="151"/>
      <c r="AZ54" s="151"/>
      <c r="BA54" s="151"/>
      <c r="BB54" s="151"/>
      <c r="BC54" s="151"/>
      <c r="BD54" s="151"/>
      <c r="BE54" s="151"/>
      <c r="BF54" s="64"/>
    </row>
    <row r="55" spans="3:58" ht="9.9499999999999993" customHeight="1" x14ac:dyDescent="0.25">
      <c r="C55" s="64"/>
      <c r="E55" s="154"/>
      <c r="F55" s="154"/>
      <c r="G55" s="154"/>
      <c r="H55" s="154"/>
      <c r="I55" s="154"/>
      <c r="J55" s="154"/>
      <c r="K55" s="154"/>
      <c r="L55" s="154"/>
      <c r="M55" s="154"/>
      <c r="N55" s="154"/>
      <c r="O55" s="154"/>
      <c r="P55" s="154"/>
      <c r="Q55" s="154"/>
      <c r="R55" s="154"/>
      <c r="S55" s="154"/>
      <c r="T55" s="154"/>
      <c r="U55" s="154"/>
      <c r="V55" s="154"/>
      <c r="W55" s="154"/>
      <c r="X55" s="154"/>
      <c r="Y55" s="154"/>
      <c r="Z55" s="154"/>
      <c r="AA55" s="154"/>
      <c r="AB55" s="154"/>
      <c r="AC55" s="154"/>
      <c r="AD55" s="154"/>
      <c r="AE55" s="154"/>
      <c r="AF55" s="154"/>
      <c r="AG55" s="154"/>
      <c r="AH55" s="154"/>
      <c r="AI55" s="154"/>
      <c r="AJ55" s="154"/>
      <c r="AK55" s="154"/>
      <c r="AL55" s="154"/>
      <c r="AM55" s="154"/>
      <c r="AN55" s="154"/>
      <c r="AO55" s="154"/>
      <c r="AP55" s="154"/>
      <c r="AQ55" s="154"/>
      <c r="AR55" s="173"/>
      <c r="AS55" s="174"/>
      <c r="AT55" s="174"/>
      <c r="AU55" s="174"/>
      <c r="AV55" s="20"/>
      <c r="AW55" s="152"/>
      <c r="AX55" s="152"/>
      <c r="AY55" s="152"/>
      <c r="AZ55" s="152"/>
      <c r="BA55" s="152"/>
      <c r="BB55" s="152"/>
      <c r="BC55" s="152"/>
      <c r="BD55" s="152"/>
      <c r="BE55" s="152"/>
      <c r="BF55" s="64"/>
    </row>
    <row r="56" spans="3:58" ht="9.9499999999999993" customHeight="1" x14ac:dyDescent="0.25">
      <c r="C56" s="64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34"/>
      <c r="AX56" s="34"/>
      <c r="AY56" s="34"/>
      <c r="AZ56" s="34"/>
      <c r="BA56" s="34"/>
      <c r="BB56" s="34"/>
      <c r="BC56" s="34"/>
      <c r="BD56" s="34"/>
      <c r="BE56" s="34"/>
      <c r="BF56" s="64"/>
    </row>
    <row r="57" spans="3:58" ht="9.9499999999999993" customHeight="1" x14ac:dyDescent="0.25">
      <c r="C57" s="64"/>
      <c r="E57" s="175" t="s">
        <v>12</v>
      </c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20"/>
      <c r="AW57" s="151">
        <f ca="1">RPA_Valor+AW48+AW51+AW54</f>
        <v>0</v>
      </c>
      <c r="AX57" s="151"/>
      <c r="AY57" s="151"/>
      <c r="AZ57" s="151"/>
      <c r="BA57" s="151"/>
      <c r="BB57" s="151"/>
      <c r="BC57" s="151"/>
      <c r="BD57" s="151"/>
      <c r="BE57" s="151"/>
      <c r="BF57" s="64"/>
    </row>
    <row r="58" spans="3:58" ht="9.9499999999999993" customHeight="1" x14ac:dyDescent="0.25">
      <c r="C58" s="64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176"/>
      <c r="Z58" s="176"/>
      <c r="AA58" s="176"/>
      <c r="AB58" s="176"/>
      <c r="AC58" s="176"/>
      <c r="AD58" s="176"/>
      <c r="AE58" s="176"/>
      <c r="AF58" s="176"/>
      <c r="AG58" s="176"/>
      <c r="AH58" s="176"/>
      <c r="AI58" s="176"/>
      <c r="AJ58" s="176"/>
      <c r="AK58" s="176"/>
      <c r="AL58" s="176"/>
      <c r="AM58" s="176"/>
      <c r="AN58" s="176"/>
      <c r="AO58" s="176"/>
      <c r="AP58" s="176"/>
      <c r="AQ58" s="176"/>
      <c r="AR58" s="176"/>
      <c r="AS58" s="176"/>
      <c r="AT58" s="176"/>
      <c r="AU58" s="176"/>
      <c r="AV58" s="20"/>
      <c r="AW58" s="152"/>
      <c r="AX58" s="152"/>
      <c r="AY58" s="152"/>
      <c r="AZ58" s="152"/>
      <c r="BA58" s="152"/>
      <c r="BB58" s="152"/>
      <c r="BC58" s="152"/>
      <c r="BD58" s="152"/>
      <c r="BE58" s="152"/>
      <c r="BF58" s="64"/>
    </row>
    <row r="59" spans="3:58" ht="9.9499999999999993" customHeight="1" x14ac:dyDescent="0.25">
      <c r="C59" s="64"/>
      <c r="E59" s="162" t="str">
        <f ca="1">"("&amp;fExtenso(AW57)&amp;")"</f>
        <v>(zero  e )</v>
      </c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64"/>
    </row>
    <row r="60" spans="3:58" ht="9.9499999999999993" customHeight="1" x14ac:dyDescent="0.25">
      <c r="C60" s="64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64"/>
    </row>
    <row r="61" spans="3:58" ht="9.9499999999999993" customHeight="1" x14ac:dyDescent="0.25">
      <c r="C61" s="64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64"/>
    </row>
    <row r="62" spans="3:58" ht="9.9499999999999993" customHeight="1" x14ac:dyDescent="0.25">
      <c r="C62" s="64"/>
      <c r="D62" s="66"/>
      <c r="E62" s="67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72"/>
    </row>
    <row r="63" spans="3:58" ht="18" customHeight="1" x14ac:dyDescent="0.25">
      <c r="D63" s="66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8"/>
      <c r="BD63" s="68"/>
      <c r="BE63" s="68"/>
      <c r="BF63" s="68"/>
    </row>
    <row r="64" spans="3:58" s="41" customFormat="1" ht="9.9499999999999993" customHeight="1" x14ac:dyDescent="0.25">
      <c r="C64" s="65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5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69"/>
    </row>
    <row r="65" spans="3:59" s="41" customFormat="1" ht="9.9499999999999993" customHeight="1" x14ac:dyDescent="0.25">
      <c r="C65" s="65"/>
      <c r="D65" s="46"/>
      <c r="E65" s="163" t="str">
        <f>[0]!RegCidade&amp;", "</f>
        <v xml:space="preserve">, </v>
      </c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5">
        <f>[0]!RegData</f>
        <v>0</v>
      </c>
      <c r="AC65" s="165"/>
      <c r="AD65" s="165"/>
      <c r="AE65" s="165"/>
      <c r="AF65" s="165"/>
      <c r="AG65" s="165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5"/>
      <c r="AS65" s="165"/>
      <c r="AT65" s="165"/>
      <c r="AU65" s="165"/>
      <c r="AV65" s="165"/>
      <c r="AW65" s="165"/>
      <c r="AX65" s="165"/>
      <c r="AY65" s="165"/>
      <c r="AZ65" s="165"/>
      <c r="BA65" s="165"/>
      <c r="BB65" s="165"/>
      <c r="BC65" s="165"/>
      <c r="BD65" s="165"/>
      <c r="BE65" s="165"/>
      <c r="BF65" s="65"/>
    </row>
    <row r="66" spans="3:59" ht="9.9499999999999993" customHeight="1" x14ac:dyDescent="0.25">
      <c r="C66" s="64"/>
      <c r="D66" s="66"/>
      <c r="E66" s="164"/>
      <c r="F66" s="164"/>
      <c r="G66" s="164"/>
      <c r="H66" s="164"/>
      <c r="I66" s="164"/>
      <c r="J66" s="164"/>
      <c r="K66" s="164"/>
      <c r="L66" s="164"/>
      <c r="M66" s="164"/>
      <c r="N66" s="164"/>
      <c r="O66" s="164"/>
      <c r="P66" s="164"/>
      <c r="Q66" s="164"/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6"/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  <c r="AP66" s="166"/>
      <c r="AQ66" s="166"/>
      <c r="AR66" s="166"/>
      <c r="AS66" s="166"/>
      <c r="AT66" s="166"/>
      <c r="AU66" s="166"/>
      <c r="AV66" s="166"/>
      <c r="AW66" s="166"/>
      <c r="AX66" s="166"/>
      <c r="AY66" s="166"/>
      <c r="AZ66" s="166"/>
      <c r="BA66" s="166"/>
      <c r="BB66" s="166"/>
      <c r="BC66" s="166"/>
      <c r="BD66" s="166"/>
      <c r="BE66" s="166"/>
      <c r="BF66" s="70"/>
    </row>
    <row r="67" spans="3:59" ht="9.9499999999999993" customHeight="1" x14ac:dyDescent="0.25">
      <c r="E67" s="18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X67" s="46"/>
      <c r="AY67" s="46"/>
      <c r="AZ67" s="46"/>
      <c r="BA67" s="46"/>
      <c r="BB67" s="46"/>
      <c r="BC67" s="46"/>
      <c r="BD67" s="46"/>
      <c r="BE67" s="46"/>
      <c r="BF67" s="40"/>
    </row>
    <row r="68" spans="3:59" ht="9.9499999999999993" customHeight="1" x14ac:dyDescent="0.25"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</row>
    <row r="69" spans="3:59" ht="9.9499999999999993" customHeight="1" x14ac:dyDescent="0.25">
      <c r="D69" s="158" t="s">
        <v>28</v>
      </c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40"/>
      <c r="AC69" s="40"/>
      <c r="AD69" s="40"/>
      <c r="AE69" s="40"/>
      <c r="AF69" s="40"/>
      <c r="AG69" s="40"/>
      <c r="AH69" s="40"/>
      <c r="AI69" s="158" t="s">
        <v>29</v>
      </c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  <c r="BE69" s="158"/>
      <c r="BF69" s="158"/>
    </row>
    <row r="70" spans="3:59" ht="9.9499999999999993" customHeight="1" x14ac:dyDescent="0.25"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40"/>
      <c r="AC70" s="40"/>
      <c r="AD70" s="40"/>
      <c r="AE70" s="40"/>
      <c r="AF70" s="40"/>
      <c r="AG70" s="40"/>
      <c r="AH70" s="40"/>
      <c r="AI70" s="158"/>
      <c r="AJ70" s="158"/>
      <c r="AK70" s="158"/>
      <c r="AL70" s="158"/>
      <c r="AM70" s="158"/>
      <c r="AN70" s="158"/>
      <c r="AO70" s="158"/>
      <c r="AP70" s="158"/>
      <c r="AQ70" s="158"/>
      <c r="AR70" s="158"/>
      <c r="AS70" s="158"/>
      <c r="AT70" s="158"/>
      <c r="AU70" s="158"/>
      <c r="AV70" s="158"/>
      <c r="AW70" s="158"/>
      <c r="AX70" s="158"/>
      <c r="AY70" s="158"/>
      <c r="AZ70" s="158"/>
      <c r="BA70" s="158"/>
      <c r="BB70" s="158"/>
      <c r="BC70" s="158"/>
      <c r="BD70" s="158"/>
      <c r="BE70" s="158"/>
      <c r="BF70" s="158"/>
    </row>
    <row r="71" spans="3:59" ht="9.9499999999999993" customHeight="1" x14ac:dyDescent="0.25"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</row>
    <row r="75" spans="3:59" ht="9.9499999999999993" customHeight="1" x14ac:dyDescent="0.25"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8"/>
      <c r="AC75" s="38"/>
      <c r="AD75" s="38"/>
      <c r="AE75" s="38"/>
      <c r="AF75" s="38"/>
      <c r="AG75" s="38"/>
      <c r="AH75" s="38"/>
      <c r="AI75" s="44"/>
      <c r="AJ75" s="157"/>
      <c r="AK75" s="157"/>
      <c r="AL75" s="157"/>
      <c r="AM75" s="157"/>
      <c r="AN75" s="157"/>
      <c r="AO75" s="157"/>
      <c r="AP75" s="157"/>
      <c r="AQ75" s="157"/>
      <c r="AR75" s="157"/>
      <c r="AS75" s="157"/>
      <c r="AT75" s="157"/>
      <c r="AU75" s="157"/>
      <c r="AV75" s="157"/>
      <c r="AW75" s="157"/>
      <c r="AX75" s="157"/>
      <c r="AY75" s="157"/>
      <c r="AZ75" s="157"/>
      <c r="BA75" s="157"/>
      <c r="BB75" s="157"/>
      <c r="BC75" s="157"/>
      <c r="BD75" s="157"/>
      <c r="BE75" s="157"/>
      <c r="BF75" s="157"/>
    </row>
    <row r="76" spans="3:59" ht="9.9499999999999993" customHeight="1" x14ac:dyDescent="0.25">
      <c r="D76" s="155" t="str">
        <f ca="1">RegRespTomador</f>
        <v/>
      </c>
      <c r="E76" s="155"/>
      <c r="F76" s="155"/>
      <c r="G76" s="155"/>
      <c r="H76" s="155"/>
      <c r="I76" s="155"/>
      <c r="J76" s="155"/>
      <c r="K76" s="155"/>
      <c r="L76" s="155"/>
      <c r="M76" s="155"/>
      <c r="N76" s="155"/>
      <c r="O76" s="155"/>
      <c r="P76" s="155"/>
      <c r="Q76" s="155"/>
      <c r="R76" s="155"/>
      <c r="S76" s="155"/>
      <c r="T76" s="155"/>
      <c r="U76" s="155"/>
      <c r="V76" s="155"/>
      <c r="W76" s="155"/>
      <c r="X76" s="155"/>
      <c r="Y76" s="155"/>
      <c r="Z76" s="155"/>
      <c r="AA76" s="155"/>
      <c r="AB76" s="43"/>
      <c r="AC76" s="43"/>
      <c r="AD76" s="43"/>
      <c r="AE76" s="43"/>
      <c r="AF76" s="43"/>
      <c r="AG76" s="43"/>
      <c r="AH76" s="43"/>
      <c r="AI76" s="155">
        <f>[0]!RegPrestador</f>
        <v>0</v>
      </c>
      <c r="AJ76" s="155"/>
      <c r="AK76" s="155"/>
      <c r="AL76" s="155"/>
      <c r="AM76" s="155"/>
      <c r="AN76" s="155"/>
      <c r="AO76" s="155"/>
      <c r="AP76" s="155"/>
      <c r="AQ76" s="155"/>
      <c r="AR76" s="155"/>
      <c r="AS76" s="155"/>
      <c r="AT76" s="155"/>
      <c r="AU76" s="155"/>
      <c r="AV76" s="155"/>
      <c r="AW76" s="155"/>
      <c r="AX76" s="155"/>
      <c r="AY76" s="155"/>
      <c r="AZ76" s="155"/>
      <c r="BA76" s="155"/>
      <c r="BB76" s="155"/>
      <c r="BC76" s="155"/>
      <c r="BD76" s="155"/>
      <c r="BE76" s="155"/>
      <c r="BF76" s="155"/>
      <c r="BG76" s="43"/>
    </row>
    <row r="77" spans="3:59" ht="9.9499999999999993" customHeight="1" x14ac:dyDescent="0.25"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  <c r="AA77" s="156"/>
      <c r="AC77" s="43"/>
      <c r="AD77" s="43"/>
      <c r="AE77" s="43"/>
      <c r="AF77" s="43"/>
      <c r="AG77" s="43"/>
      <c r="AH77" s="43"/>
      <c r="AI77" s="156"/>
      <c r="AJ77" s="156"/>
      <c r="AK77" s="156"/>
      <c r="AL77" s="156"/>
      <c r="AM77" s="156"/>
      <c r="AN77" s="156"/>
      <c r="AO77" s="156"/>
      <c r="AP77" s="156"/>
      <c r="AQ77" s="156"/>
      <c r="AR77" s="156"/>
      <c r="AS77" s="156"/>
      <c r="AT77" s="156"/>
      <c r="AU77" s="156"/>
      <c r="AV77" s="156"/>
      <c r="AW77" s="156"/>
      <c r="AX77" s="156"/>
      <c r="AY77" s="156"/>
      <c r="AZ77" s="156"/>
      <c r="BA77" s="156"/>
      <c r="BB77" s="156"/>
      <c r="BC77" s="156"/>
      <c r="BD77" s="156"/>
      <c r="BE77" s="156"/>
      <c r="BF77" s="156"/>
      <c r="BG77" s="43"/>
    </row>
    <row r="82" spans="5:5" ht="9.9499999999999993" customHeight="1" x14ac:dyDescent="0.25">
      <c r="E82" s="18"/>
    </row>
    <row r="83" spans="5:5" ht="9.9499999999999993" customHeight="1" x14ac:dyDescent="0.25">
      <c r="E83" s="18"/>
    </row>
    <row r="84" spans="5:5" ht="9.9499999999999993" customHeight="1" x14ac:dyDescent="0.25">
      <c r="E84" s="18"/>
    </row>
  </sheetData>
  <sheetProtection selectLockedCells="1"/>
  <mergeCells count="40">
    <mergeCell ref="BP27:CN27"/>
    <mergeCell ref="AW54:BE55"/>
    <mergeCell ref="AW57:BE58"/>
    <mergeCell ref="AR54:AU55"/>
    <mergeCell ref="E45:AU46"/>
    <mergeCell ref="AW48:BE49"/>
    <mergeCell ref="AW51:BE52"/>
    <mergeCell ref="E57:AU58"/>
    <mergeCell ref="E54:AQ55"/>
    <mergeCell ref="E51:AU52"/>
    <mergeCell ref="E48:AU49"/>
    <mergeCell ref="AW26:BE27"/>
    <mergeCell ref="AW45:BE46"/>
    <mergeCell ref="AW28:BE29"/>
    <mergeCell ref="AW32:BE33"/>
    <mergeCell ref="E26:AU27"/>
    <mergeCell ref="E4:BE5"/>
    <mergeCell ref="X13:AS14"/>
    <mergeCell ref="E59:BE61"/>
    <mergeCell ref="E65:AA66"/>
    <mergeCell ref="AB65:BE66"/>
    <mergeCell ref="E28:AU29"/>
    <mergeCell ref="E32:AU33"/>
    <mergeCell ref="E6:BF7"/>
    <mergeCell ref="E11:BE12"/>
    <mergeCell ref="E13:R14"/>
    <mergeCell ref="E18:BE20"/>
    <mergeCell ref="E34:AU35"/>
    <mergeCell ref="AW34:BE35"/>
    <mergeCell ref="E30:AU31"/>
    <mergeCell ref="AI76:BF77"/>
    <mergeCell ref="D76:AA77"/>
    <mergeCell ref="AJ75:BF75"/>
    <mergeCell ref="AI69:BF70"/>
    <mergeCell ref="D69:AA70"/>
    <mergeCell ref="AW30:BE31"/>
    <mergeCell ref="E38:AU39"/>
    <mergeCell ref="AW38:BE39"/>
    <mergeCell ref="E36:AU37"/>
    <mergeCell ref="AW36:BE37"/>
  </mergeCells>
  <dataValidations count="4">
    <dataValidation type="list" allowBlank="1" showInputMessage="1" showErrorMessage="1" sqref="E4" xr:uid="{93C32471-B36F-4411-A301-9A14E6924437}">
      <formula1>TomadoresNomes</formula1>
    </dataValidation>
    <dataValidation type="list" allowBlank="1" showInputMessage="1" showErrorMessage="1" sqref="E11" xr:uid="{884366C7-BC4D-4AF1-A8A1-5ABC4C0B4B00}">
      <formula1>PrestadoresNomes</formula1>
    </dataValidation>
    <dataValidation type="custom" allowBlank="1" showInputMessage="1" showErrorMessage="1" sqref="AW51:BE52 AW48:BE49 AW54:BE55" xr:uid="{8F933DA9-9135-4682-8803-8B86BA14D9AD}">
      <formula1>AW48&lt;=F21</formula1>
    </dataValidation>
    <dataValidation type="custom" allowBlank="1" showInputMessage="1" showErrorMessage="1" sqref="AW57:BE58" xr:uid="{D4B9765B-2AD2-499C-8C5A-567F1BBE50F3}">
      <formula1>AW57&lt;=F29</formula1>
    </dataValidation>
  </dataValidations>
  <printOptions horizontalCentered="1" verticalCentered="1"/>
  <pageMargins left="0.51181102362204722" right="0.11811023622047245" top="0.94488188976377963" bottom="0.55118110236220474" header="0.59055118110236227" footer="0.51181102362204722"/>
  <pageSetup paperSize="9" scale="99" orientation="portrait" r:id="rId1"/>
  <headerFooter alignWithMargins="0">
    <oddHeader>&amp;C&amp;"-,Negrito"&amp;14RECIBO DE PAGAMENTO A AUTÔNOMO - RPA&amp;R&amp;"-,Negrito"&amp;14Nº 3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C2B62F75-862D-4A51-AA6D-16F20C177E80}">
          <x14:formula1>
            <xm:f>AW45&lt;='Tabela IRRF e INSS'!F18</xm:f>
          </x14:formula1>
          <xm:sqref>AW45:BE46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19EC7-74DC-44D3-9450-460746C8E0C4}">
  <sheetPr codeName="sht_RPAsRegistrados"/>
  <dimension ref="B1:R2"/>
  <sheetViews>
    <sheetView zoomScale="85" zoomScaleNormal="85" workbookViewId="0">
      <selection activeCell="F18" sqref="F18"/>
    </sheetView>
  </sheetViews>
  <sheetFormatPr defaultRowHeight="15" x14ac:dyDescent="0.25"/>
  <cols>
    <col min="1" max="1" width="1.7109375" customWidth="1"/>
    <col min="2" max="2" width="6.140625" style="79" customWidth="1"/>
    <col min="3" max="3" width="16.28515625" style="80" customWidth="1"/>
    <col min="4" max="4" width="22.85546875" style="37" customWidth="1"/>
    <col min="5" max="5" width="14" style="63" customWidth="1"/>
    <col min="6" max="6" width="42" bestFit="1" customWidth="1"/>
    <col min="7" max="7" width="40" bestFit="1" customWidth="1"/>
    <col min="8" max="8" width="55.5703125" style="81" customWidth="1"/>
    <col min="9" max="9" width="20.42578125" style="82" bestFit="1" customWidth="1"/>
    <col min="10" max="10" width="30.5703125" style="82" bestFit="1" customWidth="1"/>
    <col min="11" max="11" width="18.5703125" style="82" customWidth="1"/>
    <col min="12" max="12" width="18.5703125" style="83" customWidth="1"/>
    <col min="13" max="14" width="18.5703125" style="37" customWidth="1"/>
    <col min="15" max="16" width="18.5703125" style="83" customWidth="1"/>
    <col min="17" max="17" width="47.28515625" style="81" customWidth="1"/>
    <col min="18" max="18" width="18.5703125" style="37" customWidth="1"/>
  </cols>
  <sheetData>
    <row r="1" spans="2:18" ht="6" customHeight="1" x14ac:dyDescent="0.25"/>
    <row r="2" spans="2:18" s="49" customFormat="1" ht="40.5" customHeight="1" x14ac:dyDescent="0.25">
      <c r="B2" s="91" t="s">
        <v>59</v>
      </c>
      <c r="C2" s="92" t="s">
        <v>34</v>
      </c>
      <c r="D2" s="48" t="s">
        <v>60</v>
      </c>
      <c r="E2" s="93" t="s">
        <v>54</v>
      </c>
      <c r="F2" s="47" t="s">
        <v>36</v>
      </c>
      <c r="G2" s="47" t="s">
        <v>37</v>
      </c>
      <c r="H2" s="48" t="s">
        <v>35</v>
      </c>
      <c r="I2" s="94" t="s">
        <v>32</v>
      </c>
      <c r="J2" s="94" t="s">
        <v>81</v>
      </c>
      <c r="K2" s="94" t="s">
        <v>31</v>
      </c>
      <c r="L2" s="94" t="s">
        <v>90</v>
      </c>
      <c r="M2" s="48" t="s">
        <v>55</v>
      </c>
      <c r="N2" s="48" t="s">
        <v>30</v>
      </c>
      <c r="O2" s="84" t="s">
        <v>66</v>
      </c>
      <c r="P2" s="84" t="s">
        <v>67</v>
      </c>
      <c r="Q2" s="48" t="s">
        <v>70</v>
      </c>
      <c r="R2" s="48" t="s">
        <v>58</v>
      </c>
    </row>
  </sheetData>
  <autoFilter ref="B2:R2" xr:uid="{4EF18EB3-B0A6-475A-8BB9-890AFB18998A}"/>
  <sortState ref="B3:Q5">
    <sortCondition ref="B3"/>
  </sortState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_TabIRINSS">
    <pageSetUpPr fitToPage="1"/>
  </sheetPr>
  <dimension ref="B1:N21"/>
  <sheetViews>
    <sheetView showGridLines="0" zoomScale="85" zoomScaleNormal="85" workbookViewId="0">
      <selection activeCell="I17" sqref="I17"/>
    </sheetView>
  </sheetViews>
  <sheetFormatPr defaultColWidth="9.140625" defaultRowHeight="21" customHeight="1" x14ac:dyDescent="0.25"/>
  <cols>
    <col min="1" max="1" width="8.5703125" style="1" customWidth="1"/>
    <col min="2" max="2" width="9.140625" style="1"/>
    <col min="3" max="3" width="12.140625" style="7" bestFit="1" customWidth="1"/>
    <col min="4" max="4" width="4.140625" style="14" customWidth="1"/>
    <col min="5" max="5" width="12.140625" style="7" bestFit="1" customWidth="1"/>
    <col min="6" max="6" width="10.5703125" style="1" bestFit="1" customWidth="1"/>
    <col min="7" max="7" width="14.28515625" style="1" bestFit="1" customWidth="1"/>
    <col min="8" max="8" width="8.140625" style="1" customWidth="1"/>
    <col min="9" max="10" width="9.140625" style="1"/>
    <col min="11" max="11" width="30.7109375" style="1" customWidth="1"/>
    <col min="12" max="14" width="19.85546875" style="1" customWidth="1"/>
    <col min="15" max="16384" width="9.140625" style="1"/>
  </cols>
  <sheetData>
    <row r="1" spans="2:14" ht="10.5" customHeight="1" thickBot="1" x14ac:dyDescent="0.3"/>
    <row r="2" spans="2:14" ht="21" customHeight="1" x14ac:dyDescent="0.25">
      <c r="B2" s="184" t="s">
        <v>17</v>
      </c>
      <c r="C2" s="185"/>
      <c r="D2" s="185"/>
      <c r="E2" s="185"/>
      <c r="F2" s="185"/>
      <c r="G2" s="186"/>
      <c r="K2" s="192" t="s">
        <v>43</v>
      </c>
      <c r="L2" s="193"/>
      <c r="M2" s="193"/>
      <c r="N2" s="194"/>
    </row>
    <row r="3" spans="2:14" ht="21" customHeight="1" x14ac:dyDescent="0.25">
      <c r="B3" s="184" t="s">
        <v>0</v>
      </c>
      <c r="C3" s="185"/>
      <c r="D3" s="185"/>
      <c r="E3" s="186"/>
      <c r="F3" s="2" t="s">
        <v>1</v>
      </c>
      <c r="G3" s="2" t="s">
        <v>2</v>
      </c>
      <c r="K3" s="101" t="s">
        <v>73</v>
      </c>
      <c r="L3" s="2" t="s">
        <v>74</v>
      </c>
      <c r="M3" s="2" t="s">
        <v>75</v>
      </c>
      <c r="N3" s="102" t="s">
        <v>76</v>
      </c>
    </row>
    <row r="4" spans="2:14" ht="21" customHeight="1" x14ac:dyDescent="0.25">
      <c r="B4" s="112" t="s">
        <v>4</v>
      </c>
      <c r="C4" s="4">
        <v>0</v>
      </c>
      <c r="D4" s="13" t="s">
        <v>3</v>
      </c>
      <c r="E4" s="53">
        <v>1903.98</v>
      </c>
      <c r="F4" s="17">
        <v>0</v>
      </c>
      <c r="G4" s="5">
        <v>0</v>
      </c>
      <c r="K4" s="103" t="s">
        <v>39</v>
      </c>
      <c r="L4" s="52">
        <f>RegValor</f>
        <v>0</v>
      </c>
      <c r="M4" s="52">
        <f>RegOutrasReceitas</f>
        <v>0</v>
      </c>
      <c r="N4" s="104">
        <f>SUM(L4:M4)</f>
        <v>0</v>
      </c>
    </row>
    <row r="5" spans="2:14" ht="21" customHeight="1" x14ac:dyDescent="0.25">
      <c r="B5" s="113" t="s">
        <v>4</v>
      </c>
      <c r="C5" s="27">
        <f>E4+0.01</f>
        <v>1903.99</v>
      </c>
      <c r="D5" s="26" t="s">
        <v>3</v>
      </c>
      <c r="E5" s="54">
        <v>2826.65</v>
      </c>
      <c r="F5" s="33">
        <v>7.4999999999999997E-2</v>
      </c>
      <c r="G5" s="55">
        <v>142.80000000000001</v>
      </c>
      <c r="K5" s="103" t="s">
        <v>77</v>
      </c>
      <c r="L5" s="52">
        <f>-(IF(RegValor*VLOOKUP(RegValor,PV_Tb_INSS,4)&gt;VlrMaxContrib,VlrMaxContrib,RPA_Valor*VLOOKUP(RPA_Valor,PV_Tb_INSS,4)))</f>
        <v>0</v>
      </c>
      <c r="M5" s="52">
        <f>-RegDeducaoINSS</f>
        <v>0</v>
      </c>
      <c r="N5" s="104">
        <f>IF(-SUM(L5:M5)&gt;VlrMaxContrib,-VlrMaxContrib,SUM(L5:M5))</f>
        <v>0</v>
      </c>
    </row>
    <row r="6" spans="2:14" ht="21" customHeight="1" x14ac:dyDescent="0.25">
      <c r="B6" s="113" t="s">
        <v>4</v>
      </c>
      <c r="C6" s="27">
        <f>E5+0.01</f>
        <v>2826.6600000000003</v>
      </c>
      <c r="D6" s="26" t="s">
        <v>3</v>
      </c>
      <c r="E6" s="54">
        <v>3751.05</v>
      </c>
      <c r="F6" s="33">
        <v>0.15</v>
      </c>
      <c r="G6" s="55">
        <v>354.8</v>
      </c>
      <c r="K6" s="103" t="s">
        <v>8</v>
      </c>
      <c r="L6" s="52">
        <f ca="1">IFERROR('RPA - Serviços'!AW28*-'Tabela IRRF e INSS'!G9,0)</f>
        <v>0</v>
      </c>
      <c r="M6" s="52">
        <f>IFERROR('RPA - Serviços'!AX28*-'Tabela IRRF e INSS'!H9,0)</f>
        <v>0</v>
      </c>
      <c r="N6" s="104">
        <f t="shared" ref="N6" ca="1" si="0">SUM(L6:M6)</f>
        <v>0</v>
      </c>
    </row>
    <row r="7" spans="2:14" ht="21" customHeight="1" x14ac:dyDescent="0.25">
      <c r="B7" s="113" t="s">
        <v>4</v>
      </c>
      <c r="C7" s="27">
        <f>E6+0.01</f>
        <v>3751.0600000000004</v>
      </c>
      <c r="D7" s="26" t="s">
        <v>3</v>
      </c>
      <c r="E7" s="54">
        <v>4664.68</v>
      </c>
      <c r="F7" s="33">
        <v>0.22500000000000001</v>
      </c>
      <c r="G7" s="55">
        <v>636.13</v>
      </c>
      <c r="K7" s="103" t="s">
        <v>78</v>
      </c>
      <c r="L7" s="52">
        <f ca="1">IFERROR(-RegPensaoAlim,0)</f>
        <v>0</v>
      </c>
      <c r="M7" s="52">
        <f>IFERROR('RPA - Serviços'!AX29*-'Tabela IRRF e INSS'!H10,0)</f>
        <v>0</v>
      </c>
      <c r="N7" s="104">
        <f t="shared" ref="N7:N8" ca="1" si="1">SUM(L7:M7)</f>
        <v>0</v>
      </c>
    </row>
    <row r="8" spans="2:14" ht="21" customHeight="1" x14ac:dyDescent="0.25">
      <c r="B8" s="32" t="s">
        <v>5</v>
      </c>
      <c r="C8" s="31">
        <f>E7</f>
        <v>4664.68</v>
      </c>
      <c r="D8" s="30"/>
      <c r="E8" s="29"/>
      <c r="F8" s="28">
        <v>0.27500000000000002</v>
      </c>
      <c r="G8" s="56">
        <v>869.36</v>
      </c>
      <c r="K8" s="103" t="s">
        <v>79</v>
      </c>
      <c r="L8" s="52">
        <f ca="1">IFERROR(-RegOutrasDeducoes,0)</f>
        <v>0</v>
      </c>
      <c r="M8" s="52">
        <f>IFERROR('RPA - Serviços'!#REF!*-'Tabela IRRF e INSS'!H11,0)</f>
        <v>0</v>
      </c>
      <c r="N8" s="104">
        <f t="shared" ca="1" si="1"/>
        <v>0</v>
      </c>
    </row>
    <row r="9" spans="2:14" ht="21" customHeight="1" x14ac:dyDescent="0.25">
      <c r="B9" s="189" t="s">
        <v>44</v>
      </c>
      <c r="C9" s="190"/>
      <c r="D9" s="190"/>
      <c r="E9" s="190"/>
      <c r="F9" s="191"/>
      <c r="G9" s="57">
        <v>189.59</v>
      </c>
      <c r="K9" s="105" t="s">
        <v>40</v>
      </c>
      <c r="L9" s="90">
        <f ca="1">SUM(L4:L8)</f>
        <v>0</v>
      </c>
      <c r="M9" s="90">
        <f>SUM(M4:M8)</f>
        <v>0</v>
      </c>
      <c r="N9" s="106">
        <f ca="1">SUM(N4:N8)</f>
        <v>0</v>
      </c>
    </row>
    <row r="10" spans="2:14" ht="21" customHeight="1" x14ac:dyDescent="0.25">
      <c r="B10" s="6"/>
      <c r="K10" s="181" t="s">
        <v>41</v>
      </c>
      <c r="L10" s="182"/>
      <c r="M10" s="183"/>
      <c r="N10" s="107">
        <f ca="1">IFERROR(VLOOKUP(N9,PV_Tb_IR,4),0)</f>
        <v>0</v>
      </c>
    </row>
    <row r="11" spans="2:14" ht="21" customHeight="1" x14ac:dyDescent="0.25">
      <c r="B11" s="184" t="s">
        <v>18</v>
      </c>
      <c r="C11" s="185"/>
      <c r="D11" s="185"/>
      <c r="E11" s="185"/>
      <c r="F11" s="186"/>
      <c r="K11" s="181" t="s">
        <v>42</v>
      </c>
      <c r="L11" s="182"/>
      <c r="M11" s="183"/>
      <c r="N11" s="108">
        <f ca="1">N9*N10</f>
        <v>0</v>
      </c>
    </row>
    <row r="12" spans="2:14" ht="21" customHeight="1" x14ac:dyDescent="0.25">
      <c r="B12" s="184" t="s">
        <v>6</v>
      </c>
      <c r="C12" s="185"/>
      <c r="D12" s="185"/>
      <c r="E12" s="186"/>
      <c r="F12" s="2" t="s">
        <v>1</v>
      </c>
      <c r="K12" s="181" t="s">
        <v>80</v>
      </c>
      <c r="L12" s="182"/>
      <c r="M12" s="183"/>
      <c r="N12" s="109">
        <f ca="1">IFERROR(-VLOOKUP(N9,PV_Tb_IR,5),0)</f>
        <v>0</v>
      </c>
    </row>
    <row r="13" spans="2:14" ht="21" customHeight="1" x14ac:dyDescent="0.25">
      <c r="B13" s="112" t="s">
        <v>4</v>
      </c>
      <c r="C13" s="4">
        <v>0</v>
      </c>
      <c r="D13" s="15" t="s">
        <v>3</v>
      </c>
      <c r="E13" s="58">
        <v>1693.72</v>
      </c>
      <c r="F13" s="9">
        <v>0.08</v>
      </c>
      <c r="K13" s="195" t="s">
        <v>88</v>
      </c>
      <c r="L13" s="196"/>
      <c r="M13" s="197"/>
      <c r="N13" s="110">
        <f ca="1">SUM(N11:N12)</f>
        <v>0</v>
      </c>
    </row>
    <row r="14" spans="2:14" ht="21" customHeight="1" x14ac:dyDescent="0.25">
      <c r="B14" s="113" t="s">
        <v>4</v>
      </c>
      <c r="C14" s="27">
        <f>E13+0.01</f>
        <v>1693.73</v>
      </c>
      <c r="D14" s="26" t="s">
        <v>3</v>
      </c>
      <c r="E14" s="54">
        <v>2822.9</v>
      </c>
      <c r="F14" s="25">
        <v>0.09</v>
      </c>
      <c r="K14" s="181" t="s">
        <v>87</v>
      </c>
      <c r="L14" s="182"/>
      <c r="M14" s="183"/>
      <c r="N14" s="108">
        <f>IFERROR(-RegDeducaoIRRF,0)</f>
        <v>0</v>
      </c>
    </row>
    <row r="15" spans="2:14" ht="21" customHeight="1" thickBot="1" x14ac:dyDescent="0.3">
      <c r="B15" s="113" t="s">
        <v>4</v>
      </c>
      <c r="C15" s="27">
        <f>E14+0.01</f>
        <v>2822.9100000000003</v>
      </c>
      <c r="D15" s="26" t="s">
        <v>3</v>
      </c>
      <c r="E15" s="54">
        <v>5645.8</v>
      </c>
      <c r="F15" s="25">
        <v>0.11</v>
      </c>
      <c r="K15" s="198" t="s">
        <v>89</v>
      </c>
      <c r="L15" s="199"/>
      <c r="M15" s="200"/>
      <c r="N15" s="114">
        <f ca="1">IF(N13&gt;-N14,N13+N14,0)</f>
        <v>0</v>
      </c>
    </row>
    <row r="16" spans="2:14" ht="21" customHeight="1" x14ac:dyDescent="0.25">
      <c r="B16" s="187" t="s">
        <v>7</v>
      </c>
      <c r="C16" s="188"/>
      <c r="D16" s="188"/>
      <c r="E16" s="188"/>
      <c r="F16" s="10">
        <f>E15*F15</f>
        <v>621.03800000000001</v>
      </c>
    </row>
    <row r="17" spans="2:8" ht="21" customHeight="1" x14ac:dyDescent="0.25">
      <c r="C17" s="1"/>
      <c r="D17" s="16"/>
      <c r="E17" s="1"/>
      <c r="H17" s="11"/>
    </row>
    <row r="18" spans="2:8" ht="21" customHeight="1" x14ac:dyDescent="0.25">
      <c r="B18" s="184" t="s">
        <v>19</v>
      </c>
      <c r="C18" s="185"/>
      <c r="D18" s="185"/>
      <c r="E18" s="185"/>
      <c r="F18" s="186"/>
      <c r="G18" s="12"/>
    </row>
    <row r="19" spans="2:8" ht="21" customHeight="1" x14ac:dyDescent="0.25">
      <c r="B19" s="3" t="s">
        <v>3</v>
      </c>
      <c r="C19" s="4">
        <v>0</v>
      </c>
      <c r="D19" s="15" t="s">
        <v>3</v>
      </c>
      <c r="E19" s="58">
        <v>877.67</v>
      </c>
      <c r="F19" s="59">
        <v>45</v>
      </c>
      <c r="G19" s="12"/>
    </row>
    <row r="20" spans="2:8" ht="21" customHeight="1" x14ac:dyDescent="0.25">
      <c r="B20" s="24" t="s">
        <v>4</v>
      </c>
      <c r="C20" s="23">
        <f>E19+0.01</f>
        <v>877.68</v>
      </c>
      <c r="D20" s="22" t="s">
        <v>3</v>
      </c>
      <c r="E20" s="60">
        <v>1319.18</v>
      </c>
      <c r="F20" s="61">
        <v>31.71</v>
      </c>
      <c r="G20" s="12"/>
    </row>
    <row r="21" spans="2:8" ht="21" customHeight="1" x14ac:dyDescent="0.25">
      <c r="F21" s="8"/>
      <c r="G21" s="12"/>
    </row>
  </sheetData>
  <mergeCells count="14">
    <mergeCell ref="K10:M10"/>
    <mergeCell ref="B12:E12"/>
    <mergeCell ref="B16:E16"/>
    <mergeCell ref="B18:F18"/>
    <mergeCell ref="B2:G2"/>
    <mergeCell ref="B3:E3"/>
    <mergeCell ref="B9:F9"/>
    <mergeCell ref="B11:F11"/>
    <mergeCell ref="K2:N2"/>
    <mergeCell ref="K13:M13"/>
    <mergeCell ref="K12:M12"/>
    <mergeCell ref="K11:M11"/>
    <mergeCell ref="K14:M14"/>
    <mergeCell ref="K15:M15"/>
  </mergeCells>
  <pageMargins left="0.78740157480314965" right="0.78740157480314965" top="0.98425196850393704" bottom="0.98425196850393704" header="0.51181102362204722" footer="0.51181102362204722"/>
  <pageSetup scale="99" orientation="portrait" horizontalDpi="300" verticalDpi="300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1A29C-3F5F-4101-8E62-737E91EC91AE}">
  <sheetPr codeName="sht_SitesRecomendados"/>
  <dimension ref="B1:B8"/>
  <sheetViews>
    <sheetView showGridLines="0" showRowColHeaders="0" workbookViewId="0">
      <selection activeCell="C22" sqref="C22"/>
    </sheetView>
  </sheetViews>
  <sheetFormatPr defaultRowHeight="15" x14ac:dyDescent="0.25"/>
  <cols>
    <col min="1" max="1" width="2" customWidth="1"/>
    <col min="2" max="2" width="81.140625" bestFit="1" customWidth="1"/>
  </cols>
  <sheetData>
    <row r="1" spans="2:2" ht="8.25" customHeight="1" x14ac:dyDescent="0.25"/>
    <row r="2" spans="2:2" x14ac:dyDescent="0.25">
      <c r="B2" s="100" t="s">
        <v>93</v>
      </c>
    </row>
    <row r="4" spans="2:2" x14ac:dyDescent="0.25">
      <c r="B4" t="s">
        <v>91</v>
      </c>
    </row>
    <row r="5" spans="2:2" x14ac:dyDescent="0.25">
      <c r="B5" s="111" t="s">
        <v>84</v>
      </c>
    </row>
    <row r="7" spans="2:2" x14ac:dyDescent="0.25">
      <c r="B7" t="s">
        <v>95</v>
      </c>
    </row>
    <row r="8" spans="2:2" x14ac:dyDescent="0.25">
      <c r="B8" t="s">
        <v>94</v>
      </c>
    </row>
  </sheetData>
  <hyperlinks>
    <hyperlink ref="B5" r:id="rId1" xr:uid="{4AF7207B-0D69-44E2-B7B8-3CE0CB501F64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34</vt:i4>
      </vt:variant>
    </vt:vector>
  </HeadingPairs>
  <TitlesOfParts>
    <vt:vector size="43" baseType="lpstr">
      <vt:lpstr>MENU</vt:lpstr>
      <vt:lpstr>Cad. Tomadores</vt:lpstr>
      <vt:lpstr>Cad. Prestadores</vt:lpstr>
      <vt:lpstr>Cad. Cidades</vt:lpstr>
      <vt:lpstr>Registro do RPA</vt:lpstr>
      <vt:lpstr>RPA - Serviços</vt:lpstr>
      <vt:lpstr>RPAs Registrados</vt:lpstr>
      <vt:lpstr>Tabela IRRF e INSS</vt:lpstr>
      <vt:lpstr>Sites Recomendados</vt:lpstr>
      <vt:lpstr>'RPA - Serviços'!Area_de_impressao</vt:lpstr>
      <vt:lpstr>'Tabela IRRF e INSS'!Area_de_impressao</vt:lpstr>
      <vt:lpstr>Excluir</vt:lpstr>
      <vt:lpstr>IR_RPA_Vlr</vt:lpstr>
      <vt:lpstr>MaiorRPA</vt:lpstr>
      <vt:lpstr>Novo_Editar</vt:lpstr>
      <vt:lpstr>PV_Tb_INSS</vt:lpstr>
      <vt:lpstr>PV_Tb_IR</vt:lpstr>
      <vt:lpstr>RegAliquotaISS</vt:lpstr>
      <vt:lpstr>RegCidade</vt:lpstr>
      <vt:lpstr>RegData</vt:lpstr>
      <vt:lpstr>RegDeducaoINSS</vt:lpstr>
      <vt:lpstr>RegDeducaoIRRF</vt:lpstr>
      <vt:lpstr>RegDescricao</vt:lpstr>
      <vt:lpstr>RegInscrMunicipal</vt:lpstr>
      <vt:lpstr>RegNroDependentes</vt:lpstr>
      <vt:lpstr>RegNroRPA</vt:lpstr>
      <vt:lpstr>RegObservaçoes</vt:lpstr>
      <vt:lpstr>RegOutrasDeducoes</vt:lpstr>
      <vt:lpstr>RegOutrasReceitas</vt:lpstr>
      <vt:lpstr>RegPensaoAlim</vt:lpstr>
      <vt:lpstr>RegPrestador</vt:lpstr>
      <vt:lpstr>RegRespTomador</vt:lpstr>
      <vt:lpstr>RegTomador</vt:lpstr>
      <vt:lpstr>RegValor</vt:lpstr>
      <vt:lpstr>RetençãoINSS</vt:lpstr>
      <vt:lpstr>RPA_Dependentes</vt:lpstr>
      <vt:lpstr>RPA_I_Municipal</vt:lpstr>
      <vt:lpstr>RPA_OutrasRet</vt:lpstr>
      <vt:lpstr>RPA_Prestador</vt:lpstr>
      <vt:lpstr>RPA_Registrada</vt:lpstr>
      <vt:lpstr>RPA_Tomador</vt:lpstr>
      <vt:lpstr>RPA_Valor</vt:lpstr>
      <vt:lpstr>VlrMaxContrib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</dc:creator>
  <cp:lastModifiedBy>Regis Marinho</cp:lastModifiedBy>
  <cp:lastPrinted>2018-04-16T12:40:19Z</cp:lastPrinted>
  <dcterms:created xsi:type="dcterms:W3CDTF">2015-07-08T16:04:48Z</dcterms:created>
  <dcterms:modified xsi:type="dcterms:W3CDTF">2018-04-17T14:57:37Z</dcterms:modified>
</cp:coreProperties>
</file>