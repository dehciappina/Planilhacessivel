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163176C4-1743-4C66-902B-5B80C2F41BBD}" xr6:coauthVersionLast="28" xr6:coauthVersionMax="28" xr10:uidLastSave="{00000000-0000-0000-0000-000000000000}"/>
  <bookViews>
    <workbookView xWindow="0" yWindow="0" windowWidth="20490" windowHeight="7530" activeTab="2" xr2:uid="{00000000-000D-0000-FFFF-FFFF00000000}"/>
  </bookViews>
  <sheets>
    <sheet name="Tutorial" sheetId="9" r:id="rId1"/>
    <sheet name="Atividades" sheetId="7" r:id="rId2"/>
    <sheet name="CÁLCULO" sheetId="6" r:id="rId3"/>
  </sheets>
  <definedNames>
    <definedName name="_xlnm.Print_Area" localSheetId="2">CÁLCULO!$B$2:$U$24</definedName>
    <definedName name="_xlnm.Print_Area" localSheetId="0">Tutorial!$B$2:$C$14</definedName>
    <definedName name="PV_Atividades">OFFSET(Atividades!$B$3,1,0,COUNTA(Atividades!$B$4:$B$150),3)</definedName>
    <definedName name="V_Atividades">OFFSET(Atividades!$B$3,1,0,COUNTA(Atividades!$B$4:$B$150),1)</definedName>
  </definedNames>
  <calcPr calcId="171027"/>
</workbook>
</file>

<file path=xl/calcChain.xml><?xml version="1.0" encoding="utf-8"?>
<calcChain xmlns="http://schemas.openxmlformats.org/spreadsheetml/2006/main">
  <c r="AA10" i="6" l="1"/>
  <c r="Q7" i="6" l="1"/>
  <c r="W9" i="6"/>
  <c r="AB10" i="6"/>
  <c r="B7" i="6"/>
  <c r="P7" i="6" l="1"/>
  <c r="E8" i="6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D8" i="6"/>
  <c r="F7" i="6"/>
  <c r="S7" i="6" s="1"/>
  <c r="D9" i="6" l="1"/>
  <c r="Q8" i="6"/>
  <c r="P8" i="6"/>
  <c r="G7" i="6"/>
  <c r="J8" i="6"/>
  <c r="I8" i="6"/>
  <c r="B8" i="6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J7" i="6"/>
  <c r="I7" i="6"/>
  <c r="K9" i="6" l="1"/>
  <c r="M9" i="6"/>
  <c r="L9" i="6"/>
  <c r="J9" i="6"/>
  <c r="D10" i="6"/>
  <c r="Q9" i="6"/>
  <c r="P9" i="6"/>
  <c r="I9" i="6"/>
  <c r="N8" i="6"/>
  <c r="R7" i="6"/>
  <c r="N7" i="6"/>
  <c r="T7" i="6"/>
  <c r="N9" i="6" l="1"/>
  <c r="D11" i="6"/>
  <c r="Q10" i="6"/>
  <c r="P10" i="6"/>
  <c r="J10" i="6"/>
  <c r="I10" i="6"/>
  <c r="U7" i="6"/>
  <c r="D12" i="6" l="1"/>
  <c r="P11" i="6"/>
  <c r="Q11" i="6"/>
  <c r="J11" i="6"/>
  <c r="I11" i="6"/>
  <c r="N10" i="6"/>
  <c r="E19" i="6"/>
  <c r="F10" i="6"/>
  <c r="S10" i="6" s="1"/>
  <c r="F11" i="6"/>
  <c r="S11" i="6" s="1"/>
  <c r="F9" i="6"/>
  <c r="S9" i="6" s="1"/>
  <c r="F8" i="6"/>
  <c r="S8" i="6" s="1"/>
  <c r="N11" i="6" l="1"/>
  <c r="M12" i="6"/>
  <c r="L12" i="6"/>
  <c r="K12" i="6"/>
  <c r="D13" i="6"/>
  <c r="P12" i="6"/>
  <c r="Q12" i="6"/>
  <c r="J12" i="6"/>
  <c r="I12" i="6"/>
  <c r="F12" i="6"/>
  <c r="S12" i="6" s="1"/>
  <c r="G8" i="6"/>
  <c r="D14" i="6" l="1"/>
  <c r="P13" i="6"/>
  <c r="Q13" i="6"/>
  <c r="J13" i="6"/>
  <c r="I13" i="6"/>
  <c r="F13" i="6"/>
  <c r="N12" i="6"/>
  <c r="R8" i="6"/>
  <c r="T8" i="6"/>
  <c r="G9" i="6"/>
  <c r="S13" i="6" l="1"/>
  <c r="N13" i="6"/>
  <c r="D15" i="6"/>
  <c r="M15" i="6" s="1"/>
  <c r="Q14" i="6"/>
  <c r="P14" i="6"/>
  <c r="J14" i="6"/>
  <c r="I14" i="6"/>
  <c r="F14" i="6"/>
  <c r="S14" i="6" s="1"/>
  <c r="R9" i="6"/>
  <c r="T9" i="6"/>
  <c r="G10" i="6"/>
  <c r="U8" i="6"/>
  <c r="L15" i="6" l="1"/>
  <c r="K15" i="6"/>
  <c r="D16" i="6"/>
  <c r="Q15" i="6"/>
  <c r="P15" i="6"/>
  <c r="J15" i="6"/>
  <c r="I15" i="6"/>
  <c r="F15" i="6"/>
  <c r="S15" i="6" s="1"/>
  <c r="N14" i="6"/>
  <c r="U9" i="6"/>
  <c r="T10" i="6"/>
  <c r="R10" i="6"/>
  <c r="G11" i="6"/>
  <c r="D17" i="6" l="1"/>
  <c r="Q16" i="6"/>
  <c r="P16" i="6"/>
  <c r="J16" i="6"/>
  <c r="I16" i="6"/>
  <c r="F16" i="6"/>
  <c r="S16" i="6" s="1"/>
  <c r="N15" i="6"/>
  <c r="G12" i="6"/>
  <c r="T11" i="6"/>
  <c r="R11" i="6"/>
  <c r="U10" i="6"/>
  <c r="D18" i="6" l="1"/>
  <c r="M18" i="6" s="1"/>
  <c r="Q17" i="6"/>
  <c r="P17" i="6"/>
  <c r="J17" i="6"/>
  <c r="I17" i="6"/>
  <c r="F17" i="6"/>
  <c r="N16" i="6"/>
  <c r="U11" i="6"/>
  <c r="R12" i="6"/>
  <c r="G13" i="6"/>
  <c r="T12" i="6"/>
  <c r="L18" i="6" l="1"/>
  <c r="L19" i="6" s="1"/>
  <c r="K18" i="6"/>
  <c r="K19" i="6" s="1"/>
  <c r="N17" i="6"/>
  <c r="Q18" i="6"/>
  <c r="P18" i="6"/>
  <c r="J18" i="6"/>
  <c r="J19" i="6" s="1"/>
  <c r="I18" i="6"/>
  <c r="F18" i="6"/>
  <c r="S18" i="6" s="1"/>
  <c r="D19" i="6"/>
  <c r="E20" i="6" s="1"/>
  <c r="M19" i="6"/>
  <c r="S17" i="6"/>
  <c r="U12" i="6"/>
  <c r="T13" i="6"/>
  <c r="G14" i="6"/>
  <c r="R13" i="6"/>
  <c r="S19" i="6" l="1"/>
  <c r="S21" i="6" s="1"/>
  <c r="N18" i="6"/>
  <c r="N19" i="6" s="1"/>
  <c r="N21" i="6" s="1"/>
  <c r="J21" i="6"/>
  <c r="K21" i="6"/>
  <c r="M21" i="6"/>
  <c r="L21" i="6"/>
  <c r="F19" i="6"/>
  <c r="F20" i="6" s="1"/>
  <c r="I19" i="6"/>
  <c r="I21" i="6" s="1"/>
  <c r="U13" i="6"/>
  <c r="R14" i="6"/>
  <c r="G15" i="6"/>
  <c r="T14" i="6"/>
  <c r="L20" i="6" l="1"/>
  <c r="K20" i="6"/>
  <c r="S20" i="6"/>
  <c r="N20" i="6"/>
  <c r="I20" i="6"/>
  <c r="M20" i="6"/>
  <c r="J20" i="6"/>
  <c r="R15" i="6"/>
  <c r="T15" i="6"/>
  <c r="G16" i="6"/>
  <c r="U14" i="6"/>
  <c r="G17" i="6" l="1"/>
  <c r="T16" i="6"/>
  <c r="R16" i="6"/>
  <c r="U15" i="6"/>
  <c r="T17" i="6" l="1"/>
  <c r="R17" i="6"/>
  <c r="G18" i="6"/>
  <c r="U16" i="6"/>
  <c r="Q19" i="6" l="1"/>
  <c r="P19" i="6"/>
  <c r="T18" i="6"/>
  <c r="T19" i="6" s="1"/>
  <c r="R18" i="6"/>
  <c r="R19" i="6" s="1"/>
  <c r="U17" i="6"/>
  <c r="T20" i="6" l="1"/>
  <c r="T21" i="6"/>
  <c r="R20" i="6"/>
  <c r="R21" i="6"/>
  <c r="P20" i="6"/>
  <c r="P21" i="6"/>
  <c r="Q20" i="6"/>
  <c r="Q21" i="6"/>
  <c r="U18" i="6"/>
  <c r="U19" i="6" s="1"/>
  <c r="U20" i="6" l="1"/>
  <c r="U2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3" authorId="0" shapeId="0" xr:uid="{00000000-0006-0000-0100-000001000000}">
      <text>
        <r>
          <rPr>
            <sz val="9"/>
            <color indexed="81"/>
            <rFont val="Segoe UI"/>
            <family val="2"/>
          </rPr>
          <t>IMPOSTO DE RENDA</t>
        </r>
      </text>
    </comment>
    <comment ref="D3" authorId="0" shapeId="0" xr:uid="{00000000-0006-0000-0100-000002000000}">
      <text>
        <r>
          <rPr>
            <sz val="9"/>
            <color indexed="81"/>
            <rFont val="Segoe UI"/>
            <family val="2"/>
          </rPr>
          <t>CONTRIBUIÇÃO SOCIAL SOBRE LUCRO LÍQUIDO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B3" authorId="0" shapeId="0" xr:uid="{00000000-0006-0000-0200-000001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F3" authorId="0" shapeId="0" xr:uid="{00000000-0006-0000-0200-000002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G3" authorId="0" shapeId="0" xr:uid="{00000000-0006-0000-0200-000003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I6" authorId="0" shapeId="0" xr:uid="{00000000-0006-0000-0200-000004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J6" authorId="0" shapeId="0" xr:uid="{00000000-0006-0000-0200-000005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K6" authorId="0" shapeId="0" xr:uid="{00000000-0006-0000-0200-000006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L6" authorId="0" shapeId="0" xr:uid="{00000000-0006-0000-0200-000007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M6" authorId="0" shapeId="0" xr:uid="{00000000-0006-0000-0200-000008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P6" authorId="0" shapeId="0" xr:uid="{00000000-0006-0000-0200-000009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Q6" authorId="0" shapeId="0" xr:uid="{00000000-0006-0000-0200-00000A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R6" authorId="0" shapeId="0" xr:uid="{00000000-0006-0000-0200-00000B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S6" authorId="0" shapeId="0" xr:uid="{00000000-0006-0000-0200-00000C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T6" authorId="0" shapeId="0" xr:uid="{00000000-0006-0000-0200-00000D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7" authorId="0" shapeId="0" xr:uid="{00000000-0006-0000-0200-00000E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7" authorId="0" shapeId="0" xr:uid="{00000000-0006-0000-0200-00000F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8" authorId="0" shapeId="0" xr:uid="{00000000-0006-0000-0200-000010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8" authorId="0" shapeId="0" xr:uid="{00000000-0006-0000-0200-000011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9" authorId="0" shapeId="0" xr:uid="{00000000-0006-0000-0200-000012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9" authorId="0" shapeId="0" xr:uid="{00000000-0006-0000-0200-000013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0" authorId="0" shapeId="0" xr:uid="{00000000-0006-0000-0200-000014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0" authorId="0" shapeId="0" xr:uid="{00000000-0006-0000-0200-000015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1" authorId="0" shapeId="0" xr:uid="{00000000-0006-0000-0200-000016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1" authorId="0" shapeId="0" xr:uid="{00000000-0006-0000-0200-000017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2" authorId="0" shapeId="0" xr:uid="{00000000-0006-0000-0200-000018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2" authorId="0" shapeId="0" xr:uid="{00000000-0006-0000-0200-000019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3" authorId="0" shapeId="0" xr:uid="{00000000-0006-0000-0200-00001A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3" authorId="0" shapeId="0" xr:uid="{00000000-0006-0000-0200-00001B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4" authorId="0" shapeId="0" xr:uid="{00000000-0006-0000-0200-00001C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4" authorId="0" shapeId="0" xr:uid="{00000000-0006-0000-0200-00001D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5" authorId="0" shapeId="0" xr:uid="{00000000-0006-0000-0200-00001E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5" authorId="0" shapeId="0" xr:uid="{00000000-0006-0000-0200-00001F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6" authorId="0" shapeId="0" xr:uid="{00000000-0006-0000-0200-000020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6" authorId="0" shapeId="0" xr:uid="{00000000-0006-0000-0200-000021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7" authorId="0" shapeId="0" xr:uid="{00000000-0006-0000-0200-000022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7" authorId="0" shapeId="0" xr:uid="{00000000-0006-0000-0200-000023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D18" authorId="0" shapeId="0" xr:uid="{00000000-0006-0000-0200-000024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  <comment ref="E18" authorId="0" shapeId="0" xr:uid="{00000000-0006-0000-0200-000025000000}">
      <text>
        <r>
          <rPr>
            <sz val="9"/>
            <color indexed="81"/>
            <rFont val="Segoe UI"/>
            <family val="2"/>
          </rPr>
          <t>Preenchimento obrigatório.</t>
        </r>
      </text>
    </comment>
  </commentList>
</comments>
</file>

<file path=xl/sharedStrings.xml><?xml version="1.0" encoding="utf-8"?>
<sst xmlns="http://schemas.openxmlformats.org/spreadsheetml/2006/main" count="63" uniqueCount="44">
  <si>
    <t>ATIVIDADE</t>
  </si>
  <si>
    <t>MÊS</t>
  </si>
  <si>
    <t>ACUMULADO</t>
  </si>
  <si>
    <t>LUCRO REAL</t>
  </si>
  <si>
    <t>LUCRO PRESUMIDO</t>
  </si>
  <si>
    <t>IRPJ</t>
  </si>
  <si>
    <t>CSLL</t>
  </si>
  <si>
    <t>PIS</t>
  </si>
  <si>
    <t>COFINS</t>
  </si>
  <si>
    <t>ADIC. IRPJ</t>
  </si>
  <si>
    <t>CUSTOS/DESP.</t>
  </si>
  <si>
    <t>RESULTADO</t>
  </si>
  <si>
    <t>TOTAL</t>
  </si>
  <si>
    <t>IMPOSTOS</t>
  </si>
  <si>
    <t>FATURAMENTO</t>
  </si>
  <si>
    <t>% PIS/COFINS (1)</t>
  </si>
  <si>
    <t>IR</t>
  </si>
  <si>
    <t>PRESUNÇÃO DE LUCRO PARA O LUCRO PRESUMIDO</t>
  </si>
  <si>
    <t>PRESUNÇÃO DE LUCRO PARA A ATIVIDADE ESCOLHIDA</t>
  </si>
  <si>
    <t>(1) % DE APROVEITAMENTO DOS CRÉDITOS DE PIS/COFINS SOBRE OS CUSTOS NO LUCRO REAL</t>
  </si>
  <si>
    <r>
      <t xml:space="preserve">↓ ATIVIDADE </t>
    </r>
    <r>
      <rPr>
        <sz val="11"/>
        <color theme="1"/>
        <rFont val="Calibri"/>
        <family val="2"/>
      </rPr>
      <t>↓</t>
    </r>
  </si>
  <si>
    <t>↓ ANO ↓</t>
  </si>
  <si>
    <t>REVENDA DE COMBUSTÍVEIS</t>
  </si>
  <si>
    <t>SERVIÇOS DE TRANSPORTE (EXCETO O DE CARGA)</t>
  </si>
  <si>
    <t>SERVIÇOS DE TRANSPORTE DE CARGAS</t>
  </si>
  <si>
    <t>INTERMEDIAÇÃO DE NEGÓCIOS</t>
  </si>
  <si>
    <t>SERVIÇOS EM GERAL</t>
  </si>
  <si>
    <t>SERVIÇOS HOSPITALARES</t>
  </si>
  <si>
    <t>ATIVIDADE IMOBILIÁRIA</t>
  </si>
  <si>
    <t>T U T O R I A L</t>
  </si>
  <si>
    <t>.</t>
  </si>
  <si>
    <t>CÁLCULO</t>
  </si>
  <si>
    <t>Os campos marcados na cor azul degradê são os que devem ser preenchidos. As células entre D8 e E18 estão com fórmula copiando as células D7 e E7, porém podem ser alteradas para novos valores...</t>
  </si>
  <si>
    <t>Na guia "CÁLCULO", clicando no botão " + " acima das células H e P você terá acesso às fórmulas e aos valores dos impostos e também poderá alterar as alíquotas dos mesmos.</t>
  </si>
  <si>
    <t>Nas células AC10 e AD10 você visualizará os percentuais de presunção de lucro correspondentes à atividade escolhida.</t>
  </si>
  <si>
    <t>Essas células ficarão preenchidas na cor verde caso representem o menor custo de impostos e o menor peso em % e ficarão na cor vermelha caso representem o maior custo (formatação condicional).</t>
  </si>
  <si>
    <t>O resultado do comparativo ficará visível nas células O19 e W19, para os valores de impostos, e nas células O20:O21 e W20:W21 para os percentuais relativos ao peso dos impostos sobre o faturamento e sobre o lucro.</t>
  </si>
  <si>
    <t>Nas células mescladas entre B3 e E3 da guia "CÁLCULO" fica a lista das atividades cadastradas na guia "Atividades". Clicando nessa área, você visualizará a lista e poderá escolher aquela que esteja adequada à sua consulta de cálculo...</t>
  </si>
  <si>
    <t>(2) PESO DOS IMPOSTOS FEDERAIS SOBRE O FATURAMENTO LÍQUIDO (FATURAMENTO - CUSTOS/DESP.)</t>
  </si>
  <si>
    <t>(3) PESO DOS IMPOSTOS FEDERAIS SOBRE O FATURAMENTO BRUTO</t>
  </si>
  <si>
    <t>No caso do lucro presumido, o tipo de atividade exercida pela empresa determina o % de presunção do lucro a ser aplicado no cálculo do Imposto de Renda e da Contribuição Social sobre o Lucro Líquido (CSLL).</t>
  </si>
  <si>
    <t>É na guia "Atividades" que deve estar cadastrada a atividade da empresa e seus respectivos percentuais de presunção de lucro para o IR e a CSLL. Caso sua atividade não esteja lá prevista, basta ajustá-la ou cadastrar uma nova...</t>
  </si>
  <si>
    <t>LUCRO PRESUMIDO  - ATIVIDADES</t>
  </si>
  <si>
    <t>Clicando no botão " + " acima das células H e O você terá acesso às fórmulas e aos valores dos impostos e também poderá alterar as alíquotas dos mesmos.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</si>
</sst>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[$-416]mmm\-yy;@"/>
    <numFmt numFmtId="166" formatCode="0.000%"/>
    <numFmt numFmtId="167" formatCode="0.000%&quot; (2)&quot;"/>
    <numFmt numFmtId="168" formatCode="0.000%&quot; (3)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sz val="11"/>
      <color theme="1"/>
      <name val="Calibr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0"/>
        </stop>
        <stop position="1">
          <color theme="0" tint="-0.49803155613879818"/>
        </stop>
      </gradientFill>
    </fill>
    <fill>
      <patternFill patternType="solid">
        <fgColor theme="0" tint="-0.24994659260841701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0.499984740745262"/>
        <bgColor indexed="64"/>
      </patternFill>
    </fill>
    <fill>
      <gradientFill degree="90">
        <stop position="0">
          <color theme="0"/>
        </stop>
        <stop position="1">
          <color theme="0" tint="-0.1490218817712943"/>
        </stop>
      </gradient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double">
        <color theme="0" tint="-0.34998626667073579"/>
      </left>
      <right/>
      <top/>
      <bottom/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3">
    <xf numFmtId="0" fontId="0" fillId="0" borderId="0" xfId="0"/>
    <xf numFmtId="164" fontId="0" fillId="0" borderId="0" xfId="1" applyFont="1" applyAlignment="1" applyProtection="1">
      <alignment vertical="center"/>
    </xf>
    <xf numFmtId="164" fontId="0" fillId="0" borderId="0" xfId="1" applyFont="1" applyFill="1" applyBorder="1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164" fontId="3" fillId="2" borderId="14" xfId="1" applyFont="1" applyFill="1" applyBorder="1" applyAlignment="1" applyProtection="1">
      <alignment horizontal="center" vertical="center"/>
    </xf>
    <xf numFmtId="164" fontId="3" fillId="2" borderId="11" xfId="1" applyFont="1" applyFill="1" applyBorder="1" applyAlignment="1" applyProtection="1">
      <alignment horizontal="center" vertical="center"/>
    </xf>
    <xf numFmtId="164" fontId="3" fillId="0" borderId="12" xfId="1" applyFont="1" applyFill="1" applyBorder="1" applyAlignment="1" applyProtection="1">
      <alignment horizontal="center" vertical="center"/>
    </xf>
    <xf numFmtId="164" fontId="3" fillId="2" borderId="13" xfId="1" applyFont="1" applyFill="1" applyBorder="1" applyAlignment="1" applyProtection="1">
      <alignment horizontal="center" vertical="center"/>
    </xf>
    <xf numFmtId="164" fontId="0" fillId="0" borderId="18" xfId="1" applyFont="1" applyBorder="1" applyAlignment="1" applyProtection="1">
      <alignment vertical="center"/>
    </xf>
    <xf numFmtId="165" fontId="0" fillId="0" borderId="12" xfId="1" applyNumberFormat="1" applyFont="1" applyFill="1" applyBorder="1" applyAlignment="1" applyProtection="1">
      <alignment horizontal="center" vertical="center"/>
    </xf>
    <xf numFmtId="164" fontId="0" fillId="0" borderId="21" xfId="1" applyFont="1" applyBorder="1" applyAlignment="1" applyProtection="1">
      <alignment vertical="center"/>
    </xf>
    <xf numFmtId="164" fontId="0" fillId="0" borderId="24" xfId="1" applyFont="1" applyBorder="1" applyAlignment="1" applyProtection="1">
      <alignment vertical="center"/>
    </xf>
    <xf numFmtId="164" fontId="3" fillId="2" borderId="1" xfId="1" applyFont="1" applyFill="1" applyBorder="1" applyAlignment="1" applyProtection="1">
      <alignment vertical="center"/>
    </xf>
    <xf numFmtId="164" fontId="4" fillId="2" borderId="1" xfId="1" applyFont="1" applyFill="1" applyBorder="1" applyAlignment="1" applyProtection="1">
      <alignment vertical="center"/>
    </xf>
    <xf numFmtId="164" fontId="0" fillId="2" borderId="1" xfId="1" applyFont="1" applyFill="1" applyBorder="1" applyAlignment="1" applyProtection="1">
      <alignment vertical="center"/>
    </xf>
    <xf numFmtId="164" fontId="3" fillId="0" borderId="12" xfId="1" applyFont="1" applyFill="1" applyBorder="1" applyAlignment="1" applyProtection="1">
      <alignment vertical="center"/>
    </xf>
    <xf numFmtId="164" fontId="0" fillId="0" borderId="1" xfId="1" applyFont="1" applyBorder="1" applyAlignment="1" applyProtection="1">
      <alignment vertical="center"/>
    </xf>
    <xf numFmtId="164" fontId="6" fillId="0" borderId="0" xfId="1" applyFont="1" applyAlignment="1" applyProtection="1">
      <alignment vertical="center"/>
    </xf>
    <xf numFmtId="166" fontId="6" fillId="0" borderId="1" xfId="2" applyNumberFormat="1" applyFont="1" applyBorder="1" applyAlignment="1" applyProtection="1">
      <alignment horizontal="center" vertical="center"/>
    </xf>
    <xf numFmtId="164" fontId="1" fillId="0" borderId="12" xfId="1" applyFont="1" applyFill="1" applyBorder="1" applyAlignment="1" applyProtection="1">
      <alignment vertical="center"/>
    </xf>
    <xf numFmtId="166" fontId="1" fillId="0" borderId="1" xfId="2" applyNumberFormat="1" applyFont="1" applyBorder="1" applyAlignment="1" applyProtection="1">
      <alignment horizontal="center" vertical="center"/>
    </xf>
    <xf numFmtId="164" fontId="1" fillId="0" borderId="5" xfId="1" applyFont="1" applyFill="1" applyBorder="1" applyAlignment="1" applyProtection="1">
      <alignment vertical="center"/>
    </xf>
    <xf numFmtId="10" fontId="1" fillId="0" borderId="1" xfId="2" applyNumberFormat="1" applyFont="1" applyBorder="1" applyAlignment="1" applyProtection="1">
      <alignment horizontal="center" vertical="center"/>
    </xf>
    <xf numFmtId="0" fontId="0" fillId="0" borderId="0" xfId="1" applyNumberFormat="1" applyFont="1" applyAlignment="1" applyProtection="1">
      <alignment vertical="top" wrapText="1"/>
    </xf>
    <xf numFmtId="164" fontId="0" fillId="0" borderId="33" xfId="1" applyFont="1" applyBorder="1" applyAlignment="1" applyProtection="1">
      <alignment vertical="center"/>
    </xf>
    <xf numFmtId="164" fontId="1" fillId="0" borderId="33" xfId="1" applyFont="1" applyBorder="1" applyAlignment="1" applyProtection="1">
      <alignment vertical="center"/>
    </xf>
    <xf numFmtId="164" fontId="0" fillId="0" borderId="34" xfId="1" applyFont="1" applyBorder="1" applyAlignment="1" applyProtection="1">
      <alignment vertical="center"/>
    </xf>
    <xf numFmtId="164" fontId="1" fillId="0" borderId="34" xfId="1" applyFont="1" applyBorder="1" applyAlignment="1" applyProtection="1">
      <alignment vertical="center"/>
    </xf>
    <xf numFmtId="164" fontId="0" fillId="0" borderId="35" xfId="1" applyFont="1" applyBorder="1" applyAlignment="1" applyProtection="1">
      <alignment vertical="center"/>
    </xf>
    <xf numFmtId="164" fontId="1" fillId="0" borderId="35" xfId="1" applyFont="1" applyBorder="1" applyAlignment="1" applyProtection="1">
      <alignment vertical="center"/>
    </xf>
    <xf numFmtId="164" fontId="3" fillId="0" borderId="1" xfId="1" applyFont="1" applyFill="1" applyBorder="1" applyAlignment="1" applyProtection="1">
      <alignment vertical="center"/>
    </xf>
    <xf numFmtId="167" fontId="8" fillId="0" borderId="1" xfId="2" applyNumberFormat="1" applyFont="1" applyBorder="1" applyAlignment="1" applyProtection="1">
      <alignment horizontal="center" vertical="center"/>
    </xf>
    <xf numFmtId="168" fontId="9" fillId="0" borderId="1" xfId="2" applyNumberFormat="1" applyFont="1" applyFill="1" applyBorder="1" applyAlignment="1" applyProtection="1">
      <alignment horizontal="center" vertical="center"/>
    </xf>
    <xf numFmtId="10" fontId="0" fillId="0" borderId="0" xfId="2" applyNumberFormat="1" applyFont="1" applyAlignment="1">
      <alignment horizontal="center"/>
    </xf>
    <xf numFmtId="0" fontId="3" fillId="5" borderId="1" xfId="0" applyFont="1" applyFill="1" applyBorder="1" applyAlignment="1">
      <alignment horizontal="center"/>
    </xf>
    <xf numFmtId="10" fontId="3" fillId="5" borderId="1" xfId="2" applyNumberFormat="1" applyFont="1" applyFill="1" applyBorder="1" applyAlignment="1">
      <alignment horizontal="center"/>
    </xf>
    <xf numFmtId="164" fontId="3" fillId="6" borderId="18" xfId="1" applyFont="1" applyFill="1" applyBorder="1" applyAlignment="1" applyProtection="1">
      <alignment vertical="center"/>
      <protection locked="0"/>
    </xf>
    <xf numFmtId="164" fontId="4" fillId="6" borderId="18" xfId="1" applyFont="1" applyFill="1" applyBorder="1" applyAlignment="1" applyProtection="1">
      <alignment vertical="center"/>
      <protection locked="0"/>
    </xf>
    <xf numFmtId="164" fontId="0" fillId="6" borderId="21" xfId="1" applyFont="1" applyFill="1" applyBorder="1" applyAlignment="1" applyProtection="1">
      <alignment vertical="center"/>
      <protection locked="0"/>
    </xf>
    <xf numFmtId="164" fontId="2" fillId="6" borderId="21" xfId="1" applyFont="1" applyFill="1" applyBorder="1" applyAlignment="1" applyProtection="1">
      <alignment vertical="center"/>
      <protection locked="0"/>
    </xf>
    <xf numFmtId="164" fontId="0" fillId="6" borderId="24" xfId="1" applyFont="1" applyFill="1" applyBorder="1" applyAlignment="1" applyProtection="1">
      <alignment vertical="center"/>
      <protection locked="0"/>
    </xf>
    <xf numFmtId="164" fontId="2" fillId="6" borderId="24" xfId="1" applyFont="1" applyFill="1" applyBorder="1" applyAlignment="1" applyProtection="1">
      <alignment vertical="center"/>
      <protection locked="0"/>
    </xf>
    <xf numFmtId="10" fontId="3" fillId="6" borderId="13" xfId="1" applyNumberFormat="1" applyFont="1" applyFill="1" applyBorder="1" applyAlignment="1" applyProtection="1">
      <alignment horizontal="center" vertical="center"/>
    </xf>
    <xf numFmtId="9" fontId="3" fillId="6" borderId="13" xfId="1" applyNumberFormat="1" applyFont="1" applyFill="1" applyBorder="1" applyAlignment="1" applyProtection="1">
      <alignment horizontal="center" vertical="center"/>
    </xf>
    <xf numFmtId="164" fontId="0" fillId="3" borderId="37" xfId="1" applyFont="1" applyFill="1" applyBorder="1" applyAlignment="1" applyProtection="1">
      <alignment horizontal="center" vertical="center"/>
    </xf>
    <xf numFmtId="164" fontId="0" fillId="3" borderId="38" xfId="1" applyFont="1" applyFill="1" applyBorder="1" applyAlignment="1" applyProtection="1">
      <alignment horizontal="center" vertical="center"/>
    </xf>
    <xf numFmtId="0" fontId="3" fillId="6" borderId="37" xfId="1" applyNumberFormat="1" applyFont="1" applyFill="1" applyBorder="1" applyAlignment="1" applyProtection="1">
      <alignment horizontal="center" vertical="center"/>
      <protection locked="0"/>
    </xf>
    <xf numFmtId="10" fontId="0" fillId="0" borderId="13" xfId="2" applyNumberFormat="1" applyFont="1" applyBorder="1" applyAlignment="1" applyProtection="1">
      <alignment horizontal="center" vertical="center"/>
    </xf>
    <xf numFmtId="164" fontId="0" fillId="0" borderId="33" xfId="1" applyFont="1" applyBorder="1" applyAlignment="1" applyProtection="1">
      <alignment horizontal="center" vertical="center"/>
    </xf>
    <xf numFmtId="10" fontId="3" fillId="6" borderId="38" xfId="2" applyNumberFormat="1" applyFont="1" applyFill="1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right" vertical="top"/>
    </xf>
    <xf numFmtId="0" fontId="0" fillId="0" borderId="40" xfId="0" applyBorder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/>
    </xf>
    <xf numFmtId="0" fontId="0" fillId="0" borderId="39" xfId="0" applyBorder="1" applyAlignment="1" applyProtection="1">
      <alignment horizontal="left" vertical="top" wrapText="1"/>
    </xf>
    <xf numFmtId="0" fontId="0" fillId="0" borderId="40" xfId="0" applyBorder="1" applyAlignment="1" applyProtection="1">
      <alignment horizontal="left" vertical="top" wrapText="1"/>
    </xf>
    <xf numFmtId="0" fontId="0" fillId="0" borderId="40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12" fillId="0" borderId="0" xfId="1" applyNumberFormat="1" applyFont="1" applyAlignment="1" applyProtection="1">
      <alignment horizontal="left" vertical="top"/>
    </xf>
    <xf numFmtId="0" fontId="13" fillId="0" borderId="0" xfId="1" applyNumberFormat="1" applyFont="1" applyBorder="1" applyAlignment="1" applyProtection="1">
      <alignment horizontal="left" vertical="top"/>
    </xf>
    <xf numFmtId="0" fontId="5" fillId="7" borderId="9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164" fontId="0" fillId="0" borderId="11" xfId="1" applyFont="1" applyBorder="1" applyAlignment="1" applyProtection="1">
      <alignment horizontal="center" vertical="center" wrapText="1" shrinkToFit="1"/>
    </xf>
    <xf numFmtId="164" fontId="0" fillId="0" borderId="13" xfId="1" applyFont="1" applyBorder="1" applyAlignment="1" applyProtection="1">
      <alignment horizontal="center" vertical="center" wrapText="1" shrinkToFit="1"/>
    </xf>
    <xf numFmtId="164" fontId="1" fillId="8" borderId="2" xfId="1" applyFont="1" applyFill="1" applyBorder="1" applyAlignment="1" applyProtection="1">
      <alignment horizontal="center" vertical="center"/>
    </xf>
    <xf numFmtId="164" fontId="1" fillId="8" borderId="3" xfId="1" applyFont="1" applyFill="1" applyBorder="1" applyAlignment="1" applyProtection="1">
      <alignment horizontal="center" vertical="center"/>
    </xf>
    <xf numFmtId="164" fontId="1" fillId="8" borderId="4" xfId="1" applyFont="1" applyFill="1" applyBorder="1" applyAlignment="1" applyProtection="1">
      <alignment horizontal="center" vertical="center"/>
    </xf>
    <xf numFmtId="0" fontId="10" fillId="0" borderId="25" xfId="1" applyNumberFormat="1" applyFont="1" applyBorder="1" applyAlignment="1" applyProtection="1">
      <alignment horizontal="center" vertical="center" wrapText="1"/>
    </xf>
    <xf numFmtId="0" fontId="10" fillId="0" borderId="26" xfId="1" applyNumberFormat="1" applyFont="1" applyBorder="1" applyAlignment="1" applyProtection="1">
      <alignment horizontal="center" vertical="center" wrapText="1"/>
    </xf>
    <xf numFmtId="0" fontId="10" fillId="0" borderId="27" xfId="1" applyNumberFormat="1" applyFont="1" applyBorder="1" applyAlignment="1" applyProtection="1">
      <alignment horizontal="center" vertical="center" wrapText="1"/>
    </xf>
    <xf numFmtId="0" fontId="10" fillId="0" borderId="28" xfId="1" applyNumberFormat="1" applyFont="1" applyBorder="1" applyAlignment="1" applyProtection="1">
      <alignment horizontal="center" vertical="center" wrapText="1"/>
    </xf>
    <xf numFmtId="0" fontId="10" fillId="0" borderId="0" xfId="1" applyNumberFormat="1" applyFont="1" applyBorder="1" applyAlignment="1" applyProtection="1">
      <alignment horizontal="center" vertical="center" wrapText="1"/>
    </xf>
    <xf numFmtId="0" fontId="10" fillId="0" borderId="29" xfId="1" applyNumberFormat="1" applyFont="1" applyBorder="1" applyAlignment="1" applyProtection="1">
      <alignment horizontal="center" vertical="center" wrapText="1"/>
    </xf>
    <xf numFmtId="0" fontId="10" fillId="0" borderId="30" xfId="1" applyNumberFormat="1" applyFont="1" applyBorder="1" applyAlignment="1" applyProtection="1">
      <alignment horizontal="center" vertical="center" wrapText="1"/>
    </xf>
    <xf numFmtId="0" fontId="10" fillId="0" borderId="31" xfId="1" applyNumberFormat="1" applyFont="1" applyBorder="1" applyAlignment="1" applyProtection="1">
      <alignment horizontal="center" vertical="center" wrapText="1"/>
    </xf>
    <xf numFmtId="0" fontId="10" fillId="0" borderId="32" xfId="1" applyNumberFormat="1" applyFont="1" applyBorder="1" applyAlignment="1" applyProtection="1">
      <alignment horizontal="center" vertical="center" wrapText="1"/>
    </xf>
    <xf numFmtId="164" fontId="14" fillId="0" borderId="15" xfId="1" applyFont="1" applyBorder="1" applyAlignment="1" applyProtection="1">
      <alignment horizontal="left" vertical="center"/>
    </xf>
    <xf numFmtId="164" fontId="14" fillId="0" borderId="3" xfId="1" applyFont="1" applyBorder="1" applyAlignment="1" applyProtection="1">
      <alignment horizontal="left" vertical="center"/>
    </xf>
    <xf numFmtId="164" fontId="0" fillId="3" borderId="36" xfId="1" applyFont="1" applyFill="1" applyBorder="1" applyAlignment="1" applyProtection="1">
      <alignment horizontal="center" vertical="center"/>
    </xf>
    <xf numFmtId="164" fontId="0" fillId="3" borderId="37" xfId="1" applyFont="1" applyFill="1" applyBorder="1" applyAlignment="1" applyProtection="1">
      <alignment horizontal="center" vertical="center"/>
    </xf>
    <xf numFmtId="164" fontId="3" fillId="6" borderId="36" xfId="1" applyFont="1" applyFill="1" applyBorder="1" applyAlignment="1" applyProtection="1">
      <alignment horizontal="center" vertical="center" shrinkToFit="1"/>
      <protection locked="0"/>
    </xf>
    <xf numFmtId="164" fontId="3" fillId="6" borderId="37" xfId="1" applyFont="1" applyFill="1" applyBorder="1" applyAlignment="1" applyProtection="1">
      <alignment horizontal="center" vertical="center" shrinkToFit="1"/>
      <protection locked="0"/>
    </xf>
    <xf numFmtId="164" fontId="3" fillId="4" borderId="0" xfId="1" applyFont="1" applyFill="1" applyBorder="1" applyAlignment="1" applyProtection="1">
      <alignment horizontal="center" vertical="center" wrapText="1"/>
    </xf>
    <xf numFmtId="164" fontId="3" fillId="4" borderId="7" xfId="1" applyFont="1" applyFill="1" applyBorder="1" applyAlignment="1" applyProtection="1">
      <alignment horizontal="center" vertical="center" wrapText="1"/>
    </xf>
    <xf numFmtId="164" fontId="3" fillId="2" borderId="9" xfId="1" applyFont="1" applyFill="1" applyBorder="1" applyAlignment="1" applyProtection="1">
      <alignment horizontal="center" vertical="center"/>
    </xf>
    <xf numFmtId="164" fontId="3" fillId="2" borderId="10" xfId="1" applyFont="1" applyFill="1" applyBorder="1" applyAlignment="1" applyProtection="1">
      <alignment horizontal="center" vertical="center"/>
    </xf>
    <xf numFmtId="164" fontId="0" fillId="0" borderId="9" xfId="1" applyFont="1" applyBorder="1" applyAlignment="1" applyProtection="1">
      <alignment horizontal="center" vertical="center"/>
    </xf>
    <xf numFmtId="164" fontId="0" fillId="0" borderId="10" xfId="1" applyFont="1" applyBorder="1" applyAlignment="1" applyProtection="1">
      <alignment horizontal="center" vertical="center"/>
    </xf>
    <xf numFmtId="165" fontId="0" fillId="0" borderId="19" xfId="1" applyNumberFormat="1" applyFont="1" applyBorder="1" applyAlignment="1" applyProtection="1">
      <alignment horizontal="center" vertical="center"/>
    </xf>
    <xf numFmtId="165" fontId="0" fillId="0" borderId="20" xfId="1" applyNumberFormat="1" applyFont="1" applyBorder="1" applyAlignment="1" applyProtection="1">
      <alignment horizontal="center" vertical="center"/>
    </xf>
    <xf numFmtId="165" fontId="0" fillId="0" borderId="19" xfId="1" applyNumberFormat="1" applyFont="1" applyFill="1" applyBorder="1" applyAlignment="1" applyProtection="1">
      <alignment horizontal="center" vertical="center"/>
    </xf>
    <xf numFmtId="165" fontId="0" fillId="0" borderId="20" xfId="1" applyNumberFormat="1" applyFont="1" applyFill="1" applyBorder="1" applyAlignment="1" applyProtection="1">
      <alignment horizontal="center" vertical="center"/>
    </xf>
    <xf numFmtId="165" fontId="0" fillId="0" borderId="22" xfId="1" applyNumberFormat="1" applyFont="1" applyFill="1" applyBorder="1" applyAlignment="1" applyProtection="1">
      <alignment horizontal="center" vertical="center"/>
    </xf>
    <xf numFmtId="165" fontId="0" fillId="0" borderId="23" xfId="1" applyNumberFormat="1" applyFont="1" applyFill="1" applyBorder="1" applyAlignment="1" applyProtection="1">
      <alignment horizontal="center" vertical="center"/>
    </xf>
    <xf numFmtId="164" fontId="3" fillId="2" borderId="2" xfId="1" applyFont="1" applyFill="1" applyBorder="1" applyAlignment="1" applyProtection="1">
      <alignment horizontal="center" vertical="center"/>
    </xf>
    <xf numFmtId="164" fontId="3" fillId="2" borderId="4" xfId="1" applyFont="1" applyFill="1" applyBorder="1" applyAlignment="1" applyProtection="1">
      <alignment horizontal="center" vertical="center"/>
    </xf>
    <xf numFmtId="164" fontId="3" fillId="2" borderId="6" xfId="1" applyFont="1" applyFill="1" applyBorder="1" applyAlignment="1" applyProtection="1">
      <alignment horizontal="center" vertical="center"/>
    </xf>
    <xf numFmtId="164" fontId="3" fillId="2" borderId="8" xfId="1" applyFont="1" applyFill="1" applyBorder="1" applyAlignment="1" applyProtection="1">
      <alignment horizontal="center" vertical="center"/>
    </xf>
    <xf numFmtId="164" fontId="3" fillId="2" borderId="11" xfId="1" applyFont="1" applyFill="1" applyBorder="1" applyAlignment="1" applyProtection="1">
      <alignment horizontal="center" vertical="center"/>
    </xf>
    <xf numFmtId="164" fontId="3" fillId="2" borderId="13" xfId="1" applyFont="1" applyFill="1" applyBorder="1" applyAlignment="1" applyProtection="1">
      <alignment horizontal="center" vertical="center"/>
    </xf>
    <xf numFmtId="165" fontId="0" fillId="0" borderId="16" xfId="1" applyNumberFormat="1" applyFont="1" applyBorder="1" applyAlignment="1" applyProtection="1">
      <alignment horizontal="center" vertical="center"/>
    </xf>
    <xf numFmtId="165" fontId="0" fillId="0" borderId="17" xfId="1" applyNumberFormat="1" applyFont="1" applyBorder="1" applyAlignment="1" applyProtection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2"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E79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>
    <pageSetUpPr fitToPage="1"/>
  </sheetPr>
  <dimension ref="B2:C14"/>
  <sheetViews>
    <sheetView showGridLines="0" workbookViewId="0">
      <selection activeCell="B2" sqref="B2:C2"/>
    </sheetView>
  </sheetViews>
  <sheetFormatPr defaultColWidth="9.140625" defaultRowHeight="22.5" customHeight="1" x14ac:dyDescent="0.25"/>
  <cols>
    <col min="1" max="1" width="3.85546875" style="53" customWidth="1"/>
    <col min="2" max="2" width="1.85546875" style="52" customWidth="1"/>
    <col min="3" max="3" width="134.140625" style="57" bestFit="1" customWidth="1"/>
    <col min="4" max="16384" width="9.140625" style="53"/>
  </cols>
  <sheetData>
    <row r="2" spans="2:3" ht="22.5" customHeight="1" x14ac:dyDescent="0.35">
      <c r="B2" s="58" t="s">
        <v>29</v>
      </c>
      <c r="C2" s="58"/>
    </row>
    <row r="4" spans="2:3" ht="22.5" customHeight="1" x14ac:dyDescent="0.35">
      <c r="B4" s="59" t="s">
        <v>42</v>
      </c>
      <c r="C4" s="59"/>
    </row>
    <row r="5" spans="2:3" ht="30" x14ac:dyDescent="0.25">
      <c r="B5" s="50" t="s">
        <v>30</v>
      </c>
      <c r="C5" s="54" t="s">
        <v>40</v>
      </c>
    </row>
    <row r="6" spans="2:3" ht="30" x14ac:dyDescent="0.25">
      <c r="B6" s="50" t="s">
        <v>30</v>
      </c>
      <c r="C6" s="54" t="s">
        <v>41</v>
      </c>
    </row>
    <row r="8" spans="2:3" ht="22.5" customHeight="1" x14ac:dyDescent="0.25">
      <c r="B8" s="59" t="s">
        <v>31</v>
      </c>
      <c r="C8" s="59"/>
    </row>
    <row r="9" spans="2:3" ht="30" x14ac:dyDescent="0.25">
      <c r="B9" s="50" t="s">
        <v>30</v>
      </c>
      <c r="C9" s="54" t="s">
        <v>32</v>
      </c>
    </row>
    <row r="10" spans="2:3" ht="30" x14ac:dyDescent="0.25">
      <c r="B10" s="51" t="s">
        <v>30</v>
      </c>
      <c r="C10" s="55" t="s">
        <v>37</v>
      </c>
    </row>
    <row r="11" spans="2:3" ht="15" x14ac:dyDescent="0.25">
      <c r="B11" s="51" t="s">
        <v>30</v>
      </c>
      <c r="C11" s="56" t="s">
        <v>34</v>
      </c>
    </row>
    <row r="12" spans="2:3" ht="30" x14ac:dyDescent="0.25">
      <c r="B12" s="51" t="s">
        <v>30</v>
      </c>
      <c r="C12" s="56" t="s">
        <v>33</v>
      </c>
    </row>
    <row r="13" spans="2:3" ht="30" x14ac:dyDescent="0.25">
      <c r="B13" s="51" t="s">
        <v>30</v>
      </c>
      <c r="C13" s="56" t="s">
        <v>36</v>
      </c>
    </row>
    <row r="14" spans="2:3" ht="30" x14ac:dyDescent="0.25">
      <c r="B14" s="51" t="s">
        <v>30</v>
      </c>
      <c r="C14" s="56" t="s">
        <v>35</v>
      </c>
    </row>
  </sheetData>
  <mergeCells count="3">
    <mergeCell ref="B2:C2"/>
    <mergeCell ref="B4:C4"/>
    <mergeCell ref="B8:C8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&amp;C&amp;"-,Negrito"&amp;14LUCRO REAL x LUCRO PRESUMIDO</oddHeader>
    <oddFooter>&amp;L&amp;8&amp;Z&amp;F&amp;R&amp;D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0"/>
  <sheetViews>
    <sheetView showGridLines="0" workbookViewId="0">
      <pane ySplit="3" topLeftCell="A4" activePane="bottomLeft" state="frozen"/>
      <selection pane="bottomLeft" activeCell="B11" sqref="B11"/>
    </sheetView>
  </sheetViews>
  <sheetFormatPr defaultRowHeight="15" x14ac:dyDescent="0.25"/>
  <cols>
    <col min="1" max="1" width="2.28515625" customWidth="1"/>
    <col min="2" max="2" width="45.140625" bestFit="1" customWidth="1"/>
    <col min="3" max="4" width="9.140625" style="33"/>
  </cols>
  <sheetData>
    <row r="1" spans="2:4" ht="6.75" customHeight="1" x14ac:dyDescent="0.35"/>
    <row r="2" spans="2:4" ht="18.75" customHeight="1" x14ac:dyDescent="0.25">
      <c r="B2" s="60" t="s">
        <v>17</v>
      </c>
      <c r="C2" s="61"/>
      <c r="D2" s="62"/>
    </row>
    <row r="3" spans="2:4" ht="14.45" x14ac:dyDescent="0.35">
      <c r="B3" s="34" t="s">
        <v>0</v>
      </c>
      <c r="C3" s="35" t="s">
        <v>16</v>
      </c>
      <c r="D3" s="35" t="s">
        <v>6</v>
      </c>
    </row>
    <row r="4" spans="2:4" x14ac:dyDescent="0.25">
      <c r="B4" t="s">
        <v>28</v>
      </c>
      <c r="C4" s="33">
        <v>0.08</v>
      </c>
      <c r="D4" s="33">
        <v>0.12</v>
      </c>
    </row>
    <row r="5" spans="2:4" x14ac:dyDescent="0.25">
      <c r="B5" t="s">
        <v>25</v>
      </c>
      <c r="C5" s="33">
        <v>0.32</v>
      </c>
      <c r="D5" s="33">
        <v>0.32</v>
      </c>
    </row>
    <row r="6" spans="2:4" x14ac:dyDescent="0.25">
      <c r="B6" t="s">
        <v>22</v>
      </c>
      <c r="C6" s="33">
        <v>1.6E-2</v>
      </c>
      <c r="D6" s="33">
        <v>0.12</v>
      </c>
    </row>
    <row r="7" spans="2:4" x14ac:dyDescent="0.25">
      <c r="B7" t="s">
        <v>23</v>
      </c>
      <c r="C7" s="33">
        <v>0.16</v>
      </c>
      <c r="D7" s="33">
        <v>0.16</v>
      </c>
    </row>
    <row r="8" spans="2:4" x14ac:dyDescent="0.25">
      <c r="B8" t="s">
        <v>24</v>
      </c>
      <c r="C8" s="33">
        <v>0.08</v>
      </c>
      <c r="D8" s="33">
        <v>0.12</v>
      </c>
    </row>
    <row r="9" spans="2:4" x14ac:dyDescent="0.25">
      <c r="B9" t="s">
        <v>26</v>
      </c>
      <c r="C9" s="33">
        <v>0.32</v>
      </c>
      <c r="D9" s="33">
        <v>0.32</v>
      </c>
    </row>
    <row r="10" spans="2:4" x14ac:dyDescent="0.25">
      <c r="B10" t="s">
        <v>27</v>
      </c>
      <c r="C10" s="33">
        <v>0.08</v>
      </c>
      <c r="D10" s="33">
        <v>0.12</v>
      </c>
    </row>
  </sheetData>
  <sortState ref="B4:D11">
    <sortCondition ref="B5"/>
  </sortState>
  <mergeCells count="1">
    <mergeCell ref="B2:D2"/>
  </mergeCells>
  <conditionalFormatting sqref="B4:D28">
    <cfRule type="expression" dxfId="1" priority="1">
      <formula>$B3&lt;&gt;""</formula>
    </cfRule>
  </conditionalFormatting>
  <conditionalFormatting sqref="B5:D5">
    <cfRule type="expression" dxfId="0" priority="4">
      <formula>#REF!&lt;&gt;""</formula>
    </cfRule>
  </conditionalFormatting>
  <dataValidations count="1">
    <dataValidation type="decimal" allowBlank="1" showInputMessage="1" showErrorMessage="1" sqref="C1:D1048576" xr:uid="{00000000-0002-0000-0100-000000000000}">
      <formula1>0</formula1>
      <formula2>1</formula2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outlinePr summaryBelow="0" summaryRight="0"/>
    <pageSetUpPr fitToPage="1"/>
  </sheetPr>
  <dimension ref="A1:AB27"/>
  <sheetViews>
    <sheetView showGridLines="0" tabSelected="1" zoomScaleNormal="100" workbookViewId="0">
      <pane ySplit="6" topLeftCell="A7" activePane="bottomLeft" state="frozen"/>
      <selection pane="bottomLeft" activeCell="B3" sqref="B3:E3"/>
    </sheetView>
  </sheetViews>
  <sheetFormatPr defaultColWidth="9.140625" defaultRowHeight="15" outlineLevelCol="1" x14ac:dyDescent="0.25"/>
  <cols>
    <col min="1" max="1" width="1.42578125" style="1" customWidth="1"/>
    <col min="2" max="2" width="3.140625" style="1" customWidth="1"/>
    <col min="3" max="3" width="6.42578125" style="1" customWidth="1"/>
    <col min="4" max="7" width="16.140625" style="1" customWidth="1"/>
    <col min="8" max="8" width="2.85546875" style="1" customWidth="1" collapsed="1"/>
    <col min="9" max="9" width="10.5703125" style="1" hidden="1" customWidth="1" outlineLevel="1"/>
    <col min="10" max="11" width="11.5703125" style="1" hidden="1" customWidth="1" outlineLevel="1"/>
    <col min="12" max="12" width="11.28515625" style="1" hidden="1" customWidth="1" outlineLevel="1"/>
    <col min="13" max="13" width="11.5703125" style="1" hidden="1" customWidth="1" outlineLevel="1"/>
    <col min="14" max="14" width="15.5703125" style="1" customWidth="1"/>
    <col min="15" max="15" width="3" style="2" customWidth="1" collapsed="1"/>
    <col min="16" max="17" width="10.5703125" style="1" hidden="1" customWidth="1" outlineLevel="1"/>
    <col min="18" max="18" width="11.5703125" style="1" hidden="1" customWidth="1" outlineLevel="1"/>
    <col min="19" max="19" width="11.28515625" style="1" hidden="1" customWidth="1" outlineLevel="1"/>
    <col min="20" max="20" width="10.5703125" style="1" hidden="1" customWidth="1" outlineLevel="1"/>
    <col min="21" max="21" width="15.5703125" style="1" customWidth="1"/>
    <col min="22" max="22" width="5.5703125" style="1" customWidth="1"/>
    <col min="23" max="28" width="8.7109375" style="1" customWidth="1"/>
    <col min="29" max="16384" width="9.140625" style="1"/>
  </cols>
  <sheetData>
    <row r="1" spans="1:28" ht="6.75" customHeight="1" thickBot="1" x14ac:dyDescent="0.4"/>
    <row r="2" spans="1:28" ht="18.75" customHeight="1" thickTop="1" x14ac:dyDescent="0.25">
      <c r="B2" s="79" t="s">
        <v>20</v>
      </c>
      <c r="C2" s="80"/>
      <c r="D2" s="80"/>
      <c r="E2" s="80"/>
      <c r="F2" s="44" t="s">
        <v>21</v>
      </c>
      <c r="G2" s="45" t="s">
        <v>15</v>
      </c>
      <c r="I2" s="83" t="s">
        <v>4</v>
      </c>
      <c r="J2" s="83"/>
      <c r="K2" s="83"/>
      <c r="L2" s="83"/>
      <c r="M2" s="83"/>
      <c r="N2" s="83"/>
      <c r="P2" s="83" t="s">
        <v>3</v>
      </c>
      <c r="Q2" s="83"/>
      <c r="R2" s="83"/>
      <c r="S2" s="83"/>
      <c r="T2" s="83"/>
      <c r="U2" s="83"/>
      <c r="W2" s="68" t="s">
        <v>43</v>
      </c>
      <c r="X2" s="69"/>
      <c r="Y2" s="69"/>
      <c r="Z2" s="69"/>
      <c r="AA2" s="69"/>
      <c r="AB2" s="70"/>
    </row>
    <row r="3" spans="1:28" ht="15" customHeight="1" x14ac:dyDescent="0.25">
      <c r="B3" s="81" t="s">
        <v>26</v>
      </c>
      <c r="C3" s="82"/>
      <c r="D3" s="82"/>
      <c r="E3" s="82"/>
      <c r="F3" s="46"/>
      <c r="G3" s="49">
        <v>1</v>
      </c>
      <c r="I3" s="83"/>
      <c r="J3" s="83"/>
      <c r="K3" s="83"/>
      <c r="L3" s="83"/>
      <c r="M3" s="83"/>
      <c r="N3" s="83"/>
      <c r="P3" s="83"/>
      <c r="Q3" s="83"/>
      <c r="R3" s="83"/>
      <c r="S3" s="83"/>
      <c r="T3" s="83"/>
      <c r="U3" s="83"/>
      <c r="W3" s="71"/>
      <c r="X3" s="72"/>
      <c r="Y3" s="72"/>
      <c r="Z3" s="72"/>
      <c r="AA3" s="72"/>
      <c r="AB3" s="73"/>
    </row>
    <row r="4" spans="1:28" ht="5.25" customHeight="1" x14ac:dyDescent="0.25">
      <c r="I4" s="84"/>
      <c r="J4" s="84"/>
      <c r="K4" s="84"/>
      <c r="L4" s="84"/>
      <c r="M4" s="84"/>
      <c r="N4" s="84"/>
      <c r="P4" s="84"/>
      <c r="Q4" s="84"/>
      <c r="R4" s="84"/>
      <c r="S4" s="84"/>
      <c r="T4" s="84"/>
      <c r="U4" s="84"/>
      <c r="W4" s="71"/>
      <c r="X4" s="72"/>
      <c r="Y4" s="72"/>
      <c r="Z4" s="72"/>
      <c r="AA4" s="72"/>
      <c r="AB4" s="73"/>
    </row>
    <row r="5" spans="1:28" x14ac:dyDescent="0.25">
      <c r="A5" s="3"/>
      <c r="B5" s="95" t="s">
        <v>1</v>
      </c>
      <c r="C5" s="96"/>
      <c r="D5" s="99" t="s">
        <v>14</v>
      </c>
      <c r="E5" s="99" t="s">
        <v>10</v>
      </c>
      <c r="F5" s="99" t="s">
        <v>11</v>
      </c>
      <c r="G5" s="99" t="s">
        <v>2</v>
      </c>
      <c r="I5" s="4" t="s">
        <v>7</v>
      </c>
      <c r="J5" s="4" t="s">
        <v>8</v>
      </c>
      <c r="K5" s="4" t="s">
        <v>5</v>
      </c>
      <c r="L5" s="4" t="s">
        <v>9</v>
      </c>
      <c r="M5" s="4" t="s">
        <v>6</v>
      </c>
      <c r="N5" s="5" t="s">
        <v>12</v>
      </c>
      <c r="O5" s="6"/>
      <c r="P5" s="4" t="s">
        <v>7</v>
      </c>
      <c r="Q5" s="4" t="s">
        <v>8</v>
      </c>
      <c r="R5" s="4" t="s">
        <v>5</v>
      </c>
      <c r="S5" s="4" t="s">
        <v>9</v>
      </c>
      <c r="T5" s="4" t="s">
        <v>6</v>
      </c>
      <c r="U5" s="5" t="s">
        <v>12</v>
      </c>
      <c r="W5" s="71"/>
      <c r="X5" s="72"/>
      <c r="Y5" s="72"/>
      <c r="Z5" s="72"/>
      <c r="AA5" s="72"/>
      <c r="AB5" s="73"/>
    </row>
    <row r="6" spans="1:28" ht="15" customHeight="1" thickBot="1" x14ac:dyDescent="0.3">
      <c r="B6" s="97"/>
      <c r="C6" s="98"/>
      <c r="D6" s="100"/>
      <c r="E6" s="100"/>
      <c r="F6" s="100"/>
      <c r="G6" s="100"/>
      <c r="I6" s="42">
        <v>6.4999999999999997E-3</v>
      </c>
      <c r="J6" s="42">
        <v>0.03</v>
      </c>
      <c r="K6" s="43">
        <v>0.15</v>
      </c>
      <c r="L6" s="43">
        <v>0.1</v>
      </c>
      <c r="M6" s="43">
        <v>0.09</v>
      </c>
      <c r="N6" s="7" t="s">
        <v>13</v>
      </c>
      <c r="O6" s="6"/>
      <c r="P6" s="42">
        <v>1.6500000000000001E-2</v>
      </c>
      <c r="Q6" s="42">
        <v>7.5999999999999998E-2</v>
      </c>
      <c r="R6" s="43">
        <v>0.15</v>
      </c>
      <c r="S6" s="43">
        <v>0.1</v>
      </c>
      <c r="T6" s="43">
        <v>0.09</v>
      </c>
      <c r="U6" s="7" t="s">
        <v>13</v>
      </c>
      <c r="W6" s="74"/>
      <c r="X6" s="75"/>
      <c r="Y6" s="75"/>
      <c r="Z6" s="75"/>
      <c r="AA6" s="75"/>
      <c r="AB6" s="76"/>
    </row>
    <row r="7" spans="1:28" thickTop="1" x14ac:dyDescent="0.35">
      <c r="B7" s="101">
        <f>DATE(F3,1,1)</f>
        <v>1</v>
      </c>
      <c r="C7" s="102"/>
      <c r="D7" s="36"/>
      <c r="E7" s="37"/>
      <c r="F7" s="8">
        <f>D7-E7</f>
        <v>0</v>
      </c>
      <c r="G7" s="8">
        <f>F7</f>
        <v>0</v>
      </c>
      <c r="I7" s="24">
        <f>IF($D7&gt;0,$D7*I$6,0)</f>
        <v>0</v>
      </c>
      <c r="J7" s="24">
        <f>IF($D7&gt;0,$D7*J$6,0)</f>
        <v>0</v>
      </c>
      <c r="K7" s="24"/>
      <c r="L7" s="24"/>
      <c r="M7" s="24"/>
      <c r="N7" s="25">
        <f t="shared" ref="N7:N18" si="0">SUM(I7:M7)</f>
        <v>0</v>
      </c>
      <c r="O7" s="9"/>
      <c r="P7" s="24">
        <f t="shared" ref="P7:P18" si="1">IF(E7*$G$3&gt;D7,0,(D7-E7*$G$3)*P$6)</f>
        <v>0</v>
      </c>
      <c r="Q7" s="24">
        <f t="shared" ref="Q7:Q18" si="2">IF(E7*$G$3&gt;D7,0,(D7-E7*$G$3)*Q$6)</f>
        <v>0</v>
      </c>
      <c r="R7" s="24">
        <f>IF($G7&gt;0,$G7*R$6,0)</f>
        <v>0</v>
      </c>
      <c r="S7" s="24">
        <f t="shared" ref="S7:S18" si="3">IF(F7="",0,IF(F7&lt;20000,0,(F7-20000)*$S$6))</f>
        <v>0</v>
      </c>
      <c r="T7" s="24">
        <f>IF($G7&gt;0,$G7*T$6,0)</f>
        <v>0</v>
      </c>
      <c r="U7" s="25">
        <f t="shared" ref="U7:U18" si="4">SUM(P7:T7)</f>
        <v>0</v>
      </c>
    </row>
    <row r="8" spans="1:28" x14ac:dyDescent="0.25">
      <c r="B8" s="89">
        <f t="shared" ref="B8:B18" si="5">EDATE(B7,1)</f>
        <v>32</v>
      </c>
      <c r="C8" s="90"/>
      <c r="D8" s="38">
        <f>D7</f>
        <v>0</v>
      </c>
      <c r="E8" s="39">
        <f>E7</f>
        <v>0</v>
      </c>
      <c r="F8" s="10">
        <f t="shared" ref="F8:F18" si="6">D8-E8</f>
        <v>0</v>
      </c>
      <c r="G8" s="10">
        <f>G7+F8</f>
        <v>0</v>
      </c>
      <c r="I8" s="26">
        <f t="shared" ref="I8:J18" si="7">IF($D8&gt;0,$D8*I$6,0)</f>
        <v>0</v>
      </c>
      <c r="J8" s="26">
        <f t="shared" si="7"/>
        <v>0</v>
      </c>
      <c r="K8" s="26"/>
      <c r="L8" s="26"/>
      <c r="M8" s="26"/>
      <c r="N8" s="27">
        <f t="shared" si="0"/>
        <v>0</v>
      </c>
      <c r="O8" s="9"/>
      <c r="P8" s="26">
        <f t="shared" si="1"/>
        <v>0</v>
      </c>
      <c r="Q8" s="26">
        <f t="shared" si="2"/>
        <v>0</v>
      </c>
      <c r="R8" s="26">
        <f>IF($G8&gt;0,$G8*R$6-SUM(R$7:R7),0)</f>
        <v>0</v>
      </c>
      <c r="S8" s="26">
        <f t="shared" si="3"/>
        <v>0</v>
      </c>
      <c r="T8" s="26">
        <f>IF($G8&gt;0,$G8*T$6-SUM(T$7:T7),0)</f>
        <v>0</v>
      </c>
      <c r="U8" s="27">
        <f t="shared" si="4"/>
        <v>0</v>
      </c>
      <c r="W8" s="65" t="s">
        <v>18</v>
      </c>
      <c r="X8" s="66"/>
      <c r="Y8" s="66"/>
      <c r="Z8" s="66"/>
      <c r="AA8" s="66"/>
      <c r="AB8" s="67"/>
    </row>
    <row r="9" spans="1:28" x14ac:dyDescent="0.25">
      <c r="B9" s="89">
        <f t="shared" si="5"/>
        <v>61</v>
      </c>
      <c r="C9" s="90"/>
      <c r="D9" s="38">
        <f>D8</f>
        <v>0</v>
      </c>
      <c r="E9" s="39">
        <f t="shared" ref="E9:E18" si="8">E8</f>
        <v>0</v>
      </c>
      <c r="F9" s="10">
        <f t="shared" si="6"/>
        <v>0</v>
      </c>
      <c r="G9" s="10">
        <f t="shared" ref="G9:G18" si="9">G8+F9</f>
        <v>0</v>
      </c>
      <c r="I9" s="26">
        <f t="shared" si="7"/>
        <v>0</v>
      </c>
      <c r="J9" s="26">
        <f t="shared" si="7"/>
        <v>0</v>
      </c>
      <c r="K9" s="26">
        <f ca="1">SUM(D7:D9)*$AA$10*$K$6</f>
        <v>0</v>
      </c>
      <c r="L9" s="26">
        <f ca="1">IF(SUM(D7:D9)*$AA$10&lt;60000,0,((SUM(D7:D9)*$AA$10)-60000)*$L$6)</f>
        <v>0</v>
      </c>
      <c r="M9" s="26">
        <f ca="1">SUM(D7:D9)*$AB$10*$M$6</f>
        <v>0</v>
      </c>
      <c r="N9" s="27">
        <f t="shared" ca="1" si="0"/>
        <v>0</v>
      </c>
      <c r="O9" s="9"/>
      <c r="P9" s="26">
        <f t="shared" si="1"/>
        <v>0</v>
      </c>
      <c r="Q9" s="26">
        <f t="shared" si="2"/>
        <v>0</v>
      </c>
      <c r="R9" s="26">
        <f>IF($G9&gt;0,$G9*R$6-SUM(R$7:R8),0)</f>
        <v>0</v>
      </c>
      <c r="S9" s="26">
        <f t="shared" si="3"/>
        <v>0</v>
      </c>
      <c r="T9" s="26">
        <f>IF($G9&gt;0,$G9*T$6-SUM(T$7:T8),0)</f>
        <v>0</v>
      </c>
      <c r="U9" s="27">
        <f t="shared" si="4"/>
        <v>0</v>
      </c>
      <c r="W9" s="63" t="str">
        <f>B3</f>
        <v>SERVIÇOS EM GERAL</v>
      </c>
      <c r="X9" s="63"/>
      <c r="Y9" s="63"/>
      <c r="Z9" s="63"/>
      <c r="AA9" s="48" t="s">
        <v>16</v>
      </c>
      <c r="AB9" s="48" t="s">
        <v>6</v>
      </c>
    </row>
    <row r="10" spans="1:28" x14ac:dyDescent="0.25">
      <c r="B10" s="89">
        <f t="shared" si="5"/>
        <v>92</v>
      </c>
      <c r="C10" s="90"/>
      <c r="D10" s="38">
        <f t="shared" ref="D10:D18" si="10">D9</f>
        <v>0</v>
      </c>
      <c r="E10" s="39">
        <f t="shared" si="8"/>
        <v>0</v>
      </c>
      <c r="F10" s="10">
        <f t="shared" si="6"/>
        <v>0</v>
      </c>
      <c r="G10" s="10">
        <f t="shared" si="9"/>
        <v>0</v>
      </c>
      <c r="I10" s="26">
        <f t="shared" si="7"/>
        <v>0</v>
      </c>
      <c r="J10" s="26">
        <f t="shared" si="7"/>
        <v>0</v>
      </c>
      <c r="K10" s="26"/>
      <c r="L10" s="26"/>
      <c r="M10" s="26"/>
      <c r="N10" s="27">
        <f t="shared" si="0"/>
        <v>0</v>
      </c>
      <c r="O10" s="9"/>
      <c r="P10" s="26">
        <f t="shared" si="1"/>
        <v>0</v>
      </c>
      <c r="Q10" s="26">
        <f t="shared" si="2"/>
        <v>0</v>
      </c>
      <c r="R10" s="26">
        <f>IF($G10&gt;0,$G10*R$6-SUM(R$7:R9),0)</f>
        <v>0</v>
      </c>
      <c r="S10" s="26">
        <f t="shared" si="3"/>
        <v>0</v>
      </c>
      <c r="T10" s="26">
        <f>IF($G10&gt;0,$G10*T$6-SUM(T$7:T9),0)</f>
        <v>0</v>
      </c>
      <c r="U10" s="27">
        <f t="shared" si="4"/>
        <v>0</v>
      </c>
      <c r="W10" s="64"/>
      <c r="X10" s="64"/>
      <c r="Y10" s="64"/>
      <c r="Z10" s="64"/>
      <c r="AA10" s="47">
        <f ca="1">VLOOKUP($B$3,PV_Atividades,2,FALSE)</f>
        <v>0.32</v>
      </c>
      <c r="AB10" s="47">
        <f ca="1">VLOOKUP($B$3,PV_Atividades,3,FALSE)</f>
        <v>0.32</v>
      </c>
    </row>
    <row r="11" spans="1:28" ht="14.45" x14ac:dyDescent="0.35">
      <c r="B11" s="89">
        <f t="shared" si="5"/>
        <v>122</v>
      </c>
      <c r="C11" s="90"/>
      <c r="D11" s="38">
        <f t="shared" si="10"/>
        <v>0</v>
      </c>
      <c r="E11" s="39">
        <f t="shared" si="8"/>
        <v>0</v>
      </c>
      <c r="F11" s="10">
        <f t="shared" si="6"/>
        <v>0</v>
      </c>
      <c r="G11" s="10">
        <f t="shared" si="9"/>
        <v>0</v>
      </c>
      <c r="I11" s="26">
        <f t="shared" si="7"/>
        <v>0</v>
      </c>
      <c r="J11" s="26">
        <f t="shared" si="7"/>
        <v>0</v>
      </c>
      <c r="K11" s="26"/>
      <c r="L11" s="26"/>
      <c r="M11" s="26"/>
      <c r="N11" s="27">
        <f t="shared" si="0"/>
        <v>0</v>
      </c>
      <c r="O11" s="9"/>
      <c r="P11" s="26">
        <f t="shared" si="1"/>
        <v>0</v>
      </c>
      <c r="Q11" s="26">
        <f t="shared" si="2"/>
        <v>0</v>
      </c>
      <c r="R11" s="26">
        <f>IF($G11&gt;0,$G11*R$6-SUM(R$7:R10),0)</f>
        <v>0</v>
      </c>
      <c r="S11" s="26">
        <f t="shared" si="3"/>
        <v>0</v>
      </c>
      <c r="T11" s="26">
        <f>IF($G11&gt;0,$G11*T$6-SUM(T$7:T10),0)</f>
        <v>0</v>
      </c>
      <c r="U11" s="27">
        <f t="shared" si="4"/>
        <v>0</v>
      </c>
    </row>
    <row r="12" spans="1:28" ht="14.45" x14ac:dyDescent="0.35">
      <c r="B12" s="89">
        <f t="shared" si="5"/>
        <v>153</v>
      </c>
      <c r="C12" s="90"/>
      <c r="D12" s="38">
        <f t="shared" si="10"/>
        <v>0</v>
      </c>
      <c r="E12" s="39">
        <f t="shared" si="8"/>
        <v>0</v>
      </c>
      <c r="F12" s="10">
        <f t="shared" si="6"/>
        <v>0</v>
      </c>
      <c r="G12" s="10">
        <f t="shared" si="9"/>
        <v>0</v>
      </c>
      <c r="I12" s="26">
        <f t="shared" si="7"/>
        <v>0</v>
      </c>
      <c r="J12" s="26">
        <f t="shared" si="7"/>
        <v>0</v>
      </c>
      <c r="K12" s="26">
        <f ca="1">SUM(D10:D12)*$AA$10*$K$6</f>
        <v>0</v>
      </c>
      <c r="L12" s="26">
        <f ca="1">IF(SUM(D10:D12)*$AA$10&lt;60000,0,((SUM(D10:D12)*$AA$10)-60000)*$L$6)</f>
        <v>0</v>
      </c>
      <c r="M12" s="26">
        <f ca="1">SUM(D10:D12)*$AB$10*$M$6</f>
        <v>0</v>
      </c>
      <c r="N12" s="27">
        <f t="shared" ca="1" si="0"/>
        <v>0</v>
      </c>
      <c r="O12" s="9"/>
      <c r="P12" s="26">
        <f t="shared" si="1"/>
        <v>0</v>
      </c>
      <c r="Q12" s="26">
        <f t="shared" si="2"/>
        <v>0</v>
      </c>
      <c r="R12" s="26">
        <f>IF($G12&gt;0,$G12*R$6-SUM(R$7:R11),0)</f>
        <v>0</v>
      </c>
      <c r="S12" s="26">
        <f t="shared" si="3"/>
        <v>0</v>
      </c>
      <c r="T12" s="26">
        <f>IF($G12&gt;0,$G12*T$6-SUM(T$7:T11),0)</f>
        <v>0</v>
      </c>
      <c r="U12" s="27">
        <f t="shared" si="4"/>
        <v>0</v>
      </c>
    </row>
    <row r="13" spans="1:28" ht="14.45" x14ac:dyDescent="0.35">
      <c r="B13" s="89">
        <f t="shared" si="5"/>
        <v>183</v>
      </c>
      <c r="C13" s="90"/>
      <c r="D13" s="38">
        <f t="shared" si="10"/>
        <v>0</v>
      </c>
      <c r="E13" s="39">
        <f t="shared" si="8"/>
        <v>0</v>
      </c>
      <c r="F13" s="10">
        <f t="shared" si="6"/>
        <v>0</v>
      </c>
      <c r="G13" s="10">
        <f t="shared" si="9"/>
        <v>0</v>
      </c>
      <c r="I13" s="26">
        <f t="shared" si="7"/>
        <v>0</v>
      </c>
      <c r="J13" s="26">
        <f t="shared" si="7"/>
        <v>0</v>
      </c>
      <c r="K13" s="26"/>
      <c r="L13" s="26"/>
      <c r="M13" s="26"/>
      <c r="N13" s="27">
        <f t="shared" si="0"/>
        <v>0</v>
      </c>
      <c r="O13" s="9"/>
      <c r="P13" s="26">
        <f t="shared" si="1"/>
        <v>0</v>
      </c>
      <c r="Q13" s="26">
        <f t="shared" si="2"/>
        <v>0</v>
      </c>
      <c r="R13" s="26">
        <f>IF($G13&gt;0,$G13*R$6-SUM(R$7:R12),0)</f>
        <v>0</v>
      </c>
      <c r="S13" s="26">
        <f t="shared" si="3"/>
        <v>0</v>
      </c>
      <c r="T13" s="26">
        <f>IF($G13&gt;0,$G13*T$6-SUM(T$7:T12),0)</f>
        <v>0</v>
      </c>
      <c r="U13" s="27">
        <f t="shared" si="4"/>
        <v>0</v>
      </c>
    </row>
    <row r="14" spans="1:28" ht="14.45" x14ac:dyDescent="0.35">
      <c r="B14" s="89">
        <f t="shared" si="5"/>
        <v>214</v>
      </c>
      <c r="C14" s="90"/>
      <c r="D14" s="38">
        <f t="shared" si="10"/>
        <v>0</v>
      </c>
      <c r="E14" s="39">
        <f t="shared" si="8"/>
        <v>0</v>
      </c>
      <c r="F14" s="10">
        <f t="shared" si="6"/>
        <v>0</v>
      </c>
      <c r="G14" s="10">
        <f t="shared" si="9"/>
        <v>0</v>
      </c>
      <c r="I14" s="26">
        <f t="shared" si="7"/>
        <v>0</v>
      </c>
      <c r="J14" s="26">
        <f t="shared" si="7"/>
        <v>0</v>
      </c>
      <c r="K14" s="26"/>
      <c r="L14" s="26"/>
      <c r="M14" s="26"/>
      <c r="N14" s="27">
        <f t="shared" si="0"/>
        <v>0</v>
      </c>
      <c r="O14" s="9"/>
      <c r="P14" s="26">
        <f t="shared" si="1"/>
        <v>0</v>
      </c>
      <c r="Q14" s="26">
        <f t="shared" si="2"/>
        <v>0</v>
      </c>
      <c r="R14" s="26">
        <f>IF($G14&gt;0,$G14*R$6-SUM(R$7:R13),0)</f>
        <v>0</v>
      </c>
      <c r="S14" s="26">
        <f t="shared" si="3"/>
        <v>0</v>
      </c>
      <c r="T14" s="26">
        <f>IF($G14&gt;0,$G14*T$6-SUM(T$7:T13),0)</f>
        <v>0</v>
      </c>
      <c r="U14" s="27">
        <f t="shared" si="4"/>
        <v>0</v>
      </c>
    </row>
    <row r="15" spans="1:28" ht="14.45" x14ac:dyDescent="0.35">
      <c r="B15" s="89">
        <f t="shared" si="5"/>
        <v>245</v>
      </c>
      <c r="C15" s="90"/>
      <c r="D15" s="38">
        <f t="shared" si="10"/>
        <v>0</v>
      </c>
      <c r="E15" s="39">
        <f t="shared" si="8"/>
        <v>0</v>
      </c>
      <c r="F15" s="10">
        <f t="shared" si="6"/>
        <v>0</v>
      </c>
      <c r="G15" s="10">
        <f t="shared" si="9"/>
        <v>0</v>
      </c>
      <c r="I15" s="26">
        <f t="shared" si="7"/>
        <v>0</v>
      </c>
      <c r="J15" s="26">
        <f t="shared" si="7"/>
        <v>0</v>
      </c>
      <c r="K15" s="26">
        <f ca="1">SUM(D13:D15)*$AA$10*$K$6</f>
        <v>0</v>
      </c>
      <c r="L15" s="26">
        <f ca="1">IF(SUM(D13:D15)*$AA$10&lt;60000,0,((SUM(D13:D15)*$AA$10)-60000)*$L$6)</f>
        <v>0</v>
      </c>
      <c r="M15" s="26">
        <f ca="1">SUM(D13:D15)*$AB$10*$M$6</f>
        <v>0</v>
      </c>
      <c r="N15" s="27">
        <f t="shared" ca="1" si="0"/>
        <v>0</v>
      </c>
      <c r="O15" s="9"/>
      <c r="P15" s="26">
        <f t="shared" si="1"/>
        <v>0</v>
      </c>
      <c r="Q15" s="26">
        <f t="shared" si="2"/>
        <v>0</v>
      </c>
      <c r="R15" s="26">
        <f>IF($G15&gt;0,$G15*R$6-SUM(R$7:R14),0)</f>
        <v>0</v>
      </c>
      <c r="S15" s="26">
        <f t="shared" si="3"/>
        <v>0</v>
      </c>
      <c r="T15" s="26">
        <f>IF($G15&gt;0,$G15*T$6-SUM(T$7:T14),0)</f>
        <v>0</v>
      </c>
      <c r="U15" s="27">
        <f t="shared" si="4"/>
        <v>0</v>
      </c>
    </row>
    <row r="16" spans="1:28" ht="14.45" x14ac:dyDescent="0.35">
      <c r="B16" s="91">
        <f t="shared" si="5"/>
        <v>275</v>
      </c>
      <c r="C16" s="92"/>
      <c r="D16" s="38">
        <f t="shared" si="10"/>
        <v>0</v>
      </c>
      <c r="E16" s="39">
        <f t="shared" si="8"/>
        <v>0</v>
      </c>
      <c r="F16" s="10">
        <f t="shared" si="6"/>
        <v>0</v>
      </c>
      <c r="G16" s="10">
        <f t="shared" si="9"/>
        <v>0</v>
      </c>
      <c r="I16" s="26">
        <f t="shared" si="7"/>
        <v>0</v>
      </c>
      <c r="J16" s="26">
        <f t="shared" si="7"/>
        <v>0</v>
      </c>
      <c r="K16" s="26"/>
      <c r="L16" s="26"/>
      <c r="M16" s="26"/>
      <c r="N16" s="27">
        <f t="shared" si="0"/>
        <v>0</v>
      </c>
      <c r="O16" s="9"/>
      <c r="P16" s="26">
        <f t="shared" si="1"/>
        <v>0</v>
      </c>
      <c r="Q16" s="26">
        <f t="shared" si="2"/>
        <v>0</v>
      </c>
      <c r="R16" s="26">
        <f>IF($G16&gt;0,$G16*R$6-SUM(R$7:R15),0)</f>
        <v>0</v>
      </c>
      <c r="S16" s="26">
        <f t="shared" si="3"/>
        <v>0</v>
      </c>
      <c r="T16" s="26">
        <f>IF($G16&gt;0,$G16*T$6-SUM(T$7:T15),0)</f>
        <v>0</v>
      </c>
      <c r="U16" s="27">
        <f t="shared" si="4"/>
        <v>0</v>
      </c>
    </row>
    <row r="17" spans="2:21" ht="14.45" x14ac:dyDescent="0.35">
      <c r="B17" s="91">
        <f t="shared" si="5"/>
        <v>306</v>
      </c>
      <c r="C17" s="92"/>
      <c r="D17" s="38">
        <f t="shared" si="10"/>
        <v>0</v>
      </c>
      <c r="E17" s="39">
        <f t="shared" si="8"/>
        <v>0</v>
      </c>
      <c r="F17" s="10">
        <f t="shared" si="6"/>
        <v>0</v>
      </c>
      <c r="G17" s="10">
        <f t="shared" si="9"/>
        <v>0</v>
      </c>
      <c r="I17" s="26">
        <f t="shared" si="7"/>
        <v>0</v>
      </c>
      <c r="J17" s="26">
        <f t="shared" si="7"/>
        <v>0</v>
      </c>
      <c r="K17" s="26"/>
      <c r="L17" s="26"/>
      <c r="M17" s="26"/>
      <c r="N17" s="27">
        <f t="shared" si="0"/>
        <v>0</v>
      </c>
      <c r="O17" s="9"/>
      <c r="P17" s="26">
        <f t="shared" si="1"/>
        <v>0</v>
      </c>
      <c r="Q17" s="26">
        <f t="shared" si="2"/>
        <v>0</v>
      </c>
      <c r="R17" s="26">
        <f>IF($G17&gt;0,$G17*R$6-SUM(R$7:R16),0)</f>
        <v>0</v>
      </c>
      <c r="S17" s="26">
        <f t="shared" si="3"/>
        <v>0</v>
      </c>
      <c r="T17" s="26">
        <f>IF($G17&gt;0,$G17*T$6-SUM(T$7:T16),0)</f>
        <v>0</v>
      </c>
      <c r="U17" s="27">
        <f t="shared" si="4"/>
        <v>0</v>
      </c>
    </row>
    <row r="18" spans="2:21" ht="14.45" x14ac:dyDescent="0.35">
      <c r="B18" s="93">
        <f t="shared" si="5"/>
        <v>336</v>
      </c>
      <c r="C18" s="94"/>
      <c r="D18" s="40">
        <f t="shared" si="10"/>
        <v>0</v>
      </c>
      <c r="E18" s="41">
        <f t="shared" si="8"/>
        <v>0</v>
      </c>
      <c r="F18" s="11">
        <f t="shared" si="6"/>
        <v>0</v>
      </c>
      <c r="G18" s="11">
        <f t="shared" si="9"/>
        <v>0</v>
      </c>
      <c r="I18" s="28">
        <f t="shared" si="7"/>
        <v>0</v>
      </c>
      <c r="J18" s="28">
        <f t="shared" si="7"/>
        <v>0</v>
      </c>
      <c r="K18" s="28">
        <f ca="1">SUM(D16:D18)*$AA$10*$K$6</f>
        <v>0</v>
      </c>
      <c r="L18" s="28">
        <f ca="1">IF(SUM(D16:D18)*$AA$10&lt;60000,0,((SUM(D16:D18)*$AA$10)-60000)*$L$6)</f>
        <v>0</v>
      </c>
      <c r="M18" s="28">
        <f ca="1">SUM(D16:D18)*$AB$10*$M$6</f>
        <v>0</v>
      </c>
      <c r="N18" s="29">
        <f t="shared" ca="1" si="0"/>
        <v>0</v>
      </c>
      <c r="O18" s="9"/>
      <c r="P18" s="28">
        <f t="shared" si="1"/>
        <v>0</v>
      </c>
      <c r="Q18" s="28">
        <f t="shared" si="2"/>
        <v>0</v>
      </c>
      <c r="R18" s="28">
        <f>IF($G18&gt;0,$G18*R$6-SUM(R$7:R17),0)</f>
        <v>0</v>
      </c>
      <c r="S18" s="28">
        <f t="shared" si="3"/>
        <v>0</v>
      </c>
      <c r="T18" s="28">
        <f>IF($G18&gt;0,$G18*T$6-SUM(T$7:T17),0)</f>
        <v>0</v>
      </c>
      <c r="U18" s="29">
        <f t="shared" si="4"/>
        <v>0</v>
      </c>
    </row>
    <row r="19" spans="2:21" ht="14.45" x14ac:dyDescent="0.35">
      <c r="B19" s="85" t="s">
        <v>12</v>
      </c>
      <c r="C19" s="86"/>
      <c r="D19" s="12">
        <f>SUM(D7:D18)</f>
        <v>0</v>
      </c>
      <c r="E19" s="13">
        <f>SUM(E7:E18)</f>
        <v>0</v>
      </c>
      <c r="F19" s="12">
        <f>SUM(F7:F18)</f>
        <v>0</v>
      </c>
      <c r="G19" s="14"/>
      <c r="I19" s="12">
        <f>SUM(I7:I18)</f>
        <v>0</v>
      </c>
      <c r="J19" s="12">
        <f t="shared" ref="J19:N19" si="11">SUM(J7:J18)</f>
        <v>0</v>
      </c>
      <c r="K19" s="12">
        <f t="shared" ca="1" si="11"/>
        <v>0</v>
      </c>
      <c r="L19" s="12">
        <f t="shared" ca="1" si="11"/>
        <v>0</v>
      </c>
      <c r="M19" s="12">
        <f t="shared" ca="1" si="11"/>
        <v>0</v>
      </c>
      <c r="N19" s="30">
        <f t="shared" ca="1" si="11"/>
        <v>0</v>
      </c>
      <c r="O19" s="15"/>
      <c r="P19" s="12">
        <f>SUM(P7:P18)</f>
        <v>0</v>
      </c>
      <c r="Q19" s="12">
        <f t="shared" ref="Q19:U19" si="12">SUM(Q7:Q18)</f>
        <v>0</v>
      </c>
      <c r="R19" s="12">
        <f t="shared" si="12"/>
        <v>0</v>
      </c>
      <c r="S19" s="12">
        <f t="shared" si="12"/>
        <v>0</v>
      </c>
      <c r="T19" s="12">
        <f t="shared" si="12"/>
        <v>0</v>
      </c>
      <c r="U19" s="30">
        <f t="shared" si="12"/>
        <v>0</v>
      </c>
    </row>
    <row r="20" spans="2:21" ht="14.45" x14ac:dyDescent="0.35">
      <c r="B20" s="87"/>
      <c r="C20" s="88"/>
      <c r="D20" s="16"/>
      <c r="E20" s="22">
        <f>IFERROR(E19/D19,0)</f>
        <v>0</v>
      </c>
      <c r="F20" s="22">
        <f>IFERROR(F19/D19,0)</f>
        <v>0</v>
      </c>
      <c r="G20" s="16"/>
      <c r="H20" s="17"/>
      <c r="I20" s="18">
        <f t="shared" ref="I20:N20" si="13">IFERROR(I19/$F$19,0)</f>
        <v>0</v>
      </c>
      <c r="J20" s="18">
        <f t="shared" si="13"/>
        <v>0</v>
      </c>
      <c r="K20" s="18">
        <f t="shared" ca="1" si="13"/>
        <v>0</v>
      </c>
      <c r="L20" s="18">
        <f t="shared" ca="1" si="13"/>
        <v>0</v>
      </c>
      <c r="M20" s="18">
        <f t="shared" ca="1" si="13"/>
        <v>0</v>
      </c>
      <c r="N20" s="31">
        <f t="shared" ca="1" si="13"/>
        <v>0</v>
      </c>
      <c r="O20" s="19"/>
      <c r="P20" s="20">
        <f t="shared" ref="P20:U20" si="14">IFERROR(P19/$F$19,0)</f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31">
        <f t="shared" si="14"/>
        <v>0</v>
      </c>
    </row>
    <row r="21" spans="2:21" ht="14.45" x14ac:dyDescent="0.35">
      <c r="H21" s="17"/>
      <c r="I21" s="18">
        <f t="shared" ref="I21:N21" si="15">IFERROR(I19/$D$19,0)</f>
        <v>0</v>
      </c>
      <c r="J21" s="18">
        <f t="shared" si="15"/>
        <v>0</v>
      </c>
      <c r="K21" s="18">
        <f t="shared" ca="1" si="15"/>
        <v>0</v>
      </c>
      <c r="L21" s="18">
        <f t="shared" ca="1" si="15"/>
        <v>0</v>
      </c>
      <c r="M21" s="18">
        <f t="shared" ca="1" si="15"/>
        <v>0</v>
      </c>
      <c r="N21" s="32">
        <f t="shared" ca="1" si="15"/>
        <v>0</v>
      </c>
      <c r="O21" s="21"/>
      <c r="P21" s="20">
        <f t="shared" ref="P21:U21" si="16">IFERROR(P19/$D$19,0)</f>
        <v>0</v>
      </c>
      <c r="Q21" s="20">
        <f t="shared" si="16"/>
        <v>0</v>
      </c>
      <c r="R21" s="20">
        <f t="shared" si="16"/>
        <v>0</v>
      </c>
      <c r="S21" s="20">
        <f t="shared" si="16"/>
        <v>0</v>
      </c>
      <c r="T21" s="20">
        <f t="shared" si="16"/>
        <v>0</v>
      </c>
      <c r="U21" s="32">
        <f t="shared" si="16"/>
        <v>0</v>
      </c>
    </row>
    <row r="22" spans="2:21" x14ac:dyDescent="0.25">
      <c r="B22" s="78" t="s">
        <v>19</v>
      </c>
      <c r="C22" s="78"/>
      <c r="D22" s="78"/>
      <c r="E22" s="78"/>
      <c r="F22" s="78"/>
      <c r="G22" s="78"/>
    </row>
    <row r="23" spans="2:21" x14ac:dyDescent="0.25">
      <c r="B23" s="77" t="s">
        <v>38</v>
      </c>
      <c r="C23" s="77"/>
      <c r="D23" s="77"/>
      <c r="E23" s="77"/>
      <c r="F23" s="77"/>
      <c r="G23" s="77"/>
    </row>
    <row r="24" spans="2:21" x14ac:dyDescent="0.25">
      <c r="B24" s="77" t="s">
        <v>39</v>
      </c>
      <c r="C24" s="77"/>
      <c r="D24" s="77"/>
      <c r="E24" s="77"/>
      <c r="F24" s="77"/>
      <c r="G24" s="77"/>
    </row>
    <row r="26" spans="2:21" ht="15" customHeight="1" x14ac:dyDescent="0.35"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</row>
    <row r="27" spans="2:21" ht="14.45" x14ac:dyDescent="0.35"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</row>
  </sheetData>
  <sheetProtection formatColumns="0"/>
  <mergeCells count="29">
    <mergeCell ref="E5:E6"/>
    <mergeCell ref="F5:F6"/>
    <mergeCell ref="G5:G6"/>
    <mergeCell ref="B7:C7"/>
    <mergeCell ref="B8:C8"/>
    <mergeCell ref="B17:C17"/>
    <mergeCell ref="B18:C18"/>
    <mergeCell ref="B12:C12"/>
    <mergeCell ref="B5:C6"/>
    <mergeCell ref="D5:D6"/>
    <mergeCell ref="B9:C9"/>
    <mergeCell ref="B10:C10"/>
    <mergeCell ref="B11:C11"/>
    <mergeCell ref="W9:Z10"/>
    <mergeCell ref="W8:AB8"/>
    <mergeCell ref="W2:AB6"/>
    <mergeCell ref="B24:G24"/>
    <mergeCell ref="B23:G23"/>
    <mergeCell ref="B22:G22"/>
    <mergeCell ref="B2:E2"/>
    <mergeCell ref="B3:E3"/>
    <mergeCell ref="P2:U4"/>
    <mergeCell ref="I2:N4"/>
    <mergeCell ref="B19:C19"/>
    <mergeCell ref="B20:C20"/>
    <mergeCell ref="B13:C13"/>
    <mergeCell ref="B14:C14"/>
    <mergeCell ref="B15:C15"/>
    <mergeCell ref="B16:C16"/>
  </mergeCells>
  <conditionalFormatting sqref="N21 U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 U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3">
    <dataValidation type="list" allowBlank="1" showInputMessage="1" showErrorMessage="1" sqref="B3" xr:uid="{00000000-0002-0000-0200-000000000000}">
      <formula1>V_Atividades</formula1>
    </dataValidation>
    <dataValidation type="decimal" allowBlank="1" showInputMessage="1" showErrorMessage="1" sqref="G3" xr:uid="{00000000-0002-0000-0200-000001000000}">
      <formula1>0</formula1>
      <formula2>1</formula2>
    </dataValidation>
    <dataValidation type="whole" allowBlank="1" showInputMessage="1" showErrorMessage="1" errorTitle="ERRO DE VALIDAÇÃO!" error="Ano fora da validação de dados!_x000a_Ajuste a validação para que inclua o ano desejado..." sqref="F3" xr:uid="{00000000-0002-0000-0200-000002000000}">
      <formula1>2018</formula1>
      <formula2>2025</formula2>
    </dataValidation>
  </dataValidations>
  <printOptions horizontalCentered="1" verticalCentered="1"/>
  <pageMargins left="0.15748031496062992" right="0.15748031496062992" top="0.7" bottom="0.51181102362204722" header="0.78" footer="0.15748031496062992"/>
  <pageSetup paperSize="9" orientation="landscape" verticalDpi="0" r:id="rId1"/>
  <headerFooter>
    <oddHeader>&amp;C&amp;"-,Negrito"&amp;14LUCRO PRESUMIDO x LUCRO REAL</oddHeader>
    <oddFooter>&amp;R&amp;D / &amp;T</oddFooter>
  </headerFooter>
  <ignoredErrors>
    <ignoredError sqref="D8 D9:D18 E8:E18" unlocked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Tutorial</vt:lpstr>
      <vt:lpstr>Atividades</vt:lpstr>
      <vt:lpstr>CÁLCULO</vt:lpstr>
      <vt:lpstr>CÁLCULO!Area_de_impressao</vt:lpstr>
      <vt:lpstr>Tutorial!Area_de_impressao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Cerismar Carvalho da Mota</dc:creator>
  <cp:lastModifiedBy>Regis Marinho</cp:lastModifiedBy>
  <cp:lastPrinted>2018-03-16T10:22:53Z</cp:lastPrinted>
  <dcterms:created xsi:type="dcterms:W3CDTF">2016-10-20T12:19:06Z</dcterms:created>
  <dcterms:modified xsi:type="dcterms:W3CDTF">2018-03-19T13:11:14Z</dcterms:modified>
</cp:coreProperties>
</file>