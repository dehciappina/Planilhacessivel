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egispc\Downloads\"/>
    </mc:Choice>
  </mc:AlternateContent>
  <xr:revisionPtr revIDLastSave="0" documentId="13_ncr:1_{8C1C4443-4FDF-49EF-804A-ECF8B1B542A7}" xr6:coauthVersionLast="34" xr6:coauthVersionMax="34" xr10:uidLastSave="{00000000-0000-0000-0000-000000000000}"/>
  <bookViews>
    <workbookView xWindow="0" yWindow="0" windowWidth="20490" windowHeight="7545" activeTab="1" xr2:uid="{00000000-000D-0000-FFFF-FFFF00000000}"/>
  </bookViews>
  <sheets>
    <sheet name="Tutorial" sheetId="9" r:id="rId1"/>
    <sheet name="CÁLCULO" sheetId="8" r:id="rId2"/>
  </sheets>
  <externalReferences>
    <externalReference r:id="rId3"/>
  </externalReferences>
  <definedNames>
    <definedName name="_xlnm.Print_Area" localSheetId="1">CÁLCULO!$B$2:$N$63</definedName>
    <definedName name="_xlnm.Print_Area" localSheetId="0">Tutorial!$B$2:$C$15</definedName>
    <definedName name="Mes_Dld_Devedor">OFFSET(#REF!,1,0,1,COUNT(#REF!))</definedName>
    <definedName name="PV_Contratos">OFFSET(#REF!,0,0,COUNTA(#REF!),26)</definedName>
    <definedName name="PV_ContratoSldDev">OFFSET(#REF!,0,0,COUNTA(#REF!),26)</definedName>
    <definedName name="PV_DadosMovimContratos">OFFSET(#REF!,0,0,COUNTA(#REF!)+1,10)</definedName>
    <definedName name="PV_DadosParcelasMontadas">OFFSET(#REF!,0,0,COUNTA(#REF!),20)</definedName>
    <definedName name="PV_IndiceReajuste" localSheetId="1">CÁLCULO!$P$4:$R$14</definedName>
    <definedName name="PV_IndiceReajuste">#REF!</definedName>
    <definedName name="PV_ParcelasFixas">OFFSET([1]CÁLCULO!$R$5,2,0,COUNT([1]CÁLCULO!$R$7:$R$23),2)</definedName>
    <definedName name="rng_APartirMês">#REF!</definedName>
    <definedName name="rng_APartirMês2">#REF!</definedName>
    <definedName name="rng_APartirPorc">#REF!</definedName>
    <definedName name="rng_Cenarios">OFFSET(#REF!,0,1,1,#REF!)</definedName>
    <definedName name="rng_CF_AA">OFFSET(#REF!,5,1,1,#REF!)</definedName>
    <definedName name="rng_ContratoSldBanco">#REF!</definedName>
    <definedName name="rng_ContratoSldDev">#REF!</definedName>
    <definedName name="rng_ContratoSldSistema">#REF!</definedName>
    <definedName name="rng_ContratoSldStatus">#REF!</definedName>
    <definedName name="rng_ContratoSldTomador">#REF!</definedName>
    <definedName name="rng_Custo">#REF!</definedName>
    <definedName name="rng_DadosCenarios" localSheetId="1">CÁLCULO!$P$19:$P$24</definedName>
    <definedName name="rng_DadosCenarios">#REF!</definedName>
    <definedName name="rng_IntervMês">#REF!</definedName>
    <definedName name="rng_IntervMês2">#REF!</definedName>
    <definedName name="rng_IntervPorc">#REF!</definedName>
    <definedName name="rng_PrimeiralinhaMontagemParc">[1]CÁLCULO!#REF!</definedName>
    <definedName name="rng_QTDEParc">CÁLCULO!$E$6</definedName>
    <definedName name="rng_SldDevedor">CÁLCULO!$E$54</definedName>
    <definedName name="rng_UltimalinhaMontagemParc">[1]CÁLCULO!$B$9</definedName>
    <definedName name="rng_UltimalinhaRelSldDev">#REF!</definedName>
    <definedName name="Taxa">[1]CÁLCULO!$K$9</definedName>
    <definedName name="V_Contratos">OFFSET(#REF!,0,0,COUNTA(#REF!),1)</definedName>
    <definedName name="V_ContratoSldDev">OFFSET(#REF!,0,0,COUNTA(#REF!),1)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57" i="8" l="1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H8" i="8"/>
  <c r="I8" i="8" s="1"/>
  <c r="H9" i="8"/>
  <c r="I9" i="8" s="1"/>
  <c r="H10" i="8"/>
  <c r="I10" i="8" s="1"/>
  <c r="H11" i="8"/>
  <c r="I11" i="8" s="1"/>
  <c r="H12" i="8"/>
  <c r="I12" i="8" s="1"/>
  <c r="H13" i="8"/>
  <c r="I13" i="8" s="1"/>
  <c r="H14" i="8"/>
  <c r="I14" i="8" s="1"/>
  <c r="H15" i="8"/>
  <c r="I15" i="8" s="1"/>
  <c r="H16" i="8"/>
  <c r="I16" i="8" s="1"/>
  <c r="H17" i="8"/>
  <c r="I17" i="8" s="1"/>
  <c r="H18" i="8"/>
  <c r="I18" i="8" s="1"/>
  <c r="H19" i="8"/>
  <c r="I19" i="8" s="1"/>
  <c r="H20" i="8"/>
  <c r="I20" i="8" s="1"/>
  <c r="H21" i="8"/>
  <c r="I21" i="8" s="1"/>
  <c r="H22" i="8"/>
  <c r="I22" i="8" s="1"/>
  <c r="H23" i="8"/>
  <c r="I23" i="8" s="1"/>
  <c r="H24" i="8"/>
  <c r="I24" i="8" s="1"/>
  <c r="H25" i="8"/>
  <c r="I25" i="8" s="1"/>
  <c r="H26" i="8"/>
  <c r="I26" i="8" s="1"/>
  <c r="H27" i="8"/>
  <c r="I27" i="8" s="1"/>
  <c r="H28" i="8"/>
  <c r="I28" i="8" s="1"/>
  <c r="H29" i="8"/>
  <c r="I29" i="8" s="1"/>
  <c r="H30" i="8"/>
  <c r="I30" i="8" s="1"/>
  <c r="H31" i="8"/>
  <c r="I31" i="8" s="1"/>
  <c r="H32" i="8"/>
  <c r="I32" i="8" s="1"/>
  <c r="H33" i="8"/>
  <c r="I33" i="8" s="1"/>
  <c r="H34" i="8"/>
  <c r="I34" i="8" s="1"/>
  <c r="H35" i="8"/>
  <c r="I35" i="8" s="1"/>
  <c r="H36" i="8"/>
  <c r="I36" i="8" s="1"/>
  <c r="H37" i="8"/>
  <c r="I37" i="8" s="1"/>
  <c r="H38" i="8"/>
  <c r="I38" i="8" s="1"/>
  <c r="H39" i="8"/>
  <c r="I39" i="8" s="1"/>
  <c r="H40" i="8"/>
  <c r="I40" i="8" s="1"/>
  <c r="H41" i="8"/>
  <c r="I41" i="8" s="1"/>
  <c r="H42" i="8"/>
  <c r="I42" i="8" s="1"/>
  <c r="H43" i="8"/>
  <c r="I43" i="8" s="1"/>
  <c r="H44" i="8"/>
  <c r="I44" i="8" s="1"/>
  <c r="H45" i="8"/>
  <c r="I45" i="8" s="1"/>
  <c r="H46" i="8"/>
  <c r="I46" i="8" s="1"/>
  <c r="H47" i="8"/>
  <c r="I47" i="8" s="1"/>
  <c r="H48" i="8"/>
  <c r="I48" i="8" s="1"/>
  <c r="H49" i="8"/>
  <c r="I49" i="8" s="1"/>
  <c r="H50" i="8"/>
  <c r="I50" i="8" s="1"/>
  <c r="H51" i="8"/>
  <c r="I51" i="8" s="1"/>
  <c r="H52" i="8"/>
  <c r="I52" i="8" s="1"/>
  <c r="H53" i="8"/>
  <c r="I53" i="8" s="1"/>
  <c r="H54" i="8"/>
  <c r="I54" i="8" s="1"/>
  <c r="H55" i="8"/>
  <c r="I55" i="8" s="1"/>
  <c r="H56" i="8"/>
  <c r="I56" i="8" s="1"/>
  <c r="H57" i="8"/>
  <c r="I57" i="8" s="1"/>
  <c r="H58" i="8"/>
  <c r="I58" i="8" s="1"/>
  <c r="H59" i="8"/>
  <c r="I59" i="8" s="1"/>
  <c r="H60" i="8"/>
  <c r="I60" i="8" s="1"/>
  <c r="H61" i="8"/>
  <c r="I61" i="8" s="1"/>
  <c r="H62" i="8"/>
  <c r="I62" i="8" s="1"/>
  <c r="H63" i="8"/>
  <c r="I63" i="8" s="1"/>
  <c r="H64" i="8"/>
  <c r="I64" i="8" s="1"/>
  <c r="H65" i="8"/>
  <c r="I65" i="8" s="1"/>
  <c r="H66" i="8"/>
  <c r="I66" i="8" s="1"/>
  <c r="H67" i="8"/>
  <c r="I67" i="8" s="1"/>
  <c r="H68" i="8"/>
  <c r="I68" i="8" s="1"/>
  <c r="H69" i="8"/>
  <c r="I69" i="8" s="1"/>
  <c r="H70" i="8"/>
  <c r="I70" i="8" s="1"/>
  <c r="H71" i="8"/>
  <c r="I71" i="8" s="1"/>
  <c r="H72" i="8"/>
  <c r="I72" i="8" s="1"/>
  <c r="H73" i="8"/>
  <c r="I73" i="8" s="1"/>
  <c r="H74" i="8"/>
  <c r="I74" i="8" s="1"/>
  <c r="H75" i="8"/>
  <c r="I75" i="8" s="1"/>
  <c r="H76" i="8"/>
  <c r="I76" i="8" s="1"/>
  <c r="H77" i="8"/>
  <c r="I77" i="8" s="1"/>
  <c r="H78" i="8"/>
  <c r="I78" i="8" s="1"/>
  <c r="H79" i="8"/>
  <c r="I79" i="8" s="1"/>
  <c r="H80" i="8"/>
  <c r="I80" i="8" s="1"/>
  <c r="H81" i="8"/>
  <c r="I81" i="8" s="1"/>
  <c r="H82" i="8"/>
  <c r="I82" i="8" s="1"/>
  <c r="H83" i="8"/>
  <c r="I83" i="8" s="1"/>
  <c r="H84" i="8"/>
  <c r="I84" i="8" s="1"/>
  <c r="H85" i="8"/>
  <c r="I85" i="8" s="1"/>
  <c r="H86" i="8"/>
  <c r="I86" i="8" s="1"/>
  <c r="H87" i="8"/>
  <c r="I87" i="8" s="1"/>
  <c r="H88" i="8"/>
  <c r="I88" i="8" s="1"/>
  <c r="H89" i="8"/>
  <c r="I89" i="8" s="1"/>
  <c r="H90" i="8"/>
  <c r="I90" i="8" s="1"/>
  <c r="H91" i="8"/>
  <c r="I91" i="8" s="1"/>
  <c r="H92" i="8"/>
  <c r="I92" i="8" s="1"/>
  <c r="H93" i="8"/>
  <c r="I93" i="8" s="1"/>
  <c r="H94" i="8"/>
  <c r="I94" i="8" s="1"/>
  <c r="H95" i="8"/>
  <c r="I95" i="8" s="1"/>
  <c r="H96" i="8"/>
  <c r="I96" i="8" s="1"/>
  <c r="H97" i="8"/>
  <c r="I97" i="8" s="1"/>
  <c r="H98" i="8"/>
  <c r="I98" i="8" s="1"/>
  <c r="H99" i="8"/>
  <c r="I99" i="8" s="1"/>
  <c r="H100" i="8"/>
  <c r="I100" i="8" s="1"/>
  <c r="H101" i="8"/>
  <c r="I101" i="8" s="1"/>
  <c r="H102" i="8"/>
  <c r="I102" i="8" s="1"/>
  <c r="H103" i="8"/>
  <c r="I103" i="8" s="1"/>
  <c r="H104" i="8"/>
  <c r="I104" i="8" s="1"/>
  <c r="H105" i="8"/>
  <c r="I105" i="8" s="1"/>
  <c r="H106" i="8"/>
  <c r="I106" i="8" s="1"/>
  <c r="H107" i="8"/>
  <c r="I107" i="8" s="1"/>
  <c r="H108" i="8"/>
  <c r="I108" i="8" s="1"/>
  <c r="H109" i="8"/>
  <c r="I109" i="8" s="1"/>
  <c r="H110" i="8"/>
  <c r="I110" i="8" s="1"/>
  <c r="H111" i="8"/>
  <c r="I111" i="8" s="1"/>
  <c r="H112" i="8"/>
  <c r="I112" i="8" s="1"/>
  <c r="H113" i="8"/>
  <c r="I113" i="8" s="1"/>
  <c r="H114" i="8"/>
  <c r="I114" i="8" s="1"/>
  <c r="H115" i="8"/>
  <c r="I115" i="8" s="1"/>
  <c r="H116" i="8"/>
  <c r="I116" i="8" s="1"/>
  <c r="H117" i="8"/>
  <c r="I117" i="8" s="1"/>
  <c r="H118" i="8"/>
  <c r="I118" i="8" s="1"/>
  <c r="H119" i="8"/>
  <c r="I119" i="8" s="1"/>
  <c r="H120" i="8"/>
  <c r="I120" i="8" s="1"/>
  <c r="H121" i="8"/>
  <c r="I121" i="8" s="1"/>
  <c r="H122" i="8"/>
  <c r="I122" i="8" s="1"/>
  <c r="H123" i="8"/>
  <c r="I123" i="8" s="1"/>
  <c r="H124" i="8"/>
  <c r="I124" i="8" s="1"/>
  <c r="H125" i="8"/>
  <c r="I125" i="8" s="1"/>
  <c r="H126" i="8"/>
  <c r="I126" i="8" s="1"/>
  <c r="H127" i="8"/>
  <c r="I127" i="8" s="1"/>
  <c r="H128" i="8"/>
  <c r="I128" i="8" s="1"/>
  <c r="H129" i="8"/>
  <c r="I129" i="8" s="1"/>
  <c r="H130" i="8"/>
  <c r="I130" i="8" s="1"/>
  <c r="H131" i="8"/>
  <c r="I131" i="8" s="1"/>
  <c r="H132" i="8"/>
  <c r="I132" i="8" s="1"/>
  <c r="H133" i="8"/>
  <c r="I133" i="8" s="1"/>
  <c r="H134" i="8"/>
  <c r="I134" i="8" s="1"/>
  <c r="H135" i="8"/>
  <c r="I135" i="8" s="1"/>
  <c r="H136" i="8"/>
  <c r="I136" i="8" s="1"/>
  <c r="H137" i="8"/>
  <c r="I137" i="8" s="1"/>
  <c r="H138" i="8"/>
  <c r="I138" i="8" s="1"/>
  <c r="H139" i="8"/>
  <c r="I139" i="8" s="1"/>
  <c r="H140" i="8"/>
  <c r="I140" i="8" s="1"/>
  <c r="H141" i="8"/>
  <c r="I141" i="8" s="1"/>
  <c r="H142" i="8"/>
  <c r="I142" i="8" s="1"/>
  <c r="H143" i="8"/>
  <c r="I143" i="8" s="1"/>
  <c r="H144" i="8"/>
  <c r="I144" i="8" s="1"/>
  <c r="H145" i="8"/>
  <c r="I145" i="8" s="1"/>
  <c r="H146" i="8"/>
  <c r="I146" i="8" s="1"/>
  <c r="H147" i="8"/>
  <c r="I147" i="8" s="1"/>
  <c r="H148" i="8"/>
  <c r="I148" i="8" s="1"/>
  <c r="H149" i="8"/>
  <c r="I149" i="8" s="1"/>
  <c r="H150" i="8"/>
  <c r="I150" i="8" s="1"/>
  <c r="H151" i="8"/>
  <c r="I151" i="8" s="1"/>
  <c r="H152" i="8"/>
  <c r="I152" i="8" s="1"/>
  <c r="H153" i="8"/>
  <c r="I153" i="8" s="1"/>
  <c r="H154" i="8"/>
  <c r="I154" i="8" s="1"/>
  <c r="H155" i="8"/>
  <c r="I155" i="8" s="1"/>
  <c r="H156" i="8"/>
  <c r="I156" i="8" s="1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7" i="8"/>
  <c r="I7" i="8" s="1"/>
  <c r="H5" i="8" l="1"/>
  <c r="E39" i="8"/>
  <c r="E25" i="8" s="1"/>
  <c r="B42" i="8" l="1"/>
  <c r="B35" i="8"/>
  <c r="B31" i="8"/>
  <c r="B22" i="8"/>
  <c r="B26" i="8"/>
  <c r="E22" i="8"/>
  <c r="D39" i="8" l="1"/>
  <c r="D37" i="8" l="1"/>
  <c r="D43" i="8" l="1"/>
  <c r="E31" i="8" l="1"/>
  <c r="E43" i="8" l="1"/>
  <c r="E26" i="8"/>
  <c r="E42" i="8"/>
  <c r="E35" i="8"/>
  <c r="D33" i="8"/>
  <c r="D32" i="8"/>
  <c r="D36" i="8" s="1"/>
  <c r="E36" i="8" s="1"/>
  <c r="G7" i="8"/>
  <c r="M7" i="8" s="1"/>
  <c r="E44" i="8" l="1"/>
  <c r="G8" i="8"/>
  <c r="M8" i="8" s="1"/>
  <c r="E37" i="8"/>
  <c r="E32" i="8"/>
  <c r="E38" i="8" l="1"/>
  <c r="E45" i="8"/>
  <c r="D45" i="8" s="1"/>
  <c r="E33" i="8"/>
  <c r="G9" i="8"/>
  <c r="M9" i="8" s="1"/>
  <c r="E46" i="8" l="1"/>
  <c r="E40" i="8"/>
  <c r="N5" i="8" s="1"/>
  <c r="L6" i="8" s="1"/>
  <c r="N6" i="8" s="1"/>
  <c r="J7" i="8" s="1"/>
  <c r="G10" i="8"/>
  <c r="M10" i="8" s="1"/>
  <c r="L7" i="8" l="1"/>
  <c r="N7" i="8" s="1"/>
  <c r="G11" i="8"/>
  <c r="M11" i="8" s="1"/>
  <c r="G12" i="8" l="1"/>
  <c r="M12" i="8" s="1"/>
  <c r="G13" i="8" l="1"/>
  <c r="M13" i="8" s="1"/>
  <c r="G14" i="8" l="1"/>
  <c r="M14" i="8" s="1"/>
  <c r="G15" i="8" l="1"/>
  <c r="M15" i="8" s="1"/>
  <c r="G16" i="8" l="1"/>
  <c r="M16" i="8" s="1"/>
  <c r="G17" i="8" l="1"/>
  <c r="M17" i="8" s="1"/>
  <c r="G18" i="8" l="1"/>
  <c r="M18" i="8" s="1"/>
  <c r="G19" i="8" l="1"/>
  <c r="M19" i="8" s="1"/>
  <c r="G20" i="8" l="1"/>
  <c r="M20" i="8" s="1"/>
  <c r="G21" i="8" l="1"/>
  <c r="M21" i="8" s="1"/>
  <c r="G22" i="8" l="1"/>
  <c r="M22" i="8" s="1"/>
  <c r="G23" i="8" l="1"/>
  <c r="M23" i="8" s="1"/>
  <c r="G24" i="8" l="1"/>
  <c r="M24" i="8" s="1"/>
  <c r="G25" i="8" l="1"/>
  <c r="M25" i="8" s="1"/>
  <c r="G26" i="8" l="1"/>
  <c r="M26" i="8" s="1"/>
  <c r="G27" i="8" l="1"/>
  <c r="M27" i="8" s="1"/>
  <c r="G28" i="8" l="1"/>
  <c r="M28" i="8" s="1"/>
  <c r="G29" i="8" l="1"/>
  <c r="M29" i="8" s="1"/>
  <c r="G30" i="8" l="1"/>
  <c r="M30" i="8" s="1"/>
  <c r="G31" i="8" l="1"/>
  <c r="M31" i="8" s="1"/>
  <c r="G32" i="8" l="1"/>
  <c r="M32" i="8" s="1"/>
  <c r="G33" i="8" l="1"/>
  <c r="M33" i="8" s="1"/>
  <c r="G34" i="8" l="1"/>
  <c r="M34" i="8" s="1"/>
  <c r="G35" i="8" l="1"/>
  <c r="M35" i="8" s="1"/>
  <c r="G36" i="8" l="1"/>
  <c r="M36" i="8" s="1"/>
  <c r="G37" i="8" l="1"/>
  <c r="M37" i="8" s="1"/>
  <c r="G38" i="8" l="1"/>
  <c r="M38" i="8" s="1"/>
  <c r="G39" i="8" l="1"/>
  <c r="M39" i="8" s="1"/>
  <c r="G40" i="8" l="1"/>
  <c r="M40" i="8" s="1"/>
  <c r="G41" i="8" l="1"/>
  <c r="M41" i="8" s="1"/>
  <c r="G42" i="8" l="1"/>
  <c r="M42" i="8" s="1"/>
  <c r="G43" i="8" l="1"/>
  <c r="M43" i="8" s="1"/>
  <c r="G44" i="8" l="1"/>
  <c r="M44" i="8" s="1"/>
  <c r="G45" i="8" l="1"/>
  <c r="M45" i="8" s="1"/>
  <c r="G46" i="8" l="1"/>
  <c r="M46" i="8" s="1"/>
  <c r="G47" i="8" l="1"/>
  <c r="M47" i="8" s="1"/>
  <c r="G48" i="8" l="1"/>
  <c r="M48" i="8" s="1"/>
  <c r="G49" i="8" l="1"/>
  <c r="M49" i="8" s="1"/>
  <c r="G50" i="8" l="1"/>
  <c r="M50" i="8" s="1"/>
  <c r="G51" i="8" l="1"/>
  <c r="M51" i="8" s="1"/>
  <c r="G52" i="8" l="1"/>
  <c r="M52" i="8" s="1"/>
  <c r="G53" i="8" l="1"/>
  <c r="M53" i="8" s="1"/>
  <c r="G54" i="8" l="1"/>
  <c r="M54" i="8" s="1"/>
  <c r="G55" i="8" l="1"/>
  <c r="M55" i="8" s="1"/>
  <c r="G56" i="8" l="1"/>
  <c r="M56" i="8" s="1"/>
  <c r="G57" i="8" l="1"/>
  <c r="M57" i="8" s="1"/>
  <c r="G58" i="8" l="1"/>
  <c r="M58" i="8" s="1"/>
  <c r="G59" i="8" l="1"/>
  <c r="M59" i="8" s="1"/>
  <c r="G60" i="8" l="1"/>
  <c r="M60" i="8" s="1"/>
  <c r="G61" i="8" l="1"/>
  <c r="M61" i="8" s="1"/>
  <c r="G62" i="8" l="1"/>
  <c r="M62" i="8" s="1"/>
  <c r="G63" i="8" l="1"/>
  <c r="M63" i="8" s="1"/>
  <c r="G64" i="8" l="1"/>
  <c r="M64" i="8" s="1"/>
  <c r="G65" i="8" l="1"/>
  <c r="M65" i="8" s="1"/>
  <c r="G66" i="8" l="1"/>
  <c r="M66" i="8" s="1"/>
  <c r="G67" i="8" l="1"/>
  <c r="M67" i="8" s="1"/>
  <c r="G68" i="8" l="1"/>
  <c r="M68" i="8" s="1"/>
  <c r="G69" i="8" l="1"/>
  <c r="M69" i="8" s="1"/>
  <c r="G70" i="8" l="1"/>
  <c r="M70" i="8" s="1"/>
  <c r="G71" i="8" l="1"/>
  <c r="M71" i="8" s="1"/>
  <c r="G72" i="8" l="1"/>
  <c r="M72" i="8" s="1"/>
  <c r="G73" i="8" l="1"/>
  <c r="M73" i="8" s="1"/>
  <c r="G74" i="8" l="1"/>
  <c r="M74" i="8" s="1"/>
  <c r="G75" i="8" l="1"/>
  <c r="M75" i="8" s="1"/>
  <c r="G76" i="8" l="1"/>
  <c r="M76" i="8" s="1"/>
  <c r="G77" i="8" l="1"/>
  <c r="M77" i="8" s="1"/>
  <c r="G78" i="8" l="1"/>
  <c r="M78" i="8" s="1"/>
  <c r="G79" i="8" l="1"/>
  <c r="M79" i="8" s="1"/>
  <c r="G80" i="8" l="1"/>
  <c r="M80" i="8" s="1"/>
  <c r="G81" i="8" l="1"/>
  <c r="M81" i="8" s="1"/>
  <c r="G82" i="8" l="1"/>
  <c r="M82" i="8" s="1"/>
  <c r="G83" i="8" l="1"/>
  <c r="M83" i="8" s="1"/>
  <c r="G84" i="8" l="1"/>
  <c r="M84" i="8" s="1"/>
  <c r="G85" i="8" l="1"/>
  <c r="M85" i="8" s="1"/>
  <c r="G86" i="8" l="1"/>
  <c r="M86" i="8" s="1"/>
  <c r="G87" i="8" l="1"/>
  <c r="M87" i="8" s="1"/>
  <c r="G88" i="8" l="1"/>
  <c r="M88" i="8" s="1"/>
  <c r="G89" i="8" l="1"/>
  <c r="M89" i="8" s="1"/>
  <c r="G90" i="8" l="1"/>
  <c r="M90" i="8" s="1"/>
  <c r="G91" i="8" l="1"/>
  <c r="M91" i="8" s="1"/>
  <c r="G92" i="8" l="1"/>
  <c r="M92" i="8" s="1"/>
  <c r="G93" i="8" l="1"/>
  <c r="M93" i="8" s="1"/>
  <c r="G94" i="8" l="1"/>
  <c r="M94" i="8" s="1"/>
  <c r="G95" i="8" l="1"/>
  <c r="M95" i="8" s="1"/>
  <c r="G96" i="8" l="1"/>
  <c r="M96" i="8" s="1"/>
  <c r="G97" i="8" l="1"/>
  <c r="M97" i="8" s="1"/>
  <c r="G98" i="8" l="1"/>
  <c r="M98" i="8" s="1"/>
  <c r="G99" i="8" l="1"/>
  <c r="M99" i="8" s="1"/>
  <c r="G100" i="8" l="1"/>
  <c r="M100" i="8" s="1"/>
  <c r="G101" i="8" l="1"/>
  <c r="M101" i="8" s="1"/>
  <c r="G102" i="8" l="1"/>
  <c r="M102" i="8" s="1"/>
  <c r="G103" i="8" l="1"/>
  <c r="M103" i="8" s="1"/>
  <c r="G104" i="8" l="1"/>
  <c r="M104" i="8" s="1"/>
  <c r="G105" i="8" l="1"/>
  <c r="M105" i="8" s="1"/>
  <c r="G106" i="8" l="1"/>
  <c r="M106" i="8" s="1"/>
  <c r="G107" i="8" l="1"/>
  <c r="M107" i="8" s="1"/>
  <c r="G108" i="8" l="1"/>
  <c r="M108" i="8" s="1"/>
  <c r="G109" i="8" l="1"/>
  <c r="M109" i="8" s="1"/>
  <c r="G110" i="8" l="1"/>
  <c r="M110" i="8" s="1"/>
  <c r="G111" i="8" l="1"/>
  <c r="M111" i="8" s="1"/>
  <c r="G112" i="8" l="1"/>
  <c r="M112" i="8" s="1"/>
  <c r="G113" i="8" l="1"/>
  <c r="M113" i="8" s="1"/>
  <c r="G114" i="8" l="1"/>
  <c r="M114" i="8" s="1"/>
  <c r="G115" i="8" l="1"/>
  <c r="M115" i="8" s="1"/>
  <c r="G116" i="8" l="1"/>
  <c r="M116" i="8" s="1"/>
  <c r="G117" i="8" l="1"/>
  <c r="M117" i="8" s="1"/>
  <c r="G118" i="8" l="1"/>
  <c r="M118" i="8" s="1"/>
  <c r="G119" i="8" l="1"/>
  <c r="M119" i="8" s="1"/>
  <c r="G120" i="8" l="1"/>
  <c r="M120" i="8" s="1"/>
  <c r="G121" i="8" l="1"/>
  <c r="M121" i="8" s="1"/>
  <c r="G122" i="8" l="1"/>
  <c r="M122" i="8" s="1"/>
  <c r="G123" i="8" l="1"/>
  <c r="M123" i="8" s="1"/>
  <c r="G124" i="8" l="1"/>
  <c r="M124" i="8" s="1"/>
  <c r="G125" i="8" l="1"/>
  <c r="M125" i="8" s="1"/>
  <c r="G126" i="8" l="1"/>
  <c r="M126" i="8" s="1"/>
  <c r="G127" i="8" l="1"/>
  <c r="M127" i="8" s="1"/>
  <c r="G128" i="8" l="1"/>
  <c r="M128" i="8" s="1"/>
  <c r="G129" i="8" l="1"/>
  <c r="M129" i="8" s="1"/>
  <c r="G130" i="8" l="1"/>
  <c r="M130" i="8" s="1"/>
  <c r="G131" i="8" l="1"/>
  <c r="M131" i="8" s="1"/>
  <c r="G132" i="8" l="1"/>
  <c r="M132" i="8" s="1"/>
  <c r="G133" i="8" l="1"/>
  <c r="M133" i="8" s="1"/>
  <c r="G134" i="8" l="1"/>
  <c r="M134" i="8" s="1"/>
  <c r="G135" i="8" l="1"/>
  <c r="M135" i="8" s="1"/>
  <c r="G136" i="8" l="1"/>
  <c r="M136" i="8" s="1"/>
  <c r="G137" i="8" l="1"/>
  <c r="M137" i="8" s="1"/>
  <c r="G138" i="8" l="1"/>
  <c r="M138" i="8" s="1"/>
  <c r="G139" i="8" l="1"/>
  <c r="M139" i="8" s="1"/>
  <c r="G140" i="8" l="1"/>
  <c r="M140" i="8" s="1"/>
  <c r="G141" i="8" l="1"/>
  <c r="M141" i="8" s="1"/>
  <c r="G142" i="8" l="1"/>
  <c r="M142" i="8" s="1"/>
  <c r="G143" i="8" l="1"/>
  <c r="M143" i="8" s="1"/>
  <c r="G144" i="8" l="1"/>
  <c r="M144" i="8" s="1"/>
  <c r="G145" i="8" l="1"/>
  <c r="M145" i="8" s="1"/>
  <c r="G146" i="8" l="1"/>
  <c r="M146" i="8" s="1"/>
  <c r="G147" i="8" l="1"/>
  <c r="M147" i="8" s="1"/>
  <c r="G148" i="8" l="1"/>
  <c r="M148" i="8" s="1"/>
  <c r="G149" i="8" l="1"/>
  <c r="M149" i="8" s="1"/>
  <c r="G150" i="8" l="1"/>
  <c r="M150" i="8" s="1"/>
  <c r="G151" i="8" l="1"/>
  <c r="M151" i="8" s="1"/>
  <c r="G152" i="8" l="1"/>
  <c r="M152" i="8" s="1"/>
  <c r="G153" i="8" l="1"/>
  <c r="M153" i="8" s="1"/>
  <c r="G154" i="8" l="1"/>
  <c r="M154" i="8" s="1"/>
  <c r="G155" i="8" l="1"/>
  <c r="M155" i="8" s="1"/>
  <c r="I5" i="8"/>
  <c r="G156" i="8" l="1"/>
  <c r="M156" i="8" s="1"/>
  <c r="K7" i="8"/>
  <c r="G157" i="8" l="1"/>
  <c r="M157" i="8" s="1"/>
  <c r="J8" i="8"/>
  <c r="L8" i="8" s="1"/>
  <c r="N8" i="8" s="1"/>
  <c r="L157" i="8" l="1"/>
  <c r="N157" i="8"/>
  <c r="J157" i="8"/>
  <c r="G158" i="8"/>
  <c r="M158" i="8" s="1"/>
  <c r="K157" i="8"/>
  <c r="J9" i="8"/>
  <c r="K8" i="8"/>
  <c r="L158" i="8" l="1"/>
  <c r="N158" i="8"/>
  <c r="J158" i="8"/>
  <c r="K158" i="8"/>
  <c r="G159" i="8"/>
  <c r="M159" i="8" s="1"/>
  <c r="L9" i="8"/>
  <c r="N9" i="8" s="1"/>
  <c r="K9" i="8"/>
  <c r="L159" i="8" l="1"/>
  <c r="N159" i="8"/>
  <c r="J159" i="8"/>
  <c r="G160" i="8"/>
  <c r="M160" i="8" s="1"/>
  <c r="K159" i="8"/>
  <c r="J10" i="8"/>
  <c r="L10" i="8" s="1"/>
  <c r="N10" i="8" s="1"/>
  <c r="L160" i="8" l="1"/>
  <c r="N160" i="8"/>
  <c r="J160" i="8"/>
  <c r="K160" i="8"/>
  <c r="G161" i="8"/>
  <c r="M161" i="8" s="1"/>
  <c r="J11" i="8"/>
  <c r="K10" i="8"/>
  <c r="L161" i="8" l="1"/>
  <c r="N161" i="8"/>
  <c r="G162" i="8"/>
  <c r="M162" i="8" s="1"/>
  <c r="J161" i="8"/>
  <c r="K161" i="8"/>
  <c r="L11" i="8"/>
  <c r="N11" i="8" s="1"/>
  <c r="K11" i="8"/>
  <c r="N162" i="8" l="1"/>
  <c r="L162" i="8"/>
  <c r="J162" i="8"/>
  <c r="G163" i="8"/>
  <c r="M163" i="8" s="1"/>
  <c r="K162" i="8"/>
  <c r="J12" i="8"/>
  <c r="K12" i="8" s="1"/>
  <c r="N163" i="8" l="1"/>
  <c r="L163" i="8"/>
  <c r="J163" i="8"/>
  <c r="K163" i="8"/>
  <c r="G164" i="8"/>
  <c r="M164" i="8" s="1"/>
  <c r="L12" i="8"/>
  <c r="N12" i="8" s="1"/>
  <c r="J13" i="8" s="1"/>
  <c r="L164" i="8" l="1"/>
  <c r="N164" i="8"/>
  <c r="K164" i="8"/>
  <c r="J164" i="8"/>
  <c r="G165" i="8"/>
  <c r="M165" i="8" s="1"/>
  <c r="L13" i="8"/>
  <c r="N13" i="8" s="1"/>
  <c r="J14" i="8" s="1"/>
  <c r="K13" i="8"/>
  <c r="K14" i="8" l="1"/>
  <c r="N165" i="8"/>
  <c r="L165" i="8"/>
  <c r="J165" i="8"/>
  <c r="K165" i="8"/>
  <c r="G166" i="8"/>
  <c r="M166" i="8" s="1"/>
  <c r="L14" i="8"/>
  <c r="N14" i="8" s="1"/>
  <c r="J15" i="8" s="1"/>
  <c r="L166" i="8" l="1"/>
  <c r="N166" i="8"/>
  <c r="J166" i="8"/>
  <c r="K166" i="8"/>
  <c r="G167" i="8"/>
  <c r="M167" i="8" s="1"/>
  <c r="L15" i="8"/>
  <c r="N15" i="8" s="1"/>
  <c r="J16" i="8" s="1"/>
  <c r="K15" i="8"/>
  <c r="K16" i="8" l="1"/>
  <c r="L167" i="8"/>
  <c r="N167" i="8"/>
  <c r="J167" i="8"/>
  <c r="G168" i="8"/>
  <c r="M168" i="8" s="1"/>
  <c r="K167" i="8"/>
  <c r="L16" i="8"/>
  <c r="N16" i="8" l="1"/>
  <c r="E18" i="8"/>
  <c r="L168" i="8"/>
  <c r="N168" i="8"/>
  <c r="J168" i="8"/>
  <c r="K168" i="8"/>
  <c r="G169" i="8"/>
  <c r="M169" i="8" s="1"/>
  <c r="J17" i="8"/>
  <c r="L17" i="8" s="1"/>
  <c r="N17" i="8" s="1"/>
  <c r="L169" i="8" l="1"/>
  <c r="N169" i="8"/>
  <c r="K169" i="8"/>
  <c r="G170" i="8"/>
  <c r="M170" i="8" s="1"/>
  <c r="J169" i="8"/>
  <c r="J18" i="8"/>
  <c r="K17" i="8"/>
  <c r="N170" i="8" l="1"/>
  <c r="L170" i="8"/>
  <c r="J170" i="8"/>
  <c r="G171" i="8"/>
  <c r="M171" i="8" s="1"/>
  <c r="K170" i="8"/>
  <c r="L18" i="8"/>
  <c r="N18" i="8" s="1"/>
  <c r="J19" i="8" s="1"/>
  <c r="K18" i="8"/>
  <c r="L171" i="8" l="1"/>
  <c r="N171" i="8"/>
  <c r="J171" i="8"/>
  <c r="G172" i="8"/>
  <c r="M172" i="8" s="1"/>
  <c r="K171" i="8"/>
  <c r="L19" i="8"/>
  <c r="N19" i="8" s="1"/>
  <c r="J20" i="8" s="1"/>
  <c r="K19" i="8"/>
  <c r="L172" i="8" l="1"/>
  <c r="N172" i="8"/>
  <c r="G173" i="8"/>
  <c r="M173" i="8" s="1"/>
  <c r="K172" i="8"/>
  <c r="J172" i="8"/>
  <c r="K20" i="8"/>
  <c r="L20" i="8"/>
  <c r="N20" i="8" s="1"/>
  <c r="J21" i="8" s="1"/>
  <c r="N173" i="8" l="1"/>
  <c r="L173" i="8"/>
  <c r="J173" i="8"/>
  <c r="G174" i="8"/>
  <c r="M174" i="8" s="1"/>
  <c r="K173" i="8"/>
  <c r="L21" i="8"/>
  <c r="N21" i="8" s="1"/>
  <c r="J22" i="8" s="1"/>
  <c r="K21" i="8"/>
  <c r="L174" i="8" l="1"/>
  <c r="N174" i="8"/>
  <c r="J174" i="8"/>
  <c r="K174" i="8"/>
  <c r="G175" i="8"/>
  <c r="M175" i="8" s="1"/>
  <c r="L22" i="8"/>
  <c r="N22" i="8" s="1"/>
  <c r="J23" i="8" s="1"/>
  <c r="K22" i="8"/>
  <c r="L175" i="8" l="1"/>
  <c r="N175" i="8"/>
  <c r="J175" i="8"/>
  <c r="K175" i="8"/>
  <c r="G176" i="8"/>
  <c r="M176" i="8" s="1"/>
  <c r="L23" i="8"/>
  <c r="N23" i="8" s="1"/>
  <c r="J24" i="8" s="1"/>
  <c r="K23" i="8"/>
  <c r="L176" i="8" l="1"/>
  <c r="N176" i="8"/>
  <c r="J176" i="8"/>
  <c r="G177" i="8"/>
  <c r="M177" i="8" s="1"/>
  <c r="K176" i="8"/>
  <c r="L24" i="8"/>
  <c r="N24" i="8" s="1"/>
  <c r="J25" i="8" s="1"/>
  <c r="K24" i="8"/>
  <c r="L177" i="8" l="1"/>
  <c r="N177" i="8"/>
  <c r="K177" i="8"/>
  <c r="G178" i="8"/>
  <c r="M178" i="8" s="1"/>
  <c r="J177" i="8"/>
  <c r="L25" i="8"/>
  <c r="N25" i="8" s="1"/>
  <c r="J26" i="8" s="1"/>
  <c r="K25" i="8"/>
  <c r="N178" i="8" l="1"/>
  <c r="L178" i="8"/>
  <c r="J178" i="8"/>
  <c r="G179" i="8"/>
  <c r="M179" i="8" s="1"/>
  <c r="K178" i="8"/>
  <c r="L26" i="8"/>
  <c r="N26" i="8" s="1"/>
  <c r="K26" i="8"/>
  <c r="N179" i="8" l="1"/>
  <c r="L179" i="8"/>
  <c r="J179" i="8"/>
  <c r="G180" i="8"/>
  <c r="M180" i="8" s="1"/>
  <c r="K179" i="8"/>
  <c r="J27" i="8"/>
  <c r="L27" i="8" s="1"/>
  <c r="N27" i="8" s="1"/>
  <c r="L180" i="8" l="1"/>
  <c r="N180" i="8"/>
  <c r="G181" i="8"/>
  <c r="M181" i="8" s="1"/>
  <c r="K180" i="8"/>
  <c r="J180" i="8"/>
  <c r="K27" i="8"/>
  <c r="L181" i="8" l="1"/>
  <c r="N181" i="8"/>
  <c r="J181" i="8"/>
  <c r="G182" i="8"/>
  <c r="M182" i="8" s="1"/>
  <c r="K181" i="8"/>
  <c r="J28" i="8"/>
  <c r="L182" i="8" l="1"/>
  <c r="N182" i="8"/>
  <c r="J182" i="8"/>
  <c r="K182" i="8"/>
  <c r="G183" i="8"/>
  <c r="M183" i="8" s="1"/>
  <c r="L28" i="8"/>
  <c r="N28" i="8" s="1"/>
  <c r="K28" i="8"/>
  <c r="L183" i="8" l="1"/>
  <c r="N183" i="8"/>
  <c r="J183" i="8"/>
  <c r="K183" i="8"/>
  <c r="G184" i="8"/>
  <c r="M184" i="8" s="1"/>
  <c r="J29" i="8"/>
  <c r="L29" i="8" s="1"/>
  <c r="N29" i="8" s="1"/>
  <c r="L184" i="8" l="1"/>
  <c r="N184" i="8"/>
  <c r="J184" i="8"/>
  <c r="G185" i="8"/>
  <c r="M185" i="8" s="1"/>
  <c r="K184" i="8"/>
  <c r="K29" i="8"/>
  <c r="L185" i="8" l="1"/>
  <c r="N185" i="8"/>
  <c r="G186" i="8"/>
  <c r="M186" i="8" s="1"/>
  <c r="J185" i="8"/>
  <c r="K185" i="8"/>
  <c r="J30" i="8"/>
  <c r="L30" i="8" s="1"/>
  <c r="N30" i="8" s="1"/>
  <c r="N186" i="8" l="1"/>
  <c r="L186" i="8"/>
  <c r="J186" i="8"/>
  <c r="G187" i="8"/>
  <c r="M187" i="8" s="1"/>
  <c r="K186" i="8"/>
  <c r="K30" i="8"/>
  <c r="L187" i="8" l="1"/>
  <c r="N187" i="8"/>
  <c r="J187" i="8"/>
  <c r="K187" i="8"/>
  <c r="G188" i="8"/>
  <c r="M188" i="8" s="1"/>
  <c r="J31" i="8"/>
  <c r="L31" i="8" s="1"/>
  <c r="N31" i="8" s="1"/>
  <c r="L188" i="8" l="1"/>
  <c r="N188" i="8"/>
  <c r="K188" i="8"/>
  <c r="J188" i="8"/>
  <c r="G189" i="8"/>
  <c r="M189" i="8" s="1"/>
  <c r="K31" i="8"/>
  <c r="L189" i="8" l="1"/>
  <c r="N189" i="8"/>
  <c r="J189" i="8"/>
  <c r="K189" i="8"/>
  <c r="G190" i="8"/>
  <c r="M190" i="8" s="1"/>
  <c r="J32" i="8"/>
  <c r="L190" i="8" l="1"/>
  <c r="N190" i="8"/>
  <c r="K190" i="8"/>
  <c r="J190" i="8"/>
  <c r="G191" i="8"/>
  <c r="M191" i="8" s="1"/>
  <c r="L32" i="8"/>
  <c r="N32" i="8" s="1"/>
  <c r="K32" i="8"/>
  <c r="L191" i="8" l="1"/>
  <c r="N191" i="8"/>
  <c r="J191" i="8"/>
  <c r="K191" i="8"/>
  <c r="G192" i="8"/>
  <c r="M192" i="8" s="1"/>
  <c r="J33" i="8"/>
  <c r="L33" i="8" s="1"/>
  <c r="N33" i="8" s="1"/>
  <c r="L192" i="8" l="1"/>
  <c r="N192" i="8"/>
  <c r="G193" i="8"/>
  <c r="M193" i="8" s="1"/>
  <c r="J192" i="8"/>
  <c r="K192" i="8"/>
  <c r="K33" i="8"/>
  <c r="J34" i="8"/>
  <c r="L34" i="8" s="1"/>
  <c r="N34" i="8" s="1"/>
  <c r="L193" i="8" l="1"/>
  <c r="N193" i="8"/>
  <c r="J193" i="8"/>
  <c r="K193" i="8"/>
  <c r="G194" i="8"/>
  <c r="M194" i="8" s="1"/>
  <c r="K34" i="8"/>
  <c r="N194" i="8" l="1"/>
  <c r="L194" i="8"/>
  <c r="J194" i="8"/>
  <c r="K194" i="8"/>
  <c r="G195" i="8"/>
  <c r="M195" i="8" s="1"/>
  <c r="J35" i="8"/>
  <c r="L35" i="8" s="1"/>
  <c r="N35" i="8" s="1"/>
  <c r="L195" i="8" l="1"/>
  <c r="N195" i="8"/>
  <c r="J195" i="8"/>
  <c r="K195" i="8"/>
  <c r="G196" i="8"/>
  <c r="M196" i="8" s="1"/>
  <c r="K35" i="8"/>
  <c r="L196" i="8" l="1"/>
  <c r="N196" i="8"/>
  <c r="J196" i="8"/>
  <c r="G197" i="8"/>
  <c r="M197" i="8" s="1"/>
  <c r="K196" i="8"/>
  <c r="J36" i="8"/>
  <c r="L36" i="8" s="1"/>
  <c r="N36" i="8" s="1"/>
  <c r="L197" i="8" l="1"/>
  <c r="N197" i="8"/>
  <c r="K197" i="8"/>
  <c r="G198" i="8"/>
  <c r="M198" i="8" s="1"/>
  <c r="J197" i="8"/>
  <c r="K36" i="8"/>
  <c r="L198" i="8" l="1"/>
  <c r="N198" i="8"/>
  <c r="K198" i="8"/>
  <c r="J198" i="8"/>
  <c r="G199" i="8"/>
  <c r="M199" i="8" s="1"/>
  <c r="J37" i="8"/>
  <c r="L37" i="8" s="1"/>
  <c r="N37" i="8" s="1"/>
  <c r="L199" i="8" l="1"/>
  <c r="N199" i="8"/>
  <c r="J199" i="8"/>
  <c r="K199" i="8"/>
  <c r="G200" i="8"/>
  <c r="M200" i="8" s="1"/>
  <c r="K37" i="8"/>
  <c r="L200" i="8" l="1"/>
  <c r="N200" i="8"/>
  <c r="G201" i="8"/>
  <c r="M201" i="8" s="1"/>
  <c r="J200" i="8"/>
  <c r="K200" i="8"/>
  <c r="J38" i="8"/>
  <c r="L38" i="8" s="1"/>
  <c r="N38" i="8" s="1"/>
  <c r="L201" i="8" l="1"/>
  <c r="N201" i="8"/>
  <c r="J201" i="8"/>
  <c r="G202" i="8"/>
  <c r="M202" i="8" s="1"/>
  <c r="K201" i="8"/>
  <c r="K38" i="8"/>
  <c r="N202" i="8" l="1"/>
  <c r="L202" i="8"/>
  <c r="J202" i="8"/>
  <c r="K202" i="8"/>
  <c r="G203" i="8"/>
  <c r="M203" i="8" s="1"/>
  <c r="J39" i="8"/>
  <c r="L203" i="8" l="1"/>
  <c r="N203" i="8"/>
  <c r="J203" i="8"/>
  <c r="K203" i="8"/>
  <c r="G204" i="8"/>
  <c r="M204" i="8" s="1"/>
  <c r="L39" i="8"/>
  <c r="N39" i="8" s="1"/>
  <c r="K39" i="8"/>
  <c r="L204" i="8" l="1"/>
  <c r="N204" i="8"/>
  <c r="K204" i="8"/>
  <c r="G205" i="8"/>
  <c r="M205" i="8" s="1"/>
  <c r="J204" i="8"/>
  <c r="J40" i="8"/>
  <c r="L40" i="8" s="1"/>
  <c r="N40" i="8" s="1"/>
  <c r="N205" i="8" l="1"/>
  <c r="L205" i="8"/>
  <c r="K205" i="8"/>
  <c r="J205" i="8"/>
  <c r="G206" i="8"/>
  <c r="M206" i="8" s="1"/>
  <c r="K40" i="8"/>
  <c r="J41" i="8"/>
  <c r="L41" i="8" s="1"/>
  <c r="N41" i="8" s="1"/>
  <c r="L206" i="8" l="1"/>
  <c r="N206" i="8"/>
  <c r="K206" i="8"/>
  <c r="J206" i="8"/>
  <c r="G207" i="8"/>
  <c r="M207" i="8" s="1"/>
  <c r="K41" i="8"/>
  <c r="L207" i="8" l="1"/>
  <c r="N207" i="8"/>
  <c r="J207" i="8"/>
  <c r="G208" i="8"/>
  <c r="M208" i="8" s="1"/>
  <c r="K207" i="8"/>
  <c r="J42" i="8"/>
  <c r="L208" i="8" l="1"/>
  <c r="N208" i="8"/>
  <c r="G209" i="8"/>
  <c r="M209" i="8" s="1"/>
  <c r="K208" i="8"/>
  <c r="J208" i="8"/>
  <c r="K42" i="8"/>
  <c r="L42" i="8"/>
  <c r="N42" i="8" s="1"/>
  <c r="L209" i="8" l="1"/>
  <c r="N209" i="8"/>
  <c r="J209" i="8"/>
  <c r="K209" i="8"/>
  <c r="G210" i="8"/>
  <c r="M210" i="8" s="1"/>
  <c r="J43" i="8"/>
  <c r="N210" i="8" l="1"/>
  <c r="L210" i="8"/>
  <c r="J210" i="8"/>
  <c r="K210" i="8"/>
  <c r="G211" i="8"/>
  <c r="M211" i="8" s="1"/>
  <c r="L43" i="8"/>
  <c r="N43" i="8" s="1"/>
  <c r="K43" i="8"/>
  <c r="L211" i="8" l="1"/>
  <c r="N211" i="8"/>
  <c r="J211" i="8"/>
  <c r="G212" i="8"/>
  <c r="M212" i="8" s="1"/>
  <c r="K211" i="8"/>
  <c r="J44" i="8"/>
  <c r="L44" i="8" s="1"/>
  <c r="N44" i="8" s="1"/>
  <c r="L212" i="8" l="1"/>
  <c r="N212" i="8"/>
  <c r="J212" i="8"/>
  <c r="G213" i="8"/>
  <c r="M213" i="8" s="1"/>
  <c r="K212" i="8"/>
  <c r="K44" i="8"/>
  <c r="J45" i="8"/>
  <c r="L45" i="8" s="1"/>
  <c r="N45" i="8" s="1"/>
  <c r="N213" i="8" l="1"/>
  <c r="L213" i="8"/>
  <c r="K213" i="8"/>
  <c r="G214" i="8"/>
  <c r="M214" i="8" s="1"/>
  <c r="J213" i="8"/>
  <c r="K45" i="8"/>
  <c r="L214" i="8" l="1"/>
  <c r="N214" i="8"/>
  <c r="K214" i="8"/>
  <c r="J214" i="8"/>
  <c r="G215" i="8"/>
  <c r="M215" i="8" s="1"/>
  <c r="J46" i="8"/>
  <c r="L46" i="8" s="1"/>
  <c r="N46" i="8" s="1"/>
  <c r="L215" i="8" l="1"/>
  <c r="N215" i="8"/>
  <c r="J215" i="8"/>
  <c r="K215" i="8"/>
  <c r="G216" i="8"/>
  <c r="M216" i="8" s="1"/>
  <c r="K46" i="8"/>
  <c r="L216" i="8" l="1"/>
  <c r="N216" i="8"/>
  <c r="J216" i="8"/>
  <c r="G217" i="8"/>
  <c r="M217" i="8" s="1"/>
  <c r="K216" i="8"/>
  <c r="J47" i="8"/>
  <c r="L47" i="8" s="1"/>
  <c r="N47" i="8" s="1"/>
  <c r="L217" i="8" l="1"/>
  <c r="N217" i="8"/>
  <c r="J217" i="8"/>
  <c r="K217" i="8"/>
  <c r="G218" i="8"/>
  <c r="M218" i="8" s="1"/>
  <c r="K47" i="8"/>
  <c r="N218" i="8" l="1"/>
  <c r="L218" i="8"/>
  <c r="J218" i="8"/>
  <c r="G219" i="8"/>
  <c r="M219" i="8" s="1"/>
  <c r="K218" i="8"/>
  <c r="J48" i="8"/>
  <c r="L48" i="8" s="1"/>
  <c r="N48" i="8" s="1"/>
  <c r="L219" i="8" l="1"/>
  <c r="N219" i="8"/>
  <c r="K219" i="8"/>
  <c r="G220" i="8"/>
  <c r="M220" i="8" s="1"/>
  <c r="J219" i="8"/>
  <c r="K48" i="8"/>
  <c r="L220" i="8" l="1"/>
  <c r="N220" i="8"/>
  <c r="J220" i="8"/>
  <c r="G221" i="8"/>
  <c r="M221" i="8" s="1"/>
  <c r="K220" i="8"/>
  <c r="J49" i="8"/>
  <c r="L49" i="8" s="1"/>
  <c r="N49" i="8" s="1"/>
  <c r="L221" i="8" l="1"/>
  <c r="N221" i="8"/>
  <c r="J221" i="8"/>
  <c r="G222" i="8"/>
  <c r="M222" i="8" s="1"/>
  <c r="K221" i="8"/>
  <c r="K49" i="8"/>
  <c r="L222" i="8" l="1"/>
  <c r="N222" i="8"/>
  <c r="G223" i="8"/>
  <c r="M223" i="8" s="1"/>
  <c r="K222" i="8"/>
  <c r="J222" i="8"/>
  <c r="J50" i="8"/>
  <c r="L50" i="8" s="1"/>
  <c r="N50" i="8" s="1"/>
  <c r="L223" i="8" l="1"/>
  <c r="N223" i="8"/>
  <c r="J223" i="8"/>
  <c r="G224" i="8"/>
  <c r="M224" i="8" s="1"/>
  <c r="K223" i="8"/>
  <c r="K50" i="8"/>
  <c r="L224" i="8" l="1"/>
  <c r="N224" i="8"/>
  <c r="J224" i="8"/>
  <c r="G225" i="8"/>
  <c r="M225" i="8" s="1"/>
  <c r="K224" i="8"/>
  <c r="J51" i="8"/>
  <c r="L51" i="8" s="1"/>
  <c r="N51" i="8" s="1"/>
  <c r="L225" i="8" l="1"/>
  <c r="N225" i="8"/>
  <c r="J225" i="8"/>
  <c r="G226" i="8"/>
  <c r="M226" i="8" s="1"/>
  <c r="K225" i="8"/>
  <c r="K51" i="8"/>
  <c r="N226" i="8" l="1"/>
  <c r="L226" i="8"/>
  <c r="J226" i="8"/>
  <c r="G227" i="8"/>
  <c r="M227" i="8" s="1"/>
  <c r="K226" i="8"/>
  <c r="J52" i="8"/>
  <c r="L227" i="8" l="1"/>
  <c r="N227" i="8"/>
  <c r="K227" i="8"/>
  <c r="J227" i="8"/>
  <c r="L52" i="8"/>
  <c r="N52" i="8" s="1"/>
  <c r="K52" i="8"/>
  <c r="J53" i="8" l="1"/>
  <c r="L53" i="8" s="1"/>
  <c r="N53" i="8" s="1"/>
  <c r="K53" i="8" l="1"/>
  <c r="J54" i="8" l="1"/>
  <c r="L54" i="8" s="1"/>
  <c r="N54" i="8" s="1"/>
  <c r="K54" i="8" l="1"/>
  <c r="J55" i="8" l="1"/>
  <c r="L55" i="8" s="1"/>
  <c r="N55" i="8" s="1"/>
  <c r="K55" i="8" l="1"/>
  <c r="J56" i="8" l="1"/>
  <c r="L56" i="8" s="1"/>
  <c r="N56" i="8" s="1"/>
  <c r="K56" i="8" l="1"/>
  <c r="J57" i="8" l="1"/>
  <c r="L57" i="8" s="1"/>
  <c r="N57" i="8" s="1"/>
  <c r="K57" i="8" l="1"/>
  <c r="J58" i="8" l="1"/>
  <c r="L58" i="8" l="1"/>
  <c r="N58" i="8" s="1"/>
  <c r="K58" i="8"/>
  <c r="J59" i="8" l="1"/>
  <c r="L59" i="8" s="1"/>
  <c r="N59" i="8" s="1"/>
  <c r="K59" i="8" l="1"/>
  <c r="J60" i="8"/>
  <c r="L60" i="8" s="1"/>
  <c r="N60" i="8" s="1"/>
  <c r="K60" i="8" l="1"/>
  <c r="J61" i="8" l="1"/>
  <c r="L61" i="8" s="1"/>
  <c r="N61" i="8" s="1"/>
  <c r="K61" i="8" l="1"/>
  <c r="J62" i="8" l="1"/>
  <c r="L62" i="8" s="1"/>
  <c r="N62" i="8" s="1"/>
  <c r="K62" i="8" l="1"/>
  <c r="J63" i="8" l="1"/>
  <c r="L63" i="8" s="1"/>
  <c r="N63" i="8" s="1"/>
  <c r="K63" i="8" l="1"/>
  <c r="J64" i="8" l="1"/>
  <c r="L64" i="8" s="1"/>
  <c r="N64" i="8" s="1"/>
  <c r="K64" i="8" l="1"/>
  <c r="J65" i="8" l="1"/>
  <c r="L65" i="8" s="1"/>
  <c r="N65" i="8" s="1"/>
  <c r="K65" i="8" l="1"/>
  <c r="J66" i="8" l="1"/>
  <c r="L66" i="8" s="1"/>
  <c r="N66" i="8" s="1"/>
  <c r="K66" i="8" l="1"/>
  <c r="J67" i="8" l="1"/>
  <c r="K67" i="8" s="1"/>
  <c r="L67" i="8" l="1"/>
  <c r="N67" i="8" s="1"/>
  <c r="J68" i="8" l="1"/>
  <c r="L68" i="8" s="1"/>
  <c r="N68" i="8" s="1"/>
  <c r="K68" i="8" l="1"/>
  <c r="J69" i="8" l="1"/>
  <c r="L69" i="8" s="1"/>
  <c r="N69" i="8" s="1"/>
  <c r="K69" i="8" l="1"/>
  <c r="J70" i="8" l="1"/>
  <c r="L70" i="8" s="1"/>
  <c r="N70" i="8" s="1"/>
  <c r="K70" i="8" l="1"/>
  <c r="J71" i="8" l="1"/>
  <c r="L71" i="8" s="1"/>
  <c r="N71" i="8" s="1"/>
  <c r="K71" i="8" l="1"/>
  <c r="J72" i="8" l="1"/>
  <c r="L72" i="8" s="1"/>
  <c r="N72" i="8" s="1"/>
  <c r="K72" i="8" l="1"/>
  <c r="J73" i="8" l="1"/>
  <c r="L73" i="8" s="1"/>
  <c r="N73" i="8" s="1"/>
  <c r="K73" i="8" l="1"/>
  <c r="J74" i="8" l="1"/>
  <c r="L74" i="8" s="1"/>
  <c r="N74" i="8" s="1"/>
  <c r="K74" i="8" l="1"/>
  <c r="J75" i="8" l="1"/>
  <c r="L75" i="8" s="1"/>
  <c r="N75" i="8" s="1"/>
  <c r="K75" i="8" l="1"/>
  <c r="J76" i="8" l="1"/>
  <c r="L76" i="8" s="1"/>
  <c r="N76" i="8" s="1"/>
  <c r="K76" i="8" l="1"/>
  <c r="J77" i="8" l="1"/>
  <c r="L77" i="8" s="1"/>
  <c r="N77" i="8" s="1"/>
  <c r="K77" i="8" l="1"/>
  <c r="J78" i="8" l="1"/>
  <c r="L78" i="8" s="1"/>
  <c r="N78" i="8" s="1"/>
  <c r="K78" i="8" l="1"/>
  <c r="M5" i="8"/>
  <c r="J79" i="8" l="1"/>
  <c r="L79" i="8" s="1"/>
  <c r="N79" i="8" s="1"/>
  <c r="K79" i="8" l="1"/>
  <c r="J80" i="8" l="1"/>
  <c r="K80" i="8" l="1"/>
  <c r="L80" i="8"/>
  <c r="N80" i="8" s="1"/>
  <c r="J81" i="8" l="1"/>
  <c r="L81" i="8" s="1"/>
  <c r="N81" i="8" s="1"/>
  <c r="K81" i="8" l="1"/>
  <c r="J82" i="8" l="1"/>
  <c r="L82" i="8" s="1"/>
  <c r="N82" i="8" s="1"/>
  <c r="K82" i="8" l="1"/>
  <c r="J83" i="8" l="1"/>
  <c r="L83" i="8" s="1"/>
  <c r="N83" i="8" s="1"/>
  <c r="K83" i="8" l="1"/>
  <c r="J84" i="8" l="1"/>
  <c r="L84" i="8" s="1"/>
  <c r="N84" i="8" s="1"/>
  <c r="K84" i="8" l="1"/>
  <c r="J85" i="8" l="1"/>
  <c r="L85" i="8" s="1"/>
  <c r="N85" i="8" s="1"/>
  <c r="K85" i="8" l="1"/>
  <c r="J86" i="8" l="1"/>
  <c r="L86" i="8" s="1"/>
  <c r="N86" i="8" s="1"/>
  <c r="K86" i="8" l="1"/>
  <c r="J87" i="8" l="1"/>
  <c r="L87" i="8" s="1"/>
  <c r="N87" i="8" s="1"/>
  <c r="K87" i="8" l="1"/>
  <c r="J88" i="8" l="1"/>
  <c r="L88" i="8" s="1"/>
  <c r="N88" i="8" s="1"/>
  <c r="K88" i="8" l="1"/>
  <c r="J89" i="8" l="1"/>
  <c r="L89" i="8" s="1"/>
  <c r="N89" i="8" s="1"/>
  <c r="K89" i="8" l="1"/>
  <c r="J90" i="8" l="1"/>
  <c r="L90" i="8" s="1"/>
  <c r="N90" i="8" s="1"/>
  <c r="K90" i="8" l="1"/>
  <c r="J91" i="8" l="1"/>
  <c r="L91" i="8" s="1"/>
  <c r="N91" i="8" s="1"/>
  <c r="K91" i="8" l="1"/>
  <c r="J92" i="8" l="1"/>
  <c r="L92" i="8" s="1"/>
  <c r="N92" i="8" s="1"/>
  <c r="K92" i="8" l="1"/>
  <c r="J93" i="8" l="1"/>
  <c r="L93" i="8" s="1"/>
  <c r="N93" i="8" s="1"/>
  <c r="K93" i="8" l="1"/>
  <c r="J94" i="8" l="1"/>
  <c r="L94" i="8" s="1"/>
  <c r="N94" i="8" s="1"/>
  <c r="K94" i="8" l="1"/>
  <c r="J95" i="8" l="1"/>
  <c r="L95" i="8" s="1"/>
  <c r="N95" i="8" s="1"/>
  <c r="K95" i="8" l="1"/>
  <c r="J96" i="8" l="1"/>
  <c r="L96" i="8" s="1"/>
  <c r="N96" i="8" s="1"/>
  <c r="K96" i="8" l="1"/>
  <c r="J97" i="8" l="1"/>
  <c r="L97" i="8" l="1"/>
  <c r="N97" i="8" s="1"/>
  <c r="K97" i="8"/>
  <c r="J98" i="8" l="1"/>
  <c r="L98" i="8" s="1"/>
  <c r="N98" i="8" s="1"/>
  <c r="K98" i="8" l="1"/>
  <c r="J99" i="8" l="1"/>
  <c r="L99" i="8" l="1"/>
  <c r="N99" i="8" s="1"/>
  <c r="K99" i="8"/>
  <c r="J100" i="8" l="1"/>
  <c r="L100" i="8" s="1"/>
  <c r="N100" i="8" s="1"/>
  <c r="K100" i="8" l="1"/>
  <c r="J101" i="8" l="1"/>
  <c r="L101" i="8" s="1"/>
  <c r="N101" i="8" s="1"/>
  <c r="K101" i="8" l="1"/>
  <c r="J102" i="8" l="1"/>
  <c r="L102" i="8" s="1"/>
  <c r="N102" i="8" s="1"/>
  <c r="K102" i="8" l="1"/>
  <c r="J103" i="8" l="1"/>
  <c r="L103" i="8" s="1"/>
  <c r="N103" i="8" s="1"/>
  <c r="K103" i="8" l="1"/>
  <c r="J104" i="8" l="1"/>
  <c r="L104" i="8" s="1"/>
  <c r="N104" i="8" s="1"/>
  <c r="K104" i="8" l="1"/>
  <c r="J105" i="8" l="1"/>
  <c r="L105" i="8" s="1"/>
  <c r="N105" i="8" s="1"/>
  <c r="K105" i="8" l="1"/>
  <c r="J106" i="8" l="1"/>
  <c r="L106" i="8" l="1"/>
  <c r="K106" i="8"/>
  <c r="N106" i="8" l="1"/>
  <c r="J107" i="8" s="1"/>
  <c r="L107" i="8" s="1"/>
  <c r="N107" i="8" s="1"/>
  <c r="E28" i="8"/>
  <c r="K107" i="8" l="1"/>
  <c r="J108" i="8"/>
  <c r="L108" i="8" l="1"/>
  <c r="N108" i="8" s="1"/>
  <c r="K108" i="8"/>
  <c r="J109" i="8" l="1"/>
  <c r="L109" i="8" s="1"/>
  <c r="N109" i="8" s="1"/>
  <c r="K109" i="8" l="1"/>
  <c r="J110" i="8"/>
  <c r="L110" i="8" s="1"/>
  <c r="N110" i="8" s="1"/>
  <c r="K110" i="8" l="1"/>
  <c r="J111" i="8" l="1"/>
  <c r="L111" i="8" s="1"/>
  <c r="N111" i="8" s="1"/>
  <c r="K111" i="8" l="1"/>
  <c r="J112" i="8" l="1"/>
  <c r="L112" i="8" s="1"/>
  <c r="N112" i="8" s="1"/>
  <c r="K112" i="8" l="1"/>
  <c r="J113" i="8" l="1"/>
  <c r="L113" i="8" s="1"/>
  <c r="N113" i="8" s="1"/>
  <c r="K113" i="8" l="1"/>
  <c r="J114" i="8" l="1"/>
  <c r="L114" i="8" s="1"/>
  <c r="N114" i="8" s="1"/>
  <c r="K114" i="8" l="1"/>
  <c r="J115" i="8" l="1"/>
  <c r="L115" i="8" s="1"/>
  <c r="N115" i="8" s="1"/>
  <c r="K115" i="8" l="1"/>
  <c r="J116" i="8" l="1"/>
  <c r="L116" i="8" s="1"/>
  <c r="N116" i="8" s="1"/>
  <c r="K116" i="8" l="1"/>
  <c r="J117" i="8" l="1"/>
  <c r="L117" i="8" s="1"/>
  <c r="N117" i="8" s="1"/>
  <c r="K117" i="8" l="1"/>
  <c r="J118" i="8" l="1"/>
  <c r="L118" i="8" l="1"/>
  <c r="N118" i="8" s="1"/>
  <c r="K118" i="8"/>
  <c r="J119" i="8" l="1"/>
  <c r="L119" i="8" s="1"/>
  <c r="N119" i="8" s="1"/>
  <c r="K119" i="8" l="1"/>
  <c r="J120" i="8"/>
  <c r="L120" i="8" s="1"/>
  <c r="N120" i="8" s="1"/>
  <c r="K120" i="8" l="1"/>
  <c r="J121" i="8" l="1"/>
  <c r="L121" i="8" l="1"/>
  <c r="N121" i="8" s="1"/>
  <c r="K121" i="8"/>
  <c r="J122" i="8" l="1"/>
  <c r="L122" i="8" s="1"/>
  <c r="N122" i="8" s="1"/>
  <c r="K122" i="8" l="1"/>
  <c r="J123" i="8"/>
  <c r="L123" i="8" l="1"/>
  <c r="N123" i="8" s="1"/>
  <c r="K123" i="8"/>
  <c r="J124" i="8" l="1"/>
  <c r="L124" i="8" s="1"/>
  <c r="N124" i="8" s="1"/>
  <c r="K124" i="8" l="1"/>
  <c r="J125" i="8"/>
  <c r="L125" i="8" s="1"/>
  <c r="N125" i="8" s="1"/>
  <c r="K125" i="8" l="1"/>
  <c r="J126" i="8" l="1"/>
  <c r="L126" i="8" s="1"/>
  <c r="N126" i="8" s="1"/>
  <c r="K126" i="8" l="1"/>
  <c r="J127" i="8" l="1"/>
  <c r="L127" i="8" s="1"/>
  <c r="N127" i="8" s="1"/>
  <c r="K127" i="8" l="1"/>
  <c r="J128" i="8" l="1"/>
  <c r="L128" i="8" s="1"/>
  <c r="N128" i="8" s="1"/>
  <c r="K128" i="8" l="1"/>
  <c r="J129" i="8" l="1"/>
  <c r="L129" i="8" s="1"/>
  <c r="N129" i="8" s="1"/>
  <c r="K129" i="8" l="1"/>
  <c r="J130" i="8" l="1"/>
  <c r="L130" i="8" s="1"/>
  <c r="N130" i="8" s="1"/>
  <c r="K130" i="8" l="1"/>
  <c r="J131" i="8" l="1"/>
  <c r="L131" i="8" l="1"/>
  <c r="N131" i="8" s="1"/>
  <c r="K131" i="8"/>
  <c r="J132" i="8" l="1"/>
  <c r="L132" i="8" s="1"/>
  <c r="N132" i="8" s="1"/>
  <c r="K132" i="8" l="1"/>
  <c r="J133" i="8"/>
  <c r="L133" i="8" s="1"/>
  <c r="N133" i="8" s="1"/>
  <c r="K133" i="8" l="1"/>
  <c r="J134" i="8" l="1"/>
  <c r="L134" i="8" s="1"/>
  <c r="N134" i="8" s="1"/>
  <c r="J135" i="8" l="1"/>
  <c r="L135" i="8" s="1"/>
  <c r="N135" i="8" s="1"/>
  <c r="K134" i="8"/>
  <c r="J136" i="8" l="1"/>
  <c r="L136" i="8" s="1"/>
  <c r="N136" i="8" s="1"/>
  <c r="K135" i="8"/>
  <c r="K136" i="8" l="1"/>
  <c r="J137" i="8" l="1"/>
  <c r="L137" i="8" s="1"/>
  <c r="N137" i="8" s="1"/>
  <c r="K137" i="8" l="1"/>
  <c r="J138" i="8" l="1"/>
  <c r="L138" i="8" s="1"/>
  <c r="N138" i="8" s="1"/>
  <c r="K138" i="8" l="1"/>
  <c r="J139" i="8" l="1"/>
  <c r="L139" i="8" l="1"/>
  <c r="N139" i="8" s="1"/>
  <c r="K139" i="8"/>
  <c r="J140" i="8" l="1"/>
  <c r="L140" i="8" s="1"/>
  <c r="N140" i="8" s="1"/>
  <c r="K140" i="8" l="1"/>
  <c r="J141" i="8"/>
  <c r="L141" i="8" s="1"/>
  <c r="N141" i="8" s="1"/>
  <c r="K141" i="8" l="1"/>
  <c r="J142" i="8" l="1"/>
  <c r="L142" i="8" s="1"/>
  <c r="N142" i="8" s="1"/>
  <c r="K142" i="8" l="1"/>
  <c r="J143" i="8" l="1"/>
  <c r="L143" i="8" s="1"/>
  <c r="N143" i="8" s="1"/>
  <c r="K143" i="8" l="1"/>
  <c r="J144" i="8" l="1"/>
  <c r="L144" i="8" l="1"/>
  <c r="N144" i="8" s="1"/>
  <c r="K144" i="8"/>
  <c r="J145" i="8" l="1"/>
  <c r="L145" i="8" s="1"/>
  <c r="N145" i="8" s="1"/>
  <c r="K145" i="8" l="1"/>
  <c r="J146" i="8"/>
  <c r="L146" i="8" s="1"/>
  <c r="N146" i="8" s="1"/>
  <c r="K146" i="8" l="1"/>
  <c r="J147" i="8" l="1"/>
  <c r="L147" i="8" s="1"/>
  <c r="N147" i="8" s="1"/>
  <c r="K147" i="8" l="1"/>
  <c r="J148" i="8" l="1"/>
  <c r="L148" i="8" s="1"/>
  <c r="N148" i="8" s="1"/>
  <c r="K148" i="8" l="1"/>
  <c r="J149" i="8" l="1"/>
  <c r="L149" i="8" s="1"/>
  <c r="N149" i="8" s="1"/>
  <c r="K149" i="8" l="1"/>
  <c r="J150" i="8" l="1"/>
  <c r="L150" i="8" s="1"/>
  <c r="N150" i="8" s="1"/>
  <c r="K150" i="8" l="1"/>
  <c r="J151" i="8" l="1"/>
  <c r="L151" i="8" l="1"/>
  <c r="N151" i="8" s="1"/>
  <c r="K151" i="8"/>
  <c r="J152" i="8" l="1"/>
  <c r="L152" i="8" s="1"/>
  <c r="N152" i="8" s="1"/>
  <c r="K152" i="8" l="1"/>
  <c r="J153" i="8"/>
  <c r="L153" i="8" s="1"/>
  <c r="N153" i="8" s="1"/>
  <c r="K153" i="8" l="1"/>
  <c r="J5" i="8"/>
  <c r="K5" i="8" s="1"/>
  <c r="J154" i="8" l="1"/>
  <c r="L154" i="8" s="1"/>
  <c r="N154" i="8" s="1"/>
  <c r="A20" i="8"/>
  <c r="K154" i="8" l="1"/>
  <c r="J155" i="8" l="1"/>
  <c r="L155" i="8" s="1"/>
  <c r="N155" i="8" s="1"/>
  <c r="K155" i="8" l="1"/>
  <c r="J156" i="8" l="1"/>
  <c r="L156" i="8" s="1"/>
  <c r="N156" i="8" s="1"/>
  <c r="K156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E10" authorId="0" shapeId="0" xr:uid="{CD07F1C2-AE19-4283-9053-A31262121EA0}">
      <text>
        <r>
          <rPr>
            <sz val="9"/>
            <color indexed="81"/>
            <rFont val="Segoe UI"/>
            <family val="2"/>
          </rPr>
          <t>Indicar a parte da taxa de administração, em %, que está sendo cobrada antecipadamente.
Exemplo:
20% = Taxa de administração total
 1% = Parte da taxa de administração que está sendo antecipada
19% = Saldo da taxa de administração, a ser rateado nos meses restantes do plano de consórcio</t>
        </r>
      </text>
    </comment>
    <comment ref="E12" authorId="0" shapeId="0" xr:uid="{A441CAB9-1D52-4C9E-8519-4B463E48E44D}">
      <text>
        <r>
          <rPr>
            <sz val="9"/>
            <color indexed="81"/>
            <rFont val="Segoe UI"/>
            <family val="2"/>
          </rPr>
          <t xml:space="preserve">Indicar em quantas vezes a taxa de administração antecipada está sendo parcelada dentro do plano de consórcio.
</t>
        </r>
      </text>
    </comment>
    <comment ref="E16" authorId="0" shapeId="0" xr:uid="{198173AC-6FEF-4FC9-9344-4DD122306554}">
      <text>
        <r>
          <rPr>
            <sz val="9"/>
            <color indexed="81"/>
            <rFont val="Segoe UI"/>
            <family val="2"/>
          </rPr>
          <t xml:space="preserve">Indicar o momento da contemplação, independentemente de ter sido por sorteio ou por lance.
</t>
        </r>
      </text>
    </comment>
    <comment ref="E20" authorId="0" shapeId="0" xr:uid="{40AE4D64-0A90-448D-9A33-95010A5285F8}">
      <text>
        <r>
          <rPr>
            <sz val="9"/>
            <color indexed="81"/>
            <rFont val="Segoe UI"/>
            <family val="2"/>
          </rPr>
          <t>Se mantido vazio ou preenchido com zero ficará entendido que a contemplação ocorreu por sorteio.</t>
        </r>
      </text>
    </comment>
    <comment ref="B24" authorId="0" shapeId="0" xr:uid="{00000000-0006-0000-0100-000004000000}">
      <text>
        <r>
          <rPr>
            <sz val="9"/>
            <color indexed="81"/>
            <rFont val="Tahoma"/>
            <family val="2"/>
          </rPr>
          <t>Utilizado quando a opção contratada for por lance mínimo pré definido.</t>
        </r>
      </text>
    </comment>
  </commentList>
</comments>
</file>

<file path=xl/sharedStrings.xml><?xml version="1.0" encoding="utf-8"?>
<sst xmlns="http://schemas.openxmlformats.org/spreadsheetml/2006/main" count="53" uniqueCount="44">
  <si>
    <t>SALDO AMORTIZAÇÕES</t>
  </si>
  <si>
    <t>SALDO A PAGAR</t>
  </si>
  <si>
    <t>M</t>
  </si>
  <si>
    <t>TX. ANTEC.</t>
  </si>
  <si>
    <t>VLR. TX. ADM. ANTEC.</t>
  </si>
  <si>
    <t>VLR. PAGO ACUM.</t>
  </si>
  <si>
    <t>LANCE</t>
  </si>
  <si>
    <t>VALOR DO CRÉDITO:</t>
  </si>
  <si>
    <t>TAXA DE ADMINISTRAÇÃO ANTECIPADA:</t>
  </si>
  <si>
    <t>VLR. PARCELAS DA TX. ADM. ANTECIPADA:</t>
  </si>
  <si>
    <t>TAXA DE ADMINISTRAÇÃO RESTANTE:</t>
  </si>
  <si>
    <t>TAXA DO FUNDO DE RESERVA:</t>
  </si>
  <si>
    <t>LANCE PRÉ CONTRATADO:</t>
  </si>
  <si>
    <t>VALOR PARA PARCELAMENTO:</t>
  </si>
  <si>
    <t>TAXA DE ADM. + FUNDO RESERVA:</t>
  </si>
  <si>
    <t>T U T O R I A L</t>
  </si>
  <si>
    <t>GERAL</t>
  </si>
  <si>
    <t>.</t>
  </si>
  <si>
    <t>CÁLCULO</t>
  </si>
  <si>
    <t xml:space="preserve">            MOMENTO DA CONTEMPLAÇÃO:</t>
  </si>
  <si>
    <t>Na primeira opção (PLANO NORMAL), o consorciado fica livre para ofertar qualquer percentual de lance e abater o valor desse lance do saldo devedor, passando assim a pagar uma prestação menor desde então;</t>
  </si>
  <si>
    <t>PRESTAÇÃO</t>
  </si>
  <si>
    <t>QUADRO FINANCEIRO DA OPERAÇÃO DE CONSÓRCIO</t>
  </si>
  <si>
    <t>PLANO NORMAL</t>
  </si>
  <si>
    <t>PLANO COM LANCE MÍNIMO</t>
  </si>
  <si>
    <t>Há dois tipos de cálculos previstos nesta planilha: 1) PLANO NORMAL e 2) PLANO COM LANCE MÍNIMO;</t>
  </si>
  <si>
    <t>Na segunda opção (PLANO COM LANCE MÍNIMO), o contrato firmado com o consorciado já fixa um lance mínimo, que aqui estamos considerando como sendo de 25%. Nesse modelo, o % de lance previamente definido já é deduzido da carta de crédito desde o princípio, ou seja, o valor da primeira e demais prestações é menor devido ao desconto do lance desde a origem;</t>
  </si>
  <si>
    <t>QUANTIDADE DE PARCELAS:</t>
  </si>
  <si>
    <t>QDE. PARC. DA TAXA DE ADM. ANTECIPADA:</t>
  </si>
  <si>
    <t>SALDO DEVEDOR NO MOMENTO DA CONTEMPLAÇÃO:</t>
  </si>
  <si>
    <t>% DE LANCE:</t>
  </si>
  <si>
    <t>SALDO DEVEDOR APÓS LANCE:</t>
  </si>
  <si>
    <t>VALOR DO COTA:</t>
  </si>
  <si>
    <t>CUSTO TOTAL DA OPERAÇÃO:</t>
  </si>
  <si>
    <t>TAXA DE ADMINISTRAÇÃO, EM %:</t>
  </si>
  <si>
    <t>TAXA DE ADMINISTRAÇÃO ANTECIPADA, EM %:</t>
  </si>
  <si>
    <t>TAXA DO FUNDO DE RESERVA, EM %:</t>
  </si>
  <si>
    <t>Está sendo considerado o percentual de 25% para a modalidade PLANO COM LANCE MÍNIMO; porém, esse percentual pode ser alterado manualmente;</t>
  </si>
  <si>
    <t>Ao informar o momento da contemplação e deixando vazio o campo "% DE LANCE", você estará indicando que foi contemplado por sorteio e não por lance. Por outro lado, ao preenchê-lo com um %, estará indicando que a contemplação foi por lance e não por sorteio;</t>
  </si>
  <si>
    <t>Somente os campos marcados em azul degradê podem ser preenchidos;</t>
  </si>
  <si>
    <t>Caso a opção escolhida seja a do PLANO COM LANCE MÍNIMO e o campo % DE LANCE esteja preenchido com % inferior ao do lance mínimo, será considerado que a contemplação ocorreu por sorteio;</t>
  </si>
  <si>
    <t>A planilha CÁLCULO está protegida para preservar as fórmulas e orientar o usuário quanto aos campos que podem ser preenchidos; entretanto, basta  desproteger a planilha na guia "Proteger" da "Barra de Ferramentas" e você terá acesso às fórmulas, uma vez que não foi inserida senha de proteção.</t>
  </si>
  <si>
    <t>Pousando o mouse sobre alguns campos da aba "CÁLCULO" você obterá informações sobre os mesmos.</t>
  </si>
  <si>
    <t>LANCE PRÉ CONTRATADO (EMBUTIDO):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</si>
</sst>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&quot; meses&quot;"/>
    <numFmt numFmtId="167" formatCode="0&quot;º mês&quot;"/>
    <numFmt numFmtId="168" formatCode="0.000000"/>
    <numFmt numFmtId="169" formatCode="0.000%"/>
    <numFmt numFmtId="170" formatCode="_-* #,##0.0000_-;\-* #,##0.0000_-;_-* &quot;-&quot;??_-;_-@_-"/>
    <numFmt numFmtId="171" formatCode="0.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vertical="center" wrapText="1"/>
    </xf>
    <xf numFmtId="164" fontId="1" fillId="0" borderId="15" xfId="3" applyFont="1" applyBorder="1" applyAlignment="1" applyProtection="1">
      <alignment vertical="center"/>
    </xf>
    <xf numFmtId="0" fontId="1" fillId="4" borderId="2" xfId="1" applyNumberFormat="1" applyFont="1" applyFill="1" applyBorder="1" applyAlignment="1" applyProtection="1">
      <alignment horizontal="center" vertical="center" wrapText="1"/>
    </xf>
    <xf numFmtId="165" fontId="2" fillId="4" borderId="2" xfId="1" applyFont="1" applyFill="1" applyBorder="1" applyAlignment="1" applyProtection="1">
      <alignment horizontal="center" vertical="center" wrapText="1"/>
    </xf>
    <xf numFmtId="165" fontId="4" fillId="4" borderId="2" xfId="1" applyFont="1" applyFill="1" applyBorder="1" applyAlignment="1" applyProtection="1">
      <alignment horizontal="center" vertical="center" wrapText="1"/>
    </xf>
    <xf numFmtId="165" fontId="2" fillId="4" borderId="2" xfId="1" applyFont="1" applyFill="1" applyBorder="1" applyAlignment="1" applyProtection="1">
      <alignment vertical="center" wrapText="1"/>
    </xf>
    <xf numFmtId="171" fontId="1" fillId="0" borderId="10" xfId="2" applyNumberFormat="1" applyFont="1" applyBorder="1" applyAlignment="1" applyProtection="1">
      <alignment horizontal="center" vertical="center"/>
    </xf>
    <xf numFmtId="164" fontId="1" fillId="0" borderId="11" xfId="3" applyFont="1" applyFill="1" applyBorder="1" applyAlignment="1" applyProtection="1">
      <alignment vertical="center"/>
    </xf>
    <xf numFmtId="171" fontId="1" fillId="0" borderId="10" xfId="2" applyNumberFormat="1" applyFont="1" applyFill="1" applyBorder="1" applyAlignment="1" applyProtection="1">
      <alignment horizontal="center" vertical="center"/>
    </xf>
    <xf numFmtId="164" fontId="1" fillId="0" borderId="11" xfId="3" applyFont="1" applyBorder="1" applyAlignment="1" applyProtection="1">
      <alignment vertical="center"/>
    </xf>
    <xf numFmtId="165" fontId="1" fillId="0" borderId="0" xfId="1" applyFont="1" applyAlignment="1" applyProtection="1">
      <alignment vertical="center"/>
    </xf>
    <xf numFmtId="171" fontId="1" fillId="0" borderId="0" xfId="2" applyNumberFormat="1" applyFont="1" applyAlignment="1" applyProtection="1">
      <alignment horizontal="center" vertical="center"/>
    </xf>
    <xf numFmtId="165" fontId="1" fillId="0" borderId="11" xfId="1" applyFont="1" applyBorder="1" applyAlignment="1" applyProtection="1">
      <alignment vertical="center"/>
    </xf>
    <xf numFmtId="9" fontId="1" fillId="0" borderId="10" xfId="2" applyFont="1" applyBorder="1" applyAlignment="1" applyProtection="1">
      <alignment horizontal="center" vertical="center"/>
    </xf>
    <xf numFmtId="165" fontId="2" fillId="0" borderId="11" xfId="1" applyFont="1" applyBorder="1" applyAlignment="1" applyProtection="1">
      <alignment vertical="center"/>
    </xf>
    <xf numFmtId="165" fontId="2" fillId="0" borderId="0" xfId="1" applyFont="1" applyAlignment="1" applyProtection="1">
      <alignment horizontal="right" vertical="center"/>
    </xf>
    <xf numFmtId="9" fontId="1" fillId="0" borderId="0" xfId="2" applyFont="1" applyAlignment="1" applyProtection="1">
      <alignment horizontal="center" vertical="center"/>
    </xf>
    <xf numFmtId="171" fontId="1" fillId="0" borderId="10" xfId="1" applyNumberFormat="1" applyFont="1" applyBorder="1" applyAlignment="1" applyProtection="1">
      <alignment horizontal="center" vertical="center"/>
    </xf>
    <xf numFmtId="165" fontId="1" fillId="0" borderId="10" xfId="1" applyFont="1" applyBorder="1" applyAlignment="1" applyProtection="1">
      <alignment vertical="center"/>
    </xf>
    <xf numFmtId="165" fontId="2" fillId="0" borderId="17" xfId="1" applyFont="1" applyBorder="1" applyAlignment="1" applyProtection="1">
      <alignment horizontal="right" vertical="center"/>
    </xf>
    <xf numFmtId="9" fontId="1" fillId="0" borderId="18" xfId="2" applyFont="1" applyBorder="1" applyAlignment="1" applyProtection="1">
      <alignment horizontal="center" vertical="center"/>
    </xf>
    <xf numFmtId="165" fontId="2" fillId="0" borderId="16" xfId="1" applyFont="1" applyBorder="1" applyAlignment="1" applyProtection="1">
      <alignment vertical="center"/>
    </xf>
    <xf numFmtId="0" fontId="0" fillId="0" borderId="13" xfId="0" applyBorder="1" applyAlignment="1" applyProtection="1">
      <alignment horizontal="right" vertical="top"/>
    </xf>
    <xf numFmtId="0" fontId="0" fillId="0" borderId="12" xfId="0" applyBorder="1" applyAlignment="1" applyProtection="1">
      <alignment horizontal="right" vertical="top"/>
    </xf>
    <xf numFmtId="0" fontId="1" fillId="0" borderId="2" xfId="1" applyNumberFormat="1" applyFont="1" applyBorder="1" applyAlignment="1" applyProtection="1">
      <alignment horizontal="center" vertical="center" wrapText="1"/>
    </xf>
    <xf numFmtId="9" fontId="5" fillId="0" borderId="2" xfId="2" applyFont="1" applyBorder="1" applyAlignment="1" applyProtection="1">
      <alignment horizontal="center" vertical="center" wrapText="1"/>
    </xf>
    <xf numFmtId="165" fontId="1" fillId="0" borderId="2" xfId="1" applyFont="1" applyBorder="1" applyAlignment="1" applyProtection="1">
      <alignment horizontal="center" vertical="center" wrapText="1"/>
    </xf>
    <xf numFmtId="165" fontId="3" fillId="0" borderId="2" xfId="1" applyFont="1" applyBorder="1" applyAlignment="1" applyProtection="1">
      <alignment vertical="center" wrapText="1"/>
    </xf>
    <xf numFmtId="165" fontId="1" fillId="0" borderId="2" xfId="1" applyFont="1" applyBorder="1" applyAlignment="1" applyProtection="1">
      <alignment vertical="center" wrapText="1"/>
    </xf>
    <xf numFmtId="0" fontId="1" fillId="0" borderId="6" xfId="1" applyNumberFormat="1" applyFont="1" applyBorder="1" applyAlignment="1" applyProtection="1">
      <alignment horizontal="center" vertical="center" wrapText="1"/>
    </xf>
    <xf numFmtId="165" fontId="1" fillId="0" borderId="6" xfId="1" applyFont="1" applyBorder="1" applyAlignment="1" applyProtection="1">
      <alignment horizontal="center" vertical="center" wrapText="1"/>
    </xf>
    <xf numFmtId="165" fontId="3" fillId="0" borderId="6" xfId="1" applyFont="1" applyBorder="1" applyAlignment="1" applyProtection="1">
      <alignment vertical="center" wrapText="1"/>
    </xf>
    <xf numFmtId="165" fontId="1" fillId="0" borderId="6" xfId="1" applyFont="1" applyBorder="1" applyAlignment="1" applyProtection="1">
      <alignment vertical="center" wrapText="1"/>
    </xf>
    <xf numFmtId="0" fontId="1" fillId="0" borderId="0" xfId="1" applyNumberFormat="1" applyFont="1" applyBorder="1" applyAlignment="1" applyProtection="1">
      <alignment horizontal="center" vertical="center" wrapText="1"/>
    </xf>
    <xf numFmtId="165" fontId="1" fillId="0" borderId="0" xfId="1" applyFont="1" applyBorder="1" applyAlignment="1" applyProtection="1">
      <alignment horizontal="center" vertical="center" wrapText="1"/>
    </xf>
    <xf numFmtId="165" fontId="3" fillId="0" borderId="0" xfId="1" applyFont="1" applyBorder="1" applyAlignment="1" applyProtection="1">
      <alignment vertical="center" wrapText="1"/>
    </xf>
    <xf numFmtId="165" fontId="1" fillId="0" borderId="0" xfId="1" applyFont="1" applyBorder="1" applyAlignment="1" applyProtection="1">
      <alignment vertical="center" wrapText="1"/>
    </xf>
    <xf numFmtId="165" fontId="0" fillId="0" borderId="0" xfId="1" applyFont="1" applyAlignment="1" applyProtection="1">
      <alignment horizontal="right" vertical="center"/>
    </xf>
    <xf numFmtId="165" fontId="1" fillId="0" borderId="0" xfId="1" applyFont="1" applyAlignment="1" applyProtection="1">
      <alignment horizontal="right" vertical="center"/>
    </xf>
    <xf numFmtId="0" fontId="0" fillId="0" borderId="12" xfId="0" applyBorder="1" applyAlignment="1" applyProtection="1">
      <alignment horizontal="left" vertical="top" wrapText="1"/>
    </xf>
    <xf numFmtId="0" fontId="0" fillId="0" borderId="13" xfId="0" applyBorder="1" applyAlignment="1" applyProtection="1">
      <alignment horizontal="left" vertical="top" wrapText="1"/>
    </xf>
    <xf numFmtId="0" fontId="7" fillId="0" borderId="0" xfId="1" applyNumberFormat="1" applyFont="1" applyAlignment="1" applyProtection="1">
      <alignment horizontal="center" vertical="center"/>
    </xf>
    <xf numFmtId="9" fontId="1" fillId="0" borderId="0" xfId="2" applyFont="1" applyAlignment="1" applyProtection="1">
      <alignment vertical="center"/>
    </xf>
    <xf numFmtId="0" fontId="1" fillId="0" borderId="0" xfId="1" applyNumberFormat="1" applyFont="1" applyAlignment="1" applyProtection="1">
      <alignment horizontal="center" vertical="center"/>
    </xf>
    <xf numFmtId="0" fontId="1" fillId="0" borderId="0" xfId="1" applyNumberFormat="1" applyFont="1" applyAlignment="1" applyProtection="1">
      <alignment horizontal="center" vertical="center" wrapText="1"/>
    </xf>
    <xf numFmtId="165" fontId="1" fillId="0" borderId="0" xfId="1" applyFont="1" applyAlignment="1" applyProtection="1">
      <alignment vertical="center" wrapText="1"/>
    </xf>
    <xf numFmtId="165" fontId="3" fillId="0" borderId="0" xfId="1" applyFont="1" applyAlignment="1" applyProtection="1">
      <alignment vertical="center" wrapText="1"/>
    </xf>
    <xf numFmtId="165" fontId="0" fillId="0" borderId="0" xfId="1" applyFont="1" applyAlignment="1" applyProtection="1">
      <alignment vertical="center"/>
    </xf>
    <xf numFmtId="0" fontId="2" fillId="0" borderId="0" xfId="1" applyNumberFormat="1" applyFont="1" applyAlignment="1" applyProtection="1">
      <alignment horizontal="center" vertical="center"/>
    </xf>
    <xf numFmtId="0" fontId="0" fillId="0" borderId="0" xfId="1" applyNumberFormat="1" applyFont="1" applyAlignment="1" applyProtection="1">
      <alignment horizontal="center" vertical="center"/>
    </xf>
    <xf numFmtId="168" fontId="1" fillId="0" borderId="0" xfId="1" applyNumberFormat="1" applyFont="1" applyAlignment="1" applyProtection="1">
      <alignment horizontal="center" vertical="center"/>
    </xf>
    <xf numFmtId="10" fontId="1" fillId="0" borderId="0" xfId="2" applyNumberFormat="1" applyFont="1" applyAlignment="1" applyProtection="1">
      <alignment vertical="center"/>
    </xf>
    <xf numFmtId="165" fontId="7" fillId="0" borderId="0" xfId="1" applyFont="1" applyAlignment="1" applyProtection="1">
      <alignment vertical="center"/>
    </xf>
    <xf numFmtId="168" fontId="1" fillId="0" borderId="0" xfId="1" applyNumberFormat="1" applyFont="1" applyAlignment="1" applyProtection="1">
      <alignment vertical="center"/>
    </xf>
    <xf numFmtId="165" fontId="7" fillId="0" borderId="0" xfId="1" applyFont="1" applyAlignment="1" applyProtection="1">
      <alignment vertical="center" wrapText="1"/>
    </xf>
    <xf numFmtId="170" fontId="1" fillId="0" borderId="0" xfId="1" applyNumberFormat="1" applyFont="1" applyAlignment="1" applyProtection="1">
      <alignment vertical="center"/>
    </xf>
    <xf numFmtId="0" fontId="1" fillId="0" borderId="0" xfId="1" applyNumberFormat="1" applyFont="1" applyBorder="1" applyAlignment="1" applyProtection="1">
      <alignment horizontal="center" vertical="center"/>
    </xf>
    <xf numFmtId="169" fontId="1" fillId="0" borderId="0" xfId="2" applyNumberFormat="1" applyFont="1" applyAlignment="1" applyProtection="1">
      <alignment vertical="center"/>
    </xf>
    <xf numFmtId="171" fontId="1" fillId="0" borderId="0" xfId="2" applyNumberFormat="1" applyFont="1" applyAlignment="1" applyProtection="1">
      <alignment vertical="center"/>
    </xf>
    <xf numFmtId="171" fontId="1" fillId="0" borderId="0" xfId="2" applyNumberFormat="1" applyFont="1" applyAlignment="1" applyProtection="1">
      <alignment horizontal="right" vertical="center"/>
    </xf>
    <xf numFmtId="9" fontId="2" fillId="3" borderId="14" xfId="2" applyFont="1" applyFill="1" applyBorder="1" applyAlignment="1" applyProtection="1">
      <alignment horizontal="center" vertical="center"/>
      <protection locked="0"/>
    </xf>
    <xf numFmtId="0" fontId="8" fillId="0" borderId="0" xfId="1" applyNumberFormat="1" applyFont="1" applyAlignment="1" applyProtection="1">
      <alignment horizontal="left" vertical="center"/>
    </xf>
    <xf numFmtId="0" fontId="9" fillId="0" borderId="0" xfId="1" applyNumberFormat="1" applyFont="1" applyBorder="1" applyAlignment="1" applyProtection="1">
      <alignment horizontal="left" vertical="center"/>
    </xf>
    <xf numFmtId="165" fontId="0" fillId="0" borderId="0" xfId="1" applyFont="1" applyAlignment="1" applyProtection="1">
      <alignment horizontal="left" vertical="center"/>
    </xf>
    <xf numFmtId="165" fontId="1" fillId="0" borderId="0" xfId="1" applyFont="1" applyAlignment="1" applyProtection="1">
      <alignment horizontal="left" vertical="center"/>
    </xf>
    <xf numFmtId="0" fontId="2" fillId="5" borderId="2" xfId="1" applyNumberFormat="1" applyFont="1" applyFill="1" applyBorder="1" applyAlignment="1" applyProtection="1">
      <alignment horizontal="center" vertical="center" wrapText="1"/>
    </xf>
    <xf numFmtId="0" fontId="6" fillId="5" borderId="2" xfId="1" applyNumberFormat="1" applyFont="1" applyFill="1" applyBorder="1" applyAlignment="1" applyProtection="1">
      <alignment horizontal="center" vertical="center" textRotation="90" wrapText="1"/>
    </xf>
    <xf numFmtId="165" fontId="2" fillId="5" borderId="2" xfId="1" applyFont="1" applyFill="1" applyBorder="1" applyAlignment="1" applyProtection="1">
      <alignment horizontal="center" vertical="center" wrapText="1"/>
    </xf>
    <xf numFmtId="0" fontId="2" fillId="0" borderId="2" xfId="1" applyNumberFormat="1" applyFont="1" applyBorder="1" applyAlignment="1" applyProtection="1">
      <alignment horizontal="center" vertical="center"/>
    </xf>
    <xf numFmtId="165" fontId="4" fillId="5" borderId="2" xfId="1" applyFont="1" applyFill="1" applyBorder="1" applyAlignment="1" applyProtection="1">
      <alignment horizontal="center" vertical="center" wrapText="1"/>
    </xf>
    <xf numFmtId="165" fontId="1" fillId="0" borderId="2" xfId="1" applyFont="1" applyBorder="1" applyAlignment="1" applyProtection="1">
      <alignment horizontal="right" vertical="center"/>
    </xf>
    <xf numFmtId="10" fontId="2" fillId="2" borderId="3" xfId="2" applyNumberFormat="1" applyFont="1" applyFill="1" applyBorder="1" applyAlignment="1" applyProtection="1">
      <alignment horizontal="center" vertical="center"/>
      <protection locked="0"/>
    </xf>
    <xf numFmtId="10" fontId="2" fillId="2" borderId="4" xfId="2" applyNumberFormat="1" applyFont="1" applyFill="1" applyBorder="1" applyAlignment="1" applyProtection="1">
      <alignment horizontal="center" vertical="center"/>
      <protection locked="0"/>
    </xf>
    <xf numFmtId="0" fontId="1" fillId="0" borderId="0" xfId="1" applyNumberFormat="1" applyFont="1" applyBorder="1" applyAlignment="1" applyProtection="1">
      <alignment horizontal="center" vertical="center"/>
      <protection locked="0"/>
    </xf>
    <xf numFmtId="0" fontId="1" fillId="0" borderId="1" xfId="1" applyNumberFormat="1" applyFont="1" applyBorder="1" applyAlignment="1" applyProtection="1">
      <alignment horizontal="center" vertical="center"/>
      <protection locked="0"/>
    </xf>
    <xf numFmtId="0" fontId="2" fillId="2" borderId="3" xfId="2" applyNumberFormat="1" applyFont="1" applyFill="1" applyBorder="1" applyAlignment="1" applyProtection="1">
      <alignment horizontal="center" vertical="center"/>
      <protection locked="0"/>
    </xf>
    <xf numFmtId="0" fontId="2" fillId="2" borderId="4" xfId="2" applyNumberFormat="1" applyFont="1" applyFill="1" applyBorder="1" applyAlignment="1" applyProtection="1">
      <alignment horizontal="center" vertical="center"/>
      <protection locked="0"/>
    </xf>
    <xf numFmtId="166" fontId="2" fillId="2" borderId="2" xfId="2" applyNumberFormat="1" applyFont="1" applyFill="1" applyBorder="1" applyAlignment="1" applyProtection="1">
      <alignment horizontal="center" vertical="center"/>
      <protection locked="0"/>
    </xf>
    <xf numFmtId="164" fontId="2" fillId="2" borderId="3" xfId="3" applyFont="1" applyFill="1" applyBorder="1" applyAlignment="1" applyProtection="1">
      <alignment horizontal="center" vertical="center"/>
      <protection locked="0"/>
    </xf>
    <xf numFmtId="164" fontId="2" fillId="2" borderId="4" xfId="3" applyFont="1" applyFill="1" applyBorder="1" applyAlignment="1" applyProtection="1">
      <alignment horizontal="center" vertical="center"/>
      <protection locked="0"/>
    </xf>
    <xf numFmtId="167" fontId="2" fillId="2" borderId="4" xfId="2" applyNumberFormat="1" applyFont="1" applyFill="1" applyBorder="1" applyAlignment="1" applyProtection="1">
      <alignment horizontal="center" vertical="center"/>
      <protection locked="0"/>
    </xf>
    <xf numFmtId="167" fontId="2" fillId="2" borderId="2" xfId="2" applyNumberFormat="1" applyFont="1" applyFill="1" applyBorder="1" applyAlignment="1" applyProtection="1">
      <alignment horizontal="center" vertical="center"/>
      <protection locked="0"/>
    </xf>
    <xf numFmtId="164" fontId="2" fillId="0" borderId="3" xfId="3" applyFont="1" applyBorder="1" applyAlignment="1" applyProtection="1">
      <alignment horizontal="center" vertical="center"/>
    </xf>
    <xf numFmtId="164" fontId="2" fillId="0" borderId="4" xfId="3" applyFont="1" applyBorder="1" applyAlignment="1" applyProtection="1">
      <alignment horizontal="center" vertical="center"/>
    </xf>
    <xf numFmtId="165" fontId="1" fillId="0" borderId="7" xfId="1" applyFont="1" applyBorder="1" applyAlignment="1" applyProtection="1">
      <alignment horizontal="right" vertical="center"/>
    </xf>
    <xf numFmtId="165" fontId="1" fillId="0" borderId="6" xfId="1" applyFont="1" applyBorder="1" applyAlignment="1" applyProtection="1">
      <alignment horizontal="right" vertical="center"/>
    </xf>
    <xf numFmtId="165" fontId="1" fillId="0" borderId="8" xfId="1" applyFont="1" applyBorder="1" applyAlignment="1" applyProtection="1">
      <alignment horizontal="right" vertical="center"/>
    </xf>
    <xf numFmtId="165" fontId="1" fillId="0" borderId="5" xfId="1" applyFont="1" applyBorder="1" applyAlignment="1" applyProtection="1">
      <alignment horizontal="right" vertical="center"/>
    </xf>
    <xf numFmtId="165" fontId="1" fillId="0" borderId="1" xfId="1" applyFont="1" applyBorder="1" applyAlignment="1" applyProtection="1">
      <alignment horizontal="right" vertical="center"/>
    </xf>
    <xf numFmtId="165" fontId="1" fillId="0" borderId="9" xfId="1" applyFont="1" applyBorder="1" applyAlignment="1" applyProtection="1">
      <alignment horizontal="right" vertical="center"/>
    </xf>
    <xf numFmtId="165" fontId="0" fillId="0" borderId="0" xfId="1" applyFont="1" applyAlignment="1" applyProtection="1">
      <alignment horizontal="right" vertical="center"/>
    </xf>
    <xf numFmtId="165" fontId="1" fillId="0" borderId="0" xfId="1" applyFont="1" applyAlignment="1" applyProtection="1">
      <alignment horizontal="right" vertical="center"/>
    </xf>
    <xf numFmtId="164" fontId="1" fillId="0" borderId="3" xfId="3" applyFont="1" applyBorder="1" applyAlignment="1" applyProtection="1">
      <alignment horizontal="center" vertical="center"/>
    </xf>
    <xf numFmtId="164" fontId="1" fillId="0" borderId="4" xfId="3" applyFont="1" applyBorder="1" applyAlignment="1" applyProtection="1">
      <alignment horizontal="center" vertical="center"/>
    </xf>
    <xf numFmtId="10" fontId="2" fillId="2" borderId="2" xfId="2" applyNumberFormat="1" applyFont="1" applyFill="1" applyBorder="1" applyAlignment="1" applyProtection="1">
      <alignment horizontal="center" vertical="center"/>
      <protection locked="0"/>
    </xf>
    <xf numFmtId="165" fontId="0" fillId="0" borderId="2" xfId="1" applyFont="1" applyBorder="1" applyAlignment="1" applyProtection="1">
      <alignment horizontal="right" vertical="center"/>
    </xf>
    <xf numFmtId="10" fontId="5" fillId="0" borderId="6" xfId="2" applyNumberFormat="1" applyFont="1" applyBorder="1" applyAlignment="1" applyProtection="1">
      <alignment horizontal="center" vertical="center" wrapText="1"/>
    </xf>
    <xf numFmtId="171" fontId="2" fillId="4" borderId="2" xfId="2" applyNumberFormat="1" applyFont="1" applyFill="1" applyBorder="1" applyAlignment="1" applyProtection="1">
      <alignment horizontal="center" vertical="center" wrapText="1"/>
    </xf>
  </cellXfs>
  <cellStyles count="4">
    <cellStyle name="Moeda" xfId="3" builtinId="4"/>
    <cellStyle name="Normal" xfId="0" builtinId="0"/>
    <cellStyle name="Porcentagem" xfId="2" builtinId="5"/>
    <cellStyle name="Vírgula" xfId="1" builtinId="3"/>
  </cellStyles>
  <dxfs count="4">
    <dxf>
      <font>
        <color theme="0" tint="-0.14996795556505021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0DC66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2" dropStyle="combo" dx="16" fmlaLink="$B$2" fmlaRange="$O$2:$R$3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4</xdr:col>
          <xdr:colOff>0</xdr:colOff>
          <xdr:row>2</xdr:row>
          <xdr:rowOff>104775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egispc\Documents\SITE%20FINANCEIRO\C&#193;LCULODE%20OPERA&#199;&#195;O%20DE%20EMPR&#201;STIMO\C&#225;lculo%20de%20Opera&#231;&#227;o%20de%20Empr&#233;stimo%20V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torial"/>
      <sheetName val="CÁLCULO"/>
      <sheetName val="Comparativo SAC x Price"/>
      <sheetName val="Feriados"/>
    </sheetNames>
    <sheetDataSet>
      <sheetData sheetId="0"/>
      <sheetData sheetId="1">
        <row r="5">
          <cell r="R5" t="str">
            <v>P</v>
          </cell>
        </row>
        <row r="9">
          <cell r="B9">
            <v>18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Tutorial">
    <pageSetUpPr fitToPage="1"/>
  </sheetPr>
  <dimension ref="B2:C15"/>
  <sheetViews>
    <sheetView showGridLines="0" topLeftCell="A7" workbookViewId="0">
      <selection activeCell="C9" sqref="C9"/>
    </sheetView>
  </sheetViews>
  <sheetFormatPr defaultColWidth="9.140625" defaultRowHeight="22.5" customHeight="1" x14ac:dyDescent="0.25"/>
  <cols>
    <col min="1" max="1" width="3.85546875" style="1" customWidth="1"/>
    <col min="2" max="2" width="1.85546875" style="5" customWidth="1"/>
    <col min="3" max="3" width="134.140625" style="6" bestFit="1" customWidth="1"/>
    <col min="4" max="16384" width="9.140625" style="1"/>
  </cols>
  <sheetData>
    <row r="2" spans="2:3" ht="22.5" customHeight="1" x14ac:dyDescent="0.25">
      <c r="B2" s="67" t="s">
        <v>15</v>
      </c>
      <c r="C2" s="67"/>
    </row>
    <row r="4" spans="2:3" ht="22.5" customHeight="1" x14ac:dyDescent="0.25">
      <c r="B4" s="68" t="s">
        <v>16</v>
      </c>
      <c r="C4" s="68"/>
    </row>
    <row r="5" spans="2:3" ht="22.5" customHeight="1" x14ac:dyDescent="0.25">
      <c r="B5" s="2" t="s">
        <v>17</v>
      </c>
      <c r="C5" s="3" t="s">
        <v>42</v>
      </c>
    </row>
    <row r="7" spans="2:3" ht="22.5" customHeight="1" x14ac:dyDescent="0.25">
      <c r="B7" s="68" t="s">
        <v>18</v>
      </c>
      <c r="C7" s="68"/>
    </row>
    <row r="8" spans="2:3" ht="22.5" customHeight="1" x14ac:dyDescent="0.25">
      <c r="B8" s="2" t="s">
        <v>17</v>
      </c>
      <c r="C8" s="3" t="s">
        <v>39</v>
      </c>
    </row>
    <row r="9" spans="2:3" ht="22.5" customHeight="1" x14ac:dyDescent="0.25">
      <c r="B9" s="2" t="s">
        <v>17</v>
      </c>
      <c r="C9" s="3" t="s">
        <v>25</v>
      </c>
    </row>
    <row r="10" spans="2:3" ht="30" x14ac:dyDescent="0.25">
      <c r="B10" s="28" t="s">
        <v>17</v>
      </c>
      <c r="C10" s="4" t="s">
        <v>20</v>
      </c>
    </row>
    <row r="11" spans="2:3" ht="48" customHeight="1" x14ac:dyDescent="0.25">
      <c r="B11" s="28" t="s">
        <v>17</v>
      </c>
      <c r="C11" s="46" t="s">
        <v>26</v>
      </c>
    </row>
    <row r="12" spans="2:3" ht="30" x14ac:dyDescent="0.25">
      <c r="B12" s="29" t="s">
        <v>17</v>
      </c>
      <c r="C12" s="3" t="s">
        <v>38</v>
      </c>
    </row>
    <row r="13" spans="2:3" ht="22.5" customHeight="1" x14ac:dyDescent="0.25">
      <c r="B13" s="2" t="s">
        <v>17</v>
      </c>
      <c r="C13" s="3" t="s">
        <v>37</v>
      </c>
    </row>
    <row r="14" spans="2:3" ht="31.5" customHeight="1" x14ac:dyDescent="0.25">
      <c r="B14" s="29" t="s">
        <v>17</v>
      </c>
      <c r="C14" s="45" t="s">
        <v>40</v>
      </c>
    </row>
    <row r="15" spans="2:3" ht="34.5" customHeight="1" x14ac:dyDescent="0.25">
      <c r="B15" s="29" t="s">
        <v>17</v>
      </c>
      <c r="C15" s="45" t="s">
        <v>41</v>
      </c>
    </row>
  </sheetData>
  <mergeCells count="3">
    <mergeCell ref="B2:C2"/>
    <mergeCell ref="B4:C4"/>
    <mergeCell ref="B7:C7"/>
  </mergeCells>
  <pageMargins left="0.51181102362204722" right="0.51181102362204722" top="0.78740157480314965" bottom="0.78740157480314965" header="0.31496062992125984" footer="0.31496062992125984"/>
  <pageSetup paperSize="9" scale="99" orientation="landscape" r:id="rId1"/>
  <headerFooter>
    <oddHeader>&amp;C&amp;"-,Negrito"&amp;14CÁLCULO DE OPERAÇÕES DE CONSÓRCIO</oddHeader>
    <oddFooter>&amp;L&amp;8&amp;Z&amp;F&amp;R&amp;D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Calculo">
    <tabColor theme="4" tint="-0.499984740745262"/>
    <outlinePr summaryRight="0"/>
    <pageSetUpPr fitToPage="1"/>
  </sheetPr>
  <dimension ref="A1:S227"/>
  <sheetViews>
    <sheetView showGridLines="0" tabSelected="1" zoomScaleNormal="100" workbookViewId="0">
      <pane ySplit="5" topLeftCell="A6" activePane="bottomLeft" state="frozen"/>
      <selection pane="bottomLeft" activeCell="E14" sqref="E14:E15"/>
    </sheetView>
  </sheetViews>
  <sheetFormatPr defaultColWidth="9.140625" defaultRowHeight="15" x14ac:dyDescent="0.25"/>
  <cols>
    <col min="1" max="1" width="1.85546875" style="58" customWidth="1"/>
    <col min="2" max="2" width="3.42578125" style="16" customWidth="1"/>
    <col min="3" max="3" width="38" style="16" customWidth="1"/>
    <col min="4" max="4" width="8.7109375" style="48" customWidth="1"/>
    <col min="5" max="5" width="18.28515625" style="16" customWidth="1"/>
    <col min="6" max="6" width="3.7109375" style="49" customWidth="1"/>
    <col min="7" max="7" width="4.140625" style="50" customWidth="1"/>
    <col min="8" max="8" width="5.85546875" style="50" customWidth="1"/>
    <col min="9" max="10" width="12.7109375" style="51" customWidth="1"/>
    <col min="11" max="11" width="13.85546875" style="52" customWidth="1"/>
    <col min="12" max="12" width="15.85546875" style="51" customWidth="1"/>
    <col min="13" max="13" width="12.7109375" style="51" customWidth="1"/>
    <col min="14" max="14" width="15" style="51" customWidth="1"/>
    <col min="15" max="15" width="9.140625" style="16" hidden="1" customWidth="1"/>
    <col min="16" max="16" width="14.42578125" style="16" hidden="1" customWidth="1"/>
    <col min="17" max="19" width="9.140625" style="16" hidden="1" customWidth="1"/>
    <col min="20" max="16384" width="9.140625" style="16"/>
  </cols>
  <sheetData>
    <row r="1" spans="1:19" ht="3.75" customHeight="1" x14ac:dyDescent="0.25">
      <c r="A1" s="47" t="b">
        <v>0</v>
      </c>
    </row>
    <row r="2" spans="1:19" ht="16.5" customHeight="1" x14ac:dyDescent="0.25">
      <c r="A2" s="47">
        <v>1</v>
      </c>
      <c r="B2" s="79">
        <v>2</v>
      </c>
      <c r="C2" s="79"/>
      <c r="D2" s="79"/>
      <c r="E2" s="79"/>
      <c r="G2" s="74" t="s">
        <v>22</v>
      </c>
      <c r="H2" s="74"/>
      <c r="I2" s="74"/>
      <c r="J2" s="74"/>
      <c r="K2" s="74"/>
      <c r="L2" s="74"/>
      <c r="M2" s="74"/>
      <c r="N2" s="74"/>
      <c r="O2" s="69" t="s">
        <v>23</v>
      </c>
      <c r="P2" s="70"/>
      <c r="Q2" s="70"/>
      <c r="R2" s="70"/>
      <c r="S2" s="49">
        <v>1</v>
      </c>
    </row>
    <row r="3" spans="1:19" ht="16.5" customHeight="1" x14ac:dyDescent="0.25">
      <c r="A3" s="47"/>
      <c r="B3" s="80"/>
      <c r="C3" s="80"/>
      <c r="D3" s="80"/>
      <c r="E3" s="80"/>
      <c r="G3" s="71" t="s">
        <v>2</v>
      </c>
      <c r="H3" s="72" t="s">
        <v>3</v>
      </c>
      <c r="I3" s="73" t="s">
        <v>4</v>
      </c>
      <c r="J3" s="73" t="s">
        <v>21</v>
      </c>
      <c r="K3" s="75" t="s">
        <v>5</v>
      </c>
      <c r="L3" s="73" t="s">
        <v>0</v>
      </c>
      <c r="M3" s="73" t="s">
        <v>6</v>
      </c>
      <c r="N3" s="73" t="s">
        <v>1</v>
      </c>
      <c r="O3" s="53" t="s">
        <v>24</v>
      </c>
      <c r="S3" s="49">
        <v>2</v>
      </c>
    </row>
    <row r="4" spans="1:19" ht="16.5" customHeight="1" x14ac:dyDescent="0.25">
      <c r="A4" s="47"/>
      <c r="B4" s="76" t="s">
        <v>32</v>
      </c>
      <c r="C4" s="76"/>
      <c r="D4" s="76"/>
      <c r="E4" s="84">
        <v>300000</v>
      </c>
      <c r="F4" s="54"/>
      <c r="G4" s="71"/>
      <c r="H4" s="72"/>
      <c r="I4" s="73"/>
      <c r="J4" s="73"/>
      <c r="K4" s="75"/>
      <c r="L4" s="73"/>
      <c r="M4" s="73"/>
      <c r="N4" s="73"/>
    </row>
    <row r="5" spans="1:19" x14ac:dyDescent="0.25">
      <c r="A5" s="47"/>
      <c r="B5" s="76"/>
      <c r="C5" s="76"/>
      <c r="D5" s="76"/>
      <c r="E5" s="85"/>
      <c r="F5" s="54"/>
      <c r="G5" s="8"/>
      <c r="H5" s="103">
        <f>SUM(H6:H153)</f>
        <v>0.01</v>
      </c>
      <c r="I5" s="9">
        <f>SUM(I6:I153)</f>
        <v>3000.0000000000005</v>
      </c>
      <c r="J5" s="9">
        <f>SUM(J6:J153)</f>
        <v>285180</v>
      </c>
      <c r="K5" s="10">
        <f>SUM(I5:J5)</f>
        <v>288180</v>
      </c>
      <c r="L5" s="9"/>
      <c r="M5" s="11">
        <f>SUM(M6:M153)</f>
        <v>0</v>
      </c>
      <c r="N5" s="11">
        <f>E40</f>
        <v>291000</v>
      </c>
      <c r="O5" s="55"/>
      <c r="P5" s="49"/>
      <c r="Q5" s="56"/>
      <c r="R5" s="57"/>
    </row>
    <row r="6" spans="1:19" x14ac:dyDescent="0.25">
      <c r="B6" s="76" t="s">
        <v>27</v>
      </c>
      <c r="C6" s="76"/>
      <c r="D6" s="76"/>
      <c r="E6" s="83">
        <v>150</v>
      </c>
      <c r="F6" s="54"/>
      <c r="G6" s="30">
        <v>0</v>
      </c>
      <c r="H6" s="31"/>
      <c r="I6" s="32"/>
      <c r="J6" s="32"/>
      <c r="K6" s="33">
        <v>0</v>
      </c>
      <c r="L6" s="34">
        <f>IF(G6="","",N5-J6)</f>
        <v>291000</v>
      </c>
      <c r="M6" s="34">
        <v>0</v>
      </c>
      <c r="N6" s="34">
        <f>IF(G6="","",L6-M6)</f>
        <v>291000</v>
      </c>
      <c r="O6" s="55"/>
      <c r="P6" s="49"/>
      <c r="Q6" s="59"/>
      <c r="R6" s="57"/>
    </row>
    <row r="7" spans="1:19" x14ac:dyDescent="0.25">
      <c r="B7" s="76"/>
      <c r="C7" s="76"/>
      <c r="D7" s="76"/>
      <c r="E7" s="83"/>
      <c r="G7" s="35">
        <f t="shared" ref="G7:G70" si="0">IFERROR(IF(G6+1&gt;$E$6,"",G6+1),"")</f>
        <v>1</v>
      </c>
      <c r="H7" s="102">
        <f>IF(G7="","",IF(G7&lt;=$E$12,$E$10/$E$12,""))</f>
        <v>3.3333333333333335E-3</v>
      </c>
      <c r="I7" s="36">
        <f>IF(G7="","",IF(H7&lt;&gt;"",H7*$E$4,0))</f>
        <v>1000.0000000000001</v>
      </c>
      <c r="J7" s="36">
        <f t="shared" ref="J7:J70" si="1">IF(G7="","",IF($A$2=1,N6/($E$6-G6),IF(AND($A$2=2,G7&lt;=$E$16),$E$40/rng_QTDEParc,N6/($E$6-G6))))</f>
        <v>1940</v>
      </c>
      <c r="K7" s="37">
        <f t="shared" ref="K7:K70" si="2">IF(G7="","",I7+J7+K6)</f>
        <v>2940</v>
      </c>
      <c r="L7" s="38">
        <f t="shared" ref="L7:L70" si="3">IF(G7="","",N6-J7)</f>
        <v>289060</v>
      </c>
      <c r="M7" s="38">
        <f>IF(G7="","",IF(AND($B$2=2,G7=$E$16,$E$20&gt;=$E$24),($E$4*$E$20)-($E$4*$E$24),IF(AND(A$16=TRUE,G7=$E$16),$E$22,0)))</f>
        <v>0</v>
      </c>
      <c r="N7" s="38">
        <f>IF(G7="","",L7-M7)</f>
        <v>289060</v>
      </c>
      <c r="O7" s="55"/>
      <c r="P7" s="49"/>
      <c r="Q7" s="59"/>
      <c r="R7" s="57"/>
    </row>
    <row r="8" spans="1:19" x14ac:dyDescent="0.25">
      <c r="B8" s="76" t="s">
        <v>34</v>
      </c>
      <c r="C8" s="76"/>
      <c r="D8" s="76"/>
      <c r="E8" s="77">
        <v>0.2</v>
      </c>
      <c r="G8" s="39">
        <f t="shared" si="0"/>
        <v>2</v>
      </c>
      <c r="H8" s="102">
        <f t="shared" ref="H8:H71" si="4">IF(G8="","",IF(G8&lt;=$E$12,$E$10/$E$12,""))</f>
        <v>3.3333333333333335E-3</v>
      </c>
      <c r="I8" s="36">
        <f t="shared" ref="I8:I71" si="5">IF(G8="","",IF(H8&lt;&gt;"",H8*$E$4,0))</f>
        <v>1000.0000000000001</v>
      </c>
      <c r="J8" s="40">
        <f t="shared" si="1"/>
        <v>1940</v>
      </c>
      <c r="K8" s="41">
        <f t="shared" si="2"/>
        <v>5880</v>
      </c>
      <c r="L8" s="42">
        <f t="shared" si="3"/>
        <v>287120</v>
      </c>
      <c r="M8" s="42">
        <f t="shared" ref="M8:M71" si="6">IF(G8="","",IF(AND($B$2=2,G8=$E$16,$E$20&gt;=$E$24),($E$4*$E$20)-($E$4*$E$24),IF(AND(A$16=TRUE,G8=$E$16),$E$22,0)))</f>
        <v>0</v>
      </c>
      <c r="N8" s="42">
        <f t="shared" ref="N8:N71" si="7">IF(G8="","",L8-M8)</f>
        <v>287120</v>
      </c>
      <c r="O8" s="55"/>
      <c r="P8" s="49"/>
      <c r="Q8" s="59"/>
      <c r="R8" s="57"/>
    </row>
    <row r="9" spans="1:19" x14ac:dyDescent="0.25">
      <c r="B9" s="76"/>
      <c r="C9" s="76"/>
      <c r="D9" s="76"/>
      <c r="E9" s="78"/>
      <c r="G9" s="39">
        <f t="shared" si="0"/>
        <v>3</v>
      </c>
      <c r="H9" s="102">
        <f t="shared" si="4"/>
        <v>3.3333333333333335E-3</v>
      </c>
      <c r="I9" s="36">
        <f t="shared" si="5"/>
        <v>1000.0000000000001</v>
      </c>
      <c r="J9" s="40">
        <f t="shared" si="1"/>
        <v>1940</v>
      </c>
      <c r="K9" s="41">
        <f t="shared" si="2"/>
        <v>8820</v>
      </c>
      <c r="L9" s="42">
        <f t="shared" si="3"/>
        <v>285180</v>
      </c>
      <c r="M9" s="42">
        <f t="shared" si="6"/>
        <v>0</v>
      </c>
      <c r="N9" s="42">
        <f t="shared" si="7"/>
        <v>285180</v>
      </c>
      <c r="O9" s="55"/>
      <c r="P9" s="49"/>
      <c r="Q9" s="59"/>
      <c r="R9" s="57"/>
    </row>
    <row r="10" spans="1:19" x14ac:dyDescent="0.25">
      <c r="B10" s="76" t="s">
        <v>35</v>
      </c>
      <c r="C10" s="76"/>
      <c r="D10" s="76"/>
      <c r="E10" s="77">
        <v>0.01</v>
      </c>
      <c r="G10" s="39">
        <f t="shared" si="0"/>
        <v>4</v>
      </c>
      <c r="H10" s="102" t="str">
        <f t="shared" si="4"/>
        <v/>
      </c>
      <c r="I10" s="36">
        <f t="shared" si="5"/>
        <v>0</v>
      </c>
      <c r="J10" s="40">
        <f t="shared" si="1"/>
        <v>1940</v>
      </c>
      <c r="K10" s="41">
        <f t="shared" si="2"/>
        <v>10760</v>
      </c>
      <c r="L10" s="42">
        <f t="shared" si="3"/>
        <v>283240</v>
      </c>
      <c r="M10" s="42">
        <f t="shared" si="6"/>
        <v>0</v>
      </c>
      <c r="N10" s="42">
        <f t="shared" si="7"/>
        <v>283240</v>
      </c>
      <c r="O10" s="55"/>
      <c r="P10" s="49"/>
      <c r="Q10" s="59"/>
      <c r="R10" s="57"/>
    </row>
    <row r="11" spans="1:19" x14ac:dyDescent="0.25">
      <c r="B11" s="76"/>
      <c r="C11" s="76"/>
      <c r="D11" s="76"/>
      <c r="E11" s="78"/>
      <c r="G11" s="39">
        <f t="shared" si="0"/>
        <v>5</v>
      </c>
      <c r="H11" s="102" t="str">
        <f t="shared" si="4"/>
        <v/>
      </c>
      <c r="I11" s="36">
        <f t="shared" si="5"/>
        <v>0</v>
      </c>
      <c r="J11" s="40">
        <f t="shared" si="1"/>
        <v>1940</v>
      </c>
      <c r="K11" s="41">
        <f t="shared" si="2"/>
        <v>12700</v>
      </c>
      <c r="L11" s="42">
        <f t="shared" si="3"/>
        <v>281300</v>
      </c>
      <c r="M11" s="42">
        <f t="shared" si="6"/>
        <v>0</v>
      </c>
      <c r="N11" s="42">
        <f t="shared" si="7"/>
        <v>281300</v>
      </c>
      <c r="O11" s="55"/>
      <c r="P11" s="49"/>
      <c r="Q11" s="59"/>
      <c r="R11" s="57"/>
    </row>
    <row r="12" spans="1:19" x14ac:dyDescent="0.25">
      <c r="B12" s="76" t="s">
        <v>28</v>
      </c>
      <c r="C12" s="76"/>
      <c r="D12" s="76"/>
      <c r="E12" s="81">
        <v>3</v>
      </c>
      <c r="G12" s="39">
        <f>IFERROR(IF(G11+1&gt;$E$6,"",G11+1),"")</f>
        <v>6</v>
      </c>
      <c r="H12" s="102" t="str">
        <f t="shared" si="4"/>
        <v/>
      </c>
      <c r="I12" s="36">
        <f t="shared" si="5"/>
        <v>0</v>
      </c>
      <c r="J12" s="40">
        <f t="shared" si="1"/>
        <v>1940</v>
      </c>
      <c r="K12" s="41">
        <f>IF(G12="","",I12+J12+K11)</f>
        <v>14640</v>
      </c>
      <c r="L12" s="42">
        <f t="shared" si="3"/>
        <v>279360</v>
      </c>
      <c r="M12" s="42">
        <f t="shared" si="6"/>
        <v>0</v>
      </c>
      <c r="N12" s="42">
        <f t="shared" si="7"/>
        <v>279360</v>
      </c>
      <c r="O12" s="55"/>
      <c r="P12" s="49"/>
      <c r="Q12" s="59"/>
      <c r="R12" s="57"/>
    </row>
    <row r="13" spans="1:19" x14ac:dyDescent="0.25">
      <c r="B13" s="76"/>
      <c r="C13" s="76"/>
      <c r="D13" s="76"/>
      <c r="E13" s="82"/>
      <c r="G13" s="39">
        <f t="shared" si="0"/>
        <v>7</v>
      </c>
      <c r="H13" s="102" t="str">
        <f t="shared" si="4"/>
        <v/>
      </c>
      <c r="I13" s="36">
        <f t="shared" si="5"/>
        <v>0</v>
      </c>
      <c r="J13" s="40">
        <f t="shared" si="1"/>
        <v>1940</v>
      </c>
      <c r="K13" s="41">
        <f t="shared" si="2"/>
        <v>16580</v>
      </c>
      <c r="L13" s="42">
        <f t="shared" si="3"/>
        <v>277420</v>
      </c>
      <c r="M13" s="42">
        <f t="shared" si="6"/>
        <v>0</v>
      </c>
      <c r="N13" s="42">
        <f t="shared" si="7"/>
        <v>277420</v>
      </c>
      <c r="O13" s="55"/>
      <c r="P13" s="49"/>
      <c r="Q13" s="59"/>
      <c r="R13" s="57"/>
    </row>
    <row r="14" spans="1:19" x14ac:dyDescent="0.25">
      <c r="B14" s="76" t="s">
        <v>36</v>
      </c>
      <c r="C14" s="76"/>
      <c r="D14" s="76"/>
      <c r="E14" s="77">
        <v>0.03</v>
      </c>
      <c r="G14" s="39">
        <f t="shared" si="0"/>
        <v>8</v>
      </c>
      <c r="H14" s="102" t="str">
        <f t="shared" si="4"/>
        <v/>
      </c>
      <c r="I14" s="36">
        <f t="shared" si="5"/>
        <v>0</v>
      </c>
      <c r="J14" s="40">
        <f t="shared" si="1"/>
        <v>1940</v>
      </c>
      <c r="K14" s="41">
        <f t="shared" si="2"/>
        <v>18520</v>
      </c>
      <c r="L14" s="42">
        <f t="shared" si="3"/>
        <v>275480</v>
      </c>
      <c r="M14" s="42">
        <f t="shared" si="6"/>
        <v>0</v>
      </c>
      <c r="N14" s="42">
        <f t="shared" si="7"/>
        <v>275480</v>
      </c>
      <c r="O14" s="55"/>
      <c r="P14" s="49"/>
      <c r="Q14" s="59"/>
      <c r="R14" s="57"/>
    </row>
    <row r="15" spans="1:19" x14ac:dyDescent="0.25">
      <c r="B15" s="76"/>
      <c r="C15" s="76"/>
      <c r="D15" s="76"/>
      <c r="E15" s="78"/>
      <c r="G15" s="39">
        <f t="shared" si="0"/>
        <v>9</v>
      </c>
      <c r="H15" s="102" t="str">
        <f t="shared" si="4"/>
        <v/>
      </c>
      <c r="I15" s="36">
        <f t="shared" si="5"/>
        <v>0</v>
      </c>
      <c r="J15" s="40">
        <f t="shared" si="1"/>
        <v>1940</v>
      </c>
      <c r="K15" s="41">
        <f t="shared" si="2"/>
        <v>20460</v>
      </c>
      <c r="L15" s="42">
        <f t="shared" si="3"/>
        <v>273540</v>
      </c>
      <c r="M15" s="42">
        <f t="shared" si="6"/>
        <v>0</v>
      </c>
      <c r="N15" s="42">
        <f t="shared" si="7"/>
        <v>273540</v>
      </c>
    </row>
    <row r="16" spans="1:19" x14ac:dyDescent="0.25">
      <c r="A16" s="58" t="b">
        <v>1</v>
      </c>
      <c r="B16" s="90" t="s">
        <v>19</v>
      </c>
      <c r="C16" s="91"/>
      <c r="D16" s="92"/>
      <c r="E16" s="86">
        <v>10</v>
      </c>
      <c r="G16" s="39">
        <f t="shared" si="0"/>
        <v>10</v>
      </c>
      <c r="H16" s="102" t="str">
        <f t="shared" si="4"/>
        <v/>
      </c>
      <c r="I16" s="36">
        <f t="shared" si="5"/>
        <v>0</v>
      </c>
      <c r="J16" s="40">
        <f t="shared" si="1"/>
        <v>1940</v>
      </c>
      <c r="K16" s="41">
        <f t="shared" si="2"/>
        <v>22400</v>
      </c>
      <c r="L16" s="42">
        <f t="shared" si="3"/>
        <v>271600</v>
      </c>
      <c r="M16" s="42">
        <f t="shared" si="6"/>
        <v>0</v>
      </c>
      <c r="N16" s="42">
        <f t="shared" si="7"/>
        <v>271600</v>
      </c>
    </row>
    <row r="17" spans="1:17" x14ac:dyDescent="0.25">
      <c r="B17" s="93"/>
      <c r="C17" s="94"/>
      <c r="D17" s="95"/>
      <c r="E17" s="87"/>
      <c r="G17" s="39">
        <f t="shared" si="0"/>
        <v>11</v>
      </c>
      <c r="H17" s="102" t="str">
        <f t="shared" si="4"/>
        <v/>
      </c>
      <c r="I17" s="36">
        <f t="shared" si="5"/>
        <v>0</v>
      </c>
      <c r="J17" s="40">
        <f t="shared" si="1"/>
        <v>1940</v>
      </c>
      <c r="K17" s="41">
        <f t="shared" si="2"/>
        <v>24340</v>
      </c>
      <c r="L17" s="42">
        <f t="shared" si="3"/>
        <v>269660</v>
      </c>
      <c r="M17" s="42">
        <f t="shared" si="6"/>
        <v>0</v>
      </c>
      <c r="N17" s="42">
        <f t="shared" si="7"/>
        <v>269660</v>
      </c>
    </row>
    <row r="18" spans="1:17" x14ac:dyDescent="0.25">
      <c r="B18" s="76" t="s">
        <v>29</v>
      </c>
      <c r="C18" s="76"/>
      <c r="D18" s="76"/>
      <c r="E18" s="98">
        <f>IFERROR(VLOOKUP(E16,G6:L153,6,FALSE),0)</f>
        <v>271600</v>
      </c>
      <c r="G18" s="39">
        <f t="shared" si="0"/>
        <v>12</v>
      </c>
      <c r="H18" s="102" t="str">
        <f t="shared" si="4"/>
        <v/>
      </c>
      <c r="I18" s="36">
        <f t="shared" si="5"/>
        <v>0</v>
      </c>
      <c r="J18" s="40">
        <f t="shared" si="1"/>
        <v>1940</v>
      </c>
      <c r="K18" s="41">
        <f t="shared" si="2"/>
        <v>26280</v>
      </c>
      <c r="L18" s="42">
        <f t="shared" si="3"/>
        <v>267720</v>
      </c>
      <c r="M18" s="42">
        <f t="shared" si="6"/>
        <v>0</v>
      </c>
      <c r="N18" s="42">
        <f t="shared" si="7"/>
        <v>267720</v>
      </c>
    </row>
    <row r="19" spans="1:17" x14ac:dyDescent="0.25">
      <c r="B19" s="76"/>
      <c r="C19" s="76"/>
      <c r="D19" s="76"/>
      <c r="E19" s="99"/>
      <c r="G19" s="39">
        <f t="shared" si="0"/>
        <v>13</v>
      </c>
      <c r="H19" s="102" t="str">
        <f t="shared" si="4"/>
        <v/>
      </c>
      <c r="I19" s="36">
        <f t="shared" si="5"/>
        <v>0</v>
      </c>
      <c r="J19" s="40">
        <f t="shared" si="1"/>
        <v>1940</v>
      </c>
      <c r="K19" s="41">
        <f t="shared" si="2"/>
        <v>28220</v>
      </c>
      <c r="L19" s="42">
        <f t="shared" si="3"/>
        <v>265780</v>
      </c>
      <c r="M19" s="42">
        <f t="shared" si="6"/>
        <v>0</v>
      </c>
      <c r="N19" s="42">
        <f t="shared" si="7"/>
        <v>265780</v>
      </c>
    </row>
    <row r="20" spans="1:17" x14ac:dyDescent="0.25">
      <c r="A20" s="60">
        <f>SMALL(N6:N153,1)</f>
        <v>5820</v>
      </c>
      <c r="B20" s="76" t="s">
        <v>30</v>
      </c>
      <c r="C20" s="76"/>
      <c r="D20" s="76"/>
      <c r="E20" s="100">
        <v>0.25</v>
      </c>
      <c r="G20" s="39">
        <f t="shared" si="0"/>
        <v>14</v>
      </c>
      <c r="H20" s="102" t="str">
        <f t="shared" si="4"/>
        <v/>
      </c>
      <c r="I20" s="36">
        <f t="shared" si="5"/>
        <v>0</v>
      </c>
      <c r="J20" s="40">
        <f t="shared" si="1"/>
        <v>1940</v>
      </c>
      <c r="K20" s="41">
        <f t="shared" si="2"/>
        <v>30160</v>
      </c>
      <c r="L20" s="42">
        <f t="shared" si="3"/>
        <v>263840</v>
      </c>
      <c r="M20" s="42">
        <f t="shared" si="6"/>
        <v>0</v>
      </c>
      <c r="N20" s="42">
        <f t="shared" si="7"/>
        <v>263840</v>
      </c>
    </row>
    <row r="21" spans="1:17" x14ac:dyDescent="0.25">
      <c r="B21" s="76"/>
      <c r="C21" s="76"/>
      <c r="D21" s="76"/>
      <c r="E21" s="100"/>
      <c r="G21" s="39">
        <f t="shared" si="0"/>
        <v>15</v>
      </c>
      <c r="H21" s="102" t="str">
        <f t="shared" si="4"/>
        <v/>
      </c>
      <c r="I21" s="36">
        <f t="shared" si="5"/>
        <v>0</v>
      </c>
      <c r="J21" s="40">
        <f t="shared" si="1"/>
        <v>1940</v>
      </c>
      <c r="K21" s="41">
        <f t="shared" si="2"/>
        <v>32100</v>
      </c>
      <c r="L21" s="42">
        <f t="shared" si="3"/>
        <v>261900</v>
      </c>
      <c r="M21" s="42">
        <f t="shared" si="6"/>
        <v>0</v>
      </c>
      <c r="N21" s="42">
        <f t="shared" si="7"/>
        <v>261900</v>
      </c>
    </row>
    <row r="22" spans="1:17" x14ac:dyDescent="0.25">
      <c r="B22" s="76" t="str">
        <f>IF(A2=1,"VALOR DO LANCE:","VALOR DO LANCE NOVO:")</f>
        <v>VALOR DO LANCE:</v>
      </c>
      <c r="C22" s="76"/>
      <c r="D22" s="76"/>
      <c r="E22" s="98">
        <f>IF(A16=FALSE,0,E4*E20)</f>
        <v>75000</v>
      </c>
      <c r="G22" s="39">
        <f t="shared" si="0"/>
        <v>16</v>
      </c>
      <c r="H22" s="102" t="str">
        <f t="shared" si="4"/>
        <v/>
      </c>
      <c r="I22" s="36">
        <f t="shared" si="5"/>
        <v>0</v>
      </c>
      <c r="J22" s="40">
        <f t="shared" si="1"/>
        <v>1940</v>
      </c>
      <c r="K22" s="41">
        <f t="shared" si="2"/>
        <v>34040</v>
      </c>
      <c r="L22" s="42">
        <f t="shared" si="3"/>
        <v>259960</v>
      </c>
      <c r="M22" s="42">
        <f t="shared" si="6"/>
        <v>0</v>
      </c>
      <c r="N22" s="42">
        <f t="shared" si="7"/>
        <v>259960</v>
      </c>
    </row>
    <row r="23" spans="1:17" x14ac:dyDescent="0.25">
      <c r="B23" s="76"/>
      <c r="C23" s="76"/>
      <c r="D23" s="76"/>
      <c r="E23" s="99"/>
      <c r="F23" s="54"/>
      <c r="G23" s="39">
        <f t="shared" si="0"/>
        <v>17</v>
      </c>
      <c r="H23" s="102" t="str">
        <f t="shared" si="4"/>
        <v/>
      </c>
      <c r="I23" s="36">
        <f t="shared" si="5"/>
        <v>0</v>
      </c>
      <c r="J23" s="40">
        <f t="shared" si="1"/>
        <v>1940</v>
      </c>
      <c r="K23" s="41">
        <f t="shared" si="2"/>
        <v>35980</v>
      </c>
      <c r="L23" s="42">
        <f t="shared" si="3"/>
        <v>258020</v>
      </c>
      <c r="M23" s="42">
        <f t="shared" si="6"/>
        <v>0</v>
      </c>
      <c r="N23" s="42">
        <f t="shared" si="7"/>
        <v>258020</v>
      </c>
    </row>
    <row r="24" spans="1:17" x14ac:dyDescent="0.25">
      <c r="B24" s="101" t="s">
        <v>43</v>
      </c>
      <c r="C24" s="91"/>
      <c r="D24" s="92"/>
      <c r="E24" s="66">
        <v>0.25</v>
      </c>
      <c r="F24" s="54"/>
      <c r="G24" s="39">
        <f t="shared" si="0"/>
        <v>18</v>
      </c>
      <c r="H24" s="102" t="str">
        <f t="shared" si="4"/>
        <v/>
      </c>
      <c r="I24" s="36">
        <f t="shared" si="5"/>
        <v>0</v>
      </c>
      <c r="J24" s="40">
        <f t="shared" si="1"/>
        <v>1940</v>
      </c>
      <c r="K24" s="41">
        <f t="shared" si="2"/>
        <v>37920</v>
      </c>
      <c r="L24" s="42">
        <f t="shared" si="3"/>
        <v>256080</v>
      </c>
      <c r="M24" s="42">
        <f t="shared" si="6"/>
        <v>0</v>
      </c>
      <c r="N24" s="42">
        <f t="shared" si="7"/>
        <v>256080</v>
      </c>
    </row>
    <row r="25" spans="1:17" x14ac:dyDescent="0.25">
      <c r="B25" s="93"/>
      <c r="C25" s="94"/>
      <c r="D25" s="95"/>
      <c r="E25" s="7">
        <f>IF(B2=1,0,-E39)</f>
        <v>75000</v>
      </c>
      <c r="F25" s="54"/>
      <c r="G25" s="39">
        <f t="shared" si="0"/>
        <v>19</v>
      </c>
      <c r="H25" s="102" t="str">
        <f t="shared" si="4"/>
        <v/>
      </c>
      <c r="I25" s="36">
        <f t="shared" si="5"/>
        <v>0</v>
      </c>
      <c r="J25" s="40">
        <f t="shared" si="1"/>
        <v>1940</v>
      </c>
      <c r="K25" s="41">
        <f t="shared" si="2"/>
        <v>39860</v>
      </c>
      <c r="L25" s="42">
        <f t="shared" si="3"/>
        <v>254140</v>
      </c>
      <c r="M25" s="42">
        <f t="shared" si="6"/>
        <v>0</v>
      </c>
      <c r="N25" s="42">
        <f t="shared" si="7"/>
        <v>254140</v>
      </c>
    </row>
    <row r="26" spans="1:17" x14ac:dyDescent="0.25">
      <c r="B26" s="76" t="str">
        <f>IF(A2=1,"VALOR AMORTIZADO:","VALOR COMPLEMENTAR AMORTIZADO:")</f>
        <v>VALOR AMORTIZADO:</v>
      </c>
      <c r="C26" s="76"/>
      <c r="D26" s="76"/>
      <c r="E26" s="88">
        <f>IF(E22&lt;=E25,0,E22-E25)</f>
        <v>0</v>
      </c>
      <c r="F26" s="54"/>
      <c r="G26" s="39">
        <f t="shared" si="0"/>
        <v>20</v>
      </c>
      <c r="H26" s="102" t="str">
        <f t="shared" si="4"/>
        <v/>
      </c>
      <c r="I26" s="36">
        <f t="shared" si="5"/>
        <v>0</v>
      </c>
      <c r="J26" s="40">
        <f t="shared" si="1"/>
        <v>1940</v>
      </c>
      <c r="K26" s="41">
        <f t="shared" si="2"/>
        <v>41800</v>
      </c>
      <c r="L26" s="42">
        <f t="shared" si="3"/>
        <v>252200</v>
      </c>
      <c r="M26" s="42">
        <f t="shared" si="6"/>
        <v>0</v>
      </c>
      <c r="N26" s="42">
        <f t="shared" si="7"/>
        <v>252200</v>
      </c>
    </row>
    <row r="27" spans="1:17" x14ac:dyDescent="0.25">
      <c r="B27" s="76"/>
      <c r="C27" s="76"/>
      <c r="D27" s="76"/>
      <c r="E27" s="89"/>
      <c r="F27" s="54"/>
      <c r="G27" s="39">
        <f t="shared" si="0"/>
        <v>21</v>
      </c>
      <c r="H27" s="102" t="str">
        <f t="shared" si="4"/>
        <v/>
      </c>
      <c r="I27" s="36">
        <f t="shared" si="5"/>
        <v>0</v>
      </c>
      <c r="J27" s="40">
        <f t="shared" si="1"/>
        <v>1940</v>
      </c>
      <c r="K27" s="41">
        <f t="shared" si="2"/>
        <v>43740</v>
      </c>
      <c r="L27" s="42">
        <f t="shared" si="3"/>
        <v>250260</v>
      </c>
      <c r="M27" s="42">
        <f t="shared" si="6"/>
        <v>0</v>
      </c>
      <c r="N27" s="42">
        <f t="shared" si="7"/>
        <v>250260</v>
      </c>
    </row>
    <row r="28" spans="1:17" x14ac:dyDescent="0.25">
      <c r="B28" s="76" t="s">
        <v>31</v>
      </c>
      <c r="C28" s="76"/>
      <c r="D28" s="76"/>
      <c r="E28" s="88">
        <f>E18-E26</f>
        <v>271600</v>
      </c>
      <c r="F28" s="54"/>
      <c r="G28" s="39">
        <f t="shared" si="0"/>
        <v>22</v>
      </c>
      <c r="H28" s="102" t="str">
        <f t="shared" si="4"/>
        <v/>
      </c>
      <c r="I28" s="36">
        <f t="shared" si="5"/>
        <v>0</v>
      </c>
      <c r="J28" s="40">
        <f t="shared" si="1"/>
        <v>1940</v>
      </c>
      <c r="K28" s="41">
        <f t="shared" si="2"/>
        <v>45680</v>
      </c>
      <c r="L28" s="42">
        <f t="shared" si="3"/>
        <v>248320</v>
      </c>
      <c r="M28" s="42">
        <f t="shared" si="6"/>
        <v>0</v>
      </c>
      <c r="N28" s="42">
        <f t="shared" si="7"/>
        <v>248320</v>
      </c>
      <c r="Q28" s="61"/>
    </row>
    <row r="29" spans="1:17" x14ac:dyDescent="0.25">
      <c r="B29" s="76"/>
      <c r="C29" s="76"/>
      <c r="D29" s="76"/>
      <c r="E29" s="89"/>
      <c r="F29" s="54"/>
      <c r="G29" s="39">
        <f t="shared" si="0"/>
        <v>23</v>
      </c>
      <c r="H29" s="102" t="str">
        <f t="shared" si="4"/>
        <v/>
      </c>
      <c r="I29" s="36">
        <f t="shared" si="5"/>
        <v>0</v>
      </c>
      <c r="J29" s="40">
        <f t="shared" si="1"/>
        <v>1940</v>
      </c>
      <c r="K29" s="41">
        <f t="shared" si="2"/>
        <v>47620</v>
      </c>
      <c r="L29" s="42">
        <f t="shared" si="3"/>
        <v>246380</v>
      </c>
      <c r="M29" s="42">
        <f t="shared" si="6"/>
        <v>0</v>
      </c>
      <c r="N29" s="42">
        <f t="shared" si="7"/>
        <v>246380</v>
      </c>
    </row>
    <row r="30" spans="1:17" x14ac:dyDescent="0.25">
      <c r="F30" s="62"/>
      <c r="G30" s="39">
        <f t="shared" si="0"/>
        <v>24</v>
      </c>
      <c r="H30" s="102" t="str">
        <f t="shared" si="4"/>
        <v/>
      </c>
      <c r="I30" s="36">
        <f t="shared" si="5"/>
        <v>0</v>
      </c>
      <c r="J30" s="40">
        <f t="shared" si="1"/>
        <v>1940</v>
      </c>
      <c r="K30" s="41">
        <f t="shared" si="2"/>
        <v>49560</v>
      </c>
      <c r="L30" s="42">
        <f t="shared" si="3"/>
        <v>244440</v>
      </c>
      <c r="M30" s="42">
        <f t="shared" si="6"/>
        <v>0</v>
      </c>
      <c r="N30" s="42">
        <f t="shared" si="7"/>
        <v>244440</v>
      </c>
    </row>
    <row r="31" spans="1:17" x14ac:dyDescent="0.25">
      <c r="B31" s="96" t="str">
        <f>B4</f>
        <v>VALOR DO COTA:</v>
      </c>
      <c r="C31" s="97"/>
      <c r="D31" s="12">
        <v>1</v>
      </c>
      <c r="E31" s="13">
        <f>E4</f>
        <v>300000</v>
      </c>
      <c r="F31" s="62"/>
      <c r="G31" s="39">
        <f t="shared" si="0"/>
        <v>25</v>
      </c>
      <c r="H31" s="102" t="str">
        <f t="shared" si="4"/>
        <v/>
      </c>
      <c r="I31" s="36">
        <f t="shared" si="5"/>
        <v>0</v>
      </c>
      <c r="J31" s="40">
        <f t="shared" si="1"/>
        <v>1940</v>
      </c>
      <c r="K31" s="41">
        <f t="shared" si="2"/>
        <v>51500</v>
      </c>
      <c r="L31" s="42">
        <f t="shared" si="3"/>
        <v>242500</v>
      </c>
      <c r="M31" s="42">
        <f t="shared" si="6"/>
        <v>0</v>
      </c>
      <c r="N31" s="42">
        <f t="shared" si="7"/>
        <v>242500</v>
      </c>
      <c r="P31" s="63"/>
    </row>
    <row r="32" spans="1:17" x14ac:dyDescent="0.25">
      <c r="B32" s="96" t="s">
        <v>8</v>
      </c>
      <c r="C32" s="97"/>
      <c r="D32" s="14">
        <f>IF(E12=0,0,E10)</f>
        <v>0.01</v>
      </c>
      <c r="E32" s="15">
        <f>$E$31*D32</f>
        <v>3000</v>
      </c>
      <c r="F32" s="62"/>
      <c r="G32" s="39">
        <f t="shared" si="0"/>
        <v>26</v>
      </c>
      <c r="H32" s="102" t="str">
        <f t="shared" si="4"/>
        <v/>
      </c>
      <c r="I32" s="36">
        <f t="shared" si="5"/>
        <v>0</v>
      </c>
      <c r="J32" s="40">
        <f t="shared" si="1"/>
        <v>1940</v>
      </c>
      <c r="K32" s="41">
        <f t="shared" si="2"/>
        <v>53440</v>
      </c>
      <c r="L32" s="42">
        <f t="shared" si="3"/>
        <v>240560</v>
      </c>
      <c r="M32" s="42">
        <f t="shared" si="6"/>
        <v>0</v>
      </c>
      <c r="N32" s="42">
        <f t="shared" si="7"/>
        <v>240560</v>
      </c>
    </row>
    <row r="33" spans="2:14" x14ac:dyDescent="0.25">
      <c r="B33" s="96" t="s">
        <v>9</v>
      </c>
      <c r="C33" s="96"/>
      <c r="D33" s="12">
        <f>E12</f>
        <v>3</v>
      </c>
      <c r="E33" s="15">
        <f>IFERROR(E32/D33,0)</f>
        <v>1000</v>
      </c>
      <c r="F33" s="62"/>
      <c r="G33" s="39">
        <f t="shared" si="0"/>
        <v>27</v>
      </c>
      <c r="H33" s="102" t="str">
        <f t="shared" si="4"/>
        <v/>
      </c>
      <c r="I33" s="36">
        <f t="shared" si="5"/>
        <v>0</v>
      </c>
      <c r="J33" s="40">
        <f t="shared" si="1"/>
        <v>1940</v>
      </c>
      <c r="K33" s="41">
        <f t="shared" si="2"/>
        <v>55380</v>
      </c>
      <c r="L33" s="42">
        <f t="shared" si="3"/>
        <v>238620</v>
      </c>
      <c r="M33" s="42">
        <f t="shared" si="6"/>
        <v>0</v>
      </c>
      <c r="N33" s="42">
        <f t="shared" si="7"/>
        <v>238620</v>
      </c>
    </row>
    <row r="34" spans="2:14" x14ac:dyDescent="0.25">
      <c r="D34" s="17"/>
      <c r="F34" s="62"/>
      <c r="G34" s="39">
        <f t="shared" si="0"/>
        <v>28</v>
      </c>
      <c r="H34" s="102" t="str">
        <f t="shared" si="4"/>
        <v/>
      </c>
      <c r="I34" s="36">
        <f t="shared" si="5"/>
        <v>0</v>
      </c>
      <c r="J34" s="40">
        <f t="shared" si="1"/>
        <v>1940</v>
      </c>
      <c r="K34" s="41">
        <f t="shared" si="2"/>
        <v>57320</v>
      </c>
      <c r="L34" s="42">
        <f t="shared" si="3"/>
        <v>236680</v>
      </c>
      <c r="M34" s="42">
        <f t="shared" si="6"/>
        <v>0</v>
      </c>
      <c r="N34" s="42">
        <f t="shared" si="7"/>
        <v>236680</v>
      </c>
    </row>
    <row r="35" spans="2:14" x14ac:dyDescent="0.25">
      <c r="B35" s="96" t="str">
        <f>B4</f>
        <v>VALOR DO COTA:</v>
      </c>
      <c r="C35" s="97"/>
      <c r="D35" s="12">
        <v>1</v>
      </c>
      <c r="E35" s="13">
        <f>E4</f>
        <v>300000</v>
      </c>
      <c r="F35" s="62"/>
      <c r="G35" s="39">
        <f t="shared" si="0"/>
        <v>29</v>
      </c>
      <c r="H35" s="102" t="str">
        <f t="shared" si="4"/>
        <v/>
      </c>
      <c r="I35" s="36">
        <f t="shared" si="5"/>
        <v>0</v>
      </c>
      <c r="J35" s="40">
        <f t="shared" si="1"/>
        <v>1940</v>
      </c>
      <c r="K35" s="41">
        <f t="shared" si="2"/>
        <v>59260</v>
      </c>
      <c r="L35" s="42">
        <f t="shared" si="3"/>
        <v>234740</v>
      </c>
      <c r="M35" s="42">
        <f t="shared" si="6"/>
        <v>0</v>
      </c>
      <c r="N35" s="42">
        <f t="shared" si="7"/>
        <v>234740</v>
      </c>
    </row>
    <row r="36" spans="2:14" x14ac:dyDescent="0.25">
      <c r="B36" s="96" t="s">
        <v>10</v>
      </c>
      <c r="C36" s="97"/>
      <c r="D36" s="14">
        <f>E8-D32</f>
        <v>0.19</v>
      </c>
      <c r="E36" s="15">
        <f>E31*D36</f>
        <v>57000</v>
      </c>
      <c r="F36" s="62"/>
      <c r="G36" s="39">
        <f t="shared" si="0"/>
        <v>30</v>
      </c>
      <c r="H36" s="102" t="str">
        <f t="shared" si="4"/>
        <v/>
      </c>
      <c r="I36" s="36">
        <f t="shared" si="5"/>
        <v>0</v>
      </c>
      <c r="J36" s="40">
        <f t="shared" si="1"/>
        <v>1940</v>
      </c>
      <c r="K36" s="41">
        <f t="shared" si="2"/>
        <v>61200</v>
      </c>
      <c r="L36" s="42">
        <f t="shared" si="3"/>
        <v>232800</v>
      </c>
      <c r="M36" s="42">
        <f t="shared" si="6"/>
        <v>0</v>
      </c>
      <c r="N36" s="42">
        <f t="shared" si="7"/>
        <v>232800</v>
      </c>
    </row>
    <row r="37" spans="2:14" ht="15" customHeight="1" x14ac:dyDescent="0.25">
      <c r="B37" s="96" t="s">
        <v>11</v>
      </c>
      <c r="C37" s="96"/>
      <c r="D37" s="14">
        <f>E14</f>
        <v>0.03</v>
      </c>
      <c r="E37" s="18">
        <f>E31*D37</f>
        <v>9000</v>
      </c>
      <c r="F37" s="62"/>
      <c r="G37" s="39">
        <f t="shared" si="0"/>
        <v>31</v>
      </c>
      <c r="H37" s="102" t="str">
        <f t="shared" si="4"/>
        <v/>
      </c>
      <c r="I37" s="36">
        <f t="shared" si="5"/>
        <v>0</v>
      </c>
      <c r="J37" s="40">
        <f t="shared" si="1"/>
        <v>1940</v>
      </c>
      <c r="K37" s="41">
        <f t="shared" si="2"/>
        <v>63140</v>
      </c>
      <c r="L37" s="42">
        <f t="shared" si="3"/>
        <v>230860</v>
      </c>
      <c r="M37" s="42">
        <f t="shared" si="6"/>
        <v>0</v>
      </c>
      <c r="N37" s="42">
        <f t="shared" si="7"/>
        <v>230860</v>
      </c>
    </row>
    <row r="38" spans="2:14" ht="15.75" customHeight="1" x14ac:dyDescent="0.25">
      <c r="C38" s="44"/>
      <c r="D38" s="19"/>
      <c r="E38" s="20">
        <f>SUM(E35:E37)</f>
        <v>366000</v>
      </c>
      <c r="F38" s="62"/>
      <c r="G38" s="39">
        <f t="shared" si="0"/>
        <v>32</v>
      </c>
      <c r="H38" s="102" t="str">
        <f t="shared" si="4"/>
        <v/>
      </c>
      <c r="I38" s="36">
        <f t="shared" si="5"/>
        <v>0</v>
      </c>
      <c r="J38" s="40">
        <f t="shared" si="1"/>
        <v>1940</v>
      </c>
      <c r="K38" s="41">
        <f t="shared" si="2"/>
        <v>65080</v>
      </c>
      <c r="L38" s="42">
        <f t="shared" si="3"/>
        <v>228920</v>
      </c>
      <c r="M38" s="42">
        <f t="shared" si="6"/>
        <v>0</v>
      </c>
      <c r="N38" s="42">
        <f t="shared" si="7"/>
        <v>228920</v>
      </c>
    </row>
    <row r="39" spans="2:14" x14ac:dyDescent="0.25">
      <c r="C39" s="43" t="s">
        <v>12</v>
      </c>
      <c r="D39" s="14">
        <f>E24</f>
        <v>0.25</v>
      </c>
      <c r="E39" s="18">
        <f>IF(B2=1,0,E4*-D39)</f>
        <v>-75000</v>
      </c>
      <c r="F39" s="62"/>
      <c r="G39" s="39">
        <f t="shared" si="0"/>
        <v>33</v>
      </c>
      <c r="H39" s="102" t="str">
        <f t="shared" si="4"/>
        <v/>
      </c>
      <c r="I39" s="36">
        <f t="shared" si="5"/>
        <v>0</v>
      </c>
      <c r="J39" s="40">
        <f t="shared" si="1"/>
        <v>1940</v>
      </c>
      <c r="K39" s="41">
        <f t="shared" si="2"/>
        <v>67020</v>
      </c>
      <c r="L39" s="42">
        <f t="shared" si="3"/>
        <v>226980</v>
      </c>
      <c r="M39" s="42">
        <f t="shared" si="6"/>
        <v>0</v>
      </c>
      <c r="N39" s="42">
        <f t="shared" si="7"/>
        <v>226980</v>
      </c>
    </row>
    <row r="40" spans="2:14" x14ac:dyDescent="0.25">
      <c r="C40" s="21" t="s">
        <v>13</v>
      </c>
      <c r="D40" s="14"/>
      <c r="E40" s="20">
        <f>SUM(E38:E39)</f>
        <v>291000</v>
      </c>
      <c r="F40" s="62"/>
      <c r="G40" s="39">
        <f t="shared" si="0"/>
        <v>34</v>
      </c>
      <c r="H40" s="102" t="str">
        <f t="shared" si="4"/>
        <v/>
      </c>
      <c r="I40" s="36">
        <f t="shared" si="5"/>
        <v>0</v>
      </c>
      <c r="J40" s="40">
        <f t="shared" si="1"/>
        <v>1940</v>
      </c>
      <c r="K40" s="41">
        <f t="shared" si="2"/>
        <v>68960</v>
      </c>
      <c r="L40" s="42">
        <f t="shared" si="3"/>
        <v>225040</v>
      </c>
      <c r="M40" s="42">
        <f t="shared" si="6"/>
        <v>0</v>
      </c>
      <c r="N40" s="42">
        <f t="shared" si="7"/>
        <v>225040</v>
      </c>
    </row>
    <row r="41" spans="2:14" x14ac:dyDescent="0.25">
      <c r="C41" s="44"/>
      <c r="D41" s="22"/>
      <c r="F41" s="62"/>
      <c r="G41" s="39">
        <f t="shared" si="0"/>
        <v>35</v>
      </c>
      <c r="H41" s="102" t="str">
        <f t="shared" si="4"/>
        <v/>
      </c>
      <c r="I41" s="36">
        <f t="shared" si="5"/>
        <v>0</v>
      </c>
      <c r="J41" s="40">
        <f t="shared" si="1"/>
        <v>1940</v>
      </c>
      <c r="K41" s="41">
        <f t="shared" si="2"/>
        <v>70900</v>
      </c>
      <c r="L41" s="42">
        <f t="shared" si="3"/>
        <v>223100</v>
      </c>
      <c r="M41" s="42">
        <f t="shared" si="6"/>
        <v>0</v>
      </c>
      <c r="N41" s="42">
        <f t="shared" si="7"/>
        <v>223100</v>
      </c>
    </row>
    <row r="42" spans="2:14" x14ac:dyDescent="0.25">
      <c r="B42" s="96" t="str">
        <f>B4</f>
        <v>VALOR DO COTA:</v>
      </c>
      <c r="C42" s="96"/>
      <c r="D42" s="23">
        <v>1</v>
      </c>
      <c r="E42" s="18">
        <f>E4</f>
        <v>300000</v>
      </c>
      <c r="F42" s="62"/>
      <c r="G42" s="39">
        <f t="shared" si="0"/>
        <v>36</v>
      </c>
      <c r="H42" s="102" t="str">
        <f t="shared" si="4"/>
        <v/>
      </c>
      <c r="I42" s="36">
        <f t="shared" si="5"/>
        <v>0</v>
      </c>
      <c r="J42" s="40">
        <f t="shared" si="1"/>
        <v>1940</v>
      </c>
      <c r="K42" s="41">
        <f t="shared" si="2"/>
        <v>72840</v>
      </c>
      <c r="L42" s="42">
        <f t="shared" si="3"/>
        <v>221160</v>
      </c>
      <c r="M42" s="42">
        <f t="shared" si="6"/>
        <v>0</v>
      </c>
      <c r="N42" s="42">
        <f t="shared" si="7"/>
        <v>221160</v>
      </c>
    </row>
    <row r="43" spans="2:14" x14ac:dyDescent="0.25">
      <c r="C43" s="43" t="s">
        <v>12</v>
      </c>
      <c r="D43" s="19">
        <f>E24</f>
        <v>0.25</v>
      </c>
      <c r="E43" s="24">
        <f>E39</f>
        <v>-75000</v>
      </c>
      <c r="G43" s="39">
        <f t="shared" si="0"/>
        <v>37</v>
      </c>
      <c r="H43" s="102" t="str">
        <f t="shared" si="4"/>
        <v/>
      </c>
      <c r="I43" s="36">
        <f t="shared" si="5"/>
        <v>0</v>
      </c>
      <c r="J43" s="40">
        <f t="shared" si="1"/>
        <v>1940</v>
      </c>
      <c r="K43" s="41">
        <f t="shared" si="2"/>
        <v>74780</v>
      </c>
      <c r="L43" s="42">
        <f t="shared" si="3"/>
        <v>219220</v>
      </c>
      <c r="M43" s="42">
        <f t="shared" si="6"/>
        <v>0</v>
      </c>
      <c r="N43" s="42">
        <f t="shared" si="7"/>
        <v>219220</v>
      </c>
    </row>
    <row r="44" spans="2:14" x14ac:dyDescent="0.25">
      <c r="C44" s="25" t="s">
        <v>7</v>
      </c>
      <c r="D44" s="26"/>
      <c r="E44" s="27">
        <f>SUM(E42:E43)</f>
        <v>225000</v>
      </c>
      <c r="G44" s="39">
        <f t="shared" si="0"/>
        <v>38</v>
      </c>
      <c r="H44" s="102" t="str">
        <f t="shared" si="4"/>
        <v/>
      </c>
      <c r="I44" s="36">
        <f t="shared" si="5"/>
        <v>0</v>
      </c>
      <c r="J44" s="40">
        <f t="shared" si="1"/>
        <v>1940</v>
      </c>
      <c r="K44" s="41">
        <f t="shared" si="2"/>
        <v>76720</v>
      </c>
      <c r="L44" s="42">
        <f t="shared" si="3"/>
        <v>217280</v>
      </c>
      <c r="M44" s="42">
        <f t="shared" si="6"/>
        <v>0</v>
      </c>
      <c r="N44" s="42">
        <f t="shared" si="7"/>
        <v>217280</v>
      </c>
    </row>
    <row r="45" spans="2:14" x14ac:dyDescent="0.25">
      <c r="C45" s="43" t="s">
        <v>14</v>
      </c>
      <c r="D45" s="12">
        <f>E45/E31</f>
        <v>0.23</v>
      </c>
      <c r="E45" s="18">
        <f>E32+E36+E37</f>
        <v>69000</v>
      </c>
      <c r="G45" s="39">
        <f t="shared" si="0"/>
        <v>39</v>
      </c>
      <c r="H45" s="102" t="str">
        <f t="shared" si="4"/>
        <v/>
      </c>
      <c r="I45" s="36">
        <f t="shared" si="5"/>
        <v>0</v>
      </c>
      <c r="J45" s="40">
        <f t="shared" si="1"/>
        <v>1940</v>
      </c>
      <c r="K45" s="41">
        <f t="shared" si="2"/>
        <v>78660</v>
      </c>
      <c r="L45" s="42">
        <f t="shared" si="3"/>
        <v>215340</v>
      </c>
      <c r="M45" s="42">
        <f t="shared" si="6"/>
        <v>0</v>
      </c>
      <c r="N45" s="42">
        <f t="shared" si="7"/>
        <v>215340</v>
      </c>
    </row>
    <row r="46" spans="2:14" x14ac:dyDescent="0.25">
      <c r="C46" s="21" t="s">
        <v>33</v>
      </c>
      <c r="D46" s="12"/>
      <c r="E46" s="20">
        <f>SUM(E44:E45)</f>
        <v>294000</v>
      </c>
      <c r="G46" s="39">
        <f t="shared" si="0"/>
        <v>40</v>
      </c>
      <c r="H46" s="102" t="str">
        <f t="shared" si="4"/>
        <v/>
      </c>
      <c r="I46" s="36">
        <f t="shared" si="5"/>
        <v>0</v>
      </c>
      <c r="J46" s="40">
        <f t="shared" si="1"/>
        <v>1940</v>
      </c>
      <c r="K46" s="41">
        <f t="shared" si="2"/>
        <v>80600</v>
      </c>
      <c r="L46" s="42">
        <f t="shared" si="3"/>
        <v>213400</v>
      </c>
      <c r="M46" s="42">
        <f t="shared" si="6"/>
        <v>0</v>
      </c>
      <c r="N46" s="42">
        <f t="shared" si="7"/>
        <v>213400</v>
      </c>
    </row>
    <row r="47" spans="2:14" x14ac:dyDescent="0.25">
      <c r="D47" s="22"/>
      <c r="G47" s="39">
        <f t="shared" si="0"/>
        <v>41</v>
      </c>
      <c r="H47" s="102" t="str">
        <f t="shared" si="4"/>
        <v/>
      </c>
      <c r="I47" s="36">
        <f t="shared" si="5"/>
        <v>0</v>
      </c>
      <c r="J47" s="40">
        <f t="shared" si="1"/>
        <v>1940</v>
      </c>
      <c r="K47" s="41">
        <f t="shared" si="2"/>
        <v>82540</v>
      </c>
      <c r="L47" s="42">
        <f t="shared" si="3"/>
        <v>211460</v>
      </c>
      <c r="M47" s="42">
        <f t="shared" si="6"/>
        <v>0</v>
      </c>
      <c r="N47" s="42">
        <f t="shared" si="7"/>
        <v>211460</v>
      </c>
    </row>
    <row r="48" spans="2:14" x14ac:dyDescent="0.25">
      <c r="C48" s="44"/>
      <c r="D48" s="64"/>
      <c r="G48" s="39">
        <f t="shared" si="0"/>
        <v>42</v>
      </c>
      <c r="H48" s="102" t="str">
        <f t="shared" si="4"/>
        <v/>
      </c>
      <c r="I48" s="36">
        <f t="shared" si="5"/>
        <v>0</v>
      </c>
      <c r="J48" s="40">
        <f t="shared" si="1"/>
        <v>1940</v>
      </c>
      <c r="K48" s="41">
        <f t="shared" si="2"/>
        <v>84480</v>
      </c>
      <c r="L48" s="42">
        <f t="shared" si="3"/>
        <v>209520</v>
      </c>
      <c r="M48" s="42">
        <f t="shared" si="6"/>
        <v>0</v>
      </c>
      <c r="N48" s="42">
        <f t="shared" si="7"/>
        <v>209520</v>
      </c>
    </row>
    <row r="49" spans="3:14" x14ac:dyDescent="0.25">
      <c r="C49" s="44"/>
      <c r="D49" s="64"/>
      <c r="G49" s="39">
        <f t="shared" si="0"/>
        <v>43</v>
      </c>
      <c r="H49" s="102" t="str">
        <f t="shared" si="4"/>
        <v/>
      </c>
      <c r="I49" s="36">
        <f t="shared" si="5"/>
        <v>0</v>
      </c>
      <c r="J49" s="40">
        <f t="shared" si="1"/>
        <v>1940</v>
      </c>
      <c r="K49" s="41">
        <f t="shared" si="2"/>
        <v>86420</v>
      </c>
      <c r="L49" s="42">
        <f t="shared" si="3"/>
        <v>207580</v>
      </c>
      <c r="M49" s="42">
        <f t="shared" si="6"/>
        <v>0</v>
      </c>
      <c r="N49" s="42">
        <f t="shared" si="7"/>
        <v>207580</v>
      </c>
    </row>
    <row r="50" spans="3:14" x14ac:dyDescent="0.25">
      <c r="C50" s="44"/>
      <c r="D50" s="65"/>
      <c r="G50" s="39">
        <f t="shared" si="0"/>
        <v>44</v>
      </c>
      <c r="H50" s="102" t="str">
        <f t="shared" si="4"/>
        <v/>
      </c>
      <c r="I50" s="36">
        <f t="shared" si="5"/>
        <v>0</v>
      </c>
      <c r="J50" s="40">
        <f t="shared" si="1"/>
        <v>1940</v>
      </c>
      <c r="K50" s="41">
        <f t="shared" si="2"/>
        <v>88360</v>
      </c>
      <c r="L50" s="42">
        <f t="shared" si="3"/>
        <v>205640</v>
      </c>
      <c r="M50" s="42">
        <f t="shared" si="6"/>
        <v>0</v>
      </c>
      <c r="N50" s="42">
        <f t="shared" si="7"/>
        <v>205640</v>
      </c>
    </row>
    <row r="51" spans="3:14" x14ac:dyDescent="0.25">
      <c r="C51" s="44"/>
      <c r="D51" s="65"/>
      <c r="G51" s="39">
        <f t="shared" si="0"/>
        <v>45</v>
      </c>
      <c r="H51" s="102" t="str">
        <f t="shared" si="4"/>
        <v/>
      </c>
      <c r="I51" s="36">
        <f t="shared" si="5"/>
        <v>0</v>
      </c>
      <c r="J51" s="40">
        <f t="shared" si="1"/>
        <v>1940</v>
      </c>
      <c r="K51" s="41">
        <f t="shared" si="2"/>
        <v>90300</v>
      </c>
      <c r="L51" s="42">
        <f t="shared" si="3"/>
        <v>203700</v>
      </c>
      <c r="M51" s="42">
        <f t="shared" si="6"/>
        <v>0</v>
      </c>
      <c r="N51" s="42">
        <f t="shared" si="7"/>
        <v>203700</v>
      </c>
    </row>
    <row r="52" spans="3:14" x14ac:dyDescent="0.25">
      <c r="G52" s="39">
        <f t="shared" si="0"/>
        <v>46</v>
      </c>
      <c r="H52" s="102" t="str">
        <f t="shared" si="4"/>
        <v/>
      </c>
      <c r="I52" s="36">
        <f t="shared" si="5"/>
        <v>0</v>
      </c>
      <c r="J52" s="40">
        <f t="shared" si="1"/>
        <v>1940</v>
      </c>
      <c r="K52" s="41">
        <f t="shared" si="2"/>
        <v>92240</v>
      </c>
      <c r="L52" s="42">
        <f t="shared" si="3"/>
        <v>201760</v>
      </c>
      <c r="M52" s="42">
        <f t="shared" si="6"/>
        <v>0</v>
      </c>
      <c r="N52" s="42">
        <f t="shared" si="7"/>
        <v>201760</v>
      </c>
    </row>
    <row r="53" spans="3:14" x14ac:dyDescent="0.25">
      <c r="G53" s="39">
        <f t="shared" si="0"/>
        <v>47</v>
      </c>
      <c r="H53" s="102" t="str">
        <f t="shared" si="4"/>
        <v/>
      </c>
      <c r="I53" s="36">
        <f t="shared" si="5"/>
        <v>0</v>
      </c>
      <c r="J53" s="40">
        <f t="shared" si="1"/>
        <v>1940</v>
      </c>
      <c r="K53" s="41">
        <f t="shared" si="2"/>
        <v>94180</v>
      </c>
      <c r="L53" s="42">
        <f t="shared" si="3"/>
        <v>199820</v>
      </c>
      <c r="M53" s="42">
        <f t="shared" si="6"/>
        <v>0</v>
      </c>
      <c r="N53" s="42">
        <f t="shared" si="7"/>
        <v>199820</v>
      </c>
    </row>
    <row r="54" spans="3:14" x14ac:dyDescent="0.25">
      <c r="G54" s="39">
        <f t="shared" si="0"/>
        <v>48</v>
      </c>
      <c r="H54" s="102" t="str">
        <f t="shared" si="4"/>
        <v/>
      </c>
      <c r="I54" s="36">
        <f t="shared" si="5"/>
        <v>0</v>
      </c>
      <c r="J54" s="40">
        <f t="shared" si="1"/>
        <v>1940</v>
      </c>
      <c r="K54" s="41">
        <f t="shared" si="2"/>
        <v>96120</v>
      </c>
      <c r="L54" s="42">
        <f t="shared" si="3"/>
        <v>197880</v>
      </c>
      <c r="M54" s="42">
        <f t="shared" si="6"/>
        <v>0</v>
      </c>
      <c r="N54" s="42">
        <f t="shared" si="7"/>
        <v>197880</v>
      </c>
    </row>
    <row r="55" spans="3:14" x14ac:dyDescent="0.25">
      <c r="G55" s="39">
        <f t="shared" si="0"/>
        <v>49</v>
      </c>
      <c r="H55" s="102" t="str">
        <f t="shared" si="4"/>
        <v/>
      </c>
      <c r="I55" s="36">
        <f t="shared" si="5"/>
        <v>0</v>
      </c>
      <c r="J55" s="40">
        <f t="shared" si="1"/>
        <v>1940</v>
      </c>
      <c r="K55" s="41">
        <f t="shared" si="2"/>
        <v>98060</v>
      </c>
      <c r="L55" s="42">
        <f t="shared" si="3"/>
        <v>195940</v>
      </c>
      <c r="M55" s="42">
        <f t="shared" si="6"/>
        <v>0</v>
      </c>
      <c r="N55" s="42">
        <f t="shared" si="7"/>
        <v>195940</v>
      </c>
    </row>
    <row r="56" spans="3:14" x14ac:dyDescent="0.25">
      <c r="G56" s="39">
        <f t="shared" si="0"/>
        <v>50</v>
      </c>
      <c r="H56" s="102" t="str">
        <f t="shared" si="4"/>
        <v/>
      </c>
      <c r="I56" s="36">
        <f t="shared" si="5"/>
        <v>0</v>
      </c>
      <c r="J56" s="40">
        <f t="shared" si="1"/>
        <v>1940</v>
      </c>
      <c r="K56" s="41">
        <f t="shared" si="2"/>
        <v>100000</v>
      </c>
      <c r="L56" s="42">
        <f t="shared" si="3"/>
        <v>194000</v>
      </c>
      <c r="M56" s="42">
        <f t="shared" si="6"/>
        <v>0</v>
      </c>
      <c r="N56" s="42">
        <f t="shared" si="7"/>
        <v>194000</v>
      </c>
    </row>
    <row r="57" spans="3:14" x14ac:dyDescent="0.25">
      <c r="G57" s="39">
        <f t="shared" si="0"/>
        <v>51</v>
      </c>
      <c r="H57" s="102" t="str">
        <f t="shared" si="4"/>
        <v/>
      </c>
      <c r="I57" s="36">
        <f t="shared" si="5"/>
        <v>0</v>
      </c>
      <c r="J57" s="40">
        <f t="shared" si="1"/>
        <v>1940</v>
      </c>
      <c r="K57" s="41">
        <f t="shared" si="2"/>
        <v>101940</v>
      </c>
      <c r="L57" s="42">
        <f t="shared" si="3"/>
        <v>192060</v>
      </c>
      <c r="M57" s="42">
        <f t="shared" si="6"/>
        <v>0</v>
      </c>
      <c r="N57" s="42">
        <f t="shared" si="7"/>
        <v>192060</v>
      </c>
    </row>
    <row r="58" spans="3:14" x14ac:dyDescent="0.25">
      <c r="G58" s="39">
        <f t="shared" si="0"/>
        <v>52</v>
      </c>
      <c r="H58" s="102" t="str">
        <f t="shared" si="4"/>
        <v/>
      </c>
      <c r="I58" s="36">
        <f t="shared" si="5"/>
        <v>0</v>
      </c>
      <c r="J58" s="40">
        <f t="shared" si="1"/>
        <v>1940</v>
      </c>
      <c r="K58" s="41">
        <f t="shared" si="2"/>
        <v>103880</v>
      </c>
      <c r="L58" s="42">
        <f t="shared" si="3"/>
        <v>190120</v>
      </c>
      <c r="M58" s="42">
        <f t="shared" si="6"/>
        <v>0</v>
      </c>
      <c r="N58" s="42">
        <f t="shared" si="7"/>
        <v>190120</v>
      </c>
    </row>
    <row r="59" spans="3:14" x14ac:dyDescent="0.25">
      <c r="G59" s="39">
        <f t="shared" si="0"/>
        <v>53</v>
      </c>
      <c r="H59" s="102" t="str">
        <f t="shared" si="4"/>
        <v/>
      </c>
      <c r="I59" s="36">
        <f t="shared" si="5"/>
        <v>0</v>
      </c>
      <c r="J59" s="40">
        <f t="shared" si="1"/>
        <v>1940</v>
      </c>
      <c r="K59" s="41">
        <f t="shared" si="2"/>
        <v>105820</v>
      </c>
      <c r="L59" s="42">
        <f t="shared" si="3"/>
        <v>188180</v>
      </c>
      <c r="M59" s="42">
        <f t="shared" si="6"/>
        <v>0</v>
      </c>
      <c r="N59" s="42">
        <f t="shared" si="7"/>
        <v>188180</v>
      </c>
    </row>
    <row r="60" spans="3:14" x14ac:dyDescent="0.25">
      <c r="G60" s="39">
        <f t="shared" si="0"/>
        <v>54</v>
      </c>
      <c r="H60" s="102" t="str">
        <f t="shared" si="4"/>
        <v/>
      </c>
      <c r="I60" s="36">
        <f t="shared" si="5"/>
        <v>0</v>
      </c>
      <c r="J60" s="40">
        <f t="shared" si="1"/>
        <v>1940</v>
      </c>
      <c r="K60" s="41">
        <f t="shared" si="2"/>
        <v>107760</v>
      </c>
      <c r="L60" s="42">
        <f t="shared" si="3"/>
        <v>186240</v>
      </c>
      <c r="M60" s="42">
        <f t="shared" si="6"/>
        <v>0</v>
      </c>
      <c r="N60" s="42">
        <f t="shared" si="7"/>
        <v>186240</v>
      </c>
    </row>
    <row r="61" spans="3:14" x14ac:dyDescent="0.25">
      <c r="G61" s="39">
        <f t="shared" si="0"/>
        <v>55</v>
      </c>
      <c r="H61" s="102" t="str">
        <f t="shared" si="4"/>
        <v/>
      </c>
      <c r="I61" s="36">
        <f t="shared" si="5"/>
        <v>0</v>
      </c>
      <c r="J61" s="40">
        <f t="shared" si="1"/>
        <v>1940</v>
      </c>
      <c r="K61" s="41">
        <f t="shared" si="2"/>
        <v>109700</v>
      </c>
      <c r="L61" s="42">
        <f t="shared" si="3"/>
        <v>184300</v>
      </c>
      <c r="M61" s="42">
        <f t="shared" si="6"/>
        <v>0</v>
      </c>
      <c r="N61" s="42">
        <f t="shared" si="7"/>
        <v>184300</v>
      </c>
    </row>
    <row r="62" spans="3:14" x14ac:dyDescent="0.25">
      <c r="G62" s="39">
        <f t="shared" si="0"/>
        <v>56</v>
      </c>
      <c r="H62" s="102" t="str">
        <f t="shared" si="4"/>
        <v/>
      </c>
      <c r="I62" s="36">
        <f t="shared" si="5"/>
        <v>0</v>
      </c>
      <c r="J62" s="40">
        <f t="shared" si="1"/>
        <v>1940</v>
      </c>
      <c r="K62" s="41">
        <f t="shared" si="2"/>
        <v>111640</v>
      </c>
      <c r="L62" s="42">
        <f t="shared" si="3"/>
        <v>182360</v>
      </c>
      <c r="M62" s="42">
        <f t="shared" si="6"/>
        <v>0</v>
      </c>
      <c r="N62" s="42">
        <f t="shared" si="7"/>
        <v>182360</v>
      </c>
    </row>
    <row r="63" spans="3:14" x14ac:dyDescent="0.25">
      <c r="G63" s="39">
        <f t="shared" si="0"/>
        <v>57</v>
      </c>
      <c r="H63" s="102" t="str">
        <f t="shared" si="4"/>
        <v/>
      </c>
      <c r="I63" s="36">
        <f t="shared" si="5"/>
        <v>0</v>
      </c>
      <c r="J63" s="40">
        <f t="shared" si="1"/>
        <v>1940</v>
      </c>
      <c r="K63" s="41">
        <f t="shared" si="2"/>
        <v>113580</v>
      </c>
      <c r="L63" s="42">
        <f t="shared" si="3"/>
        <v>180420</v>
      </c>
      <c r="M63" s="42">
        <f t="shared" si="6"/>
        <v>0</v>
      </c>
      <c r="N63" s="42">
        <f t="shared" si="7"/>
        <v>180420</v>
      </c>
    </row>
    <row r="64" spans="3:14" x14ac:dyDescent="0.25">
      <c r="G64" s="39">
        <f t="shared" si="0"/>
        <v>58</v>
      </c>
      <c r="H64" s="102" t="str">
        <f t="shared" si="4"/>
        <v/>
      </c>
      <c r="I64" s="36">
        <f t="shared" si="5"/>
        <v>0</v>
      </c>
      <c r="J64" s="40">
        <f t="shared" si="1"/>
        <v>1940</v>
      </c>
      <c r="K64" s="41">
        <f t="shared" si="2"/>
        <v>115520</v>
      </c>
      <c r="L64" s="42">
        <f t="shared" si="3"/>
        <v>178480</v>
      </c>
      <c r="M64" s="42">
        <f t="shared" si="6"/>
        <v>0</v>
      </c>
      <c r="N64" s="42">
        <f t="shared" si="7"/>
        <v>178480</v>
      </c>
    </row>
    <row r="65" spans="7:14" x14ac:dyDescent="0.25">
      <c r="G65" s="39">
        <f t="shared" si="0"/>
        <v>59</v>
      </c>
      <c r="H65" s="102" t="str">
        <f t="shared" si="4"/>
        <v/>
      </c>
      <c r="I65" s="36">
        <f t="shared" si="5"/>
        <v>0</v>
      </c>
      <c r="J65" s="40">
        <f t="shared" si="1"/>
        <v>1940</v>
      </c>
      <c r="K65" s="41">
        <f t="shared" si="2"/>
        <v>117460</v>
      </c>
      <c r="L65" s="42">
        <f t="shared" si="3"/>
        <v>176540</v>
      </c>
      <c r="M65" s="42">
        <f t="shared" si="6"/>
        <v>0</v>
      </c>
      <c r="N65" s="42">
        <f t="shared" si="7"/>
        <v>176540</v>
      </c>
    </row>
    <row r="66" spans="7:14" x14ac:dyDescent="0.25">
      <c r="G66" s="39">
        <f t="shared" si="0"/>
        <v>60</v>
      </c>
      <c r="H66" s="102" t="str">
        <f t="shared" si="4"/>
        <v/>
      </c>
      <c r="I66" s="36">
        <f t="shared" si="5"/>
        <v>0</v>
      </c>
      <c r="J66" s="40">
        <f t="shared" si="1"/>
        <v>1940</v>
      </c>
      <c r="K66" s="41">
        <f t="shared" si="2"/>
        <v>119400</v>
      </c>
      <c r="L66" s="42">
        <f t="shared" si="3"/>
        <v>174600</v>
      </c>
      <c r="M66" s="42">
        <f t="shared" si="6"/>
        <v>0</v>
      </c>
      <c r="N66" s="42">
        <f t="shared" si="7"/>
        <v>174600</v>
      </c>
    </row>
    <row r="67" spans="7:14" x14ac:dyDescent="0.25">
      <c r="G67" s="39">
        <f t="shared" si="0"/>
        <v>61</v>
      </c>
      <c r="H67" s="102" t="str">
        <f t="shared" si="4"/>
        <v/>
      </c>
      <c r="I67" s="36">
        <f t="shared" si="5"/>
        <v>0</v>
      </c>
      <c r="J67" s="40">
        <f t="shared" si="1"/>
        <v>1940</v>
      </c>
      <c r="K67" s="41">
        <f t="shared" si="2"/>
        <v>121340</v>
      </c>
      <c r="L67" s="42">
        <f t="shared" si="3"/>
        <v>172660</v>
      </c>
      <c r="M67" s="42">
        <f t="shared" si="6"/>
        <v>0</v>
      </c>
      <c r="N67" s="42">
        <f t="shared" si="7"/>
        <v>172660</v>
      </c>
    </row>
    <row r="68" spans="7:14" x14ac:dyDescent="0.25">
      <c r="G68" s="39">
        <f t="shared" si="0"/>
        <v>62</v>
      </c>
      <c r="H68" s="102" t="str">
        <f t="shared" si="4"/>
        <v/>
      </c>
      <c r="I68" s="36">
        <f t="shared" si="5"/>
        <v>0</v>
      </c>
      <c r="J68" s="40">
        <f t="shared" si="1"/>
        <v>1940</v>
      </c>
      <c r="K68" s="41">
        <f t="shared" si="2"/>
        <v>123280</v>
      </c>
      <c r="L68" s="42">
        <f t="shared" si="3"/>
        <v>170720</v>
      </c>
      <c r="M68" s="42">
        <f t="shared" si="6"/>
        <v>0</v>
      </c>
      <c r="N68" s="42">
        <f t="shared" si="7"/>
        <v>170720</v>
      </c>
    </row>
    <row r="69" spans="7:14" x14ac:dyDescent="0.25">
      <c r="G69" s="39">
        <f t="shared" si="0"/>
        <v>63</v>
      </c>
      <c r="H69" s="102" t="str">
        <f t="shared" si="4"/>
        <v/>
      </c>
      <c r="I69" s="36">
        <f t="shared" si="5"/>
        <v>0</v>
      </c>
      <c r="J69" s="40">
        <f t="shared" si="1"/>
        <v>1940</v>
      </c>
      <c r="K69" s="41">
        <f t="shared" si="2"/>
        <v>125220</v>
      </c>
      <c r="L69" s="42">
        <f t="shared" si="3"/>
        <v>168780</v>
      </c>
      <c r="M69" s="42">
        <f t="shared" si="6"/>
        <v>0</v>
      </c>
      <c r="N69" s="42">
        <f t="shared" si="7"/>
        <v>168780</v>
      </c>
    </row>
    <row r="70" spans="7:14" x14ac:dyDescent="0.25">
      <c r="G70" s="39">
        <f t="shared" si="0"/>
        <v>64</v>
      </c>
      <c r="H70" s="102" t="str">
        <f t="shared" si="4"/>
        <v/>
      </c>
      <c r="I70" s="36">
        <f t="shared" si="5"/>
        <v>0</v>
      </c>
      <c r="J70" s="40">
        <f t="shared" si="1"/>
        <v>1940</v>
      </c>
      <c r="K70" s="41">
        <f t="shared" si="2"/>
        <v>127160</v>
      </c>
      <c r="L70" s="42">
        <f t="shared" si="3"/>
        <v>166840</v>
      </c>
      <c r="M70" s="42">
        <f t="shared" si="6"/>
        <v>0</v>
      </c>
      <c r="N70" s="42">
        <f t="shared" si="7"/>
        <v>166840</v>
      </c>
    </row>
    <row r="71" spans="7:14" x14ac:dyDescent="0.25">
      <c r="G71" s="39">
        <f t="shared" ref="G71:G134" si="8">IFERROR(IF(G70+1&gt;$E$6,"",G70+1),"")</f>
        <v>65</v>
      </c>
      <c r="H71" s="102" t="str">
        <f t="shared" si="4"/>
        <v/>
      </c>
      <c r="I71" s="36">
        <f t="shared" si="5"/>
        <v>0</v>
      </c>
      <c r="J71" s="40">
        <f t="shared" ref="J71:J134" si="9">IF(G71="","",IF($A$2=1,N70/($E$6-G70),IF(AND($A$2=2,G71&lt;=$E$16),$E$40/rng_QTDEParc,N70/($E$6-G70))))</f>
        <v>1940</v>
      </c>
      <c r="K71" s="41">
        <f t="shared" ref="K71:K134" si="10">IF(G71="","",I71+J71+K70)</f>
        <v>129100</v>
      </c>
      <c r="L71" s="42">
        <f t="shared" ref="L71:L134" si="11">IF(G71="","",N70-J71)</f>
        <v>164900</v>
      </c>
      <c r="M71" s="42">
        <f t="shared" si="6"/>
        <v>0</v>
      </c>
      <c r="N71" s="42">
        <f t="shared" si="7"/>
        <v>164900</v>
      </c>
    </row>
    <row r="72" spans="7:14" x14ac:dyDescent="0.25">
      <c r="G72" s="39">
        <f t="shared" si="8"/>
        <v>66</v>
      </c>
      <c r="H72" s="102" t="str">
        <f t="shared" ref="H72:H135" si="12">IF(G72="","",IF(G72&lt;=$E$12,$E$10/$E$12,""))</f>
        <v/>
      </c>
      <c r="I72" s="36">
        <f t="shared" ref="I72:I135" si="13">IF(G72="","",IF(H72&lt;&gt;"",H72*$E$4,0))</f>
        <v>0</v>
      </c>
      <c r="J72" s="40">
        <f t="shared" si="9"/>
        <v>1940</v>
      </c>
      <c r="K72" s="41">
        <f t="shared" si="10"/>
        <v>131040</v>
      </c>
      <c r="L72" s="42">
        <f t="shared" si="11"/>
        <v>162960</v>
      </c>
      <c r="M72" s="42">
        <f t="shared" ref="M72:M135" si="14">IF(G72="","",IF(AND($B$2=2,G72=$E$16,$E$20&gt;=$E$24),($E$4*$E$20)-($E$4*$E$24),IF(AND(A$16=TRUE,G72=$E$16),$E$22,0)))</f>
        <v>0</v>
      </c>
      <c r="N72" s="42">
        <f t="shared" ref="N72:N135" si="15">IF(G72="","",L72-M72)</f>
        <v>162960</v>
      </c>
    </row>
    <row r="73" spans="7:14" x14ac:dyDescent="0.25">
      <c r="G73" s="39">
        <f t="shared" si="8"/>
        <v>67</v>
      </c>
      <c r="H73" s="102" t="str">
        <f t="shared" si="12"/>
        <v/>
      </c>
      <c r="I73" s="36">
        <f t="shared" si="13"/>
        <v>0</v>
      </c>
      <c r="J73" s="40">
        <f t="shared" si="9"/>
        <v>1940</v>
      </c>
      <c r="K73" s="41">
        <f t="shared" si="10"/>
        <v>132980</v>
      </c>
      <c r="L73" s="42">
        <f t="shared" si="11"/>
        <v>161020</v>
      </c>
      <c r="M73" s="42">
        <f t="shared" si="14"/>
        <v>0</v>
      </c>
      <c r="N73" s="42">
        <f t="shared" si="15"/>
        <v>161020</v>
      </c>
    </row>
    <row r="74" spans="7:14" x14ac:dyDescent="0.25">
      <c r="G74" s="39">
        <f t="shared" si="8"/>
        <v>68</v>
      </c>
      <c r="H74" s="102" t="str">
        <f t="shared" si="12"/>
        <v/>
      </c>
      <c r="I74" s="36">
        <f t="shared" si="13"/>
        <v>0</v>
      </c>
      <c r="J74" s="40">
        <f t="shared" si="9"/>
        <v>1940</v>
      </c>
      <c r="K74" s="41">
        <f t="shared" si="10"/>
        <v>134920</v>
      </c>
      <c r="L74" s="42">
        <f t="shared" si="11"/>
        <v>159080</v>
      </c>
      <c r="M74" s="42">
        <f t="shared" si="14"/>
        <v>0</v>
      </c>
      <c r="N74" s="42">
        <f t="shared" si="15"/>
        <v>159080</v>
      </c>
    </row>
    <row r="75" spans="7:14" x14ac:dyDescent="0.25">
      <c r="G75" s="39">
        <f t="shared" si="8"/>
        <v>69</v>
      </c>
      <c r="H75" s="102" t="str">
        <f t="shared" si="12"/>
        <v/>
      </c>
      <c r="I75" s="36">
        <f t="shared" si="13"/>
        <v>0</v>
      </c>
      <c r="J75" s="40">
        <f t="shared" si="9"/>
        <v>1940</v>
      </c>
      <c r="K75" s="41">
        <f t="shared" si="10"/>
        <v>136860</v>
      </c>
      <c r="L75" s="42">
        <f t="shared" si="11"/>
        <v>157140</v>
      </c>
      <c r="M75" s="42">
        <f t="shared" si="14"/>
        <v>0</v>
      </c>
      <c r="N75" s="42">
        <f t="shared" si="15"/>
        <v>157140</v>
      </c>
    </row>
    <row r="76" spans="7:14" x14ac:dyDescent="0.25">
      <c r="G76" s="39">
        <f t="shared" si="8"/>
        <v>70</v>
      </c>
      <c r="H76" s="102" t="str">
        <f t="shared" si="12"/>
        <v/>
      </c>
      <c r="I76" s="36">
        <f t="shared" si="13"/>
        <v>0</v>
      </c>
      <c r="J76" s="40">
        <f t="shared" si="9"/>
        <v>1940</v>
      </c>
      <c r="K76" s="41">
        <f t="shared" si="10"/>
        <v>138800</v>
      </c>
      <c r="L76" s="42">
        <f t="shared" si="11"/>
        <v>155200</v>
      </c>
      <c r="M76" s="42">
        <f t="shared" si="14"/>
        <v>0</v>
      </c>
      <c r="N76" s="42">
        <f t="shared" si="15"/>
        <v>155200</v>
      </c>
    </row>
    <row r="77" spans="7:14" x14ac:dyDescent="0.25">
      <c r="G77" s="39">
        <f t="shared" si="8"/>
        <v>71</v>
      </c>
      <c r="H77" s="102" t="str">
        <f t="shared" si="12"/>
        <v/>
      </c>
      <c r="I77" s="36">
        <f t="shared" si="13"/>
        <v>0</v>
      </c>
      <c r="J77" s="40">
        <f t="shared" si="9"/>
        <v>1940</v>
      </c>
      <c r="K77" s="41">
        <f t="shared" si="10"/>
        <v>140740</v>
      </c>
      <c r="L77" s="42">
        <f t="shared" si="11"/>
        <v>153260</v>
      </c>
      <c r="M77" s="42">
        <f t="shared" si="14"/>
        <v>0</v>
      </c>
      <c r="N77" s="42">
        <f t="shared" si="15"/>
        <v>153260</v>
      </c>
    </row>
    <row r="78" spans="7:14" x14ac:dyDescent="0.25">
      <c r="G78" s="39">
        <f t="shared" si="8"/>
        <v>72</v>
      </c>
      <c r="H78" s="102" t="str">
        <f t="shared" si="12"/>
        <v/>
      </c>
      <c r="I78" s="36">
        <f t="shared" si="13"/>
        <v>0</v>
      </c>
      <c r="J78" s="40">
        <f t="shared" si="9"/>
        <v>1940</v>
      </c>
      <c r="K78" s="41">
        <f t="shared" si="10"/>
        <v>142680</v>
      </c>
      <c r="L78" s="42">
        <f t="shared" si="11"/>
        <v>151320</v>
      </c>
      <c r="M78" s="42">
        <f t="shared" si="14"/>
        <v>0</v>
      </c>
      <c r="N78" s="42">
        <f t="shared" si="15"/>
        <v>151320</v>
      </c>
    </row>
    <row r="79" spans="7:14" x14ac:dyDescent="0.25">
      <c r="G79" s="39">
        <f t="shared" si="8"/>
        <v>73</v>
      </c>
      <c r="H79" s="102" t="str">
        <f t="shared" si="12"/>
        <v/>
      </c>
      <c r="I79" s="36">
        <f t="shared" si="13"/>
        <v>0</v>
      </c>
      <c r="J79" s="40">
        <f t="shared" si="9"/>
        <v>1940</v>
      </c>
      <c r="K79" s="41">
        <f t="shared" si="10"/>
        <v>144620</v>
      </c>
      <c r="L79" s="42">
        <f t="shared" si="11"/>
        <v>149380</v>
      </c>
      <c r="M79" s="42">
        <f t="shared" si="14"/>
        <v>0</v>
      </c>
      <c r="N79" s="42">
        <f t="shared" si="15"/>
        <v>149380</v>
      </c>
    </row>
    <row r="80" spans="7:14" x14ac:dyDescent="0.25">
      <c r="G80" s="39">
        <f t="shared" si="8"/>
        <v>74</v>
      </c>
      <c r="H80" s="102" t="str">
        <f t="shared" si="12"/>
        <v/>
      </c>
      <c r="I80" s="36">
        <f t="shared" si="13"/>
        <v>0</v>
      </c>
      <c r="J80" s="40">
        <f t="shared" si="9"/>
        <v>1940</v>
      </c>
      <c r="K80" s="41">
        <f t="shared" si="10"/>
        <v>146560</v>
      </c>
      <c r="L80" s="42">
        <f t="shared" si="11"/>
        <v>147440</v>
      </c>
      <c r="M80" s="42">
        <f t="shared" si="14"/>
        <v>0</v>
      </c>
      <c r="N80" s="42">
        <f t="shared" si="15"/>
        <v>147440</v>
      </c>
    </row>
    <row r="81" spans="7:14" x14ac:dyDescent="0.25">
      <c r="G81" s="39">
        <f t="shared" si="8"/>
        <v>75</v>
      </c>
      <c r="H81" s="102" t="str">
        <f t="shared" si="12"/>
        <v/>
      </c>
      <c r="I81" s="36">
        <f t="shared" si="13"/>
        <v>0</v>
      </c>
      <c r="J81" s="40">
        <f t="shared" si="9"/>
        <v>1940</v>
      </c>
      <c r="K81" s="41">
        <f t="shared" si="10"/>
        <v>148500</v>
      </c>
      <c r="L81" s="42">
        <f t="shared" si="11"/>
        <v>145500</v>
      </c>
      <c r="M81" s="42">
        <f t="shared" si="14"/>
        <v>0</v>
      </c>
      <c r="N81" s="42">
        <f t="shared" si="15"/>
        <v>145500</v>
      </c>
    </row>
    <row r="82" spans="7:14" x14ac:dyDescent="0.25">
      <c r="G82" s="39">
        <f t="shared" si="8"/>
        <v>76</v>
      </c>
      <c r="H82" s="102" t="str">
        <f t="shared" si="12"/>
        <v/>
      </c>
      <c r="I82" s="36">
        <f t="shared" si="13"/>
        <v>0</v>
      </c>
      <c r="J82" s="40">
        <f t="shared" si="9"/>
        <v>1940</v>
      </c>
      <c r="K82" s="41">
        <f t="shared" si="10"/>
        <v>150440</v>
      </c>
      <c r="L82" s="42">
        <f t="shared" si="11"/>
        <v>143560</v>
      </c>
      <c r="M82" s="42">
        <f t="shared" si="14"/>
        <v>0</v>
      </c>
      <c r="N82" s="42">
        <f t="shared" si="15"/>
        <v>143560</v>
      </c>
    </row>
    <row r="83" spans="7:14" x14ac:dyDescent="0.25">
      <c r="G83" s="39">
        <f t="shared" si="8"/>
        <v>77</v>
      </c>
      <c r="H83" s="102" t="str">
        <f t="shared" si="12"/>
        <v/>
      </c>
      <c r="I83" s="36">
        <f t="shared" si="13"/>
        <v>0</v>
      </c>
      <c r="J83" s="40">
        <f t="shared" si="9"/>
        <v>1940</v>
      </c>
      <c r="K83" s="41">
        <f t="shared" si="10"/>
        <v>152380</v>
      </c>
      <c r="L83" s="42">
        <f t="shared" si="11"/>
        <v>141620</v>
      </c>
      <c r="M83" s="42">
        <f t="shared" si="14"/>
        <v>0</v>
      </c>
      <c r="N83" s="42">
        <f t="shared" si="15"/>
        <v>141620</v>
      </c>
    </row>
    <row r="84" spans="7:14" x14ac:dyDescent="0.25">
      <c r="G84" s="39">
        <f t="shared" si="8"/>
        <v>78</v>
      </c>
      <c r="H84" s="102" t="str">
        <f t="shared" si="12"/>
        <v/>
      </c>
      <c r="I84" s="36">
        <f t="shared" si="13"/>
        <v>0</v>
      </c>
      <c r="J84" s="40">
        <f t="shared" si="9"/>
        <v>1940</v>
      </c>
      <c r="K84" s="41">
        <f t="shared" si="10"/>
        <v>154320</v>
      </c>
      <c r="L84" s="42">
        <f t="shared" si="11"/>
        <v>139680</v>
      </c>
      <c r="M84" s="42">
        <f t="shared" si="14"/>
        <v>0</v>
      </c>
      <c r="N84" s="42">
        <f t="shared" si="15"/>
        <v>139680</v>
      </c>
    </row>
    <row r="85" spans="7:14" x14ac:dyDescent="0.25">
      <c r="G85" s="39">
        <f t="shared" si="8"/>
        <v>79</v>
      </c>
      <c r="H85" s="102" t="str">
        <f t="shared" si="12"/>
        <v/>
      </c>
      <c r="I85" s="36">
        <f t="shared" si="13"/>
        <v>0</v>
      </c>
      <c r="J85" s="40">
        <f t="shared" si="9"/>
        <v>1940</v>
      </c>
      <c r="K85" s="41">
        <f t="shared" si="10"/>
        <v>156260</v>
      </c>
      <c r="L85" s="42">
        <f t="shared" si="11"/>
        <v>137740</v>
      </c>
      <c r="M85" s="42">
        <f t="shared" si="14"/>
        <v>0</v>
      </c>
      <c r="N85" s="42">
        <f t="shared" si="15"/>
        <v>137740</v>
      </c>
    </row>
    <row r="86" spans="7:14" x14ac:dyDescent="0.25">
      <c r="G86" s="39">
        <f t="shared" si="8"/>
        <v>80</v>
      </c>
      <c r="H86" s="102" t="str">
        <f t="shared" si="12"/>
        <v/>
      </c>
      <c r="I86" s="36">
        <f t="shared" si="13"/>
        <v>0</v>
      </c>
      <c r="J86" s="40">
        <f t="shared" si="9"/>
        <v>1940</v>
      </c>
      <c r="K86" s="41">
        <f t="shared" si="10"/>
        <v>158200</v>
      </c>
      <c r="L86" s="42">
        <f t="shared" si="11"/>
        <v>135800</v>
      </c>
      <c r="M86" s="42">
        <f t="shared" si="14"/>
        <v>0</v>
      </c>
      <c r="N86" s="42">
        <f t="shared" si="15"/>
        <v>135800</v>
      </c>
    </row>
    <row r="87" spans="7:14" x14ac:dyDescent="0.25">
      <c r="G87" s="39">
        <f t="shared" si="8"/>
        <v>81</v>
      </c>
      <c r="H87" s="102" t="str">
        <f t="shared" si="12"/>
        <v/>
      </c>
      <c r="I87" s="36">
        <f t="shared" si="13"/>
        <v>0</v>
      </c>
      <c r="J87" s="40">
        <f t="shared" si="9"/>
        <v>1940</v>
      </c>
      <c r="K87" s="41">
        <f t="shared" si="10"/>
        <v>160140</v>
      </c>
      <c r="L87" s="42">
        <f t="shared" si="11"/>
        <v>133860</v>
      </c>
      <c r="M87" s="42">
        <f t="shared" si="14"/>
        <v>0</v>
      </c>
      <c r="N87" s="42">
        <f t="shared" si="15"/>
        <v>133860</v>
      </c>
    </row>
    <row r="88" spans="7:14" x14ac:dyDescent="0.25">
      <c r="G88" s="39">
        <f t="shared" si="8"/>
        <v>82</v>
      </c>
      <c r="H88" s="102" t="str">
        <f t="shared" si="12"/>
        <v/>
      </c>
      <c r="I88" s="36">
        <f t="shared" si="13"/>
        <v>0</v>
      </c>
      <c r="J88" s="40">
        <f t="shared" si="9"/>
        <v>1940</v>
      </c>
      <c r="K88" s="41">
        <f t="shared" si="10"/>
        <v>162080</v>
      </c>
      <c r="L88" s="42">
        <f t="shared" si="11"/>
        <v>131920</v>
      </c>
      <c r="M88" s="42">
        <f t="shared" si="14"/>
        <v>0</v>
      </c>
      <c r="N88" s="42">
        <f t="shared" si="15"/>
        <v>131920</v>
      </c>
    </row>
    <row r="89" spans="7:14" x14ac:dyDescent="0.25">
      <c r="G89" s="39">
        <f t="shared" si="8"/>
        <v>83</v>
      </c>
      <c r="H89" s="102" t="str">
        <f t="shared" si="12"/>
        <v/>
      </c>
      <c r="I89" s="36">
        <f t="shared" si="13"/>
        <v>0</v>
      </c>
      <c r="J89" s="40">
        <f t="shared" si="9"/>
        <v>1940</v>
      </c>
      <c r="K89" s="41">
        <f t="shared" si="10"/>
        <v>164020</v>
      </c>
      <c r="L89" s="42">
        <f t="shared" si="11"/>
        <v>129980</v>
      </c>
      <c r="M89" s="42">
        <f t="shared" si="14"/>
        <v>0</v>
      </c>
      <c r="N89" s="42">
        <f t="shared" si="15"/>
        <v>129980</v>
      </c>
    </row>
    <row r="90" spans="7:14" x14ac:dyDescent="0.25">
      <c r="G90" s="39">
        <f t="shared" si="8"/>
        <v>84</v>
      </c>
      <c r="H90" s="102" t="str">
        <f t="shared" si="12"/>
        <v/>
      </c>
      <c r="I90" s="36">
        <f t="shared" si="13"/>
        <v>0</v>
      </c>
      <c r="J90" s="40">
        <f t="shared" si="9"/>
        <v>1940</v>
      </c>
      <c r="K90" s="41">
        <f t="shared" si="10"/>
        <v>165960</v>
      </c>
      <c r="L90" s="42">
        <f t="shared" si="11"/>
        <v>128040</v>
      </c>
      <c r="M90" s="42">
        <f t="shared" si="14"/>
        <v>0</v>
      </c>
      <c r="N90" s="42">
        <f t="shared" si="15"/>
        <v>128040</v>
      </c>
    </row>
    <row r="91" spans="7:14" x14ac:dyDescent="0.25">
      <c r="G91" s="39">
        <f t="shared" si="8"/>
        <v>85</v>
      </c>
      <c r="H91" s="102" t="str">
        <f t="shared" si="12"/>
        <v/>
      </c>
      <c r="I91" s="36">
        <f t="shared" si="13"/>
        <v>0</v>
      </c>
      <c r="J91" s="40">
        <f t="shared" si="9"/>
        <v>1940</v>
      </c>
      <c r="K91" s="41">
        <f t="shared" si="10"/>
        <v>167900</v>
      </c>
      <c r="L91" s="42">
        <f t="shared" si="11"/>
        <v>126100</v>
      </c>
      <c r="M91" s="42">
        <f t="shared" si="14"/>
        <v>0</v>
      </c>
      <c r="N91" s="42">
        <f t="shared" si="15"/>
        <v>126100</v>
      </c>
    </row>
    <row r="92" spans="7:14" x14ac:dyDescent="0.25">
      <c r="G92" s="39">
        <f t="shared" si="8"/>
        <v>86</v>
      </c>
      <c r="H92" s="102" t="str">
        <f t="shared" si="12"/>
        <v/>
      </c>
      <c r="I92" s="36">
        <f t="shared" si="13"/>
        <v>0</v>
      </c>
      <c r="J92" s="40">
        <f t="shared" si="9"/>
        <v>1940</v>
      </c>
      <c r="K92" s="41">
        <f t="shared" si="10"/>
        <v>169840</v>
      </c>
      <c r="L92" s="42">
        <f t="shared" si="11"/>
        <v>124160</v>
      </c>
      <c r="M92" s="42">
        <f t="shared" si="14"/>
        <v>0</v>
      </c>
      <c r="N92" s="42">
        <f t="shared" si="15"/>
        <v>124160</v>
      </c>
    </row>
    <row r="93" spans="7:14" x14ac:dyDescent="0.25">
      <c r="G93" s="39">
        <f t="shared" si="8"/>
        <v>87</v>
      </c>
      <c r="H93" s="102" t="str">
        <f t="shared" si="12"/>
        <v/>
      </c>
      <c r="I93" s="36">
        <f t="shared" si="13"/>
        <v>0</v>
      </c>
      <c r="J93" s="40">
        <f t="shared" si="9"/>
        <v>1940</v>
      </c>
      <c r="K93" s="41">
        <f t="shared" si="10"/>
        <v>171780</v>
      </c>
      <c r="L93" s="42">
        <f t="shared" si="11"/>
        <v>122220</v>
      </c>
      <c r="M93" s="42">
        <f t="shared" si="14"/>
        <v>0</v>
      </c>
      <c r="N93" s="42">
        <f t="shared" si="15"/>
        <v>122220</v>
      </c>
    </row>
    <row r="94" spans="7:14" x14ac:dyDescent="0.25">
      <c r="G94" s="39">
        <f t="shared" si="8"/>
        <v>88</v>
      </c>
      <c r="H94" s="102" t="str">
        <f t="shared" si="12"/>
        <v/>
      </c>
      <c r="I94" s="36">
        <f t="shared" si="13"/>
        <v>0</v>
      </c>
      <c r="J94" s="40">
        <f t="shared" si="9"/>
        <v>1940</v>
      </c>
      <c r="K94" s="41">
        <f t="shared" si="10"/>
        <v>173720</v>
      </c>
      <c r="L94" s="42">
        <f t="shared" si="11"/>
        <v>120280</v>
      </c>
      <c r="M94" s="42">
        <f t="shared" si="14"/>
        <v>0</v>
      </c>
      <c r="N94" s="42">
        <f t="shared" si="15"/>
        <v>120280</v>
      </c>
    </row>
    <row r="95" spans="7:14" x14ac:dyDescent="0.25">
      <c r="G95" s="39">
        <f t="shared" si="8"/>
        <v>89</v>
      </c>
      <c r="H95" s="102" t="str">
        <f t="shared" si="12"/>
        <v/>
      </c>
      <c r="I95" s="36">
        <f t="shared" si="13"/>
        <v>0</v>
      </c>
      <c r="J95" s="40">
        <f t="shared" si="9"/>
        <v>1940</v>
      </c>
      <c r="K95" s="41">
        <f t="shared" si="10"/>
        <v>175660</v>
      </c>
      <c r="L95" s="42">
        <f t="shared" si="11"/>
        <v>118340</v>
      </c>
      <c r="M95" s="42">
        <f t="shared" si="14"/>
        <v>0</v>
      </c>
      <c r="N95" s="42">
        <f t="shared" si="15"/>
        <v>118340</v>
      </c>
    </row>
    <row r="96" spans="7:14" x14ac:dyDescent="0.25">
      <c r="G96" s="39">
        <f t="shared" si="8"/>
        <v>90</v>
      </c>
      <c r="H96" s="102" t="str">
        <f t="shared" si="12"/>
        <v/>
      </c>
      <c r="I96" s="36">
        <f t="shared" si="13"/>
        <v>0</v>
      </c>
      <c r="J96" s="40">
        <f t="shared" si="9"/>
        <v>1940</v>
      </c>
      <c r="K96" s="41">
        <f t="shared" si="10"/>
        <v>177600</v>
      </c>
      <c r="L96" s="42">
        <f t="shared" si="11"/>
        <v>116400</v>
      </c>
      <c r="M96" s="42">
        <f t="shared" si="14"/>
        <v>0</v>
      </c>
      <c r="N96" s="42">
        <f t="shared" si="15"/>
        <v>116400</v>
      </c>
    </row>
    <row r="97" spans="7:14" x14ac:dyDescent="0.25">
      <c r="G97" s="39">
        <f t="shared" si="8"/>
        <v>91</v>
      </c>
      <c r="H97" s="102" t="str">
        <f t="shared" si="12"/>
        <v/>
      </c>
      <c r="I97" s="36">
        <f t="shared" si="13"/>
        <v>0</v>
      </c>
      <c r="J97" s="40">
        <f t="shared" si="9"/>
        <v>1940</v>
      </c>
      <c r="K97" s="41">
        <f t="shared" si="10"/>
        <v>179540</v>
      </c>
      <c r="L97" s="42">
        <f t="shared" si="11"/>
        <v>114460</v>
      </c>
      <c r="M97" s="42">
        <f t="shared" si="14"/>
        <v>0</v>
      </c>
      <c r="N97" s="42">
        <f t="shared" si="15"/>
        <v>114460</v>
      </c>
    </row>
    <row r="98" spans="7:14" x14ac:dyDescent="0.25">
      <c r="G98" s="39">
        <f t="shared" si="8"/>
        <v>92</v>
      </c>
      <c r="H98" s="102" t="str">
        <f t="shared" si="12"/>
        <v/>
      </c>
      <c r="I98" s="36">
        <f t="shared" si="13"/>
        <v>0</v>
      </c>
      <c r="J98" s="40">
        <f t="shared" si="9"/>
        <v>1940</v>
      </c>
      <c r="K98" s="41">
        <f t="shared" si="10"/>
        <v>181480</v>
      </c>
      <c r="L98" s="42">
        <f t="shared" si="11"/>
        <v>112520</v>
      </c>
      <c r="M98" s="42">
        <f t="shared" si="14"/>
        <v>0</v>
      </c>
      <c r="N98" s="42">
        <f t="shared" si="15"/>
        <v>112520</v>
      </c>
    </row>
    <row r="99" spans="7:14" x14ac:dyDescent="0.25">
      <c r="G99" s="39">
        <f t="shared" si="8"/>
        <v>93</v>
      </c>
      <c r="H99" s="102" t="str">
        <f t="shared" si="12"/>
        <v/>
      </c>
      <c r="I99" s="36">
        <f t="shared" si="13"/>
        <v>0</v>
      </c>
      <c r="J99" s="40">
        <f t="shared" si="9"/>
        <v>1940</v>
      </c>
      <c r="K99" s="41">
        <f t="shared" si="10"/>
        <v>183420</v>
      </c>
      <c r="L99" s="42">
        <f t="shared" si="11"/>
        <v>110580</v>
      </c>
      <c r="M99" s="42">
        <f t="shared" si="14"/>
        <v>0</v>
      </c>
      <c r="N99" s="42">
        <f t="shared" si="15"/>
        <v>110580</v>
      </c>
    </row>
    <row r="100" spans="7:14" x14ac:dyDescent="0.25">
      <c r="G100" s="39">
        <f t="shared" si="8"/>
        <v>94</v>
      </c>
      <c r="H100" s="102" t="str">
        <f t="shared" si="12"/>
        <v/>
      </c>
      <c r="I100" s="36">
        <f t="shared" si="13"/>
        <v>0</v>
      </c>
      <c r="J100" s="40">
        <f t="shared" si="9"/>
        <v>1940</v>
      </c>
      <c r="K100" s="41">
        <f t="shared" si="10"/>
        <v>185360</v>
      </c>
      <c r="L100" s="42">
        <f t="shared" si="11"/>
        <v>108640</v>
      </c>
      <c r="M100" s="42">
        <f t="shared" si="14"/>
        <v>0</v>
      </c>
      <c r="N100" s="42">
        <f t="shared" si="15"/>
        <v>108640</v>
      </c>
    </row>
    <row r="101" spans="7:14" x14ac:dyDescent="0.25">
      <c r="G101" s="39">
        <f t="shared" si="8"/>
        <v>95</v>
      </c>
      <c r="H101" s="102" t="str">
        <f t="shared" si="12"/>
        <v/>
      </c>
      <c r="I101" s="36">
        <f t="shared" si="13"/>
        <v>0</v>
      </c>
      <c r="J101" s="40">
        <f t="shared" si="9"/>
        <v>1940</v>
      </c>
      <c r="K101" s="41">
        <f t="shared" si="10"/>
        <v>187300</v>
      </c>
      <c r="L101" s="42">
        <f t="shared" si="11"/>
        <v>106700</v>
      </c>
      <c r="M101" s="42">
        <f t="shared" si="14"/>
        <v>0</v>
      </c>
      <c r="N101" s="42">
        <f t="shared" si="15"/>
        <v>106700</v>
      </c>
    </row>
    <row r="102" spans="7:14" x14ac:dyDescent="0.25">
      <c r="G102" s="39">
        <f t="shared" si="8"/>
        <v>96</v>
      </c>
      <c r="H102" s="102" t="str">
        <f t="shared" si="12"/>
        <v/>
      </c>
      <c r="I102" s="36">
        <f t="shared" si="13"/>
        <v>0</v>
      </c>
      <c r="J102" s="40">
        <f t="shared" si="9"/>
        <v>1940</v>
      </c>
      <c r="K102" s="41">
        <f t="shared" si="10"/>
        <v>189240</v>
      </c>
      <c r="L102" s="42">
        <f t="shared" si="11"/>
        <v>104760</v>
      </c>
      <c r="M102" s="42">
        <f t="shared" si="14"/>
        <v>0</v>
      </c>
      <c r="N102" s="42">
        <f t="shared" si="15"/>
        <v>104760</v>
      </c>
    </row>
    <row r="103" spans="7:14" x14ac:dyDescent="0.25">
      <c r="G103" s="39">
        <f t="shared" si="8"/>
        <v>97</v>
      </c>
      <c r="H103" s="102" t="str">
        <f t="shared" si="12"/>
        <v/>
      </c>
      <c r="I103" s="36">
        <f t="shared" si="13"/>
        <v>0</v>
      </c>
      <c r="J103" s="40">
        <f t="shared" si="9"/>
        <v>1940</v>
      </c>
      <c r="K103" s="41">
        <f t="shared" si="10"/>
        <v>191180</v>
      </c>
      <c r="L103" s="42">
        <f t="shared" si="11"/>
        <v>102820</v>
      </c>
      <c r="M103" s="42">
        <f t="shared" si="14"/>
        <v>0</v>
      </c>
      <c r="N103" s="42">
        <f t="shared" si="15"/>
        <v>102820</v>
      </c>
    </row>
    <row r="104" spans="7:14" x14ac:dyDescent="0.25">
      <c r="G104" s="39">
        <f t="shared" si="8"/>
        <v>98</v>
      </c>
      <c r="H104" s="102" t="str">
        <f t="shared" si="12"/>
        <v/>
      </c>
      <c r="I104" s="36">
        <f t="shared" si="13"/>
        <v>0</v>
      </c>
      <c r="J104" s="40">
        <f t="shared" si="9"/>
        <v>1940</v>
      </c>
      <c r="K104" s="41">
        <f t="shared" si="10"/>
        <v>193120</v>
      </c>
      <c r="L104" s="42">
        <f t="shared" si="11"/>
        <v>100880</v>
      </c>
      <c r="M104" s="42">
        <f t="shared" si="14"/>
        <v>0</v>
      </c>
      <c r="N104" s="42">
        <f t="shared" si="15"/>
        <v>100880</v>
      </c>
    </row>
    <row r="105" spans="7:14" x14ac:dyDescent="0.25">
      <c r="G105" s="39">
        <f t="shared" si="8"/>
        <v>99</v>
      </c>
      <c r="H105" s="102" t="str">
        <f t="shared" si="12"/>
        <v/>
      </c>
      <c r="I105" s="36">
        <f t="shared" si="13"/>
        <v>0</v>
      </c>
      <c r="J105" s="40">
        <f t="shared" si="9"/>
        <v>1940</v>
      </c>
      <c r="K105" s="41">
        <f t="shared" si="10"/>
        <v>195060</v>
      </c>
      <c r="L105" s="42">
        <f t="shared" si="11"/>
        <v>98940</v>
      </c>
      <c r="M105" s="42">
        <f t="shared" si="14"/>
        <v>0</v>
      </c>
      <c r="N105" s="42">
        <f t="shared" si="15"/>
        <v>98940</v>
      </c>
    </row>
    <row r="106" spans="7:14" x14ac:dyDescent="0.25">
      <c r="G106" s="39">
        <f t="shared" si="8"/>
        <v>100</v>
      </c>
      <c r="H106" s="102" t="str">
        <f t="shared" si="12"/>
        <v/>
      </c>
      <c r="I106" s="36">
        <f t="shared" si="13"/>
        <v>0</v>
      </c>
      <c r="J106" s="40">
        <f t="shared" si="9"/>
        <v>1940</v>
      </c>
      <c r="K106" s="41">
        <f t="shared" si="10"/>
        <v>197000</v>
      </c>
      <c r="L106" s="42">
        <f t="shared" si="11"/>
        <v>97000</v>
      </c>
      <c r="M106" s="42">
        <f t="shared" si="14"/>
        <v>0</v>
      </c>
      <c r="N106" s="42">
        <f t="shared" si="15"/>
        <v>97000</v>
      </c>
    </row>
    <row r="107" spans="7:14" x14ac:dyDescent="0.25">
      <c r="G107" s="39">
        <f t="shared" si="8"/>
        <v>101</v>
      </c>
      <c r="H107" s="102" t="str">
        <f t="shared" si="12"/>
        <v/>
      </c>
      <c r="I107" s="36">
        <f t="shared" si="13"/>
        <v>0</v>
      </c>
      <c r="J107" s="40">
        <f t="shared" si="9"/>
        <v>1940</v>
      </c>
      <c r="K107" s="41">
        <f t="shared" si="10"/>
        <v>198940</v>
      </c>
      <c r="L107" s="42">
        <f t="shared" si="11"/>
        <v>95060</v>
      </c>
      <c r="M107" s="42">
        <f t="shared" si="14"/>
        <v>0</v>
      </c>
      <c r="N107" s="42">
        <f t="shared" si="15"/>
        <v>95060</v>
      </c>
    </row>
    <row r="108" spans="7:14" x14ac:dyDescent="0.25">
      <c r="G108" s="39">
        <f t="shared" si="8"/>
        <v>102</v>
      </c>
      <c r="H108" s="102" t="str">
        <f t="shared" si="12"/>
        <v/>
      </c>
      <c r="I108" s="36">
        <f t="shared" si="13"/>
        <v>0</v>
      </c>
      <c r="J108" s="40">
        <f t="shared" si="9"/>
        <v>1940</v>
      </c>
      <c r="K108" s="41">
        <f t="shared" si="10"/>
        <v>200880</v>
      </c>
      <c r="L108" s="42">
        <f t="shared" si="11"/>
        <v>93120</v>
      </c>
      <c r="M108" s="42">
        <f t="shared" si="14"/>
        <v>0</v>
      </c>
      <c r="N108" s="42">
        <f t="shared" si="15"/>
        <v>93120</v>
      </c>
    </row>
    <row r="109" spans="7:14" x14ac:dyDescent="0.25">
      <c r="G109" s="39">
        <f t="shared" si="8"/>
        <v>103</v>
      </c>
      <c r="H109" s="102" t="str">
        <f t="shared" si="12"/>
        <v/>
      </c>
      <c r="I109" s="36">
        <f t="shared" si="13"/>
        <v>0</v>
      </c>
      <c r="J109" s="40">
        <f t="shared" si="9"/>
        <v>1940</v>
      </c>
      <c r="K109" s="41">
        <f t="shared" si="10"/>
        <v>202820</v>
      </c>
      <c r="L109" s="42">
        <f t="shared" si="11"/>
        <v>91180</v>
      </c>
      <c r="M109" s="42">
        <f t="shared" si="14"/>
        <v>0</v>
      </c>
      <c r="N109" s="42">
        <f t="shared" si="15"/>
        <v>91180</v>
      </c>
    </row>
    <row r="110" spans="7:14" x14ac:dyDescent="0.25">
      <c r="G110" s="39">
        <f t="shared" si="8"/>
        <v>104</v>
      </c>
      <c r="H110" s="102" t="str">
        <f t="shared" si="12"/>
        <v/>
      </c>
      <c r="I110" s="36">
        <f t="shared" si="13"/>
        <v>0</v>
      </c>
      <c r="J110" s="40">
        <f t="shared" si="9"/>
        <v>1940</v>
      </c>
      <c r="K110" s="41">
        <f t="shared" si="10"/>
        <v>204760</v>
      </c>
      <c r="L110" s="42">
        <f t="shared" si="11"/>
        <v>89240</v>
      </c>
      <c r="M110" s="42">
        <f t="shared" si="14"/>
        <v>0</v>
      </c>
      <c r="N110" s="42">
        <f t="shared" si="15"/>
        <v>89240</v>
      </c>
    </row>
    <row r="111" spans="7:14" x14ac:dyDescent="0.25">
      <c r="G111" s="39">
        <f t="shared" si="8"/>
        <v>105</v>
      </c>
      <c r="H111" s="102" t="str">
        <f t="shared" si="12"/>
        <v/>
      </c>
      <c r="I111" s="36">
        <f t="shared" si="13"/>
        <v>0</v>
      </c>
      <c r="J111" s="40">
        <f t="shared" si="9"/>
        <v>1940</v>
      </c>
      <c r="K111" s="41">
        <f t="shared" si="10"/>
        <v>206700</v>
      </c>
      <c r="L111" s="42">
        <f t="shared" si="11"/>
        <v>87300</v>
      </c>
      <c r="M111" s="42">
        <f t="shared" si="14"/>
        <v>0</v>
      </c>
      <c r="N111" s="42">
        <f t="shared" si="15"/>
        <v>87300</v>
      </c>
    </row>
    <row r="112" spans="7:14" x14ac:dyDescent="0.25">
      <c r="G112" s="39">
        <f t="shared" si="8"/>
        <v>106</v>
      </c>
      <c r="H112" s="102" t="str">
        <f t="shared" si="12"/>
        <v/>
      </c>
      <c r="I112" s="36">
        <f t="shared" si="13"/>
        <v>0</v>
      </c>
      <c r="J112" s="40">
        <f t="shared" si="9"/>
        <v>1940</v>
      </c>
      <c r="K112" s="41">
        <f t="shared" si="10"/>
        <v>208640</v>
      </c>
      <c r="L112" s="42">
        <f t="shared" si="11"/>
        <v>85360</v>
      </c>
      <c r="M112" s="42">
        <f t="shared" si="14"/>
        <v>0</v>
      </c>
      <c r="N112" s="42">
        <f t="shared" si="15"/>
        <v>85360</v>
      </c>
    </row>
    <row r="113" spans="7:14" x14ac:dyDescent="0.25">
      <c r="G113" s="39">
        <f t="shared" si="8"/>
        <v>107</v>
      </c>
      <c r="H113" s="102" t="str">
        <f t="shared" si="12"/>
        <v/>
      </c>
      <c r="I113" s="36">
        <f t="shared" si="13"/>
        <v>0</v>
      </c>
      <c r="J113" s="40">
        <f t="shared" si="9"/>
        <v>1940</v>
      </c>
      <c r="K113" s="41">
        <f t="shared" si="10"/>
        <v>210580</v>
      </c>
      <c r="L113" s="42">
        <f t="shared" si="11"/>
        <v>83420</v>
      </c>
      <c r="M113" s="42">
        <f t="shared" si="14"/>
        <v>0</v>
      </c>
      <c r="N113" s="42">
        <f t="shared" si="15"/>
        <v>83420</v>
      </c>
    </row>
    <row r="114" spans="7:14" x14ac:dyDescent="0.25">
      <c r="G114" s="39">
        <f t="shared" si="8"/>
        <v>108</v>
      </c>
      <c r="H114" s="102" t="str">
        <f t="shared" si="12"/>
        <v/>
      </c>
      <c r="I114" s="36">
        <f t="shared" si="13"/>
        <v>0</v>
      </c>
      <c r="J114" s="40">
        <f t="shared" si="9"/>
        <v>1940</v>
      </c>
      <c r="K114" s="41">
        <f t="shared" si="10"/>
        <v>212520</v>
      </c>
      <c r="L114" s="42">
        <f t="shared" si="11"/>
        <v>81480</v>
      </c>
      <c r="M114" s="42">
        <f t="shared" si="14"/>
        <v>0</v>
      </c>
      <c r="N114" s="42">
        <f t="shared" si="15"/>
        <v>81480</v>
      </c>
    </row>
    <row r="115" spans="7:14" x14ac:dyDescent="0.25">
      <c r="G115" s="39">
        <f t="shared" si="8"/>
        <v>109</v>
      </c>
      <c r="H115" s="102" t="str">
        <f t="shared" si="12"/>
        <v/>
      </c>
      <c r="I115" s="36">
        <f t="shared" si="13"/>
        <v>0</v>
      </c>
      <c r="J115" s="40">
        <f t="shared" si="9"/>
        <v>1940</v>
      </c>
      <c r="K115" s="41">
        <f t="shared" si="10"/>
        <v>214460</v>
      </c>
      <c r="L115" s="42">
        <f t="shared" si="11"/>
        <v>79540</v>
      </c>
      <c r="M115" s="42">
        <f t="shared" si="14"/>
        <v>0</v>
      </c>
      <c r="N115" s="42">
        <f t="shared" si="15"/>
        <v>79540</v>
      </c>
    </row>
    <row r="116" spans="7:14" x14ac:dyDescent="0.25">
      <c r="G116" s="39">
        <f t="shared" si="8"/>
        <v>110</v>
      </c>
      <c r="H116" s="102" t="str">
        <f t="shared" si="12"/>
        <v/>
      </c>
      <c r="I116" s="36">
        <f t="shared" si="13"/>
        <v>0</v>
      </c>
      <c r="J116" s="40">
        <f t="shared" si="9"/>
        <v>1940</v>
      </c>
      <c r="K116" s="41">
        <f t="shared" si="10"/>
        <v>216400</v>
      </c>
      <c r="L116" s="42">
        <f t="shared" si="11"/>
        <v>77600</v>
      </c>
      <c r="M116" s="42">
        <f t="shared" si="14"/>
        <v>0</v>
      </c>
      <c r="N116" s="42">
        <f t="shared" si="15"/>
        <v>77600</v>
      </c>
    </row>
    <row r="117" spans="7:14" x14ac:dyDescent="0.25">
      <c r="G117" s="39">
        <f t="shared" si="8"/>
        <v>111</v>
      </c>
      <c r="H117" s="102" t="str">
        <f t="shared" si="12"/>
        <v/>
      </c>
      <c r="I117" s="36">
        <f t="shared" si="13"/>
        <v>0</v>
      </c>
      <c r="J117" s="40">
        <f t="shared" si="9"/>
        <v>1940</v>
      </c>
      <c r="K117" s="41">
        <f t="shared" si="10"/>
        <v>218340</v>
      </c>
      <c r="L117" s="42">
        <f t="shared" si="11"/>
        <v>75660</v>
      </c>
      <c r="M117" s="42">
        <f t="shared" si="14"/>
        <v>0</v>
      </c>
      <c r="N117" s="42">
        <f t="shared" si="15"/>
        <v>75660</v>
      </c>
    </row>
    <row r="118" spans="7:14" x14ac:dyDescent="0.25">
      <c r="G118" s="39">
        <f t="shared" si="8"/>
        <v>112</v>
      </c>
      <c r="H118" s="102" t="str">
        <f t="shared" si="12"/>
        <v/>
      </c>
      <c r="I118" s="36">
        <f t="shared" si="13"/>
        <v>0</v>
      </c>
      <c r="J118" s="40">
        <f t="shared" si="9"/>
        <v>1940</v>
      </c>
      <c r="K118" s="41">
        <f t="shared" si="10"/>
        <v>220280</v>
      </c>
      <c r="L118" s="42">
        <f t="shared" si="11"/>
        <v>73720</v>
      </c>
      <c r="M118" s="42">
        <f t="shared" si="14"/>
        <v>0</v>
      </c>
      <c r="N118" s="42">
        <f t="shared" si="15"/>
        <v>73720</v>
      </c>
    </row>
    <row r="119" spans="7:14" x14ac:dyDescent="0.25">
      <c r="G119" s="39">
        <f t="shared" si="8"/>
        <v>113</v>
      </c>
      <c r="H119" s="102" t="str">
        <f t="shared" si="12"/>
        <v/>
      </c>
      <c r="I119" s="36">
        <f t="shared" si="13"/>
        <v>0</v>
      </c>
      <c r="J119" s="40">
        <f t="shared" si="9"/>
        <v>1940</v>
      </c>
      <c r="K119" s="41">
        <f t="shared" si="10"/>
        <v>222220</v>
      </c>
      <c r="L119" s="42">
        <f t="shared" si="11"/>
        <v>71780</v>
      </c>
      <c r="M119" s="42">
        <f t="shared" si="14"/>
        <v>0</v>
      </c>
      <c r="N119" s="42">
        <f t="shared" si="15"/>
        <v>71780</v>
      </c>
    </row>
    <row r="120" spans="7:14" x14ac:dyDescent="0.25">
      <c r="G120" s="39">
        <f t="shared" si="8"/>
        <v>114</v>
      </c>
      <c r="H120" s="102" t="str">
        <f t="shared" si="12"/>
        <v/>
      </c>
      <c r="I120" s="36">
        <f t="shared" si="13"/>
        <v>0</v>
      </c>
      <c r="J120" s="40">
        <f t="shared" si="9"/>
        <v>1940</v>
      </c>
      <c r="K120" s="41">
        <f t="shared" si="10"/>
        <v>224160</v>
      </c>
      <c r="L120" s="42">
        <f t="shared" si="11"/>
        <v>69840</v>
      </c>
      <c r="M120" s="42">
        <f t="shared" si="14"/>
        <v>0</v>
      </c>
      <c r="N120" s="42">
        <f t="shared" si="15"/>
        <v>69840</v>
      </c>
    </row>
    <row r="121" spans="7:14" x14ac:dyDescent="0.25">
      <c r="G121" s="39">
        <f t="shared" si="8"/>
        <v>115</v>
      </c>
      <c r="H121" s="102" t="str">
        <f t="shared" si="12"/>
        <v/>
      </c>
      <c r="I121" s="36">
        <f t="shared" si="13"/>
        <v>0</v>
      </c>
      <c r="J121" s="40">
        <f t="shared" si="9"/>
        <v>1940</v>
      </c>
      <c r="K121" s="41">
        <f t="shared" si="10"/>
        <v>226100</v>
      </c>
      <c r="L121" s="42">
        <f t="shared" si="11"/>
        <v>67900</v>
      </c>
      <c r="M121" s="42">
        <f t="shared" si="14"/>
        <v>0</v>
      </c>
      <c r="N121" s="42">
        <f t="shared" si="15"/>
        <v>67900</v>
      </c>
    </row>
    <row r="122" spans="7:14" x14ac:dyDescent="0.25">
      <c r="G122" s="39">
        <f t="shared" si="8"/>
        <v>116</v>
      </c>
      <c r="H122" s="102" t="str">
        <f t="shared" si="12"/>
        <v/>
      </c>
      <c r="I122" s="36">
        <f t="shared" si="13"/>
        <v>0</v>
      </c>
      <c r="J122" s="40">
        <f t="shared" si="9"/>
        <v>1940</v>
      </c>
      <c r="K122" s="41">
        <f t="shared" si="10"/>
        <v>228040</v>
      </c>
      <c r="L122" s="42">
        <f t="shared" si="11"/>
        <v>65960</v>
      </c>
      <c r="M122" s="42">
        <f t="shared" si="14"/>
        <v>0</v>
      </c>
      <c r="N122" s="42">
        <f t="shared" si="15"/>
        <v>65960</v>
      </c>
    </row>
    <row r="123" spans="7:14" x14ac:dyDescent="0.25">
      <c r="G123" s="39">
        <f t="shared" si="8"/>
        <v>117</v>
      </c>
      <c r="H123" s="102" t="str">
        <f t="shared" si="12"/>
        <v/>
      </c>
      <c r="I123" s="36">
        <f t="shared" si="13"/>
        <v>0</v>
      </c>
      <c r="J123" s="40">
        <f t="shared" si="9"/>
        <v>1940</v>
      </c>
      <c r="K123" s="41">
        <f t="shared" si="10"/>
        <v>229980</v>
      </c>
      <c r="L123" s="42">
        <f t="shared" si="11"/>
        <v>64020</v>
      </c>
      <c r="M123" s="42">
        <f t="shared" si="14"/>
        <v>0</v>
      </c>
      <c r="N123" s="42">
        <f t="shared" si="15"/>
        <v>64020</v>
      </c>
    </row>
    <row r="124" spans="7:14" x14ac:dyDescent="0.25">
      <c r="G124" s="39">
        <f t="shared" si="8"/>
        <v>118</v>
      </c>
      <c r="H124" s="102" t="str">
        <f t="shared" si="12"/>
        <v/>
      </c>
      <c r="I124" s="36">
        <f t="shared" si="13"/>
        <v>0</v>
      </c>
      <c r="J124" s="40">
        <f t="shared" si="9"/>
        <v>1940</v>
      </c>
      <c r="K124" s="41">
        <f t="shared" si="10"/>
        <v>231920</v>
      </c>
      <c r="L124" s="42">
        <f t="shared" si="11"/>
        <v>62080</v>
      </c>
      <c r="M124" s="42">
        <f t="shared" si="14"/>
        <v>0</v>
      </c>
      <c r="N124" s="42">
        <f t="shared" si="15"/>
        <v>62080</v>
      </c>
    </row>
    <row r="125" spans="7:14" x14ac:dyDescent="0.25">
      <c r="G125" s="39">
        <f t="shared" si="8"/>
        <v>119</v>
      </c>
      <c r="H125" s="102" t="str">
        <f t="shared" si="12"/>
        <v/>
      </c>
      <c r="I125" s="36">
        <f t="shared" si="13"/>
        <v>0</v>
      </c>
      <c r="J125" s="40">
        <f t="shared" si="9"/>
        <v>1940</v>
      </c>
      <c r="K125" s="41">
        <f t="shared" si="10"/>
        <v>233860</v>
      </c>
      <c r="L125" s="42">
        <f t="shared" si="11"/>
        <v>60140</v>
      </c>
      <c r="M125" s="42">
        <f t="shared" si="14"/>
        <v>0</v>
      </c>
      <c r="N125" s="42">
        <f t="shared" si="15"/>
        <v>60140</v>
      </c>
    </row>
    <row r="126" spans="7:14" x14ac:dyDescent="0.25">
      <c r="G126" s="39">
        <f t="shared" si="8"/>
        <v>120</v>
      </c>
      <c r="H126" s="102" t="str">
        <f t="shared" si="12"/>
        <v/>
      </c>
      <c r="I126" s="36">
        <f t="shared" si="13"/>
        <v>0</v>
      </c>
      <c r="J126" s="40">
        <f t="shared" si="9"/>
        <v>1940</v>
      </c>
      <c r="K126" s="41">
        <f t="shared" si="10"/>
        <v>235800</v>
      </c>
      <c r="L126" s="42">
        <f t="shared" si="11"/>
        <v>58200</v>
      </c>
      <c r="M126" s="42">
        <f t="shared" si="14"/>
        <v>0</v>
      </c>
      <c r="N126" s="42">
        <f t="shared" si="15"/>
        <v>58200</v>
      </c>
    </row>
    <row r="127" spans="7:14" x14ac:dyDescent="0.25">
      <c r="G127" s="39">
        <f t="shared" si="8"/>
        <v>121</v>
      </c>
      <c r="H127" s="102" t="str">
        <f t="shared" si="12"/>
        <v/>
      </c>
      <c r="I127" s="36">
        <f t="shared" si="13"/>
        <v>0</v>
      </c>
      <c r="J127" s="40">
        <f t="shared" si="9"/>
        <v>1940</v>
      </c>
      <c r="K127" s="41">
        <f t="shared" si="10"/>
        <v>237740</v>
      </c>
      <c r="L127" s="42">
        <f t="shared" si="11"/>
        <v>56260</v>
      </c>
      <c r="M127" s="42">
        <f t="shared" si="14"/>
        <v>0</v>
      </c>
      <c r="N127" s="42">
        <f t="shared" si="15"/>
        <v>56260</v>
      </c>
    </row>
    <row r="128" spans="7:14" x14ac:dyDescent="0.25">
      <c r="G128" s="39">
        <f t="shared" si="8"/>
        <v>122</v>
      </c>
      <c r="H128" s="102" t="str">
        <f t="shared" si="12"/>
        <v/>
      </c>
      <c r="I128" s="36">
        <f t="shared" si="13"/>
        <v>0</v>
      </c>
      <c r="J128" s="40">
        <f t="shared" si="9"/>
        <v>1940</v>
      </c>
      <c r="K128" s="41">
        <f t="shared" si="10"/>
        <v>239680</v>
      </c>
      <c r="L128" s="42">
        <f t="shared" si="11"/>
        <v>54320</v>
      </c>
      <c r="M128" s="42">
        <f t="shared" si="14"/>
        <v>0</v>
      </c>
      <c r="N128" s="42">
        <f t="shared" si="15"/>
        <v>54320</v>
      </c>
    </row>
    <row r="129" spans="7:14" x14ac:dyDescent="0.25">
      <c r="G129" s="39">
        <f t="shared" si="8"/>
        <v>123</v>
      </c>
      <c r="H129" s="102" t="str">
        <f t="shared" si="12"/>
        <v/>
      </c>
      <c r="I129" s="36">
        <f t="shared" si="13"/>
        <v>0</v>
      </c>
      <c r="J129" s="40">
        <f t="shared" si="9"/>
        <v>1940</v>
      </c>
      <c r="K129" s="41">
        <f t="shared" si="10"/>
        <v>241620</v>
      </c>
      <c r="L129" s="42">
        <f t="shared" si="11"/>
        <v>52380</v>
      </c>
      <c r="M129" s="42">
        <f t="shared" si="14"/>
        <v>0</v>
      </c>
      <c r="N129" s="42">
        <f t="shared" si="15"/>
        <v>52380</v>
      </c>
    </row>
    <row r="130" spans="7:14" x14ac:dyDescent="0.25">
      <c r="G130" s="39">
        <f t="shared" si="8"/>
        <v>124</v>
      </c>
      <c r="H130" s="102" t="str">
        <f t="shared" si="12"/>
        <v/>
      </c>
      <c r="I130" s="36">
        <f t="shared" si="13"/>
        <v>0</v>
      </c>
      <c r="J130" s="40">
        <f t="shared" si="9"/>
        <v>1940</v>
      </c>
      <c r="K130" s="41">
        <f t="shared" si="10"/>
        <v>243560</v>
      </c>
      <c r="L130" s="42">
        <f t="shared" si="11"/>
        <v>50440</v>
      </c>
      <c r="M130" s="42">
        <f t="shared" si="14"/>
        <v>0</v>
      </c>
      <c r="N130" s="42">
        <f t="shared" si="15"/>
        <v>50440</v>
      </c>
    </row>
    <row r="131" spans="7:14" x14ac:dyDescent="0.25">
      <c r="G131" s="39">
        <f t="shared" si="8"/>
        <v>125</v>
      </c>
      <c r="H131" s="102" t="str">
        <f t="shared" si="12"/>
        <v/>
      </c>
      <c r="I131" s="36">
        <f t="shared" si="13"/>
        <v>0</v>
      </c>
      <c r="J131" s="40">
        <f t="shared" si="9"/>
        <v>1940</v>
      </c>
      <c r="K131" s="41">
        <f t="shared" si="10"/>
        <v>245500</v>
      </c>
      <c r="L131" s="42">
        <f t="shared" si="11"/>
        <v>48500</v>
      </c>
      <c r="M131" s="42">
        <f t="shared" si="14"/>
        <v>0</v>
      </c>
      <c r="N131" s="42">
        <f t="shared" si="15"/>
        <v>48500</v>
      </c>
    </row>
    <row r="132" spans="7:14" x14ac:dyDescent="0.25">
      <c r="G132" s="39">
        <f t="shared" si="8"/>
        <v>126</v>
      </c>
      <c r="H132" s="102" t="str">
        <f t="shared" si="12"/>
        <v/>
      </c>
      <c r="I132" s="36">
        <f t="shared" si="13"/>
        <v>0</v>
      </c>
      <c r="J132" s="40">
        <f t="shared" si="9"/>
        <v>1940</v>
      </c>
      <c r="K132" s="41">
        <f t="shared" si="10"/>
        <v>247440</v>
      </c>
      <c r="L132" s="42">
        <f t="shared" si="11"/>
        <v>46560</v>
      </c>
      <c r="M132" s="42">
        <f t="shared" si="14"/>
        <v>0</v>
      </c>
      <c r="N132" s="42">
        <f t="shared" si="15"/>
        <v>46560</v>
      </c>
    </row>
    <row r="133" spans="7:14" x14ac:dyDescent="0.25">
      <c r="G133" s="39">
        <f t="shared" si="8"/>
        <v>127</v>
      </c>
      <c r="H133" s="102" t="str">
        <f t="shared" si="12"/>
        <v/>
      </c>
      <c r="I133" s="36">
        <f t="shared" si="13"/>
        <v>0</v>
      </c>
      <c r="J133" s="40">
        <f t="shared" si="9"/>
        <v>1940</v>
      </c>
      <c r="K133" s="41">
        <f t="shared" si="10"/>
        <v>249380</v>
      </c>
      <c r="L133" s="42">
        <f t="shared" si="11"/>
        <v>44620</v>
      </c>
      <c r="M133" s="42">
        <f t="shared" si="14"/>
        <v>0</v>
      </c>
      <c r="N133" s="42">
        <f t="shared" si="15"/>
        <v>44620</v>
      </c>
    </row>
    <row r="134" spans="7:14" x14ac:dyDescent="0.25">
      <c r="G134" s="39">
        <f t="shared" si="8"/>
        <v>128</v>
      </c>
      <c r="H134" s="102" t="str">
        <f t="shared" si="12"/>
        <v/>
      </c>
      <c r="I134" s="36">
        <f t="shared" si="13"/>
        <v>0</v>
      </c>
      <c r="J134" s="40">
        <f t="shared" si="9"/>
        <v>1940</v>
      </c>
      <c r="K134" s="41">
        <f t="shared" si="10"/>
        <v>251320</v>
      </c>
      <c r="L134" s="42">
        <f t="shared" si="11"/>
        <v>42680</v>
      </c>
      <c r="M134" s="42">
        <f t="shared" si="14"/>
        <v>0</v>
      </c>
      <c r="N134" s="42">
        <f t="shared" si="15"/>
        <v>42680</v>
      </c>
    </row>
    <row r="135" spans="7:14" x14ac:dyDescent="0.25">
      <c r="G135" s="39">
        <f t="shared" ref="G135:G198" si="16">IFERROR(IF(G134+1&gt;$E$6,"",G134+1),"")</f>
        <v>129</v>
      </c>
      <c r="H135" s="102" t="str">
        <f t="shared" si="12"/>
        <v/>
      </c>
      <c r="I135" s="36">
        <f t="shared" si="13"/>
        <v>0</v>
      </c>
      <c r="J135" s="40">
        <f t="shared" ref="J135:J198" si="17">IF(G135="","",IF($A$2=1,N134/($E$6-G134),IF(AND($A$2=2,G135&lt;=$E$16),$E$40/rng_QTDEParc,N134/($E$6-G134))))</f>
        <v>1940</v>
      </c>
      <c r="K135" s="41">
        <f t="shared" ref="K135:K153" si="18">IF(G135="","",I135+J135+K134)</f>
        <v>253260</v>
      </c>
      <c r="L135" s="42">
        <f t="shared" ref="L135:L198" si="19">IF(G135="","",N134-J135)</f>
        <v>40740</v>
      </c>
      <c r="M135" s="42">
        <f t="shared" si="14"/>
        <v>0</v>
      </c>
      <c r="N135" s="42">
        <f t="shared" si="15"/>
        <v>40740</v>
      </c>
    </row>
    <row r="136" spans="7:14" x14ac:dyDescent="0.25">
      <c r="G136" s="39">
        <f t="shared" si="16"/>
        <v>130</v>
      </c>
      <c r="H136" s="102" t="str">
        <f t="shared" ref="H136:H199" si="20">IF(G136="","",IF(G136&lt;=$E$12,$E$10/$E$12,""))</f>
        <v/>
      </c>
      <c r="I136" s="36">
        <f t="shared" ref="I136:I199" si="21">IF(G136="","",IF(H136&lt;&gt;"",H136*$E$4,0))</f>
        <v>0</v>
      </c>
      <c r="J136" s="40">
        <f t="shared" si="17"/>
        <v>1940</v>
      </c>
      <c r="K136" s="41">
        <f t="shared" si="18"/>
        <v>255200</v>
      </c>
      <c r="L136" s="42">
        <f t="shared" si="19"/>
        <v>38800</v>
      </c>
      <c r="M136" s="42">
        <f t="shared" ref="M136:M199" si="22">IF(G136="","",IF(AND($B$2=2,G136=$E$16,$E$20&gt;=$E$24),($E$4*$E$20)-($E$4*$E$24),IF(AND(A$16=TRUE,G136=$E$16),$E$22,0)))</f>
        <v>0</v>
      </c>
      <c r="N136" s="42">
        <f t="shared" ref="N136:N199" si="23">IF(G136="","",L136-M136)</f>
        <v>38800</v>
      </c>
    </row>
    <row r="137" spans="7:14" x14ac:dyDescent="0.25">
      <c r="G137" s="39">
        <f t="shared" si="16"/>
        <v>131</v>
      </c>
      <c r="H137" s="102" t="str">
        <f t="shared" si="20"/>
        <v/>
      </c>
      <c r="I137" s="36">
        <f t="shared" si="21"/>
        <v>0</v>
      </c>
      <c r="J137" s="40">
        <f t="shared" si="17"/>
        <v>1940</v>
      </c>
      <c r="K137" s="41">
        <f t="shared" si="18"/>
        <v>257140</v>
      </c>
      <c r="L137" s="42">
        <f t="shared" si="19"/>
        <v>36860</v>
      </c>
      <c r="M137" s="42">
        <f t="shared" si="22"/>
        <v>0</v>
      </c>
      <c r="N137" s="42">
        <f t="shared" si="23"/>
        <v>36860</v>
      </c>
    </row>
    <row r="138" spans="7:14" x14ac:dyDescent="0.25">
      <c r="G138" s="39">
        <f t="shared" si="16"/>
        <v>132</v>
      </c>
      <c r="H138" s="102" t="str">
        <f t="shared" si="20"/>
        <v/>
      </c>
      <c r="I138" s="36">
        <f t="shared" si="21"/>
        <v>0</v>
      </c>
      <c r="J138" s="40">
        <f t="shared" si="17"/>
        <v>1940</v>
      </c>
      <c r="K138" s="41">
        <f t="shared" si="18"/>
        <v>259080</v>
      </c>
      <c r="L138" s="42">
        <f t="shared" si="19"/>
        <v>34920</v>
      </c>
      <c r="M138" s="42">
        <f t="shared" si="22"/>
        <v>0</v>
      </c>
      <c r="N138" s="42">
        <f t="shared" si="23"/>
        <v>34920</v>
      </c>
    </row>
    <row r="139" spans="7:14" x14ac:dyDescent="0.25">
      <c r="G139" s="39">
        <f t="shared" si="16"/>
        <v>133</v>
      </c>
      <c r="H139" s="102" t="str">
        <f t="shared" si="20"/>
        <v/>
      </c>
      <c r="I139" s="36">
        <f t="shared" si="21"/>
        <v>0</v>
      </c>
      <c r="J139" s="40">
        <f t="shared" si="17"/>
        <v>1940</v>
      </c>
      <c r="K139" s="41">
        <f t="shared" si="18"/>
        <v>261020</v>
      </c>
      <c r="L139" s="42">
        <f t="shared" si="19"/>
        <v>32980</v>
      </c>
      <c r="M139" s="42">
        <f t="shared" si="22"/>
        <v>0</v>
      </c>
      <c r="N139" s="42">
        <f t="shared" si="23"/>
        <v>32980</v>
      </c>
    </row>
    <row r="140" spans="7:14" x14ac:dyDescent="0.25">
      <c r="G140" s="39">
        <f t="shared" si="16"/>
        <v>134</v>
      </c>
      <c r="H140" s="102" t="str">
        <f t="shared" si="20"/>
        <v/>
      </c>
      <c r="I140" s="36">
        <f t="shared" si="21"/>
        <v>0</v>
      </c>
      <c r="J140" s="40">
        <f t="shared" si="17"/>
        <v>1940</v>
      </c>
      <c r="K140" s="41">
        <f t="shared" si="18"/>
        <v>262960</v>
      </c>
      <c r="L140" s="42">
        <f t="shared" si="19"/>
        <v>31040</v>
      </c>
      <c r="M140" s="42">
        <f t="shared" si="22"/>
        <v>0</v>
      </c>
      <c r="N140" s="42">
        <f t="shared" si="23"/>
        <v>31040</v>
      </c>
    </row>
    <row r="141" spans="7:14" x14ac:dyDescent="0.25">
      <c r="G141" s="39">
        <f t="shared" si="16"/>
        <v>135</v>
      </c>
      <c r="H141" s="102" t="str">
        <f t="shared" si="20"/>
        <v/>
      </c>
      <c r="I141" s="36">
        <f t="shared" si="21"/>
        <v>0</v>
      </c>
      <c r="J141" s="40">
        <f t="shared" si="17"/>
        <v>1940</v>
      </c>
      <c r="K141" s="41">
        <f t="shared" si="18"/>
        <v>264900</v>
      </c>
      <c r="L141" s="42">
        <f t="shared" si="19"/>
        <v>29100</v>
      </c>
      <c r="M141" s="42">
        <f t="shared" si="22"/>
        <v>0</v>
      </c>
      <c r="N141" s="42">
        <f t="shared" si="23"/>
        <v>29100</v>
      </c>
    </row>
    <row r="142" spans="7:14" x14ac:dyDescent="0.25">
      <c r="G142" s="39">
        <f t="shared" si="16"/>
        <v>136</v>
      </c>
      <c r="H142" s="102" t="str">
        <f t="shared" si="20"/>
        <v/>
      </c>
      <c r="I142" s="36">
        <f t="shared" si="21"/>
        <v>0</v>
      </c>
      <c r="J142" s="40">
        <f t="shared" si="17"/>
        <v>1940</v>
      </c>
      <c r="K142" s="41">
        <f t="shared" si="18"/>
        <v>266840</v>
      </c>
      <c r="L142" s="42">
        <f t="shared" si="19"/>
        <v>27160</v>
      </c>
      <c r="M142" s="42">
        <f t="shared" si="22"/>
        <v>0</v>
      </c>
      <c r="N142" s="42">
        <f t="shared" si="23"/>
        <v>27160</v>
      </c>
    </row>
    <row r="143" spans="7:14" x14ac:dyDescent="0.25">
      <c r="G143" s="39">
        <f t="shared" si="16"/>
        <v>137</v>
      </c>
      <c r="H143" s="102" t="str">
        <f t="shared" si="20"/>
        <v/>
      </c>
      <c r="I143" s="36">
        <f t="shared" si="21"/>
        <v>0</v>
      </c>
      <c r="J143" s="40">
        <f t="shared" si="17"/>
        <v>1940</v>
      </c>
      <c r="K143" s="41">
        <f t="shared" si="18"/>
        <v>268780</v>
      </c>
      <c r="L143" s="42">
        <f t="shared" si="19"/>
        <v>25220</v>
      </c>
      <c r="M143" s="42">
        <f t="shared" si="22"/>
        <v>0</v>
      </c>
      <c r="N143" s="42">
        <f t="shared" si="23"/>
        <v>25220</v>
      </c>
    </row>
    <row r="144" spans="7:14" x14ac:dyDescent="0.25">
      <c r="G144" s="39">
        <f t="shared" si="16"/>
        <v>138</v>
      </c>
      <c r="H144" s="102" t="str">
        <f t="shared" si="20"/>
        <v/>
      </c>
      <c r="I144" s="36">
        <f t="shared" si="21"/>
        <v>0</v>
      </c>
      <c r="J144" s="40">
        <f t="shared" si="17"/>
        <v>1940</v>
      </c>
      <c r="K144" s="41">
        <f t="shared" si="18"/>
        <v>270720</v>
      </c>
      <c r="L144" s="42">
        <f t="shared" si="19"/>
        <v>23280</v>
      </c>
      <c r="M144" s="42">
        <f t="shared" si="22"/>
        <v>0</v>
      </c>
      <c r="N144" s="42">
        <f t="shared" si="23"/>
        <v>23280</v>
      </c>
    </row>
    <row r="145" spans="7:14" x14ac:dyDescent="0.25">
      <c r="G145" s="39">
        <f t="shared" si="16"/>
        <v>139</v>
      </c>
      <c r="H145" s="102" t="str">
        <f t="shared" si="20"/>
        <v/>
      </c>
      <c r="I145" s="36">
        <f t="shared" si="21"/>
        <v>0</v>
      </c>
      <c r="J145" s="40">
        <f t="shared" si="17"/>
        <v>1940</v>
      </c>
      <c r="K145" s="41">
        <f t="shared" si="18"/>
        <v>272660</v>
      </c>
      <c r="L145" s="42">
        <f t="shared" si="19"/>
        <v>21340</v>
      </c>
      <c r="M145" s="42">
        <f t="shared" si="22"/>
        <v>0</v>
      </c>
      <c r="N145" s="42">
        <f t="shared" si="23"/>
        <v>21340</v>
      </c>
    </row>
    <row r="146" spans="7:14" x14ac:dyDescent="0.25">
      <c r="G146" s="39">
        <f t="shared" si="16"/>
        <v>140</v>
      </c>
      <c r="H146" s="102" t="str">
        <f t="shared" si="20"/>
        <v/>
      </c>
      <c r="I146" s="36">
        <f t="shared" si="21"/>
        <v>0</v>
      </c>
      <c r="J146" s="40">
        <f t="shared" si="17"/>
        <v>1940</v>
      </c>
      <c r="K146" s="41">
        <f t="shared" si="18"/>
        <v>274600</v>
      </c>
      <c r="L146" s="42">
        <f t="shared" si="19"/>
        <v>19400</v>
      </c>
      <c r="M146" s="42">
        <f t="shared" si="22"/>
        <v>0</v>
      </c>
      <c r="N146" s="42">
        <f t="shared" si="23"/>
        <v>19400</v>
      </c>
    </row>
    <row r="147" spans="7:14" x14ac:dyDescent="0.25">
      <c r="G147" s="39">
        <f t="shared" si="16"/>
        <v>141</v>
      </c>
      <c r="H147" s="102" t="str">
        <f t="shared" si="20"/>
        <v/>
      </c>
      <c r="I147" s="36">
        <f t="shared" si="21"/>
        <v>0</v>
      </c>
      <c r="J147" s="40">
        <f t="shared" si="17"/>
        <v>1940</v>
      </c>
      <c r="K147" s="41">
        <f t="shared" si="18"/>
        <v>276540</v>
      </c>
      <c r="L147" s="42">
        <f t="shared" si="19"/>
        <v>17460</v>
      </c>
      <c r="M147" s="42">
        <f t="shared" si="22"/>
        <v>0</v>
      </c>
      <c r="N147" s="42">
        <f t="shared" si="23"/>
        <v>17460</v>
      </c>
    </row>
    <row r="148" spans="7:14" x14ac:dyDescent="0.25">
      <c r="G148" s="39">
        <f t="shared" si="16"/>
        <v>142</v>
      </c>
      <c r="H148" s="102" t="str">
        <f t="shared" si="20"/>
        <v/>
      </c>
      <c r="I148" s="36">
        <f t="shared" si="21"/>
        <v>0</v>
      </c>
      <c r="J148" s="40">
        <f t="shared" si="17"/>
        <v>1940</v>
      </c>
      <c r="K148" s="41">
        <f t="shared" si="18"/>
        <v>278480</v>
      </c>
      <c r="L148" s="42">
        <f t="shared" si="19"/>
        <v>15520</v>
      </c>
      <c r="M148" s="42">
        <f t="shared" si="22"/>
        <v>0</v>
      </c>
      <c r="N148" s="42">
        <f t="shared" si="23"/>
        <v>15520</v>
      </c>
    </row>
    <row r="149" spans="7:14" x14ac:dyDescent="0.25">
      <c r="G149" s="39">
        <f t="shared" si="16"/>
        <v>143</v>
      </c>
      <c r="H149" s="102" t="str">
        <f t="shared" si="20"/>
        <v/>
      </c>
      <c r="I149" s="36">
        <f t="shared" si="21"/>
        <v>0</v>
      </c>
      <c r="J149" s="40">
        <f t="shared" si="17"/>
        <v>1940</v>
      </c>
      <c r="K149" s="41">
        <f t="shared" si="18"/>
        <v>280420</v>
      </c>
      <c r="L149" s="42">
        <f t="shared" si="19"/>
        <v>13580</v>
      </c>
      <c r="M149" s="42">
        <f t="shared" si="22"/>
        <v>0</v>
      </c>
      <c r="N149" s="42">
        <f t="shared" si="23"/>
        <v>13580</v>
      </c>
    </row>
    <row r="150" spans="7:14" x14ac:dyDescent="0.25">
      <c r="G150" s="39">
        <f t="shared" si="16"/>
        <v>144</v>
      </c>
      <c r="H150" s="102" t="str">
        <f t="shared" si="20"/>
        <v/>
      </c>
      <c r="I150" s="36">
        <f t="shared" si="21"/>
        <v>0</v>
      </c>
      <c r="J150" s="40">
        <f t="shared" si="17"/>
        <v>1940</v>
      </c>
      <c r="K150" s="41">
        <f t="shared" si="18"/>
        <v>282360</v>
      </c>
      <c r="L150" s="42">
        <f t="shared" si="19"/>
        <v>11640</v>
      </c>
      <c r="M150" s="42">
        <f t="shared" si="22"/>
        <v>0</v>
      </c>
      <c r="N150" s="42">
        <f t="shared" si="23"/>
        <v>11640</v>
      </c>
    </row>
    <row r="151" spans="7:14" x14ac:dyDescent="0.25">
      <c r="G151" s="39">
        <f t="shared" si="16"/>
        <v>145</v>
      </c>
      <c r="H151" s="102" t="str">
        <f t="shared" si="20"/>
        <v/>
      </c>
      <c r="I151" s="36">
        <f t="shared" si="21"/>
        <v>0</v>
      </c>
      <c r="J151" s="40">
        <f t="shared" si="17"/>
        <v>1940</v>
      </c>
      <c r="K151" s="41">
        <f t="shared" si="18"/>
        <v>284300</v>
      </c>
      <c r="L151" s="42">
        <f t="shared" si="19"/>
        <v>9700</v>
      </c>
      <c r="M151" s="42">
        <f t="shared" si="22"/>
        <v>0</v>
      </c>
      <c r="N151" s="42">
        <f t="shared" si="23"/>
        <v>9700</v>
      </c>
    </row>
    <row r="152" spans="7:14" x14ac:dyDescent="0.25">
      <c r="G152" s="39">
        <f t="shared" si="16"/>
        <v>146</v>
      </c>
      <c r="H152" s="102" t="str">
        <f t="shared" si="20"/>
        <v/>
      </c>
      <c r="I152" s="36">
        <f t="shared" si="21"/>
        <v>0</v>
      </c>
      <c r="J152" s="40">
        <f t="shared" si="17"/>
        <v>1940</v>
      </c>
      <c r="K152" s="41">
        <f t="shared" si="18"/>
        <v>286240</v>
      </c>
      <c r="L152" s="42">
        <f t="shared" si="19"/>
        <v>7760</v>
      </c>
      <c r="M152" s="42">
        <f t="shared" si="22"/>
        <v>0</v>
      </c>
      <c r="N152" s="42">
        <f t="shared" si="23"/>
        <v>7760</v>
      </c>
    </row>
    <row r="153" spans="7:14" x14ac:dyDescent="0.25">
      <c r="G153" s="39">
        <f t="shared" si="16"/>
        <v>147</v>
      </c>
      <c r="H153" s="102" t="str">
        <f t="shared" si="20"/>
        <v/>
      </c>
      <c r="I153" s="36">
        <f t="shared" si="21"/>
        <v>0</v>
      </c>
      <c r="J153" s="40">
        <f t="shared" si="17"/>
        <v>1940</v>
      </c>
      <c r="K153" s="41">
        <f t="shared" si="18"/>
        <v>288180</v>
      </c>
      <c r="L153" s="42">
        <f t="shared" si="19"/>
        <v>5820</v>
      </c>
      <c r="M153" s="42">
        <f t="shared" si="22"/>
        <v>0</v>
      </c>
      <c r="N153" s="42">
        <f t="shared" si="23"/>
        <v>5820</v>
      </c>
    </row>
    <row r="154" spans="7:14" x14ac:dyDescent="0.25">
      <c r="G154" s="39">
        <f t="shared" si="16"/>
        <v>148</v>
      </c>
      <c r="H154" s="102" t="str">
        <f t="shared" si="20"/>
        <v/>
      </c>
      <c r="I154" s="36">
        <f t="shared" si="21"/>
        <v>0</v>
      </c>
      <c r="J154" s="40">
        <f t="shared" si="17"/>
        <v>1940</v>
      </c>
      <c r="K154" s="41">
        <f t="shared" ref="K154:K156" si="24">IF(G154="","",I154+J154+K153)</f>
        <v>290120</v>
      </c>
      <c r="L154" s="42">
        <f t="shared" si="19"/>
        <v>3880</v>
      </c>
      <c r="M154" s="42">
        <f t="shared" si="22"/>
        <v>0</v>
      </c>
      <c r="N154" s="42">
        <f t="shared" si="23"/>
        <v>3880</v>
      </c>
    </row>
    <row r="155" spans="7:14" x14ac:dyDescent="0.25">
      <c r="G155" s="39">
        <f t="shared" si="16"/>
        <v>149</v>
      </c>
      <c r="H155" s="102" t="str">
        <f t="shared" si="20"/>
        <v/>
      </c>
      <c r="I155" s="36">
        <f t="shared" si="21"/>
        <v>0</v>
      </c>
      <c r="J155" s="40">
        <f t="shared" si="17"/>
        <v>1940</v>
      </c>
      <c r="K155" s="41">
        <f t="shared" si="24"/>
        <v>292060</v>
      </c>
      <c r="L155" s="42">
        <f t="shared" si="19"/>
        <v>1940</v>
      </c>
      <c r="M155" s="42">
        <f t="shared" si="22"/>
        <v>0</v>
      </c>
      <c r="N155" s="42">
        <f t="shared" si="23"/>
        <v>1940</v>
      </c>
    </row>
    <row r="156" spans="7:14" x14ac:dyDescent="0.25">
      <c r="G156" s="39">
        <f t="shared" si="16"/>
        <v>150</v>
      </c>
      <c r="H156" s="102" t="str">
        <f t="shared" si="20"/>
        <v/>
      </c>
      <c r="I156" s="36">
        <f t="shared" si="21"/>
        <v>0</v>
      </c>
      <c r="J156" s="40">
        <f t="shared" si="17"/>
        <v>1940</v>
      </c>
      <c r="K156" s="41">
        <f t="shared" si="24"/>
        <v>294000</v>
      </c>
      <c r="L156" s="42">
        <f t="shared" si="19"/>
        <v>0</v>
      </c>
      <c r="M156" s="42">
        <f t="shared" si="22"/>
        <v>0</v>
      </c>
      <c r="N156" s="42">
        <f t="shared" si="23"/>
        <v>0</v>
      </c>
    </row>
    <row r="157" spans="7:14" x14ac:dyDescent="0.25">
      <c r="G157" s="39" t="str">
        <f t="shared" si="16"/>
        <v/>
      </c>
      <c r="H157" s="102" t="str">
        <f t="shared" si="20"/>
        <v/>
      </c>
      <c r="I157" s="36" t="str">
        <f t="shared" si="21"/>
        <v/>
      </c>
      <c r="J157" s="40" t="str">
        <f t="shared" si="17"/>
        <v/>
      </c>
      <c r="K157" s="41" t="str">
        <f t="shared" ref="K157:K220" si="25">IF(G157="","",I157+J157+K156)</f>
        <v/>
      </c>
      <c r="L157" s="42" t="str">
        <f t="shared" si="19"/>
        <v/>
      </c>
      <c r="M157" s="42" t="str">
        <f t="shared" si="22"/>
        <v/>
      </c>
      <c r="N157" s="42" t="str">
        <f t="shared" si="23"/>
        <v/>
      </c>
    </row>
    <row r="158" spans="7:14" x14ac:dyDescent="0.25">
      <c r="G158" s="39" t="str">
        <f t="shared" si="16"/>
        <v/>
      </c>
      <c r="H158" s="102" t="str">
        <f t="shared" si="20"/>
        <v/>
      </c>
      <c r="I158" s="36" t="str">
        <f t="shared" si="21"/>
        <v/>
      </c>
      <c r="J158" s="40" t="str">
        <f t="shared" si="17"/>
        <v/>
      </c>
      <c r="K158" s="41" t="str">
        <f t="shared" si="25"/>
        <v/>
      </c>
      <c r="L158" s="42" t="str">
        <f t="shared" si="19"/>
        <v/>
      </c>
      <c r="M158" s="42" t="str">
        <f t="shared" si="22"/>
        <v/>
      </c>
      <c r="N158" s="42" t="str">
        <f t="shared" si="23"/>
        <v/>
      </c>
    </row>
    <row r="159" spans="7:14" x14ac:dyDescent="0.25">
      <c r="G159" s="39" t="str">
        <f t="shared" si="16"/>
        <v/>
      </c>
      <c r="H159" s="102" t="str">
        <f t="shared" si="20"/>
        <v/>
      </c>
      <c r="I159" s="36" t="str">
        <f t="shared" si="21"/>
        <v/>
      </c>
      <c r="J159" s="40" t="str">
        <f t="shared" si="17"/>
        <v/>
      </c>
      <c r="K159" s="41" t="str">
        <f t="shared" si="25"/>
        <v/>
      </c>
      <c r="L159" s="42" t="str">
        <f t="shared" si="19"/>
        <v/>
      </c>
      <c r="M159" s="42" t="str">
        <f t="shared" si="22"/>
        <v/>
      </c>
      <c r="N159" s="42" t="str">
        <f t="shared" si="23"/>
        <v/>
      </c>
    </row>
    <row r="160" spans="7:14" x14ac:dyDescent="0.25">
      <c r="G160" s="39" t="str">
        <f t="shared" si="16"/>
        <v/>
      </c>
      <c r="H160" s="102" t="str">
        <f t="shared" si="20"/>
        <v/>
      </c>
      <c r="I160" s="36" t="str">
        <f t="shared" si="21"/>
        <v/>
      </c>
      <c r="J160" s="40" t="str">
        <f t="shared" si="17"/>
        <v/>
      </c>
      <c r="K160" s="41" t="str">
        <f t="shared" si="25"/>
        <v/>
      </c>
      <c r="L160" s="42" t="str">
        <f t="shared" si="19"/>
        <v/>
      </c>
      <c r="M160" s="42" t="str">
        <f t="shared" si="22"/>
        <v/>
      </c>
      <c r="N160" s="42" t="str">
        <f t="shared" si="23"/>
        <v/>
      </c>
    </row>
    <row r="161" spans="7:14" x14ac:dyDescent="0.25">
      <c r="G161" s="39" t="str">
        <f t="shared" si="16"/>
        <v/>
      </c>
      <c r="H161" s="102" t="str">
        <f t="shared" si="20"/>
        <v/>
      </c>
      <c r="I161" s="36" t="str">
        <f t="shared" si="21"/>
        <v/>
      </c>
      <c r="J161" s="40" t="str">
        <f t="shared" si="17"/>
        <v/>
      </c>
      <c r="K161" s="41" t="str">
        <f t="shared" si="25"/>
        <v/>
      </c>
      <c r="L161" s="42" t="str">
        <f t="shared" si="19"/>
        <v/>
      </c>
      <c r="M161" s="42" t="str">
        <f t="shared" si="22"/>
        <v/>
      </c>
      <c r="N161" s="42" t="str">
        <f t="shared" si="23"/>
        <v/>
      </c>
    </row>
    <row r="162" spans="7:14" x14ac:dyDescent="0.25">
      <c r="G162" s="39" t="str">
        <f t="shared" si="16"/>
        <v/>
      </c>
      <c r="H162" s="102" t="str">
        <f t="shared" si="20"/>
        <v/>
      </c>
      <c r="I162" s="36" t="str">
        <f t="shared" si="21"/>
        <v/>
      </c>
      <c r="J162" s="40" t="str">
        <f t="shared" si="17"/>
        <v/>
      </c>
      <c r="K162" s="41" t="str">
        <f t="shared" si="25"/>
        <v/>
      </c>
      <c r="L162" s="42" t="str">
        <f t="shared" si="19"/>
        <v/>
      </c>
      <c r="M162" s="42" t="str">
        <f t="shared" si="22"/>
        <v/>
      </c>
      <c r="N162" s="42" t="str">
        <f t="shared" si="23"/>
        <v/>
      </c>
    </row>
    <row r="163" spans="7:14" x14ac:dyDescent="0.25">
      <c r="G163" s="39" t="str">
        <f t="shared" si="16"/>
        <v/>
      </c>
      <c r="H163" s="102" t="str">
        <f t="shared" si="20"/>
        <v/>
      </c>
      <c r="I163" s="36" t="str">
        <f t="shared" si="21"/>
        <v/>
      </c>
      <c r="J163" s="40" t="str">
        <f t="shared" si="17"/>
        <v/>
      </c>
      <c r="K163" s="41" t="str">
        <f t="shared" si="25"/>
        <v/>
      </c>
      <c r="L163" s="42" t="str">
        <f t="shared" si="19"/>
        <v/>
      </c>
      <c r="M163" s="42" t="str">
        <f t="shared" si="22"/>
        <v/>
      </c>
      <c r="N163" s="42" t="str">
        <f t="shared" si="23"/>
        <v/>
      </c>
    </row>
    <row r="164" spans="7:14" x14ac:dyDescent="0.25">
      <c r="G164" s="39" t="str">
        <f t="shared" si="16"/>
        <v/>
      </c>
      <c r="H164" s="102" t="str">
        <f t="shared" si="20"/>
        <v/>
      </c>
      <c r="I164" s="36" t="str">
        <f t="shared" si="21"/>
        <v/>
      </c>
      <c r="J164" s="40" t="str">
        <f t="shared" si="17"/>
        <v/>
      </c>
      <c r="K164" s="41" t="str">
        <f t="shared" si="25"/>
        <v/>
      </c>
      <c r="L164" s="42" t="str">
        <f t="shared" si="19"/>
        <v/>
      </c>
      <c r="M164" s="42" t="str">
        <f t="shared" si="22"/>
        <v/>
      </c>
      <c r="N164" s="42" t="str">
        <f t="shared" si="23"/>
        <v/>
      </c>
    </row>
    <row r="165" spans="7:14" x14ac:dyDescent="0.25">
      <c r="G165" s="39" t="str">
        <f t="shared" si="16"/>
        <v/>
      </c>
      <c r="H165" s="102" t="str">
        <f t="shared" si="20"/>
        <v/>
      </c>
      <c r="I165" s="36" t="str">
        <f t="shared" si="21"/>
        <v/>
      </c>
      <c r="J165" s="40" t="str">
        <f t="shared" si="17"/>
        <v/>
      </c>
      <c r="K165" s="41" t="str">
        <f t="shared" si="25"/>
        <v/>
      </c>
      <c r="L165" s="42" t="str">
        <f t="shared" si="19"/>
        <v/>
      </c>
      <c r="M165" s="42" t="str">
        <f t="shared" si="22"/>
        <v/>
      </c>
      <c r="N165" s="42" t="str">
        <f t="shared" si="23"/>
        <v/>
      </c>
    </row>
    <row r="166" spans="7:14" x14ac:dyDescent="0.25">
      <c r="G166" s="39" t="str">
        <f t="shared" si="16"/>
        <v/>
      </c>
      <c r="H166" s="102" t="str">
        <f t="shared" si="20"/>
        <v/>
      </c>
      <c r="I166" s="36" t="str">
        <f t="shared" si="21"/>
        <v/>
      </c>
      <c r="J166" s="40" t="str">
        <f t="shared" si="17"/>
        <v/>
      </c>
      <c r="K166" s="41" t="str">
        <f t="shared" si="25"/>
        <v/>
      </c>
      <c r="L166" s="42" t="str">
        <f t="shared" si="19"/>
        <v/>
      </c>
      <c r="M166" s="42" t="str">
        <f t="shared" si="22"/>
        <v/>
      </c>
      <c r="N166" s="42" t="str">
        <f t="shared" si="23"/>
        <v/>
      </c>
    </row>
    <row r="167" spans="7:14" x14ac:dyDescent="0.25">
      <c r="G167" s="39" t="str">
        <f t="shared" si="16"/>
        <v/>
      </c>
      <c r="H167" s="102" t="str">
        <f t="shared" si="20"/>
        <v/>
      </c>
      <c r="I167" s="36" t="str">
        <f t="shared" si="21"/>
        <v/>
      </c>
      <c r="J167" s="40" t="str">
        <f t="shared" si="17"/>
        <v/>
      </c>
      <c r="K167" s="41" t="str">
        <f t="shared" si="25"/>
        <v/>
      </c>
      <c r="L167" s="42" t="str">
        <f t="shared" si="19"/>
        <v/>
      </c>
      <c r="M167" s="42" t="str">
        <f t="shared" si="22"/>
        <v/>
      </c>
      <c r="N167" s="42" t="str">
        <f t="shared" si="23"/>
        <v/>
      </c>
    </row>
    <row r="168" spans="7:14" x14ac:dyDescent="0.25">
      <c r="G168" s="39" t="str">
        <f t="shared" si="16"/>
        <v/>
      </c>
      <c r="H168" s="102" t="str">
        <f t="shared" si="20"/>
        <v/>
      </c>
      <c r="I168" s="36" t="str">
        <f t="shared" si="21"/>
        <v/>
      </c>
      <c r="J168" s="40" t="str">
        <f t="shared" si="17"/>
        <v/>
      </c>
      <c r="K168" s="41" t="str">
        <f t="shared" si="25"/>
        <v/>
      </c>
      <c r="L168" s="42" t="str">
        <f t="shared" si="19"/>
        <v/>
      </c>
      <c r="M168" s="42" t="str">
        <f t="shared" si="22"/>
        <v/>
      </c>
      <c r="N168" s="42" t="str">
        <f t="shared" si="23"/>
        <v/>
      </c>
    </row>
    <row r="169" spans="7:14" x14ac:dyDescent="0.25">
      <c r="G169" s="39" t="str">
        <f t="shared" si="16"/>
        <v/>
      </c>
      <c r="H169" s="102" t="str">
        <f t="shared" si="20"/>
        <v/>
      </c>
      <c r="I169" s="36" t="str">
        <f t="shared" si="21"/>
        <v/>
      </c>
      <c r="J169" s="40" t="str">
        <f t="shared" si="17"/>
        <v/>
      </c>
      <c r="K169" s="41" t="str">
        <f t="shared" si="25"/>
        <v/>
      </c>
      <c r="L169" s="42" t="str">
        <f t="shared" si="19"/>
        <v/>
      </c>
      <c r="M169" s="42" t="str">
        <f t="shared" si="22"/>
        <v/>
      </c>
      <c r="N169" s="42" t="str">
        <f t="shared" si="23"/>
        <v/>
      </c>
    </row>
    <row r="170" spans="7:14" x14ac:dyDescent="0.25">
      <c r="G170" s="39" t="str">
        <f t="shared" si="16"/>
        <v/>
      </c>
      <c r="H170" s="102" t="str">
        <f t="shared" si="20"/>
        <v/>
      </c>
      <c r="I170" s="36" t="str">
        <f t="shared" si="21"/>
        <v/>
      </c>
      <c r="J170" s="40" t="str">
        <f t="shared" si="17"/>
        <v/>
      </c>
      <c r="K170" s="41" t="str">
        <f t="shared" si="25"/>
        <v/>
      </c>
      <c r="L170" s="42" t="str">
        <f t="shared" si="19"/>
        <v/>
      </c>
      <c r="M170" s="42" t="str">
        <f t="shared" si="22"/>
        <v/>
      </c>
      <c r="N170" s="42" t="str">
        <f t="shared" si="23"/>
        <v/>
      </c>
    </row>
    <row r="171" spans="7:14" x14ac:dyDescent="0.25">
      <c r="G171" s="39" t="str">
        <f t="shared" si="16"/>
        <v/>
      </c>
      <c r="H171" s="102" t="str">
        <f t="shared" si="20"/>
        <v/>
      </c>
      <c r="I171" s="36" t="str">
        <f t="shared" si="21"/>
        <v/>
      </c>
      <c r="J171" s="40" t="str">
        <f t="shared" si="17"/>
        <v/>
      </c>
      <c r="K171" s="41" t="str">
        <f t="shared" si="25"/>
        <v/>
      </c>
      <c r="L171" s="42" t="str">
        <f t="shared" si="19"/>
        <v/>
      </c>
      <c r="M171" s="42" t="str">
        <f t="shared" si="22"/>
        <v/>
      </c>
      <c r="N171" s="42" t="str">
        <f t="shared" si="23"/>
        <v/>
      </c>
    </row>
    <row r="172" spans="7:14" x14ac:dyDescent="0.25">
      <c r="G172" s="39" t="str">
        <f t="shared" si="16"/>
        <v/>
      </c>
      <c r="H172" s="102" t="str">
        <f t="shared" si="20"/>
        <v/>
      </c>
      <c r="I172" s="36" t="str">
        <f t="shared" si="21"/>
        <v/>
      </c>
      <c r="J172" s="40" t="str">
        <f t="shared" si="17"/>
        <v/>
      </c>
      <c r="K172" s="41" t="str">
        <f t="shared" si="25"/>
        <v/>
      </c>
      <c r="L172" s="42" t="str">
        <f t="shared" si="19"/>
        <v/>
      </c>
      <c r="M172" s="42" t="str">
        <f t="shared" si="22"/>
        <v/>
      </c>
      <c r="N172" s="42" t="str">
        <f t="shared" si="23"/>
        <v/>
      </c>
    </row>
    <row r="173" spans="7:14" x14ac:dyDescent="0.25">
      <c r="G173" s="39" t="str">
        <f t="shared" si="16"/>
        <v/>
      </c>
      <c r="H173" s="102" t="str">
        <f t="shared" si="20"/>
        <v/>
      </c>
      <c r="I173" s="36" t="str">
        <f t="shared" si="21"/>
        <v/>
      </c>
      <c r="J173" s="40" t="str">
        <f t="shared" si="17"/>
        <v/>
      </c>
      <c r="K173" s="41" t="str">
        <f t="shared" si="25"/>
        <v/>
      </c>
      <c r="L173" s="42" t="str">
        <f t="shared" si="19"/>
        <v/>
      </c>
      <c r="M173" s="42" t="str">
        <f t="shared" si="22"/>
        <v/>
      </c>
      <c r="N173" s="42" t="str">
        <f t="shared" si="23"/>
        <v/>
      </c>
    </row>
    <row r="174" spans="7:14" x14ac:dyDescent="0.25">
      <c r="G174" s="39" t="str">
        <f t="shared" si="16"/>
        <v/>
      </c>
      <c r="H174" s="102" t="str">
        <f t="shared" si="20"/>
        <v/>
      </c>
      <c r="I174" s="36" t="str">
        <f t="shared" si="21"/>
        <v/>
      </c>
      <c r="J174" s="40" t="str">
        <f t="shared" si="17"/>
        <v/>
      </c>
      <c r="K174" s="41" t="str">
        <f t="shared" si="25"/>
        <v/>
      </c>
      <c r="L174" s="42" t="str">
        <f t="shared" si="19"/>
        <v/>
      </c>
      <c r="M174" s="42" t="str">
        <f t="shared" si="22"/>
        <v/>
      </c>
      <c r="N174" s="42" t="str">
        <f t="shared" si="23"/>
        <v/>
      </c>
    </row>
    <row r="175" spans="7:14" x14ac:dyDescent="0.25">
      <c r="G175" s="39" t="str">
        <f t="shared" si="16"/>
        <v/>
      </c>
      <c r="H175" s="102" t="str">
        <f t="shared" si="20"/>
        <v/>
      </c>
      <c r="I175" s="36" t="str">
        <f t="shared" si="21"/>
        <v/>
      </c>
      <c r="J175" s="40" t="str">
        <f t="shared" si="17"/>
        <v/>
      </c>
      <c r="K175" s="41" t="str">
        <f t="shared" si="25"/>
        <v/>
      </c>
      <c r="L175" s="42" t="str">
        <f t="shared" si="19"/>
        <v/>
      </c>
      <c r="M175" s="42" t="str">
        <f t="shared" si="22"/>
        <v/>
      </c>
      <c r="N175" s="42" t="str">
        <f t="shared" si="23"/>
        <v/>
      </c>
    </row>
    <row r="176" spans="7:14" x14ac:dyDescent="0.25">
      <c r="G176" s="39" t="str">
        <f t="shared" si="16"/>
        <v/>
      </c>
      <c r="H176" s="102" t="str">
        <f t="shared" si="20"/>
        <v/>
      </c>
      <c r="I176" s="36" t="str">
        <f t="shared" si="21"/>
        <v/>
      </c>
      <c r="J176" s="40" t="str">
        <f t="shared" si="17"/>
        <v/>
      </c>
      <c r="K176" s="41" t="str">
        <f t="shared" si="25"/>
        <v/>
      </c>
      <c r="L176" s="42" t="str">
        <f t="shared" si="19"/>
        <v/>
      </c>
      <c r="M176" s="42" t="str">
        <f t="shared" si="22"/>
        <v/>
      </c>
      <c r="N176" s="42" t="str">
        <f t="shared" si="23"/>
        <v/>
      </c>
    </row>
    <row r="177" spans="7:14" x14ac:dyDescent="0.25">
      <c r="G177" s="39" t="str">
        <f t="shared" si="16"/>
        <v/>
      </c>
      <c r="H177" s="102" t="str">
        <f t="shared" si="20"/>
        <v/>
      </c>
      <c r="I177" s="36" t="str">
        <f t="shared" si="21"/>
        <v/>
      </c>
      <c r="J177" s="40" t="str">
        <f t="shared" si="17"/>
        <v/>
      </c>
      <c r="K177" s="41" t="str">
        <f t="shared" si="25"/>
        <v/>
      </c>
      <c r="L177" s="42" t="str">
        <f t="shared" si="19"/>
        <v/>
      </c>
      <c r="M177" s="42" t="str">
        <f t="shared" si="22"/>
        <v/>
      </c>
      <c r="N177" s="42" t="str">
        <f t="shared" si="23"/>
        <v/>
      </c>
    </row>
    <row r="178" spans="7:14" x14ac:dyDescent="0.25">
      <c r="G178" s="39" t="str">
        <f t="shared" si="16"/>
        <v/>
      </c>
      <c r="H178" s="102" t="str">
        <f t="shared" si="20"/>
        <v/>
      </c>
      <c r="I178" s="36" t="str">
        <f t="shared" si="21"/>
        <v/>
      </c>
      <c r="J178" s="40" t="str">
        <f t="shared" si="17"/>
        <v/>
      </c>
      <c r="K178" s="41" t="str">
        <f t="shared" si="25"/>
        <v/>
      </c>
      <c r="L178" s="42" t="str">
        <f t="shared" si="19"/>
        <v/>
      </c>
      <c r="M178" s="42" t="str">
        <f t="shared" si="22"/>
        <v/>
      </c>
      <c r="N178" s="42" t="str">
        <f t="shared" si="23"/>
        <v/>
      </c>
    </row>
    <row r="179" spans="7:14" x14ac:dyDescent="0.25">
      <c r="G179" s="39" t="str">
        <f t="shared" si="16"/>
        <v/>
      </c>
      <c r="H179" s="102" t="str">
        <f t="shared" si="20"/>
        <v/>
      </c>
      <c r="I179" s="36" t="str">
        <f t="shared" si="21"/>
        <v/>
      </c>
      <c r="J179" s="40" t="str">
        <f t="shared" si="17"/>
        <v/>
      </c>
      <c r="K179" s="41" t="str">
        <f t="shared" si="25"/>
        <v/>
      </c>
      <c r="L179" s="42" t="str">
        <f t="shared" si="19"/>
        <v/>
      </c>
      <c r="M179" s="42" t="str">
        <f t="shared" si="22"/>
        <v/>
      </c>
      <c r="N179" s="42" t="str">
        <f t="shared" si="23"/>
        <v/>
      </c>
    </row>
    <row r="180" spans="7:14" x14ac:dyDescent="0.25">
      <c r="G180" s="39" t="str">
        <f t="shared" si="16"/>
        <v/>
      </c>
      <c r="H180" s="102" t="str">
        <f t="shared" si="20"/>
        <v/>
      </c>
      <c r="I180" s="36" t="str">
        <f t="shared" si="21"/>
        <v/>
      </c>
      <c r="J180" s="40" t="str">
        <f t="shared" si="17"/>
        <v/>
      </c>
      <c r="K180" s="41" t="str">
        <f t="shared" si="25"/>
        <v/>
      </c>
      <c r="L180" s="42" t="str">
        <f t="shared" si="19"/>
        <v/>
      </c>
      <c r="M180" s="42" t="str">
        <f t="shared" si="22"/>
        <v/>
      </c>
      <c r="N180" s="42" t="str">
        <f t="shared" si="23"/>
        <v/>
      </c>
    </row>
    <row r="181" spans="7:14" x14ac:dyDescent="0.25">
      <c r="G181" s="39" t="str">
        <f t="shared" si="16"/>
        <v/>
      </c>
      <c r="H181" s="102" t="str">
        <f t="shared" si="20"/>
        <v/>
      </c>
      <c r="I181" s="36" t="str">
        <f t="shared" si="21"/>
        <v/>
      </c>
      <c r="J181" s="40" t="str">
        <f t="shared" si="17"/>
        <v/>
      </c>
      <c r="K181" s="41" t="str">
        <f t="shared" si="25"/>
        <v/>
      </c>
      <c r="L181" s="42" t="str">
        <f t="shared" si="19"/>
        <v/>
      </c>
      <c r="M181" s="42" t="str">
        <f t="shared" si="22"/>
        <v/>
      </c>
      <c r="N181" s="42" t="str">
        <f t="shared" si="23"/>
        <v/>
      </c>
    </row>
    <row r="182" spans="7:14" x14ac:dyDescent="0.25">
      <c r="G182" s="39" t="str">
        <f t="shared" si="16"/>
        <v/>
      </c>
      <c r="H182" s="102" t="str">
        <f t="shared" si="20"/>
        <v/>
      </c>
      <c r="I182" s="36" t="str">
        <f t="shared" si="21"/>
        <v/>
      </c>
      <c r="J182" s="40" t="str">
        <f t="shared" si="17"/>
        <v/>
      </c>
      <c r="K182" s="41" t="str">
        <f t="shared" si="25"/>
        <v/>
      </c>
      <c r="L182" s="42" t="str">
        <f t="shared" si="19"/>
        <v/>
      </c>
      <c r="M182" s="42" t="str">
        <f t="shared" si="22"/>
        <v/>
      </c>
      <c r="N182" s="42" t="str">
        <f t="shared" si="23"/>
        <v/>
      </c>
    </row>
    <row r="183" spans="7:14" x14ac:dyDescent="0.25">
      <c r="G183" s="39" t="str">
        <f t="shared" si="16"/>
        <v/>
      </c>
      <c r="H183" s="102" t="str">
        <f t="shared" si="20"/>
        <v/>
      </c>
      <c r="I183" s="36" t="str">
        <f t="shared" si="21"/>
        <v/>
      </c>
      <c r="J183" s="40" t="str">
        <f t="shared" si="17"/>
        <v/>
      </c>
      <c r="K183" s="41" t="str">
        <f t="shared" si="25"/>
        <v/>
      </c>
      <c r="L183" s="42" t="str">
        <f t="shared" si="19"/>
        <v/>
      </c>
      <c r="M183" s="42" t="str">
        <f t="shared" si="22"/>
        <v/>
      </c>
      <c r="N183" s="42" t="str">
        <f t="shared" si="23"/>
        <v/>
      </c>
    </row>
    <row r="184" spans="7:14" x14ac:dyDescent="0.25">
      <c r="G184" s="39" t="str">
        <f t="shared" si="16"/>
        <v/>
      </c>
      <c r="H184" s="102" t="str">
        <f t="shared" si="20"/>
        <v/>
      </c>
      <c r="I184" s="36" t="str">
        <f t="shared" si="21"/>
        <v/>
      </c>
      <c r="J184" s="40" t="str">
        <f t="shared" si="17"/>
        <v/>
      </c>
      <c r="K184" s="41" t="str">
        <f t="shared" si="25"/>
        <v/>
      </c>
      <c r="L184" s="42" t="str">
        <f t="shared" si="19"/>
        <v/>
      </c>
      <c r="M184" s="42" t="str">
        <f t="shared" si="22"/>
        <v/>
      </c>
      <c r="N184" s="42" t="str">
        <f t="shared" si="23"/>
        <v/>
      </c>
    </row>
    <row r="185" spans="7:14" x14ac:dyDescent="0.25">
      <c r="G185" s="39" t="str">
        <f t="shared" si="16"/>
        <v/>
      </c>
      <c r="H185" s="102" t="str">
        <f t="shared" si="20"/>
        <v/>
      </c>
      <c r="I185" s="36" t="str">
        <f t="shared" si="21"/>
        <v/>
      </c>
      <c r="J185" s="40" t="str">
        <f t="shared" si="17"/>
        <v/>
      </c>
      <c r="K185" s="41" t="str">
        <f t="shared" si="25"/>
        <v/>
      </c>
      <c r="L185" s="42" t="str">
        <f t="shared" si="19"/>
        <v/>
      </c>
      <c r="M185" s="42" t="str">
        <f t="shared" si="22"/>
        <v/>
      </c>
      <c r="N185" s="42" t="str">
        <f t="shared" si="23"/>
        <v/>
      </c>
    </row>
    <row r="186" spans="7:14" x14ac:dyDescent="0.25">
      <c r="G186" s="39" t="str">
        <f t="shared" si="16"/>
        <v/>
      </c>
      <c r="H186" s="102" t="str">
        <f t="shared" si="20"/>
        <v/>
      </c>
      <c r="I186" s="36" t="str">
        <f t="shared" si="21"/>
        <v/>
      </c>
      <c r="J186" s="40" t="str">
        <f t="shared" si="17"/>
        <v/>
      </c>
      <c r="K186" s="41" t="str">
        <f t="shared" si="25"/>
        <v/>
      </c>
      <c r="L186" s="42" t="str">
        <f t="shared" si="19"/>
        <v/>
      </c>
      <c r="M186" s="42" t="str">
        <f t="shared" si="22"/>
        <v/>
      </c>
      <c r="N186" s="42" t="str">
        <f t="shared" si="23"/>
        <v/>
      </c>
    </row>
    <row r="187" spans="7:14" x14ac:dyDescent="0.25">
      <c r="G187" s="39" t="str">
        <f t="shared" si="16"/>
        <v/>
      </c>
      <c r="H187" s="102" t="str">
        <f t="shared" si="20"/>
        <v/>
      </c>
      <c r="I187" s="36" t="str">
        <f t="shared" si="21"/>
        <v/>
      </c>
      <c r="J187" s="40" t="str">
        <f t="shared" si="17"/>
        <v/>
      </c>
      <c r="K187" s="41" t="str">
        <f t="shared" si="25"/>
        <v/>
      </c>
      <c r="L187" s="42" t="str">
        <f t="shared" si="19"/>
        <v/>
      </c>
      <c r="M187" s="42" t="str">
        <f t="shared" si="22"/>
        <v/>
      </c>
      <c r="N187" s="42" t="str">
        <f t="shared" si="23"/>
        <v/>
      </c>
    </row>
    <row r="188" spans="7:14" x14ac:dyDescent="0.25">
      <c r="G188" s="39" t="str">
        <f t="shared" si="16"/>
        <v/>
      </c>
      <c r="H188" s="102" t="str">
        <f t="shared" si="20"/>
        <v/>
      </c>
      <c r="I188" s="36" t="str">
        <f t="shared" si="21"/>
        <v/>
      </c>
      <c r="J188" s="40" t="str">
        <f t="shared" si="17"/>
        <v/>
      </c>
      <c r="K188" s="41" t="str">
        <f t="shared" si="25"/>
        <v/>
      </c>
      <c r="L188" s="42" t="str">
        <f t="shared" si="19"/>
        <v/>
      </c>
      <c r="M188" s="42" t="str">
        <f t="shared" si="22"/>
        <v/>
      </c>
      <c r="N188" s="42" t="str">
        <f t="shared" si="23"/>
        <v/>
      </c>
    </row>
    <row r="189" spans="7:14" x14ac:dyDescent="0.25">
      <c r="G189" s="39" t="str">
        <f t="shared" si="16"/>
        <v/>
      </c>
      <c r="H189" s="102" t="str">
        <f t="shared" si="20"/>
        <v/>
      </c>
      <c r="I189" s="36" t="str">
        <f t="shared" si="21"/>
        <v/>
      </c>
      <c r="J189" s="40" t="str">
        <f t="shared" si="17"/>
        <v/>
      </c>
      <c r="K189" s="41" t="str">
        <f t="shared" si="25"/>
        <v/>
      </c>
      <c r="L189" s="42" t="str">
        <f t="shared" si="19"/>
        <v/>
      </c>
      <c r="M189" s="42" t="str">
        <f t="shared" si="22"/>
        <v/>
      </c>
      <c r="N189" s="42" t="str">
        <f t="shared" si="23"/>
        <v/>
      </c>
    </row>
    <row r="190" spans="7:14" x14ac:dyDescent="0.25">
      <c r="G190" s="39" t="str">
        <f t="shared" si="16"/>
        <v/>
      </c>
      <c r="H190" s="102" t="str">
        <f t="shared" si="20"/>
        <v/>
      </c>
      <c r="I190" s="36" t="str">
        <f t="shared" si="21"/>
        <v/>
      </c>
      <c r="J190" s="40" t="str">
        <f t="shared" si="17"/>
        <v/>
      </c>
      <c r="K190" s="41" t="str">
        <f t="shared" si="25"/>
        <v/>
      </c>
      <c r="L190" s="42" t="str">
        <f t="shared" si="19"/>
        <v/>
      </c>
      <c r="M190" s="42" t="str">
        <f t="shared" si="22"/>
        <v/>
      </c>
      <c r="N190" s="42" t="str">
        <f t="shared" si="23"/>
        <v/>
      </c>
    </row>
    <row r="191" spans="7:14" x14ac:dyDescent="0.25">
      <c r="G191" s="39" t="str">
        <f t="shared" si="16"/>
        <v/>
      </c>
      <c r="H191" s="102" t="str">
        <f t="shared" si="20"/>
        <v/>
      </c>
      <c r="I191" s="36" t="str">
        <f t="shared" si="21"/>
        <v/>
      </c>
      <c r="J191" s="40" t="str">
        <f t="shared" si="17"/>
        <v/>
      </c>
      <c r="K191" s="41" t="str">
        <f t="shared" si="25"/>
        <v/>
      </c>
      <c r="L191" s="42" t="str">
        <f t="shared" si="19"/>
        <v/>
      </c>
      <c r="M191" s="42" t="str">
        <f t="shared" si="22"/>
        <v/>
      </c>
      <c r="N191" s="42" t="str">
        <f t="shared" si="23"/>
        <v/>
      </c>
    </row>
    <row r="192" spans="7:14" x14ac:dyDescent="0.25">
      <c r="G192" s="39" t="str">
        <f t="shared" si="16"/>
        <v/>
      </c>
      <c r="H192" s="102" t="str">
        <f t="shared" si="20"/>
        <v/>
      </c>
      <c r="I192" s="36" t="str">
        <f t="shared" si="21"/>
        <v/>
      </c>
      <c r="J192" s="40" t="str">
        <f t="shared" si="17"/>
        <v/>
      </c>
      <c r="K192" s="41" t="str">
        <f t="shared" si="25"/>
        <v/>
      </c>
      <c r="L192" s="42" t="str">
        <f t="shared" si="19"/>
        <v/>
      </c>
      <c r="M192" s="42" t="str">
        <f t="shared" si="22"/>
        <v/>
      </c>
      <c r="N192" s="42" t="str">
        <f t="shared" si="23"/>
        <v/>
      </c>
    </row>
    <row r="193" spans="7:14" x14ac:dyDescent="0.25">
      <c r="G193" s="39" t="str">
        <f t="shared" si="16"/>
        <v/>
      </c>
      <c r="H193" s="102" t="str">
        <f t="shared" si="20"/>
        <v/>
      </c>
      <c r="I193" s="36" t="str">
        <f t="shared" si="21"/>
        <v/>
      </c>
      <c r="J193" s="40" t="str">
        <f t="shared" si="17"/>
        <v/>
      </c>
      <c r="K193" s="41" t="str">
        <f t="shared" si="25"/>
        <v/>
      </c>
      <c r="L193" s="42" t="str">
        <f t="shared" si="19"/>
        <v/>
      </c>
      <c r="M193" s="42" t="str">
        <f t="shared" si="22"/>
        <v/>
      </c>
      <c r="N193" s="42" t="str">
        <f t="shared" si="23"/>
        <v/>
      </c>
    </row>
    <row r="194" spans="7:14" x14ac:dyDescent="0.25">
      <c r="G194" s="39" t="str">
        <f t="shared" si="16"/>
        <v/>
      </c>
      <c r="H194" s="102" t="str">
        <f t="shared" si="20"/>
        <v/>
      </c>
      <c r="I194" s="36" t="str">
        <f t="shared" si="21"/>
        <v/>
      </c>
      <c r="J194" s="40" t="str">
        <f t="shared" si="17"/>
        <v/>
      </c>
      <c r="K194" s="41" t="str">
        <f t="shared" si="25"/>
        <v/>
      </c>
      <c r="L194" s="42" t="str">
        <f t="shared" si="19"/>
        <v/>
      </c>
      <c r="M194" s="42" t="str">
        <f t="shared" si="22"/>
        <v/>
      </c>
      <c r="N194" s="42" t="str">
        <f t="shared" si="23"/>
        <v/>
      </c>
    </row>
    <row r="195" spans="7:14" x14ac:dyDescent="0.25">
      <c r="G195" s="39" t="str">
        <f t="shared" si="16"/>
        <v/>
      </c>
      <c r="H195" s="102" t="str">
        <f t="shared" si="20"/>
        <v/>
      </c>
      <c r="I195" s="36" t="str">
        <f t="shared" si="21"/>
        <v/>
      </c>
      <c r="J195" s="40" t="str">
        <f t="shared" si="17"/>
        <v/>
      </c>
      <c r="K195" s="41" t="str">
        <f t="shared" si="25"/>
        <v/>
      </c>
      <c r="L195" s="42" t="str">
        <f t="shared" si="19"/>
        <v/>
      </c>
      <c r="M195" s="42" t="str">
        <f t="shared" si="22"/>
        <v/>
      </c>
      <c r="N195" s="42" t="str">
        <f t="shared" si="23"/>
        <v/>
      </c>
    </row>
    <row r="196" spans="7:14" x14ac:dyDescent="0.25">
      <c r="G196" s="39" t="str">
        <f t="shared" si="16"/>
        <v/>
      </c>
      <c r="H196" s="102" t="str">
        <f t="shared" si="20"/>
        <v/>
      </c>
      <c r="I196" s="36" t="str">
        <f t="shared" si="21"/>
        <v/>
      </c>
      <c r="J196" s="40" t="str">
        <f t="shared" si="17"/>
        <v/>
      </c>
      <c r="K196" s="41" t="str">
        <f t="shared" si="25"/>
        <v/>
      </c>
      <c r="L196" s="42" t="str">
        <f t="shared" si="19"/>
        <v/>
      </c>
      <c r="M196" s="42" t="str">
        <f t="shared" si="22"/>
        <v/>
      </c>
      <c r="N196" s="42" t="str">
        <f t="shared" si="23"/>
        <v/>
      </c>
    </row>
    <row r="197" spans="7:14" x14ac:dyDescent="0.25">
      <c r="G197" s="39" t="str">
        <f t="shared" si="16"/>
        <v/>
      </c>
      <c r="H197" s="102" t="str">
        <f t="shared" si="20"/>
        <v/>
      </c>
      <c r="I197" s="36" t="str">
        <f t="shared" si="21"/>
        <v/>
      </c>
      <c r="J197" s="40" t="str">
        <f t="shared" si="17"/>
        <v/>
      </c>
      <c r="K197" s="41" t="str">
        <f t="shared" si="25"/>
        <v/>
      </c>
      <c r="L197" s="42" t="str">
        <f t="shared" si="19"/>
        <v/>
      </c>
      <c r="M197" s="42" t="str">
        <f t="shared" si="22"/>
        <v/>
      </c>
      <c r="N197" s="42" t="str">
        <f t="shared" si="23"/>
        <v/>
      </c>
    </row>
    <row r="198" spans="7:14" x14ac:dyDescent="0.25">
      <c r="G198" s="39" t="str">
        <f t="shared" si="16"/>
        <v/>
      </c>
      <c r="H198" s="102" t="str">
        <f t="shared" si="20"/>
        <v/>
      </c>
      <c r="I198" s="36" t="str">
        <f t="shared" si="21"/>
        <v/>
      </c>
      <c r="J198" s="40" t="str">
        <f t="shared" si="17"/>
        <v/>
      </c>
      <c r="K198" s="41" t="str">
        <f t="shared" si="25"/>
        <v/>
      </c>
      <c r="L198" s="42" t="str">
        <f t="shared" si="19"/>
        <v/>
      </c>
      <c r="M198" s="42" t="str">
        <f t="shared" si="22"/>
        <v/>
      </c>
      <c r="N198" s="42" t="str">
        <f t="shared" si="23"/>
        <v/>
      </c>
    </row>
    <row r="199" spans="7:14" x14ac:dyDescent="0.25">
      <c r="G199" s="39" t="str">
        <f t="shared" ref="G199:G227" si="26">IFERROR(IF(G198+1&gt;$E$6,"",G198+1),"")</f>
        <v/>
      </c>
      <c r="H199" s="102" t="str">
        <f t="shared" si="20"/>
        <v/>
      </c>
      <c r="I199" s="36" t="str">
        <f t="shared" si="21"/>
        <v/>
      </c>
      <c r="J199" s="40" t="str">
        <f t="shared" ref="J199:J227" si="27">IF(G199="","",IF($A$2=1,N198/($E$6-G198),IF(AND($A$2=2,G199&lt;=$E$16),$E$40/rng_QTDEParc,N198/($E$6-G198))))</f>
        <v/>
      </c>
      <c r="K199" s="41" t="str">
        <f t="shared" si="25"/>
        <v/>
      </c>
      <c r="L199" s="42" t="str">
        <f t="shared" ref="L199:L227" si="28">IF(G199="","",N198-J199)</f>
        <v/>
      </c>
      <c r="M199" s="42" t="str">
        <f t="shared" si="22"/>
        <v/>
      </c>
      <c r="N199" s="42" t="str">
        <f t="shared" si="23"/>
        <v/>
      </c>
    </row>
    <row r="200" spans="7:14" x14ac:dyDescent="0.25">
      <c r="G200" s="39" t="str">
        <f t="shared" si="26"/>
        <v/>
      </c>
      <c r="H200" s="102" t="str">
        <f t="shared" ref="H200:H227" si="29">IF(G200="","",IF(G200&lt;=$E$12,$E$10/$E$12,""))</f>
        <v/>
      </c>
      <c r="I200" s="36" t="str">
        <f t="shared" ref="I200:I227" si="30">IF(G200="","",IF(H200&lt;&gt;"",H200*$E$4,0))</f>
        <v/>
      </c>
      <c r="J200" s="40" t="str">
        <f t="shared" si="27"/>
        <v/>
      </c>
      <c r="K200" s="41" t="str">
        <f t="shared" si="25"/>
        <v/>
      </c>
      <c r="L200" s="42" t="str">
        <f t="shared" si="28"/>
        <v/>
      </c>
      <c r="M200" s="42" t="str">
        <f t="shared" ref="M200:M227" si="31">IF(G200="","",IF(AND($B$2=2,G200=$E$16,$E$20&gt;=$E$24),($E$4*$E$20)-($E$4*$E$24),IF(AND(A$16=TRUE,G200=$E$16),$E$22,0)))</f>
        <v/>
      </c>
      <c r="N200" s="42" t="str">
        <f t="shared" ref="N200:N227" si="32">IF(G200="","",L200-M200)</f>
        <v/>
      </c>
    </row>
    <row r="201" spans="7:14" x14ac:dyDescent="0.25">
      <c r="G201" s="39" t="str">
        <f t="shared" si="26"/>
        <v/>
      </c>
      <c r="H201" s="102" t="str">
        <f t="shared" si="29"/>
        <v/>
      </c>
      <c r="I201" s="36" t="str">
        <f t="shared" si="30"/>
        <v/>
      </c>
      <c r="J201" s="40" t="str">
        <f t="shared" si="27"/>
        <v/>
      </c>
      <c r="K201" s="41" t="str">
        <f t="shared" si="25"/>
        <v/>
      </c>
      <c r="L201" s="42" t="str">
        <f t="shared" si="28"/>
        <v/>
      </c>
      <c r="M201" s="42" t="str">
        <f t="shared" si="31"/>
        <v/>
      </c>
      <c r="N201" s="42" t="str">
        <f t="shared" si="32"/>
        <v/>
      </c>
    </row>
    <row r="202" spans="7:14" x14ac:dyDescent="0.25">
      <c r="G202" s="39" t="str">
        <f t="shared" si="26"/>
        <v/>
      </c>
      <c r="H202" s="102" t="str">
        <f t="shared" si="29"/>
        <v/>
      </c>
      <c r="I202" s="36" t="str">
        <f t="shared" si="30"/>
        <v/>
      </c>
      <c r="J202" s="40" t="str">
        <f t="shared" si="27"/>
        <v/>
      </c>
      <c r="K202" s="41" t="str">
        <f t="shared" si="25"/>
        <v/>
      </c>
      <c r="L202" s="42" t="str">
        <f t="shared" si="28"/>
        <v/>
      </c>
      <c r="M202" s="42" t="str">
        <f t="shared" si="31"/>
        <v/>
      </c>
      <c r="N202" s="42" t="str">
        <f t="shared" si="32"/>
        <v/>
      </c>
    </row>
    <row r="203" spans="7:14" x14ac:dyDescent="0.25">
      <c r="G203" s="39" t="str">
        <f t="shared" si="26"/>
        <v/>
      </c>
      <c r="H203" s="102" t="str">
        <f t="shared" si="29"/>
        <v/>
      </c>
      <c r="I203" s="36" t="str">
        <f t="shared" si="30"/>
        <v/>
      </c>
      <c r="J203" s="40" t="str">
        <f t="shared" si="27"/>
        <v/>
      </c>
      <c r="K203" s="41" t="str">
        <f t="shared" si="25"/>
        <v/>
      </c>
      <c r="L203" s="42" t="str">
        <f t="shared" si="28"/>
        <v/>
      </c>
      <c r="M203" s="42" t="str">
        <f t="shared" si="31"/>
        <v/>
      </c>
      <c r="N203" s="42" t="str">
        <f t="shared" si="32"/>
        <v/>
      </c>
    </row>
    <row r="204" spans="7:14" x14ac:dyDescent="0.25">
      <c r="G204" s="39" t="str">
        <f t="shared" si="26"/>
        <v/>
      </c>
      <c r="H204" s="102" t="str">
        <f t="shared" si="29"/>
        <v/>
      </c>
      <c r="I204" s="36" t="str">
        <f t="shared" si="30"/>
        <v/>
      </c>
      <c r="J204" s="40" t="str">
        <f t="shared" si="27"/>
        <v/>
      </c>
      <c r="K204" s="41" t="str">
        <f t="shared" si="25"/>
        <v/>
      </c>
      <c r="L204" s="42" t="str">
        <f t="shared" si="28"/>
        <v/>
      </c>
      <c r="M204" s="42" t="str">
        <f t="shared" si="31"/>
        <v/>
      </c>
      <c r="N204" s="42" t="str">
        <f t="shared" si="32"/>
        <v/>
      </c>
    </row>
    <row r="205" spans="7:14" x14ac:dyDescent="0.25">
      <c r="G205" s="39" t="str">
        <f t="shared" si="26"/>
        <v/>
      </c>
      <c r="H205" s="102" t="str">
        <f t="shared" si="29"/>
        <v/>
      </c>
      <c r="I205" s="36" t="str">
        <f t="shared" si="30"/>
        <v/>
      </c>
      <c r="J205" s="40" t="str">
        <f t="shared" si="27"/>
        <v/>
      </c>
      <c r="K205" s="41" t="str">
        <f t="shared" si="25"/>
        <v/>
      </c>
      <c r="L205" s="42" t="str">
        <f t="shared" si="28"/>
        <v/>
      </c>
      <c r="M205" s="42" t="str">
        <f t="shared" si="31"/>
        <v/>
      </c>
      <c r="N205" s="42" t="str">
        <f t="shared" si="32"/>
        <v/>
      </c>
    </row>
    <row r="206" spans="7:14" x14ac:dyDescent="0.25">
      <c r="G206" s="39" t="str">
        <f t="shared" si="26"/>
        <v/>
      </c>
      <c r="H206" s="102" t="str">
        <f t="shared" si="29"/>
        <v/>
      </c>
      <c r="I206" s="36" t="str">
        <f t="shared" si="30"/>
        <v/>
      </c>
      <c r="J206" s="40" t="str">
        <f t="shared" si="27"/>
        <v/>
      </c>
      <c r="K206" s="41" t="str">
        <f t="shared" si="25"/>
        <v/>
      </c>
      <c r="L206" s="42" t="str">
        <f t="shared" si="28"/>
        <v/>
      </c>
      <c r="M206" s="42" t="str">
        <f t="shared" si="31"/>
        <v/>
      </c>
      <c r="N206" s="42" t="str">
        <f t="shared" si="32"/>
        <v/>
      </c>
    </row>
    <row r="207" spans="7:14" x14ac:dyDescent="0.25">
      <c r="G207" s="39" t="str">
        <f t="shared" si="26"/>
        <v/>
      </c>
      <c r="H207" s="102" t="str">
        <f t="shared" si="29"/>
        <v/>
      </c>
      <c r="I207" s="36" t="str">
        <f t="shared" si="30"/>
        <v/>
      </c>
      <c r="J207" s="40" t="str">
        <f t="shared" si="27"/>
        <v/>
      </c>
      <c r="K207" s="41" t="str">
        <f t="shared" si="25"/>
        <v/>
      </c>
      <c r="L207" s="42" t="str">
        <f t="shared" si="28"/>
        <v/>
      </c>
      <c r="M207" s="42" t="str">
        <f t="shared" si="31"/>
        <v/>
      </c>
      <c r="N207" s="42" t="str">
        <f t="shared" si="32"/>
        <v/>
      </c>
    </row>
    <row r="208" spans="7:14" x14ac:dyDescent="0.25">
      <c r="G208" s="39" t="str">
        <f t="shared" si="26"/>
        <v/>
      </c>
      <c r="H208" s="102" t="str">
        <f t="shared" si="29"/>
        <v/>
      </c>
      <c r="I208" s="36" t="str">
        <f t="shared" si="30"/>
        <v/>
      </c>
      <c r="J208" s="40" t="str">
        <f t="shared" si="27"/>
        <v/>
      </c>
      <c r="K208" s="41" t="str">
        <f t="shared" si="25"/>
        <v/>
      </c>
      <c r="L208" s="42" t="str">
        <f t="shared" si="28"/>
        <v/>
      </c>
      <c r="M208" s="42" t="str">
        <f t="shared" si="31"/>
        <v/>
      </c>
      <c r="N208" s="42" t="str">
        <f t="shared" si="32"/>
        <v/>
      </c>
    </row>
    <row r="209" spans="7:14" x14ac:dyDescent="0.25">
      <c r="G209" s="39" t="str">
        <f t="shared" si="26"/>
        <v/>
      </c>
      <c r="H209" s="102" t="str">
        <f t="shared" si="29"/>
        <v/>
      </c>
      <c r="I209" s="36" t="str">
        <f t="shared" si="30"/>
        <v/>
      </c>
      <c r="J209" s="40" t="str">
        <f t="shared" si="27"/>
        <v/>
      </c>
      <c r="K209" s="41" t="str">
        <f t="shared" si="25"/>
        <v/>
      </c>
      <c r="L209" s="42" t="str">
        <f t="shared" si="28"/>
        <v/>
      </c>
      <c r="M209" s="42" t="str">
        <f t="shared" si="31"/>
        <v/>
      </c>
      <c r="N209" s="42" t="str">
        <f t="shared" si="32"/>
        <v/>
      </c>
    </row>
    <row r="210" spans="7:14" x14ac:dyDescent="0.25">
      <c r="G210" s="39" t="str">
        <f t="shared" si="26"/>
        <v/>
      </c>
      <c r="H210" s="102" t="str">
        <f t="shared" si="29"/>
        <v/>
      </c>
      <c r="I210" s="36" t="str">
        <f t="shared" si="30"/>
        <v/>
      </c>
      <c r="J210" s="40" t="str">
        <f t="shared" si="27"/>
        <v/>
      </c>
      <c r="K210" s="41" t="str">
        <f t="shared" si="25"/>
        <v/>
      </c>
      <c r="L210" s="42" t="str">
        <f t="shared" si="28"/>
        <v/>
      </c>
      <c r="M210" s="42" t="str">
        <f t="shared" si="31"/>
        <v/>
      </c>
      <c r="N210" s="42" t="str">
        <f t="shared" si="32"/>
        <v/>
      </c>
    </row>
    <row r="211" spans="7:14" x14ac:dyDescent="0.25">
      <c r="G211" s="39" t="str">
        <f t="shared" si="26"/>
        <v/>
      </c>
      <c r="H211" s="102" t="str">
        <f t="shared" si="29"/>
        <v/>
      </c>
      <c r="I211" s="36" t="str">
        <f t="shared" si="30"/>
        <v/>
      </c>
      <c r="J211" s="40" t="str">
        <f t="shared" si="27"/>
        <v/>
      </c>
      <c r="K211" s="41" t="str">
        <f t="shared" si="25"/>
        <v/>
      </c>
      <c r="L211" s="42" t="str">
        <f t="shared" si="28"/>
        <v/>
      </c>
      <c r="M211" s="42" t="str">
        <f t="shared" si="31"/>
        <v/>
      </c>
      <c r="N211" s="42" t="str">
        <f t="shared" si="32"/>
        <v/>
      </c>
    </row>
    <row r="212" spans="7:14" x14ac:dyDescent="0.25">
      <c r="G212" s="39" t="str">
        <f t="shared" si="26"/>
        <v/>
      </c>
      <c r="H212" s="102" t="str">
        <f t="shared" si="29"/>
        <v/>
      </c>
      <c r="I212" s="36" t="str">
        <f t="shared" si="30"/>
        <v/>
      </c>
      <c r="J212" s="40" t="str">
        <f t="shared" si="27"/>
        <v/>
      </c>
      <c r="K212" s="41" t="str">
        <f t="shared" si="25"/>
        <v/>
      </c>
      <c r="L212" s="42" t="str">
        <f t="shared" si="28"/>
        <v/>
      </c>
      <c r="M212" s="42" t="str">
        <f t="shared" si="31"/>
        <v/>
      </c>
      <c r="N212" s="42" t="str">
        <f t="shared" si="32"/>
        <v/>
      </c>
    </row>
    <row r="213" spans="7:14" x14ac:dyDescent="0.25">
      <c r="G213" s="39" t="str">
        <f t="shared" si="26"/>
        <v/>
      </c>
      <c r="H213" s="102" t="str">
        <f t="shared" si="29"/>
        <v/>
      </c>
      <c r="I213" s="36" t="str">
        <f t="shared" si="30"/>
        <v/>
      </c>
      <c r="J213" s="40" t="str">
        <f t="shared" si="27"/>
        <v/>
      </c>
      <c r="K213" s="41" t="str">
        <f t="shared" si="25"/>
        <v/>
      </c>
      <c r="L213" s="42" t="str">
        <f t="shared" si="28"/>
        <v/>
      </c>
      <c r="M213" s="42" t="str">
        <f t="shared" si="31"/>
        <v/>
      </c>
      <c r="N213" s="42" t="str">
        <f t="shared" si="32"/>
        <v/>
      </c>
    </row>
    <row r="214" spans="7:14" x14ac:dyDescent="0.25">
      <c r="G214" s="39" t="str">
        <f t="shared" si="26"/>
        <v/>
      </c>
      <c r="H214" s="102" t="str">
        <f t="shared" si="29"/>
        <v/>
      </c>
      <c r="I214" s="36" t="str">
        <f t="shared" si="30"/>
        <v/>
      </c>
      <c r="J214" s="40" t="str">
        <f t="shared" si="27"/>
        <v/>
      </c>
      <c r="K214" s="41" t="str">
        <f t="shared" si="25"/>
        <v/>
      </c>
      <c r="L214" s="42" t="str">
        <f t="shared" si="28"/>
        <v/>
      </c>
      <c r="M214" s="42" t="str">
        <f t="shared" si="31"/>
        <v/>
      </c>
      <c r="N214" s="42" t="str">
        <f t="shared" si="32"/>
        <v/>
      </c>
    </row>
    <row r="215" spans="7:14" x14ac:dyDescent="0.25">
      <c r="G215" s="39" t="str">
        <f t="shared" si="26"/>
        <v/>
      </c>
      <c r="H215" s="102" t="str">
        <f t="shared" si="29"/>
        <v/>
      </c>
      <c r="I215" s="36" t="str">
        <f t="shared" si="30"/>
        <v/>
      </c>
      <c r="J215" s="40" t="str">
        <f t="shared" si="27"/>
        <v/>
      </c>
      <c r="K215" s="41" t="str">
        <f t="shared" si="25"/>
        <v/>
      </c>
      <c r="L215" s="42" t="str">
        <f t="shared" si="28"/>
        <v/>
      </c>
      <c r="M215" s="42" t="str">
        <f t="shared" si="31"/>
        <v/>
      </c>
      <c r="N215" s="42" t="str">
        <f t="shared" si="32"/>
        <v/>
      </c>
    </row>
    <row r="216" spans="7:14" x14ac:dyDescent="0.25">
      <c r="G216" s="39" t="str">
        <f t="shared" si="26"/>
        <v/>
      </c>
      <c r="H216" s="102" t="str">
        <f t="shared" si="29"/>
        <v/>
      </c>
      <c r="I216" s="36" t="str">
        <f t="shared" si="30"/>
        <v/>
      </c>
      <c r="J216" s="40" t="str">
        <f t="shared" si="27"/>
        <v/>
      </c>
      <c r="K216" s="41" t="str">
        <f t="shared" si="25"/>
        <v/>
      </c>
      <c r="L216" s="42" t="str">
        <f t="shared" si="28"/>
        <v/>
      </c>
      <c r="M216" s="42" t="str">
        <f t="shared" si="31"/>
        <v/>
      </c>
      <c r="N216" s="42" t="str">
        <f t="shared" si="32"/>
        <v/>
      </c>
    </row>
    <row r="217" spans="7:14" x14ac:dyDescent="0.25">
      <c r="G217" s="39" t="str">
        <f t="shared" si="26"/>
        <v/>
      </c>
      <c r="H217" s="102" t="str">
        <f t="shared" si="29"/>
        <v/>
      </c>
      <c r="I217" s="36" t="str">
        <f t="shared" si="30"/>
        <v/>
      </c>
      <c r="J217" s="40" t="str">
        <f t="shared" si="27"/>
        <v/>
      </c>
      <c r="K217" s="41" t="str">
        <f t="shared" si="25"/>
        <v/>
      </c>
      <c r="L217" s="42" t="str">
        <f t="shared" si="28"/>
        <v/>
      </c>
      <c r="M217" s="42" t="str">
        <f t="shared" si="31"/>
        <v/>
      </c>
      <c r="N217" s="42" t="str">
        <f t="shared" si="32"/>
        <v/>
      </c>
    </row>
    <row r="218" spans="7:14" x14ac:dyDescent="0.25">
      <c r="G218" s="39" t="str">
        <f t="shared" si="26"/>
        <v/>
      </c>
      <c r="H218" s="102" t="str">
        <f t="shared" si="29"/>
        <v/>
      </c>
      <c r="I218" s="36" t="str">
        <f t="shared" si="30"/>
        <v/>
      </c>
      <c r="J218" s="40" t="str">
        <f t="shared" si="27"/>
        <v/>
      </c>
      <c r="K218" s="41" t="str">
        <f t="shared" si="25"/>
        <v/>
      </c>
      <c r="L218" s="42" t="str">
        <f t="shared" si="28"/>
        <v/>
      </c>
      <c r="M218" s="42" t="str">
        <f t="shared" si="31"/>
        <v/>
      </c>
      <c r="N218" s="42" t="str">
        <f t="shared" si="32"/>
        <v/>
      </c>
    </row>
    <row r="219" spans="7:14" x14ac:dyDescent="0.25">
      <c r="G219" s="39" t="str">
        <f t="shared" si="26"/>
        <v/>
      </c>
      <c r="H219" s="102" t="str">
        <f t="shared" si="29"/>
        <v/>
      </c>
      <c r="I219" s="36" t="str">
        <f t="shared" si="30"/>
        <v/>
      </c>
      <c r="J219" s="40" t="str">
        <f t="shared" si="27"/>
        <v/>
      </c>
      <c r="K219" s="41" t="str">
        <f t="shared" si="25"/>
        <v/>
      </c>
      <c r="L219" s="42" t="str">
        <f t="shared" si="28"/>
        <v/>
      </c>
      <c r="M219" s="42" t="str">
        <f t="shared" si="31"/>
        <v/>
      </c>
      <c r="N219" s="42" t="str">
        <f t="shared" si="32"/>
        <v/>
      </c>
    </row>
    <row r="220" spans="7:14" x14ac:dyDescent="0.25">
      <c r="G220" s="39" t="str">
        <f t="shared" si="26"/>
        <v/>
      </c>
      <c r="H220" s="102" t="str">
        <f t="shared" si="29"/>
        <v/>
      </c>
      <c r="I220" s="36" t="str">
        <f t="shared" si="30"/>
        <v/>
      </c>
      <c r="J220" s="40" t="str">
        <f t="shared" si="27"/>
        <v/>
      </c>
      <c r="K220" s="41" t="str">
        <f t="shared" si="25"/>
        <v/>
      </c>
      <c r="L220" s="42" t="str">
        <f t="shared" si="28"/>
        <v/>
      </c>
      <c r="M220" s="42" t="str">
        <f t="shared" si="31"/>
        <v/>
      </c>
      <c r="N220" s="42" t="str">
        <f t="shared" si="32"/>
        <v/>
      </c>
    </row>
    <row r="221" spans="7:14" x14ac:dyDescent="0.25">
      <c r="G221" s="39" t="str">
        <f t="shared" si="26"/>
        <v/>
      </c>
      <c r="H221" s="102" t="str">
        <f t="shared" si="29"/>
        <v/>
      </c>
      <c r="I221" s="36" t="str">
        <f t="shared" si="30"/>
        <v/>
      </c>
      <c r="J221" s="40" t="str">
        <f t="shared" si="27"/>
        <v/>
      </c>
      <c r="K221" s="41" t="str">
        <f t="shared" ref="K221:K227" si="33">IF(G221="","",I221+J221+K220)</f>
        <v/>
      </c>
      <c r="L221" s="42" t="str">
        <f t="shared" si="28"/>
        <v/>
      </c>
      <c r="M221" s="42" t="str">
        <f t="shared" si="31"/>
        <v/>
      </c>
      <c r="N221" s="42" t="str">
        <f t="shared" si="32"/>
        <v/>
      </c>
    </row>
    <row r="222" spans="7:14" x14ac:dyDescent="0.25">
      <c r="G222" s="39" t="str">
        <f t="shared" si="26"/>
        <v/>
      </c>
      <c r="H222" s="102" t="str">
        <f t="shared" si="29"/>
        <v/>
      </c>
      <c r="I222" s="36" t="str">
        <f t="shared" si="30"/>
        <v/>
      </c>
      <c r="J222" s="40" t="str">
        <f t="shared" si="27"/>
        <v/>
      </c>
      <c r="K222" s="41" t="str">
        <f t="shared" si="33"/>
        <v/>
      </c>
      <c r="L222" s="42" t="str">
        <f t="shared" si="28"/>
        <v/>
      </c>
      <c r="M222" s="42" t="str">
        <f t="shared" si="31"/>
        <v/>
      </c>
      <c r="N222" s="42" t="str">
        <f t="shared" si="32"/>
        <v/>
      </c>
    </row>
    <row r="223" spans="7:14" x14ac:dyDescent="0.25">
      <c r="G223" s="39" t="str">
        <f t="shared" si="26"/>
        <v/>
      </c>
      <c r="H223" s="102" t="str">
        <f t="shared" si="29"/>
        <v/>
      </c>
      <c r="I223" s="36" t="str">
        <f t="shared" si="30"/>
        <v/>
      </c>
      <c r="J223" s="40" t="str">
        <f t="shared" si="27"/>
        <v/>
      </c>
      <c r="K223" s="41" t="str">
        <f t="shared" si="33"/>
        <v/>
      </c>
      <c r="L223" s="42" t="str">
        <f t="shared" si="28"/>
        <v/>
      </c>
      <c r="M223" s="42" t="str">
        <f t="shared" si="31"/>
        <v/>
      </c>
      <c r="N223" s="42" t="str">
        <f t="shared" si="32"/>
        <v/>
      </c>
    </row>
    <row r="224" spans="7:14" x14ac:dyDescent="0.25">
      <c r="G224" s="39" t="str">
        <f t="shared" si="26"/>
        <v/>
      </c>
      <c r="H224" s="102" t="str">
        <f t="shared" si="29"/>
        <v/>
      </c>
      <c r="I224" s="36" t="str">
        <f t="shared" si="30"/>
        <v/>
      </c>
      <c r="J224" s="40" t="str">
        <f t="shared" si="27"/>
        <v/>
      </c>
      <c r="K224" s="41" t="str">
        <f t="shared" si="33"/>
        <v/>
      </c>
      <c r="L224" s="42" t="str">
        <f t="shared" si="28"/>
        <v/>
      </c>
      <c r="M224" s="42" t="str">
        <f t="shared" si="31"/>
        <v/>
      </c>
      <c r="N224" s="42" t="str">
        <f t="shared" si="32"/>
        <v/>
      </c>
    </row>
    <row r="225" spans="7:14" x14ac:dyDescent="0.25">
      <c r="G225" s="39" t="str">
        <f t="shared" si="26"/>
        <v/>
      </c>
      <c r="H225" s="102" t="str">
        <f t="shared" si="29"/>
        <v/>
      </c>
      <c r="I225" s="36" t="str">
        <f t="shared" si="30"/>
        <v/>
      </c>
      <c r="J225" s="40" t="str">
        <f t="shared" si="27"/>
        <v/>
      </c>
      <c r="K225" s="41" t="str">
        <f t="shared" si="33"/>
        <v/>
      </c>
      <c r="L225" s="42" t="str">
        <f t="shared" si="28"/>
        <v/>
      </c>
      <c r="M225" s="42" t="str">
        <f t="shared" si="31"/>
        <v/>
      </c>
      <c r="N225" s="42" t="str">
        <f t="shared" si="32"/>
        <v/>
      </c>
    </row>
    <row r="226" spans="7:14" x14ac:dyDescent="0.25">
      <c r="G226" s="39" t="str">
        <f t="shared" si="26"/>
        <v/>
      </c>
      <c r="H226" s="102" t="str">
        <f t="shared" si="29"/>
        <v/>
      </c>
      <c r="I226" s="36" t="str">
        <f t="shared" si="30"/>
        <v/>
      </c>
      <c r="J226" s="40" t="str">
        <f t="shared" si="27"/>
        <v/>
      </c>
      <c r="K226" s="41" t="str">
        <f t="shared" si="33"/>
        <v/>
      </c>
      <c r="L226" s="42" t="str">
        <f t="shared" si="28"/>
        <v/>
      </c>
      <c r="M226" s="42" t="str">
        <f t="shared" si="31"/>
        <v/>
      </c>
      <c r="N226" s="42" t="str">
        <f t="shared" si="32"/>
        <v/>
      </c>
    </row>
    <row r="227" spans="7:14" x14ac:dyDescent="0.25">
      <c r="G227" s="39" t="str">
        <f t="shared" si="26"/>
        <v/>
      </c>
      <c r="H227" s="102" t="str">
        <f t="shared" si="29"/>
        <v/>
      </c>
      <c r="I227" s="36" t="str">
        <f t="shared" si="30"/>
        <v/>
      </c>
      <c r="J227" s="40" t="str">
        <f t="shared" si="27"/>
        <v/>
      </c>
      <c r="K227" s="41" t="str">
        <f t="shared" si="33"/>
        <v/>
      </c>
      <c r="L227" s="42" t="str">
        <f t="shared" si="28"/>
        <v/>
      </c>
      <c r="M227" s="42" t="str">
        <f t="shared" si="31"/>
        <v/>
      </c>
      <c r="N227" s="42" t="str">
        <f t="shared" si="32"/>
        <v/>
      </c>
    </row>
  </sheetData>
  <sheetProtection selectLockedCells="1"/>
  <mergeCells count="43">
    <mergeCell ref="B42:C42"/>
    <mergeCell ref="B31:C31"/>
    <mergeCell ref="B18:D19"/>
    <mergeCell ref="E18:E19"/>
    <mergeCell ref="B20:D21"/>
    <mergeCell ref="E20:E21"/>
    <mergeCell ref="B22:D23"/>
    <mergeCell ref="E22:E23"/>
    <mergeCell ref="B26:D27"/>
    <mergeCell ref="E26:E27"/>
    <mergeCell ref="B24:D25"/>
    <mergeCell ref="B32:C32"/>
    <mergeCell ref="B33:C33"/>
    <mergeCell ref="B35:C35"/>
    <mergeCell ref="B36:C36"/>
    <mergeCell ref="B37:C37"/>
    <mergeCell ref="B14:D15"/>
    <mergeCell ref="E14:E15"/>
    <mergeCell ref="E16:E17"/>
    <mergeCell ref="B28:D29"/>
    <mergeCell ref="E28:E29"/>
    <mergeCell ref="B16:D17"/>
    <mergeCell ref="B10:D11"/>
    <mergeCell ref="E10:E11"/>
    <mergeCell ref="B2:E3"/>
    <mergeCell ref="B12:D13"/>
    <mergeCell ref="E12:E13"/>
    <mergeCell ref="B6:D7"/>
    <mergeCell ref="E6:E7"/>
    <mergeCell ref="B8:D9"/>
    <mergeCell ref="E8:E9"/>
    <mergeCell ref="B4:D5"/>
    <mergeCell ref="E4:E5"/>
    <mergeCell ref="O2:R2"/>
    <mergeCell ref="G3:G4"/>
    <mergeCell ref="H3:H4"/>
    <mergeCell ref="I3:I4"/>
    <mergeCell ref="J3:J4"/>
    <mergeCell ref="G2:N2"/>
    <mergeCell ref="K3:K4"/>
    <mergeCell ref="L3:L4"/>
    <mergeCell ref="M3:M4"/>
    <mergeCell ref="N3:N4"/>
  </mergeCells>
  <conditionalFormatting sqref="G7:N1000">
    <cfRule type="expression" dxfId="3" priority="5">
      <formula>$G7&lt;&gt;""</formula>
    </cfRule>
    <cfRule type="expression" dxfId="2" priority="10">
      <formula>IF(AND($G7&lt;&gt;"",$G7=$E$16),TRUE,FALSE)</formula>
    </cfRule>
  </conditionalFormatting>
  <conditionalFormatting sqref="E24:E25">
    <cfRule type="expression" dxfId="1" priority="4">
      <formula>$B$2=1</formula>
    </cfRule>
  </conditionalFormatting>
  <conditionalFormatting sqref="B24:D25">
    <cfRule type="expression" dxfId="0" priority="3">
      <formula>$B$2=1</formula>
    </cfRule>
  </conditionalFormatting>
  <dataValidations count="2">
    <dataValidation type="whole" allowBlank="1" showInputMessage="1" showErrorMessage="1" errorTitle="MOMENTO INCORRETO" error="Os Lances devem ser ofertados entre o primeiro e penúltimo mês da vigência do consórcio." sqref="E16:E17" xr:uid="{00000000-0002-0000-0100-000000000000}">
      <formula1>1</formula1>
      <formula2>E6-1</formula2>
    </dataValidation>
    <dataValidation type="custom" allowBlank="1" showInputMessage="1" showErrorMessage="1" errorTitle="ERRO NO LANCE OFERTADO!!!" error="Corrija o % de lance, pois fez está fazendo com que o valor amortizado fique maior que o saldo devedor. " sqref="E20:E21" xr:uid="{00000000-0002-0000-0100-000001000000}">
      <formula1>E28&gt;0</formula1>
    </dataValidation>
  </dataValidations>
  <pageMargins left="0.19685039370078741" right="0.19685039370078741" top="0.27559055118110237" bottom="0.27559055118110237" header="0.15748031496062992" footer="0.15748031496062992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Drop Down 2">
              <controlPr defaultSize="0" autoLine="0" autoPict="0">
                <anchor moveWithCells="1">
                  <from>
                    <xdr:col>1</xdr:col>
                    <xdr:colOff>9525</xdr:colOff>
                    <xdr:row>1</xdr:row>
                    <xdr:rowOff>38100</xdr:rowOff>
                  </from>
                  <to>
                    <xdr:col>4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Tutorial</vt:lpstr>
      <vt:lpstr>CÁLCULO</vt:lpstr>
      <vt:lpstr>CÁLCULO!Area_de_impressao</vt:lpstr>
      <vt:lpstr>Tutorial!Area_de_impressao</vt:lpstr>
      <vt:lpstr>CÁLCULO!PV_IndiceReajuste</vt:lpstr>
      <vt:lpstr>CÁLCULO!rng_DadosCenarios</vt:lpstr>
      <vt:lpstr>rng_QTDEParc</vt:lpstr>
      <vt:lpstr>rng_SldDevedor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</dc:creator>
  <cp:lastModifiedBy>Regis Marinho</cp:lastModifiedBy>
  <cp:lastPrinted>2018-03-20T18:22:37Z</cp:lastPrinted>
  <dcterms:created xsi:type="dcterms:W3CDTF">2015-06-11T14:12:08Z</dcterms:created>
  <dcterms:modified xsi:type="dcterms:W3CDTF">2018-08-31T18:26:58Z</dcterms:modified>
</cp:coreProperties>
</file>