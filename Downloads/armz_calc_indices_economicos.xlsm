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C35D3589-72F2-4197-A32F-095B64377881}" xr6:coauthVersionLast="34" xr6:coauthVersionMax="34" xr10:uidLastSave="{00000000-0000-0000-0000-000000000000}"/>
  <bookViews>
    <workbookView xWindow="0" yWindow="0" windowWidth="20490" windowHeight="7545" tabRatio="366" activeTab="1" xr2:uid="{00000000-000D-0000-FFFF-FFFF00000000}"/>
  </bookViews>
  <sheets>
    <sheet name="Índices" sheetId="4" r:id="rId1"/>
    <sheet name="CÁLCULO" sheetId="17" r:id="rId2"/>
    <sheet name="Gráfico Índices Escolhidos" sheetId="18" r:id="rId3"/>
    <sheet name="Dólar x IGP-M (2)" sheetId="21" state="hidden" r:id="rId4"/>
    <sheet name="Plan1" sheetId="19" state="hidden" r:id="rId5"/>
    <sheet name="Plan3" sheetId="23" state="hidden" r:id="rId6"/>
    <sheet name="Sites para Pesquisa dos Índices" sheetId="24" r:id="rId7"/>
  </sheets>
  <definedNames>
    <definedName name="_xlnm._FilterDatabase" localSheetId="0" hidden="1">Índices!$A$1:$D$726</definedName>
    <definedName name="Nome_Indices">Índices!$D$1:$L$1</definedName>
    <definedName name="Periodos">OFFSET(CÁLCULO!$D$14,1,0,COUNT(CÁLCULO!$D$15:$D$2000),1)</definedName>
    <definedName name="PV_dolar">Plan1!$J$1353:$K$4401</definedName>
    <definedName name="Tbl_Fator1">CÁLCULO!$D$15:$F$200</definedName>
    <definedName name="Tbl_Fator2">CÁLCULO!$I$15:$K$200</definedName>
    <definedName name="Tbl_Fator3">CÁLCULO!$N$15:$P$200</definedName>
    <definedName name="Tbl_Fator4">CÁLCULO!$S$15:$U$200</definedName>
    <definedName name="Tbl_Indices">Índices!$A:$L</definedName>
    <definedName name="_xlnm.Print_Titles" localSheetId="0">Índices!$1:$1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" i="17" l="1"/>
  <c r="J11" i="17" s="1"/>
  <c r="E11" i="17"/>
  <c r="F13" i="17"/>
  <c r="G4" i="17"/>
  <c r="D15" i="17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E10" i="17"/>
  <c r="I4" i="17"/>
  <c r="L4" i="17" s="1"/>
  <c r="I3" i="17"/>
  <c r="N3" i="17" s="1"/>
  <c r="S3" i="17" s="1"/>
  <c r="V11" i="17"/>
  <c r="Q11" i="17"/>
  <c r="L11" i="17"/>
  <c r="G11" i="17"/>
  <c r="J10" i="17" l="1"/>
  <c r="I15" i="17"/>
  <c r="K13" i="17"/>
  <c r="N5" i="17"/>
  <c r="O11" i="17" s="1"/>
  <c r="N4" i="17"/>
  <c r="C334" i="4"/>
  <c r="B334" i="4"/>
  <c r="S5" i="17" l="1"/>
  <c r="T11" i="17" s="1"/>
  <c r="O10" i="17"/>
  <c r="S4" i="17"/>
  <c r="P13" i="17"/>
  <c r="Q4" i="17"/>
  <c r="N15" i="17"/>
  <c r="C333" i="4"/>
  <c r="B333" i="4"/>
  <c r="T10" i="17" l="1"/>
  <c r="U13" i="17"/>
  <c r="V4" i="17"/>
  <c r="S15" i="17"/>
  <c r="C332" i="4"/>
  <c r="B332" i="4"/>
  <c r="C331" i="4"/>
  <c r="B331" i="4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G122" i="17" l="1"/>
  <c r="C326" i="4"/>
  <c r="B326" i="4"/>
  <c r="C325" i="4"/>
  <c r="B325" i="4"/>
  <c r="G123" i="17" l="1"/>
  <c r="C324" i="4"/>
  <c r="B324" i="4"/>
  <c r="C323" i="4"/>
  <c r="B323" i="4"/>
  <c r="G124" i="17" l="1"/>
  <c r="C320" i="4"/>
  <c r="B320" i="4"/>
  <c r="G125" i="17" l="1"/>
  <c r="G126" i="17" l="1"/>
  <c r="C18" i="23"/>
  <c r="C19" i="23" s="1"/>
  <c r="C20" i="23" s="1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290" i="23" s="1"/>
  <c r="C291" i="23" s="1"/>
  <c r="C292" i="23" s="1"/>
  <c r="C293" i="23" s="1"/>
  <c r="C294" i="23" s="1"/>
  <c r="C295" i="23" s="1"/>
  <c r="C296" i="23" s="1"/>
  <c r="C297" i="23" s="1"/>
  <c r="C298" i="23" s="1"/>
  <c r="C299" i="23" s="1"/>
  <c r="C300" i="23" s="1"/>
  <c r="C301" i="23" s="1"/>
  <c r="C302" i="23" s="1"/>
  <c r="C303" i="23" s="1"/>
  <c r="C304" i="23" s="1"/>
  <c r="G127" i="17" l="1"/>
  <c r="B308" i="4"/>
  <c r="B309" i="4"/>
  <c r="B310" i="4"/>
  <c r="B311" i="4"/>
  <c r="B312" i="4"/>
  <c r="B313" i="4"/>
  <c r="B314" i="4"/>
  <c r="B315" i="4"/>
  <c r="B316" i="4"/>
  <c r="B317" i="4"/>
  <c r="B318" i="4"/>
  <c r="B319" i="4"/>
  <c r="B321" i="4"/>
  <c r="B322" i="4"/>
  <c r="B327" i="4"/>
  <c r="B328" i="4"/>
  <c r="B329" i="4"/>
  <c r="B330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1" i="4"/>
  <c r="C322" i="4"/>
  <c r="C327" i="4"/>
  <c r="C328" i="4"/>
  <c r="C329" i="4"/>
  <c r="C330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G128" i="17" l="1"/>
  <c r="C3" i="21"/>
  <c r="J3" i="21" s="1"/>
  <c r="G129" i="17" l="1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E1003" i="19"/>
  <c r="E1004" i="19"/>
  <c r="E1005" i="19"/>
  <c r="E1006" i="19"/>
  <c r="E1007" i="19"/>
  <c r="E1008" i="19"/>
  <c r="E1009" i="19"/>
  <c r="E1010" i="19"/>
  <c r="E1011" i="19"/>
  <c r="E1012" i="19"/>
  <c r="E1013" i="19"/>
  <c r="E1014" i="19"/>
  <c r="E1015" i="19"/>
  <c r="E1016" i="19"/>
  <c r="E1017" i="19"/>
  <c r="E1018" i="19"/>
  <c r="E1019" i="19"/>
  <c r="E1020" i="19"/>
  <c r="E1021" i="19"/>
  <c r="E1022" i="19"/>
  <c r="E1023" i="19"/>
  <c r="E1024" i="19"/>
  <c r="E1025" i="19"/>
  <c r="E1026" i="19"/>
  <c r="E1027" i="19"/>
  <c r="E1028" i="19"/>
  <c r="E1029" i="19"/>
  <c r="E1030" i="19"/>
  <c r="E1031" i="19"/>
  <c r="E1032" i="19"/>
  <c r="E1033" i="19"/>
  <c r="E1034" i="19"/>
  <c r="E1035" i="19"/>
  <c r="E1036" i="19"/>
  <c r="E1037" i="19"/>
  <c r="E1038" i="19"/>
  <c r="E1039" i="19"/>
  <c r="E1040" i="19"/>
  <c r="E1041" i="19"/>
  <c r="E1042" i="19"/>
  <c r="E1043" i="19"/>
  <c r="E1044" i="19"/>
  <c r="E1045" i="19"/>
  <c r="E1046" i="19"/>
  <c r="E1047" i="19"/>
  <c r="E1048" i="19"/>
  <c r="E1049" i="19"/>
  <c r="E1050" i="19"/>
  <c r="E1051" i="19"/>
  <c r="E1052" i="19"/>
  <c r="E1053" i="19"/>
  <c r="E1054" i="19"/>
  <c r="E1055" i="19"/>
  <c r="E1056" i="19"/>
  <c r="E1057" i="19"/>
  <c r="E1058" i="19"/>
  <c r="E1059" i="19"/>
  <c r="E1060" i="19"/>
  <c r="E1061" i="19"/>
  <c r="E1062" i="19"/>
  <c r="E1063" i="19"/>
  <c r="E1064" i="19"/>
  <c r="E1065" i="19"/>
  <c r="E1066" i="19"/>
  <c r="E1067" i="19"/>
  <c r="E1068" i="19"/>
  <c r="E1069" i="19"/>
  <c r="E1070" i="19"/>
  <c r="E1071" i="19"/>
  <c r="E1072" i="19"/>
  <c r="E1073" i="19"/>
  <c r="E1074" i="19"/>
  <c r="E1075" i="19"/>
  <c r="E1076" i="19"/>
  <c r="E1077" i="19"/>
  <c r="E1078" i="19"/>
  <c r="E1079" i="19"/>
  <c r="E1080" i="19"/>
  <c r="E1081" i="19"/>
  <c r="E1082" i="19"/>
  <c r="E1083" i="19"/>
  <c r="E1084" i="19"/>
  <c r="E1085" i="19"/>
  <c r="E1086" i="19"/>
  <c r="E1087" i="19"/>
  <c r="E1088" i="19"/>
  <c r="E1089" i="19"/>
  <c r="E1090" i="19"/>
  <c r="E1091" i="19"/>
  <c r="E1092" i="19"/>
  <c r="E1093" i="19"/>
  <c r="E1094" i="19"/>
  <c r="E1095" i="19"/>
  <c r="E1096" i="19"/>
  <c r="E1097" i="19"/>
  <c r="E1098" i="19"/>
  <c r="E1099" i="19"/>
  <c r="E1100" i="19"/>
  <c r="E1101" i="19"/>
  <c r="E1102" i="19"/>
  <c r="E1103" i="19"/>
  <c r="E1104" i="19"/>
  <c r="E1105" i="19"/>
  <c r="E1106" i="19"/>
  <c r="E1107" i="19"/>
  <c r="E1108" i="19"/>
  <c r="E1109" i="19"/>
  <c r="E1110" i="19"/>
  <c r="E1111" i="19"/>
  <c r="E1112" i="19"/>
  <c r="E1113" i="19"/>
  <c r="E1114" i="19"/>
  <c r="E1115" i="19"/>
  <c r="E1116" i="19"/>
  <c r="E1117" i="19"/>
  <c r="E1118" i="19"/>
  <c r="E1119" i="19"/>
  <c r="E1120" i="19"/>
  <c r="E1121" i="19"/>
  <c r="E89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3" i="19"/>
  <c r="G130" i="17" l="1"/>
  <c r="B4" i="21"/>
  <c r="E3" i="21"/>
  <c r="G131" i="17" l="1"/>
  <c r="B5" i="21"/>
  <c r="C4" i="21"/>
  <c r="G132" i="17" l="1"/>
  <c r="C5" i="21"/>
  <c r="B6" i="21"/>
  <c r="B7" i="21" s="1"/>
  <c r="G133" i="17" l="1"/>
  <c r="C6" i="21"/>
  <c r="C7" i="21"/>
  <c r="B8" i="21"/>
  <c r="C8" i="21" s="1"/>
  <c r="G134" i="17" l="1"/>
  <c r="B9" i="21"/>
  <c r="C9" i="21" s="1"/>
  <c r="G135" i="17" l="1"/>
  <c r="B10" i="21"/>
  <c r="C10" i="21" s="1"/>
  <c r="G136" i="17" l="1"/>
  <c r="B11" i="21"/>
  <c r="C11" i="21" s="1"/>
  <c r="G137" i="17" l="1"/>
  <c r="B12" i="21"/>
  <c r="C12" i="21" s="1"/>
  <c r="G138" i="17" l="1"/>
  <c r="B13" i="21"/>
  <c r="C13" i="21" s="1"/>
  <c r="G139" i="17" l="1"/>
  <c r="B14" i="21"/>
  <c r="C14" i="21" s="1"/>
  <c r="G140" i="17" l="1"/>
  <c r="B15" i="21"/>
  <c r="C15" i="21" s="1"/>
  <c r="G141" i="17" l="1"/>
  <c r="B16" i="21"/>
  <c r="C16" i="21" s="1"/>
  <c r="G142" i="17" l="1"/>
  <c r="B17" i="21"/>
  <c r="C17" i="21" s="1"/>
  <c r="G143" i="17" l="1"/>
  <c r="B18" i="21"/>
  <c r="C18" i="21" s="1"/>
  <c r="G144" i="17" l="1"/>
  <c r="J4" i="21"/>
  <c r="D5" i="21"/>
  <c r="J2" i="21"/>
  <c r="K2" i="21"/>
  <c r="B19" i="21"/>
  <c r="C19" i="21" s="1"/>
  <c r="D4" i="21"/>
  <c r="E4" i="21" s="1"/>
  <c r="T14" i="17"/>
  <c r="T122" i="17" l="1"/>
  <c r="U122" i="17" s="1"/>
  <c r="T123" i="17"/>
  <c r="U123" i="17" s="1"/>
  <c r="T124" i="17"/>
  <c r="U124" i="17" s="1"/>
  <c r="T125" i="17"/>
  <c r="U125" i="17" s="1"/>
  <c r="T126" i="17"/>
  <c r="U126" i="17" s="1"/>
  <c r="T127" i="17"/>
  <c r="U127" i="17" s="1"/>
  <c r="T128" i="17"/>
  <c r="U128" i="17" s="1"/>
  <c r="T129" i="17"/>
  <c r="U129" i="17" s="1"/>
  <c r="T130" i="17"/>
  <c r="U130" i="17" s="1"/>
  <c r="T131" i="17"/>
  <c r="U131" i="17" s="1"/>
  <c r="T132" i="17"/>
  <c r="U132" i="17" s="1"/>
  <c r="T133" i="17"/>
  <c r="U133" i="17" s="1"/>
  <c r="T134" i="17"/>
  <c r="U134" i="17" s="1"/>
  <c r="T135" i="17"/>
  <c r="U135" i="17" s="1"/>
  <c r="T136" i="17"/>
  <c r="U136" i="17" s="1"/>
  <c r="T137" i="17"/>
  <c r="U137" i="17" s="1"/>
  <c r="T138" i="17"/>
  <c r="U138" i="17" s="1"/>
  <c r="T139" i="17"/>
  <c r="U139" i="17" s="1"/>
  <c r="T140" i="17"/>
  <c r="U140" i="17" s="1"/>
  <c r="T141" i="17"/>
  <c r="U141" i="17" s="1"/>
  <c r="T142" i="17"/>
  <c r="U142" i="17" s="1"/>
  <c r="T143" i="17"/>
  <c r="U143" i="17" s="1"/>
  <c r="T144" i="17"/>
  <c r="U144" i="17" s="1"/>
  <c r="G145" i="17"/>
  <c r="T145" i="17"/>
  <c r="U145" i="17" s="1"/>
  <c r="I16" i="17"/>
  <c r="I17" i="17" s="1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I42" i="17" s="1"/>
  <c r="I43" i="17" s="1"/>
  <c r="I44" i="17" s="1"/>
  <c r="I45" i="17" s="1"/>
  <c r="I46" i="17" s="1"/>
  <c r="I47" i="17" s="1"/>
  <c r="I48" i="17" s="1"/>
  <c r="I49" i="17" s="1"/>
  <c r="I50" i="17" s="1"/>
  <c r="I51" i="17" s="1"/>
  <c r="I52" i="17" s="1"/>
  <c r="I53" i="17" s="1"/>
  <c r="I54" i="17" s="1"/>
  <c r="I55" i="17" s="1"/>
  <c r="I56" i="17" s="1"/>
  <c r="I57" i="17" s="1"/>
  <c r="I58" i="17" s="1"/>
  <c r="I59" i="17" s="1"/>
  <c r="I60" i="17" s="1"/>
  <c r="I61" i="17" s="1"/>
  <c r="I62" i="17" s="1"/>
  <c r="I63" i="17" s="1"/>
  <c r="S8" i="17"/>
  <c r="J5" i="21"/>
  <c r="E5" i="21"/>
  <c r="B20" i="21"/>
  <c r="C20" i="21" s="1"/>
  <c r="T146" i="17" l="1"/>
  <c r="U146" i="17" s="1"/>
  <c r="G146" i="17"/>
  <c r="I64" i="17"/>
  <c r="S16" i="17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S28" i="17" s="1"/>
  <c r="S29" i="17" s="1"/>
  <c r="S30" i="17" s="1"/>
  <c r="S31" i="17" s="1"/>
  <c r="S32" i="17" s="1"/>
  <c r="S33" i="17" s="1"/>
  <c r="S34" i="17" s="1"/>
  <c r="S35" i="17" s="1"/>
  <c r="S36" i="17" s="1"/>
  <c r="S37" i="17" s="1"/>
  <c r="S38" i="17" s="1"/>
  <c r="S39" i="17" s="1"/>
  <c r="S40" i="17" s="1"/>
  <c r="S41" i="17" s="1"/>
  <c r="S42" i="17" s="1"/>
  <c r="S43" i="17" s="1"/>
  <c r="S44" i="17" s="1"/>
  <c r="S45" i="17" s="1"/>
  <c r="S46" i="17" s="1"/>
  <c r="S47" i="17" s="1"/>
  <c r="S48" i="17" s="1"/>
  <c r="S49" i="17" s="1"/>
  <c r="S50" i="17" s="1"/>
  <c r="S51" i="17" s="1"/>
  <c r="S52" i="17" s="1"/>
  <c r="S53" i="17" s="1"/>
  <c r="S54" i="17" s="1"/>
  <c r="S55" i="17" s="1"/>
  <c r="S56" i="17" s="1"/>
  <c r="S57" i="17" s="1"/>
  <c r="S58" i="17" s="1"/>
  <c r="S59" i="17" s="1"/>
  <c r="S60" i="17" s="1"/>
  <c r="S61" i="17" s="1"/>
  <c r="S62" i="17" s="1"/>
  <c r="S63" i="17" s="1"/>
  <c r="N16" i="17"/>
  <c r="N17" i="17" s="1"/>
  <c r="N18" i="17" s="1"/>
  <c r="N19" i="17" s="1"/>
  <c r="N20" i="17" s="1"/>
  <c r="N21" i="17" s="1"/>
  <c r="N22" i="17" s="1"/>
  <c r="N23" i="17" s="1"/>
  <c r="N24" i="17" s="1"/>
  <c r="N25" i="17" s="1"/>
  <c r="N26" i="17" s="1"/>
  <c r="N27" i="17" s="1"/>
  <c r="N28" i="17" s="1"/>
  <c r="N29" i="17" s="1"/>
  <c r="N30" i="17" s="1"/>
  <c r="N31" i="17" s="1"/>
  <c r="N32" i="17" s="1"/>
  <c r="N33" i="17" s="1"/>
  <c r="N34" i="17" s="1"/>
  <c r="N35" i="17" s="1"/>
  <c r="N36" i="17" s="1"/>
  <c r="N37" i="17" s="1"/>
  <c r="N38" i="17" s="1"/>
  <c r="N39" i="17" s="1"/>
  <c r="N40" i="17" s="1"/>
  <c r="N41" i="17" s="1"/>
  <c r="N42" i="17" s="1"/>
  <c r="N43" i="17" s="1"/>
  <c r="N44" i="17" s="1"/>
  <c r="N45" i="17" s="1"/>
  <c r="N46" i="17" s="1"/>
  <c r="N47" i="17" s="1"/>
  <c r="N48" i="17" s="1"/>
  <c r="N49" i="17" s="1"/>
  <c r="N50" i="17" s="1"/>
  <c r="N51" i="17" s="1"/>
  <c r="N52" i="17" s="1"/>
  <c r="N53" i="17" s="1"/>
  <c r="N54" i="17" s="1"/>
  <c r="N55" i="17" s="1"/>
  <c r="N56" i="17" s="1"/>
  <c r="N57" i="17" s="1"/>
  <c r="N58" i="17" s="1"/>
  <c r="N59" i="17" s="1"/>
  <c r="N60" i="17" s="1"/>
  <c r="N61" i="17" s="1"/>
  <c r="N62" i="17" s="1"/>
  <c r="N63" i="17" s="1"/>
  <c r="J6" i="21"/>
  <c r="D6" i="21"/>
  <c r="E6" i="21" s="1"/>
  <c r="B21" i="21"/>
  <c r="C21" i="21" s="1"/>
  <c r="J2" i="4"/>
  <c r="O14" i="17"/>
  <c r="J14" i="17"/>
  <c r="E14" i="17"/>
  <c r="O122" i="17" l="1"/>
  <c r="P122" i="17" s="1"/>
  <c r="O123" i="17"/>
  <c r="P123" i="17" s="1"/>
  <c r="O124" i="17"/>
  <c r="P124" i="17" s="1"/>
  <c r="O125" i="17"/>
  <c r="P125" i="17" s="1"/>
  <c r="O126" i="17"/>
  <c r="P126" i="17" s="1"/>
  <c r="O127" i="17"/>
  <c r="P127" i="17" s="1"/>
  <c r="O128" i="17"/>
  <c r="P128" i="17" s="1"/>
  <c r="O129" i="17"/>
  <c r="P129" i="17" s="1"/>
  <c r="O130" i="17"/>
  <c r="P130" i="17" s="1"/>
  <c r="O131" i="17"/>
  <c r="P131" i="17" s="1"/>
  <c r="O132" i="17"/>
  <c r="P132" i="17" s="1"/>
  <c r="O133" i="17"/>
  <c r="P133" i="17" s="1"/>
  <c r="O134" i="17"/>
  <c r="P134" i="17" s="1"/>
  <c r="O135" i="17"/>
  <c r="P135" i="17" s="1"/>
  <c r="O136" i="17"/>
  <c r="P136" i="17" s="1"/>
  <c r="O137" i="17"/>
  <c r="P137" i="17" s="1"/>
  <c r="O138" i="17"/>
  <c r="P138" i="17" s="1"/>
  <c r="O139" i="17"/>
  <c r="P139" i="17" s="1"/>
  <c r="O140" i="17"/>
  <c r="P140" i="17" s="1"/>
  <c r="O141" i="17"/>
  <c r="P141" i="17" s="1"/>
  <c r="O142" i="17"/>
  <c r="P142" i="17" s="1"/>
  <c r="O143" i="17"/>
  <c r="P143" i="17" s="1"/>
  <c r="O144" i="17"/>
  <c r="P144" i="17" s="1"/>
  <c r="O145" i="17"/>
  <c r="P145" i="17" s="1"/>
  <c r="O146" i="17"/>
  <c r="P146" i="17" s="1"/>
  <c r="J122" i="17"/>
  <c r="K122" i="17" s="1"/>
  <c r="J123" i="17"/>
  <c r="K123" i="17" s="1"/>
  <c r="J124" i="17"/>
  <c r="K124" i="17" s="1"/>
  <c r="J125" i="17"/>
  <c r="K125" i="17" s="1"/>
  <c r="J126" i="17"/>
  <c r="K126" i="17" s="1"/>
  <c r="J127" i="17"/>
  <c r="K127" i="17" s="1"/>
  <c r="J128" i="17"/>
  <c r="K128" i="17" s="1"/>
  <c r="J129" i="17"/>
  <c r="K129" i="17" s="1"/>
  <c r="J130" i="17"/>
  <c r="K130" i="17" s="1"/>
  <c r="J131" i="17"/>
  <c r="K131" i="17" s="1"/>
  <c r="J132" i="17"/>
  <c r="K132" i="17" s="1"/>
  <c r="J133" i="17"/>
  <c r="K133" i="17" s="1"/>
  <c r="J134" i="17"/>
  <c r="K134" i="17" s="1"/>
  <c r="J135" i="17"/>
  <c r="K135" i="17" s="1"/>
  <c r="J136" i="17"/>
  <c r="K136" i="17" s="1"/>
  <c r="J137" i="17"/>
  <c r="K137" i="17" s="1"/>
  <c r="J138" i="17"/>
  <c r="K138" i="17" s="1"/>
  <c r="J139" i="17"/>
  <c r="K139" i="17" s="1"/>
  <c r="J140" i="17"/>
  <c r="K140" i="17" s="1"/>
  <c r="J141" i="17"/>
  <c r="K141" i="17" s="1"/>
  <c r="J142" i="17"/>
  <c r="K142" i="17" s="1"/>
  <c r="J143" i="17"/>
  <c r="K143" i="17" s="1"/>
  <c r="J144" i="17"/>
  <c r="K144" i="17" s="1"/>
  <c r="J145" i="17"/>
  <c r="K145" i="17" s="1"/>
  <c r="J146" i="17"/>
  <c r="K146" i="17" s="1"/>
  <c r="J147" i="17"/>
  <c r="K147" i="17" s="1"/>
  <c r="O147" i="17"/>
  <c r="P147" i="17" s="1"/>
  <c r="T147" i="17"/>
  <c r="U147" i="17" s="1"/>
  <c r="E148" i="17"/>
  <c r="F148" i="17" s="1"/>
  <c r="G147" i="17"/>
  <c r="E113" i="17"/>
  <c r="E34" i="17"/>
  <c r="E42" i="17"/>
  <c r="E50" i="17"/>
  <c r="E58" i="17"/>
  <c r="E66" i="17"/>
  <c r="E74" i="17"/>
  <c r="E82" i="17"/>
  <c r="E90" i="17"/>
  <c r="E98" i="17"/>
  <c r="E106" i="17"/>
  <c r="E114" i="17"/>
  <c r="E62" i="17"/>
  <c r="E78" i="17"/>
  <c r="E102" i="17"/>
  <c r="E118" i="17"/>
  <c r="E39" i="17"/>
  <c r="E47" i="17"/>
  <c r="E63" i="17"/>
  <c r="E79" i="17"/>
  <c r="E95" i="17"/>
  <c r="E111" i="17"/>
  <c r="E131" i="17"/>
  <c r="F131" i="17" s="1"/>
  <c r="E32" i="17"/>
  <c r="E56" i="17"/>
  <c r="E72" i="17"/>
  <c r="E88" i="17"/>
  <c r="E104" i="17"/>
  <c r="E120" i="17"/>
  <c r="E128" i="17"/>
  <c r="F128" i="17" s="1"/>
  <c r="E41" i="17"/>
  <c r="E49" i="17"/>
  <c r="E65" i="17"/>
  <c r="E89" i="17"/>
  <c r="E105" i="17"/>
  <c r="E123" i="17"/>
  <c r="F123" i="17" s="1"/>
  <c r="E126" i="17"/>
  <c r="F126" i="17" s="1"/>
  <c r="E129" i="17"/>
  <c r="F129" i="17" s="1"/>
  <c r="E132" i="17"/>
  <c r="F132" i="17" s="1"/>
  <c r="E27" i="17"/>
  <c r="E35" i="17"/>
  <c r="E43" i="17"/>
  <c r="E51" i="17"/>
  <c r="E59" i="17"/>
  <c r="E67" i="17"/>
  <c r="E75" i="17"/>
  <c r="E83" i="17"/>
  <c r="E91" i="17"/>
  <c r="E99" i="17"/>
  <c r="E107" i="17"/>
  <c r="E115" i="17"/>
  <c r="E133" i="17"/>
  <c r="F133" i="17" s="1"/>
  <c r="E28" i="17"/>
  <c r="E36" i="17"/>
  <c r="E44" i="17"/>
  <c r="E52" i="17"/>
  <c r="E60" i="17"/>
  <c r="E68" i="17"/>
  <c r="E76" i="17"/>
  <c r="E84" i="17"/>
  <c r="E92" i="17"/>
  <c r="E100" i="17"/>
  <c r="E108" i="17"/>
  <c r="E116" i="17"/>
  <c r="E127" i="17"/>
  <c r="F127" i="17" s="1"/>
  <c r="E29" i="17"/>
  <c r="E37" i="17"/>
  <c r="E45" i="17"/>
  <c r="E53" i="17"/>
  <c r="E61" i="17"/>
  <c r="E69" i="17"/>
  <c r="E77" i="17"/>
  <c r="E85" i="17"/>
  <c r="E93" i="17"/>
  <c r="E101" i="17"/>
  <c r="E109" i="17"/>
  <c r="E117" i="17"/>
  <c r="E124" i="17"/>
  <c r="F124" i="17" s="1"/>
  <c r="E130" i="17"/>
  <c r="F130" i="17" s="1"/>
  <c r="E30" i="17"/>
  <c r="E38" i="17"/>
  <c r="E46" i="17"/>
  <c r="E54" i="17"/>
  <c r="E70" i="17"/>
  <c r="E86" i="17"/>
  <c r="E94" i="17"/>
  <c r="E110" i="17"/>
  <c r="E31" i="17"/>
  <c r="E55" i="17"/>
  <c r="E71" i="17"/>
  <c r="E87" i="17"/>
  <c r="E103" i="17"/>
  <c r="E119" i="17"/>
  <c r="E125" i="17"/>
  <c r="F125" i="17" s="1"/>
  <c r="E40" i="17"/>
  <c r="E48" i="17"/>
  <c r="E64" i="17"/>
  <c r="E80" i="17"/>
  <c r="E96" i="17"/>
  <c r="E112" i="17"/>
  <c r="E122" i="17"/>
  <c r="F122" i="17" s="1"/>
  <c r="E33" i="17"/>
  <c r="E57" i="17"/>
  <c r="E73" i="17"/>
  <c r="E81" i="17"/>
  <c r="E97" i="17"/>
  <c r="E121" i="17"/>
  <c r="E134" i="17"/>
  <c r="F134" i="17" s="1"/>
  <c r="E135" i="17"/>
  <c r="F135" i="17" s="1"/>
  <c r="E136" i="17"/>
  <c r="F136" i="17" s="1"/>
  <c r="E137" i="17"/>
  <c r="F137" i="17" s="1"/>
  <c r="E138" i="17"/>
  <c r="F138" i="17" s="1"/>
  <c r="E139" i="17"/>
  <c r="F139" i="17" s="1"/>
  <c r="E140" i="17"/>
  <c r="F140" i="17" s="1"/>
  <c r="E141" i="17"/>
  <c r="F141" i="17" s="1"/>
  <c r="E142" i="17"/>
  <c r="F142" i="17" s="1"/>
  <c r="E143" i="17"/>
  <c r="F143" i="17" s="1"/>
  <c r="E144" i="17"/>
  <c r="F144" i="17" s="1"/>
  <c r="E145" i="17"/>
  <c r="F145" i="17" s="1"/>
  <c r="E146" i="17"/>
  <c r="F146" i="17" s="1"/>
  <c r="E147" i="17"/>
  <c r="F147" i="17" s="1"/>
  <c r="N64" i="17"/>
  <c r="S64" i="17"/>
  <c r="I65" i="17"/>
  <c r="I8" i="17"/>
  <c r="D8" i="17"/>
  <c r="N8" i="17"/>
  <c r="J7" i="21"/>
  <c r="D7" i="21"/>
  <c r="E7" i="21" s="1"/>
  <c r="B22" i="21"/>
  <c r="C22" i="21" s="1"/>
  <c r="J148" i="17" l="1"/>
  <c r="K148" i="17" s="1"/>
  <c r="O148" i="17"/>
  <c r="P148" i="17" s="1"/>
  <c r="G148" i="17"/>
  <c r="T148" i="17"/>
  <c r="U148" i="17" s="1"/>
  <c r="E15" i="17"/>
  <c r="E23" i="17"/>
  <c r="E24" i="17"/>
  <c r="E16" i="17"/>
  <c r="E17" i="17"/>
  <c r="E25" i="17"/>
  <c r="E18" i="17"/>
  <c r="E26" i="17"/>
  <c r="E19" i="17"/>
  <c r="E22" i="17"/>
  <c r="E20" i="17"/>
  <c r="E21" i="17"/>
  <c r="S65" i="17"/>
  <c r="I66" i="17"/>
  <c r="N65" i="17"/>
  <c r="D8" i="21"/>
  <c r="E8" i="21" s="1"/>
  <c r="J8" i="21"/>
  <c r="B23" i="21"/>
  <c r="C23" i="21" s="1"/>
  <c r="O149" i="17" l="1"/>
  <c r="P149" i="17" s="1"/>
  <c r="T149" i="17"/>
  <c r="U149" i="17" s="1"/>
  <c r="J149" i="17"/>
  <c r="K149" i="17" s="1"/>
  <c r="G149" i="17"/>
  <c r="E149" i="17"/>
  <c r="F149" i="17" s="1"/>
  <c r="I67" i="17"/>
  <c r="N66" i="17"/>
  <c r="S66" i="17"/>
  <c r="J9" i="21"/>
  <c r="D9" i="21"/>
  <c r="E9" i="21" s="1"/>
  <c r="B24" i="21"/>
  <c r="C24" i="21" s="1"/>
  <c r="T150" i="17" l="1"/>
  <c r="U150" i="17" s="1"/>
  <c r="J150" i="17"/>
  <c r="K150" i="17" s="1"/>
  <c r="O150" i="17"/>
  <c r="P150" i="17" s="1"/>
  <c r="G150" i="17"/>
  <c r="E150" i="17"/>
  <c r="F150" i="17" s="1"/>
  <c r="N67" i="17"/>
  <c r="S67" i="17"/>
  <c r="I68" i="17"/>
  <c r="B81" i="4"/>
  <c r="D10" i="21"/>
  <c r="E10" i="21" s="1"/>
  <c r="J10" i="21"/>
  <c r="B25" i="21"/>
  <c r="C25" i="21" s="1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151" i="17" l="1"/>
  <c r="U151" i="17" s="1"/>
  <c r="J151" i="17"/>
  <c r="K151" i="17" s="1"/>
  <c r="O151" i="17"/>
  <c r="P151" i="17" s="1"/>
  <c r="G151" i="17"/>
  <c r="E151" i="17"/>
  <c r="F151" i="17" s="1"/>
  <c r="S68" i="17"/>
  <c r="N68" i="17"/>
  <c r="I69" i="17"/>
  <c r="C81" i="4"/>
  <c r="D11" i="21"/>
  <c r="E11" i="21" s="1"/>
  <c r="J11" i="21"/>
  <c r="B26" i="21"/>
  <c r="C26" i="21" s="1"/>
  <c r="O152" i="17" l="1"/>
  <c r="P152" i="17" s="1"/>
  <c r="T152" i="17"/>
  <c r="U152" i="17" s="1"/>
  <c r="G152" i="17"/>
  <c r="J152" i="17"/>
  <c r="K152" i="17" s="1"/>
  <c r="E152" i="17"/>
  <c r="F152" i="17" s="1"/>
  <c r="N69" i="17"/>
  <c r="S69" i="17"/>
  <c r="I70" i="17"/>
  <c r="B82" i="4"/>
  <c r="C82" i="4"/>
  <c r="J12" i="21"/>
  <c r="D12" i="21"/>
  <c r="E12" i="21" s="1"/>
  <c r="B27" i="21"/>
  <c r="C27" i="21" s="1"/>
  <c r="O153" i="17" l="1"/>
  <c r="P153" i="17" s="1"/>
  <c r="T153" i="17"/>
  <c r="U153" i="17" s="1"/>
  <c r="G153" i="17"/>
  <c r="J153" i="17"/>
  <c r="K153" i="17" s="1"/>
  <c r="E153" i="17"/>
  <c r="F153" i="17" s="1"/>
  <c r="S70" i="17"/>
  <c r="I71" i="17"/>
  <c r="N70" i="17"/>
  <c r="C83" i="4"/>
  <c r="B83" i="4"/>
  <c r="J13" i="21"/>
  <c r="D13" i="21"/>
  <c r="E13" i="21" s="1"/>
  <c r="B28" i="21"/>
  <c r="C28" i="21" s="1"/>
  <c r="G154" i="17" l="1"/>
  <c r="J154" i="17"/>
  <c r="K154" i="17" s="1"/>
  <c r="T154" i="17"/>
  <c r="U154" i="17" s="1"/>
  <c r="O154" i="17"/>
  <c r="P154" i="17" s="1"/>
  <c r="E154" i="17"/>
  <c r="F154" i="17" s="1"/>
  <c r="I72" i="17"/>
  <c r="N71" i="17"/>
  <c r="S71" i="17"/>
  <c r="B84" i="4"/>
  <c r="C84" i="4"/>
  <c r="J14" i="21"/>
  <c r="D14" i="21"/>
  <c r="E14" i="21" s="1"/>
  <c r="B29" i="21"/>
  <c r="C29" i="21" s="1"/>
  <c r="J155" i="17" l="1"/>
  <c r="K155" i="17" s="1"/>
  <c r="O155" i="17"/>
  <c r="P155" i="17" s="1"/>
  <c r="T155" i="17"/>
  <c r="U155" i="17" s="1"/>
  <c r="G155" i="17"/>
  <c r="E155" i="17"/>
  <c r="F155" i="17" s="1"/>
  <c r="N72" i="17"/>
  <c r="S72" i="17"/>
  <c r="I73" i="17"/>
  <c r="B85" i="4"/>
  <c r="C85" i="4"/>
  <c r="J15" i="21"/>
  <c r="D15" i="21"/>
  <c r="E15" i="21" s="1"/>
  <c r="B30" i="21"/>
  <c r="C30" i="21" s="1"/>
  <c r="J156" i="17" l="1"/>
  <c r="K156" i="17" s="1"/>
  <c r="O156" i="17"/>
  <c r="P156" i="17" s="1"/>
  <c r="T156" i="17"/>
  <c r="U156" i="17" s="1"/>
  <c r="G156" i="17"/>
  <c r="E156" i="17"/>
  <c r="F156" i="17" s="1"/>
  <c r="S73" i="17"/>
  <c r="I74" i="17"/>
  <c r="N73" i="17"/>
  <c r="B86" i="4"/>
  <c r="C86" i="4"/>
  <c r="J16" i="21"/>
  <c r="D16" i="21"/>
  <c r="E16" i="21" s="1"/>
  <c r="B31" i="21"/>
  <c r="C31" i="21" s="1"/>
  <c r="O157" i="17" l="1"/>
  <c r="P157" i="17" s="1"/>
  <c r="T157" i="17"/>
  <c r="U157" i="17" s="1"/>
  <c r="G157" i="17"/>
  <c r="J157" i="17"/>
  <c r="K157" i="17" s="1"/>
  <c r="E157" i="17"/>
  <c r="F157" i="17" s="1"/>
  <c r="I75" i="17"/>
  <c r="N74" i="17"/>
  <c r="S74" i="17"/>
  <c r="C87" i="4"/>
  <c r="B87" i="4"/>
  <c r="D17" i="21"/>
  <c r="E17" i="21" s="1"/>
  <c r="J17" i="21"/>
  <c r="B32" i="21"/>
  <c r="C32" i="21" s="1"/>
  <c r="T158" i="17" l="1"/>
  <c r="U158" i="17" s="1"/>
  <c r="J158" i="17"/>
  <c r="K158" i="17" s="1"/>
  <c r="G158" i="17"/>
  <c r="O158" i="17"/>
  <c r="P158" i="17" s="1"/>
  <c r="E158" i="17"/>
  <c r="F158" i="17" s="1"/>
  <c r="N75" i="17"/>
  <c r="S75" i="17"/>
  <c r="I76" i="17"/>
  <c r="B88" i="4"/>
  <c r="C88" i="4"/>
  <c r="D18" i="21"/>
  <c r="E18" i="21" s="1"/>
  <c r="J18" i="21"/>
  <c r="B33" i="21"/>
  <c r="C33" i="21" s="1"/>
  <c r="G159" i="17" l="1"/>
  <c r="T159" i="17"/>
  <c r="U159" i="17" s="1"/>
  <c r="J159" i="17"/>
  <c r="K159" i="17" s="1"/>
  <c r="O159" i="17"/>
  <c r="P159" i="17" s="1"/>
  <c r="E159" i="17"/>
  <c r="F159" i="17" s="1"/>
  <c r="S76" i="17"/>
  <c r="I77" i="17"/>
  <c r="N76" i="17"/>
  <c r="B89" i="4"/>
  <c r="C89" i="4"/>
  <c r="J19" i="21"/>
  <c r="D19" i="21"/>
  <c r="E19" i="21" s="1"/>
  <c r="B34" i="21"/>
  <c r="C34" i="21" s="1"/>
  <c r="G160" i="17" l="1"/>
  <c r="O160" i="17"/>
  <c r="P160" i="17" s="1"/>
  <c r="J160" i="17"/>
  <c r="K160" i="17" s="1"/>
  <c r="T160" i="17"/>
  <c r="U160" i="17" s="1"/>
  <c r="E160" i="17"/>
  <c r="F160" i="17" s="1"/>
  <c r="I78" i="17"/>
  <c r="N77" i="17"/>
  <c r="S77" i="17"/>
  <c r="B90" i="4"/>
  <c r="C90" i="4"/>
  <c r="J20" i="21"/>
  <c r="D20" i="21"/>
  <c r="E20" i="21" s="1"/>
  <c r="B35" i="21"/>
  <c r="C35" i="21" s="1"/>
  <c r="O161" i="17" l="1"/>
  <c r="P161" i="17" s="1"/>
  <c r="T161" i="17"/>
  <c r="U161" i="17" s="1"/>
  <c r="G161" i="17"/>
  <c r="J161" i="17"/>
  <c r="K161" i="17" s="1"/>
  <c r="E161" i="17"/>
  <c r="F161" i="17" s="1"/>
  <c r="N78" i="17"/>
  <c r="S78" i="17"/>
  <c r="I79" i="17"/>
  <c r="C91" i="4"/>
  <c r="B91" i="4"/>
  <c r="D21" i="21"/>
  <c r="E21" i="21" s="1"/>
  <c r="J21" i="21"/>
  <c r="B36" i="21"/>
  <c r="C36" i="21" s="1"/>
  <c r="O162" i="17" l="1"/>
  <c r="P162" i="17" s="1"/>
  <c r="T162" i="17"/>
  <c r="U162" i="17" s="1"/>
  <c r="G162" i="17"/>
  <c r="J162" i="17"/>
  <c r="K162" i="17" s="1"/>
  <c r="E162" i="17"/>
  <c r="F162" i="17" s="1"/>
  <c r="S79" i="17"/>
  <c r="I80" i="17"/>
  <c r="N79" i="17"/>
  <c r="B92" i="4"/>
  <c r="C92" i="4"/>
  <c r="J22" i="21"/>
  <c r="D22" i="21"/>
  <c r="E22" i="21" s="1"/>
  <c r="B37" i="21"/>
  <c r="C37" i="21" s="1"/>
  <c r="E163" i="17" l="1"/>
  <c r="F163" i="17" s="1"/>
  <c r="J163" i="17"/>
  <c r="K163" i="17" s="1"/>
  <c r="O163" i="17"/>
  <c r="P163" i="17" s="1"/>
  <c r="T163" i="17"/>
  <c r="U163" i="17" s="1"/>
  <c r="G163" i="17"/>
  <c r="I81" i="17"/>
  <c r="N80" i="17"/>
  <c r="S80" i="17"/>
  <c r="B93" i="4"/>
  <c r="C93" i="4"/>
  <c r="J23" i="21"/>
  <c r="D23" i="21"/>
  <c r="E23" i="21" s="1"/>
  <c r="B38" i="21"/>
  <c r="C38" i="21" s="1"/>
  <c r="J164" i="17" l="1"/>
  <c r="K164" i="17" s="1"/>
  <c r="T164" i="17"/>
  <c r="U164" i="17" s="1"/>
  <c r="O164" i="17"/>
  <c r="P164" i="17" s="1"/>
  <c r="G164" i="17"/>
  <c r="E164" i="17"/>
  <c r="F164" i="17" s="1"/>
  <c r="N81" i="17"/>
  <c r="S81" i="17"/>
  <c r="I82" i="17"/>
  <c r="B94" i="4"/>
  <c r="C94" i="4"/>
  <c r="D24" i="21"/>
  <c r="E24" i="21" s="1"/>
  <c r="J24" i="21"/>
  <c r="B39" i="21"/>
  <c r="C39" i="21" s="1"/>
  <c r="O165" i="17" l="1"/>
  <c r="P165" i="17" s="1"/>
  <c r="T165" i="17"/>
  <c r="U165" i="17" s="1"/>
  <c r="G165" i="17"/>
  <c r="E165" i="17"/>
  <c r="F165" i="17" s="1"/>
  <c r="J165" i="17"/>
  <c r="K165" i="17" s="1"/>
  <c r="S82" i="17"/>
  <c r="I83" i="17"/>
  <c r="N82" i="17"/>
  <c r="C95" i="4"/>
  <c r="B95" i="4"/>
  <c r="J25" i="21"/>
  <c r="D25" i="21"/>
  <c r="E25" i="21" s="1"/>
  <c r="B40" i="21"/>
  <c r="C40" i="21" s="1"/>
  <c r="E166" i="17" l="1"/>
  <c r="F166" i="17" s="1"/>
  <c r="G166" i="17"/>
  <c r="J166" i="17"/>
  <c r="K166" i="17" s="1"/>
  <c r="O166" i="17"/>
  <c r="P166" i="17" s="1"/>
  <c r="T166" i="17"/>
  <c r="U166" i="17" s="1"/>
  <c r="I84" i="17"/>
  <c r="S83" i="17"/>
  <c r="N83" i="17"/>
  <c r="B96" i="4"/>
  <c r="C96" i="4"/>
  <c r="J26" i="21"/>
  <c r="D26" i="21"/>
  <c r="E26" i="21" s="1"/>
  <c r="B41" i="21"/>
  <c r="C41" i="21" s="1"/>
  <c r="J167" i="17" l="1"/>
  <c r="K167" i="17" s="1"/>
  <c r="O167" i="17"/>
  <c r="P167" i="17" s="1"/>
  <c r="T167" i="17"/>
  <c r="U167" i="17" s="1"/>
  <c r="E167" i="17"/>
  <c r="F167" i="17" s="1"/>
  <c r="G167" i="17"/>
  <c r="S84" i="17"/>
  <c r="N84" i="17"/>
  <c r="I85" i="17"/>
  <c r="B97" i="4"/>
  <c r="C97" i="4"/>
  <c r="J27" i="21"/>
  <c r="D27" i="21"/>
  <c r="E27" i="21" s="1"/>
  <c r="B42" i="21"/>
  <c r="C42" i="21" s="1"/>
  <c r="J168" i="17" l="1"/>
  <c r="K168" i="17" s="1"/>
  <c r="T168" i="17"/>
  <c r="U168" i="17" s="1"/>
  <c r="O168" i="17"/>
  <c r="P168" i="17" s="1"/>
  <c r="E168" i="17"/>
  <c r="F168" i="17" s="1"/>
  <c r="G168" i="17"/>
  <c r="N85" i="17"/>
  <c r="I86" i="17"/>
  <c r="S85" i="17"/>
  <c r="B98" i="4"/>
  <c r="C98" i="4"/>
  <c r="J28" i="21"/>
  <c r="D28" i="21"/>
  <c r="E28" i="21" s="1"/>
  <c r="B43" i="21"/>
  <c r="C43" i="21" s="1"/>
  <c r="G169" i="17" l="1"/>
  <c r="O169" i="17"/>
  <c r="P169" i="17" s="1"/>
  <c r="T169" i="17"/>
  <c r="U169" i="17" s="1"/>
  <c r="E169" i="17"/>
  <c r="F169" i="17" s="1"/>
  <c r="J169" i="17"/>
  <c r="K169" i="17" s="1"/>
  <c r="I87" i="17"/>
  <c r="S86" i="17"/>
  <c r="N86" i="17"/>
  <c r="C99" i="4"/>
  <c r="B99" i="4"/>
  <c r="J29" i="21"/>
  <c r="D29" i="21"/>
  <c r="E29" i="21" s="1"/>
  <c r="B44" i="21"/>
  <c r="C44" i="21" s="1"/>
  <c r="J170" i="17" l="1"/>
  <c r="K170" i="17" s="1"/>
  <c r="G170" i="17"/>
  <c r="O170" i="17"/>
  <c r="P170" i="17" s="1"/>
  <c r="T170" i="17"/>
  <c r="U170" i="17" s="1"/>
  <c r="E170" i="17"/>
  <c r="F170" i="17" s="1"/>
  <c r="S87" i="17"/>
  <c r="N87" i="17"/>
  <c r="I88" i="17"/>
  <c r="B100" i="4"/>
  <c r="C100" i="4"/>
  <c r="J30" i="21"/>
  <c r="D30" i="21"/>
  <c r="E30" i="21" s="1"/>
  <c r="B45" i="21"/>
  <c r="C45" i="21" s="1"/>
  <c r="O171" i="17" l="1"/>
  <c r="P171" i="17" s="1"/>
  <c r="T171" i="17"/>
  <c r="U171" i="17" s="1"/>
  <c r="J171" i="17"/>
  <c r="K171" i="17" s="1"/>
  <c r="E171" i="17"/>
  <c r="F171" i="17" s="1"/>
  <c r="G171" i="17"/>
  <c r="N88" i="17"/>
  <c r="S88" i="17"/>
  <c r="I89" i="17"/>
  <c r="B101" i="4"/>
  <c r="C101" i="4"/>
  <c r="J31" i="21"/>
  <c r="D31" i="21"/>
  <c r="E31" i="21" s="1"/>
  <c r="B46" i="21"/>
  <c r="C46" i="21" s="1"/>
  <c r="T172" i="17" l="1"/>
  <c r="U172" i="17" s="1"/>
  <c r="J172" i="17"/>
  <c r="K172" i="17" s="1"/>
  <c r="O172" i="17"/>
  <c r="P172" i="17" s="1"/>
  <c r="E172" i="17"/>
  <c r="F172" i="17" s="1"/>
  <c r="G172" i="17"/>
  <c r="S89" i="17"/>
  <c r="N89" i="17"/>
  <c r="I90" i="17"/>
  <c r="B102" i="4"/>
  <c r="C102" i="4"/>
  <c r="J32" i="21"/>
  <c r="D32" i="21"/>
  <c r="E32" i="21" s="1"/>
  <c r="B47" i="21"/>
  <c r="C47" i="21" s="1"/>
  <c r="J173" i="17" l="1"/>
  <c r="K173" i="17" s="1"/>
  <c r="G173" i="17"/>
  <c r="E173" i="17"/>
  <c r="F173" i="17" s="1"/>
  <c r="O173" i="17"/>
  <c r="P173" i="17" s="1"/>
  <c r="T173" i="17"/>
  <c r="U173" i="17" s="1"/>
  <c r="N90" i="17"/>
  <c r="I91" i="17"/>
  <c r="S90" i="17"/>
  <c r="C103" i="4"/>
  <c r="B103" i="4"/>
  <c r="J33" i="21"/>
  <c r="D33" i="21"/>
  <c r="E33" i="21" s="1"/>
  <c r="B48" i="21"/>
  <c r="C48" i="21" s="1"/>
  <c r="E174" i="17" l="1"/>
  <c r="F174" i="17" s="1"/>
  <c r="O174" i="17"/>
  <c r="P174" i="17" s="1"/>
  <c r="J174" i="17"/>
  <c r="K174" i="17" s="1"/>
  <c r="G174" i="17"/>
  <c r="T174" i="17"/>
  <c r="U174" i="17" s="1"/>
  <c r="I92" i="17"/>
  <c r="S91" i="17"/>
  <c r="N91" i="17"/>
  <c r="B104" i="4"/>
  <c r="C104" i="4"/>
  <c r="J34" i="21"/>
  <c r="D34" i="21"/>
  <c r="E34" i="21" s="1"/>
  <c r="B49" i="21"/>
  <c r="C49" i="21" s="1"/>
  <c r="E175" i="17" l="1"/>
  <c r="F175" i="17" s="1"/>
  <c r="G175" i="17"/>
  <c r="O175" i="17"/>
  <c r="P175" i="17" s="1"/>
  <c r="J175" i="17"/>
  <c r="K175" i="17" s="1"/>
  <c r="T175" i="17"/>
  <c r="U175" i="17" s="1"/>
  <c r="S92" i="17"/>
  <c r="N92" i="17"/>
  <c r="I93" i="17"/>
  <c r="B105" i="4"/>
  <c r="C105" i="4"/>
  <c r="J35" i="21"/>
  <c r="D35" i="21"/>
  <c r="E35" i="21" s="1"/>
  <c r="B50" i="21"/>
  <c r="C50" i="21" s="1"/>
  <c r="E176" i="17" l="1"/>
  <c r="F176" i="17" s="1"/>
  <c r="O176" i="17"/>
  <c r="P176" i="17" s="1"/>
  <c r="G176" i="17"/>
  <c r="J176" i="17"/>
  <c r="K176" i="17" s="1"/>
  <c r="T176" i="17"/>
  <c r="U176" i="17" s="1"/>
  <c r="N93" i="17"/>
  <c r="S93" i="17"/>
  <c r="I94" i="17"/>
  <c r="B106" i="4"/>
  <c r="C106" i="4"/>
  <c r="J36" i="21"/>
  <c r="D36" i="21"/>
  <c r="E36" i="21" s="1"/>
  <c r="B51" i="21"/>
  <c r="C51" i="21" s="1"/>
  <c r="O177" i="17" l="1"/>
  <c r="P177" i="17" s="1"/>
  <c r="J177" i="17"/>
  <c r="K177" i="17" s="1"/>
  <c r="T177" i="17"/>
  <c r="U177" i="17" s="1"/>
  <c r="E177" i="17"/>
  <c r="F177" i="17" s="1"/>
  <c r="G177" i="17"/>
  <c r="S94" i="17"/>
  <c r="I95" i="17"/>
  <c r="N94" i="17"/>
  <c r="C107" i="4"/>
  <c r="B107" i="4"/>
  <c r="J37" i="21"/>
  <c r="D37" i="21"/>
  <c r="E37" i="21" s="1"/>
  <c r="B52" i="21"/>
  <c r="C52" i="21" s="1"/>
  <c r="T178" i="17" l="1"/>
  <c r="U178" i="17" s="1"/>
  <c r="E178" i="17"/>
  <c r="F178" i="17" s="1"/>
  <c r="J178" i="17"/>
  <c r="K178" i="17" s="1"/>
  <c r="G178" i="17"/>
  <c r="O178" i="17"/>
  <c r="P178" i="17" s="1"/>
  <c r="I96" i="17"/>
  <c r="S95" i="17"/>
  <c r="N95" i="17"/>
  <c r="B108" i="4"/>
  <c r="C108" i="4"/>
  <c r="J38" i="21"/>
  <c r="D38" i="21"/>
  <c r="E38" i="21" s="1"/>
  <c r="B53" i="21"/>
  <c r="C53" i="21" s="1"/>
  <c r="E179" i="17" l="1"/>
  <c r="F179" i="17" s="1"/>
  <c r="G179" i="17"/>
  <c r="T179" i="17"/>
  <c r="U179" i="17" s="1"/>
  <c r="J179" i="17"/>
  <c r="K179" i="17" s="1"/>
  <c r="O179" i="17"/>
  <c r="P179" i="17" s="1"/>
  <c r="S96" i="17"/>
  <c r="N96" i="17"/>
  <c r="I97" i="17"/>
  <c r="B109" i="4"/>
  <c r="C109" i="4"/>
  <c r="J39" i="21"/>
  <c r="D39" i="21"/>
  <c r="E39" i="21" s="1"/>
  <c r="B54" i="21"/>
  <c r="C54" i="21" s="1"/>
  <c r="E180" i="17" l="1"/>
  <c r="F180" i="17" s="1"/>
  <c r="G180" i="17"/>
  <c r="J180" i="17"/>
  <c r="K180" i="17" s="1"/>
  <c r="T180" i="17"/>
  <c r="U180" i="17" s="1"/>
  <c r="O180" i="17"/>
  <c r="P180" i="17" s="1"/>
  <c r="N97" i="17"/>
  <c r="I98" i="17"/>
  <c r="S97" i="17"/>
  <c r="B110" i="4"/>
  <c r="C110" i="4"/>
  <c r="D40" i="21"/>
  <c r="E40" i="21" s="1"/>
  <c r="J40" i="21"/>
  <c r="B55" i="21"/>
  <c r="C55" i="21" s="1"/>
  <c r="G181" i="17" l="1"/>
  <c r="E181" i="17"/>
  <c r="F181" i="17" s="1"/>
  <c r="O181" i="17"/>
  <c r="P181" i="17" s="1"/>
  <c r="J181" i="17"/>
  <c r="K181" i="17" s="1"/>
  <c r="T181" i="17"/>
  <c r="U181" i="17" s="1"/>
  <c r="I99" i="17"/>
  <c r="S98" i="17"/>
  <c r="N98" i="17"/>
  <c r="C111" i="4"/>
  <c r="B111" i="4"/>
  <c r="D41" i="21"/>
  <c r="E41" i="21" s="1"/>
  <c r="J41" i="21"/>
  <c r="B56" i="21"/>
  <c r="C56" i="21" s="1"/>
  <c r="G182" i="17" l="1"/>
  <c r="E182" i="17"/>
  <c r="F182" i="17" s="1"/>
  <c r="O182" i="17"/>
  <c r="P182" i="17" s="1"/>
  <c r="T182" i="17"/>
  <c r="U182" i="17" s="1"/>
  <c r="J182" i="17"/>
  <c r="K182" i="17" s="1"/>
  <c r="S99" i="17"/>
  <c r="N99" i="17"/>
  <c r="I100" i="17"/>
  <c r="B112" i="4"/>
  <c r="C112" i="4"/>
  <c r="J42" i="21"/>
  <c r="D42" i="21"/>
  <c r="E42" i="21" s="1"/>
  <c r="B57" i="21"/>
  <c r="C57" i="21" s="1"/>
  <c r="G183" i="17" l="1"/>
  <c r="E183" i="17"/>
  <c r="F183" i="17" s="1"/>
  <c r="J183" i="17"/>
  <c r="K183" i="17" s="1"/>
  <c r="O183" i="17"/>
  <c r="P183" i="17" s="1"/>
  <c r="T183" i="17"/>
  <c r="U183" i="17" s="1"/>
  <c r="N100" i="17"/>
  <c r="I101" i="17"/>
  <c r="S100" i="17"/>
  <c r="C113" i="4"/>
  <c r="B113" i="4"/>
  <c r="J43" i="21"/>
  <c r="D43" i="21"/>
  <c r="E43" i="21" s="1"/>
  <c r="B58" i="21"/>
  <c r="C58" i="21" s="1"/>
  <c r="G184" i="17" l="1"/>
  <c r="E184" i="17"/>
  <c r="F184" i="17" s="1"/>
  <c r="T184" i="17"/>
  <c r="U184" i="17" s="1"/>
  <c r="O184" i="17"/>
  <c r="P184" i="17" s="1"/>
  <c r="J184" i="17"/>
  <c r="K184" i="17" s="1"/>
  <c r="I102" i="17"/>
  <c r="S101" i="17"/>
  <c r="N101" i="17"/>
  <c r="B114" i="4"/>
  <c r="C114" i="4"/>
  <c r="J44" i="21"/>
  <c r="D44" i="21"/>
  <c r="E44" i="21" s="1"/>
  <c r="B59" i="21"/>
  <c r="C59" i="21" s="1"/>
  <c r="J185" i="17" l="1"/>
  <c r="K185" i="17" s="1"/>
  <c r="E185" i="17"/>
  <c r="F185" i="17" s="1"/>
  <c r="T185" i="17"/>
  <c r="U185" i="17" s="1"/>
  <c r="O185" i="17"/>
  <c r="P185" i="17" s="1"/>
  <c r="G185" i="17"/>
  <c r="S102" i="17"/>
  <c r="N102" i="17"/>
  <c r="I103" i="17"/>
  <c r="B115" i="4"/>
  <c r="C115" i="4"/>
  <c r="J45" i="21"/>
  <c r="D45" i="21"/>
  <c r="E45" i="21" s="1"/>
  <c r="B60" i="21"/>
  <c r="C60" i="21" s="1"/>
  <c r="G186" i="17" l="1"/>
  <c r="O186" i="17"/>
  <c r="P186" i="17" s="1"/>
  <c r="E186" i="17"/>
  <c r="F186" i="17" s="1"/>
  <c r="J186" i="17"/>
  <c r="K186" i="17" s="1"/>
  <c r="T186" i="17"/>
  <c r="U186" i="17" s="1"/>
  <c r="N103" i="17"/>
  <c r="S103" i="17"/>
  <c r="I104" i="17"/>
  <c r="B116" i="4"/>
  <c r="C116" i="4"/>
  <c r="J46" i="21"/>
  <c r="D46" i="21"/>
  <c r="E46" i="21" s="1"/>
  <c r="B61" i="21"/>
  <c r="C61" i="21" s="1"/>
  <c r="O187" i="17" l="1"/>
  <c r="P187" i="17" s="1"/>
  <c r="T187" i="17"/>
  <c r="U187" i="17" s="1"/>
  <c r="J187" i="17"/>
  <c r="K187" i="17" s="1"/>
  <c r="G187" i="17"/>
  <c r="E187" i="17"/>
  <c r="F187" i="17" s="1"/>
  <c r="S104" i="17"/>
  <c r="I105" i="17"/>
  <c r="N104" i="17"/>
  <c r="C117" i="4"/>
  <c r="B117" i="4"/>
  <c r="J47" i="21"/>
  <c r="D47" i="21"/>
  <c r="E47" i="21" s="1"/>
  <c r="B62" i="21"/>
  <c r="C62" i="21" s="1"/>
  <c r="G188" i="17" l="1"/>
  <c r="O188" i="17"/>
  <c r="P188" i="17" s="1"/>
  <c r="J188" i="17"/>
  <c r="K188" i="17" s="1"/>
  <c r="E188" i="17"/>
  <c r="F188" i="17" s="1"/>
  <c r="T188" i="17"/>
  <c r="U188" i="17" s="1"/>
  <c r="I106" i="17"/>
  <c r="S105" i="17"/>
  <c r="N105" i="17"/>
  <c r="B118" i="4"/>
  <c r="C118" i="4"/>
  <c r="J48" i="21"/>
  <c r="D48" i="21"/>
  <c r="E48" i="21" s="1"/>
  <c r="B63" i="21"/>
  <c r="C63" i="21" s="1"/>
  <c r="O189" i="17" l="1"/>
  <c r="P189" i="17" s="1"/>
  <c r="T189" i="17"/>
  <c r="U189" i="17" s="1"/>
  <c r="J189" i="17"/>
  <c r="K189" i="17" s="1"/>
  <c r="G189" i="17"/>
  <c r="E189" i="17"/>
  <c r="F189" i="17" s="1"/>
  <c r="S106" i="17"/>
  <c r="N106" i="17"/>
  <c r="I107" i="17"/>
  <c r="C119" i="4"/>
  <c r="B119" i="4"/>
  <c r="J49" i="21"/>
  <c r="D49" i="21"/>
  <c r="E49" i="21" s="1"/>
  <c r="B64" i="21"/>
  <c r="C64" i="21" s="1"/>
  <c r="G190" i="17" l="1"/>
  <c r="E190" i="17"/>
  <c r="F190" i="17" s="1"/>
  <c r="J190" i="17"/>
  <c r="K190" i="17" s="1"/>
  <c r="O190" i="17"/>
  <c r="P190" i="17" s="1"/>
  <c r="T190" i="17"/>
  <c r="U190" i="17" s="1"/>
  <c r="N107" i="17"/>
  <c r="S107" i="17"/>
  <c r="I108" i="17"/>
  <c r="B120" i="4"/>
  <c r="C120" i="4"/>
  <c r="J50" i="21"/>
  <c r="D50" i="21"/>
  <c r="E50" i="21" s="1"/>
  <c r="B65" i="21"/>
  <c r="C65" i="21" s="1"/>
  <c r="T191" i="17" l="1"/>
  <c r="U191" i="17" s="1"/>
  <c r="J191" i="17"/>
  <c r="K191" i="17" s="1"/>
  <c r="E191" i="17"/>
  <c r="F191" i="17" s="1"/>
  <c r="O191" i="17"/>
  <c r="P191" i="17" s="1"/>
  <c r="G191" i="17"/>
  <c r="S108" i="17"/>
  <c r="I109" i="17"/>
  <c r="N108" i="17"/>
  <c r="B121" i="4"/>
  <c r="C121" i="4"/>
  <c r="J51" i="21"/>
  <c r="D51" i="21"/>
  <c r="E51" i="21" s="1"/>
  <c r="B66" i="21"/>
  <c r="C66" i="21" s="1"/>
  <c r="T192" i="17" l="1"/>
  <c r="U192" i="17" s="1"/>
  <c r="E192" i="17"/>
  <c r="F192" i="17" s="1"/>
  <c r="J192" i="17"/>
  <c r="K192" i="17" s="1"/>
  <c r="G192" i="17"/>
  <c r="O192" i="17"/>
  <c r="P192" i="17" s="1"/>
  <c r="I110" i="17"/>
  <c r="N109" i="17"/>
  <c r="S109" i="17"/>
  <c r="B122" i="4"/>
  <c r="C122" i="4"/>
  <c r="J52" i="21"/>
  <c r="D52" i="21"/>
  <c r="E52" i="21" s="1"/>
  <c r="B67" i="21"/>
  <c r="C67" i="21" s="1"/>
  <c r="G193" i="17" l="1"/>
  <c r="O193" i="17"/>
  <c r="P193" i="17" s="1"/>
  <c r="E193" i="17"/>
  <c r="F193" i="17" s="1"/>
  <c r="J193" i="17"/>
  <c r="K193" i="17" s="1"/>
  <c r="T193" i="17"/>
  <c r="U193" i="17" s="1"/>
  <c r="N110" i="17"/>
  <c r="S110" i="17"/>
  <c r="I111" i="17"/>
  <c r="C123" i="4"/>
  <c r="B123" i="4"/>
  <c r="J53" i="21"/>
  <c r="D53" i="21"/>
  <c r="E53" i="21" s="1"/>
  <c r="B68" i="21"/>
  <c r="C68" i="21" s="1"/>
  <c r="E194" i="17" l="1"/>
  <c r="F194" i="17" s="1"/>
  <c r="J194" i="17"/>
  <c r="K194" i="17" s="1"/>
  <c r="O194" i="17"/>
  <c r="P194" i="17" s="1"/>
  <c r="G194" i="17"/>
  <c r="T194" i="17"/>
  <c r="U194" i="17" s="1"/>
  <c r="S111" i="17"/>
  <c r="I112" i="17"/>
  <c r="N111" i="17"/>
  <c r="B124" i="4"/>
  <c r="C124" i="4"/>
  <c r="J54" i="21"/>
  <c r="D54" i="21"/>
  <c r="E54" i="21" s="1"/>
  <c r="B69" i="21"/>
  <c r="C69" i="21" s="1"/>
  <c r="T195" i="17" l="1"/>
  <c r="U195" i="17" s="1"/>
  <c r="G195" i="17"/>
  <c r="E195" i="17"/>
  <c r="F195" i="17" s="1"/>
  <c r="J195" i="17"/>
  <c r="K195" i="17" s="1"/>
  <c r="O195" i="17"/>
  <c r="P195" i="17" s="1"/>
  <c r="I113" i="17"/>
  <c r="N112" i="17"/>
  <c r="S112" i="17"/>
  <c r="B125" i="4"/>
  <c r="C125" i="4"/>
  <c r="J55" i="21"/>
  <c r="D55" i="21"/>
  <c r="E55" i="21" s="1"/>
  <c r="B70" i="21"/>
  <c r="C70" i="21" s="1"/>
  <c r="G196" i="17" l="1"/>
  <c r="T196" i="17"/>
  <c r="U196" i="17" s="1"/>
  <c r="E196" i="17"/>
  <c r="F196" i="17" s="1"/>
  <c r="J196" i="17"/>
  <c r="K196" i="17" s="1"/>
  <c r="O196" i="17"/>
  <c r="P196" i="17" s="1"/>
  <c r="N113" i="17"/>
  <c r="S113" i="17"/>
  <c r="I114" i="17"/>
  <c r="B126" i="4"/>
  <c r="C126" i="4"/>
  <c r="J56" i="21"/>
  <c r="D56" i="21"/>
  <c r="E56" i="21" s="1"/>
  <c r="B71" i="21"/>
  <c r="C71" i="21" s="1"/>
  <c r="G197" i="17" l="1"/>
  <c r="O197" i="17"/>
  <c r="P197" i="17" s="1"/>
  <c r="J197" i="17"/>
  <c r="K197" i="17" s="1"/>
  <c r="T197" i="17"/>
  <c r="U197" i="17" s="1"/>
  <c r="E197" i="17"/>
  <c r="F197" i="17" s="1"/>
  <c r="S114" i="17"/>
  <c r="I115" i="17"/>
  <c r="N114" i="17"/>
  <c r="C127" i="4"/>
  <c r="B127" i="4"/>
  <c r="J57" i="21"/>
  <c r="D57" i="21"/>
  <c r="E57" i="21" s="1"/>
  <c r="J70" i="21"/>
  <c r="B72" i="21"/>
  <c r="C72" i="21" s="1"/>
  <c r="T198" i="17" l="1"/>
  <c r="U198" i="17" s="1"/>
  <c r="J198" i="17"/>
  <c r="K198" i="17" s="1"/>
  <c r="G198" i="17"/>
  <c r="E198" i="17"/>
  <c r="F198" i="17" s="1"/>
  <c r="O198" i="17"/>
  <c r="P198" i="17" s="1"/>
  <c r="I116" i="17"/>
  <c r="S115" i="17"/>
  <c r="N115" i="17"/>
  <c r="B128" i="4"/>
  <c r="C128" i="4"/>
  <c r="J58" i="21"/>
  <c r="D58" i="21"/>
  <c r="E58" i="21" s="1"/>
  <c r="D71" i="21"/>
  <c r="J71" i="21"/>
  <c r="B73" i="21"/>
  <c r="C73" i="21" s="1"/>
  <c r="E199" i="17" l="1"/>
  <c r="F199" i="17" s="1"/>
  <c r="J199" i="17"/>
  <c r="K199" i="17" s="1"/>
  <c r="T199" i="17"/>
  <c r="U199" i="17" s="1"/>
  <c r="G199" i="17"/>
  <c r="O199" i="17"/>
  <c r="P199" i="17" s="1"/>
  <c r="S116" i="17"/>
  <c r="N116" i="17"/>
  <c r="I117" i="17"/>
  <c r="B129" i="4"/>
  <c r="C129" i="4"/>
  <c r="J59" i="21"/>
  <c r="D59" i="21"/>
  <c r="E59" i="21" s="1"/>
  <c r="D72" i="21"/>
  <c r="J72" i="21"/>
  <c r="B74" i="21"/>
  <c r="C74" i="21" s="1"/>
  <c r="J200" i="17" l="1"/>
  <c r="K200" i="17" s="1"/>
  <c r="E200" i="17"/>
  <c r="F200" i="17" s="1"/>
  <c r="O200" i="17"/>
  <c r="P200" i="17" s="1"/>
  <c r="G200" i="17"/>
  <c r="T200" i="17"/>
  <c r="U200" i="17" s="1"/>
  <c r="N117" i="17"/>
  <c r="S117" i="17"/>
  <c r="I118" i="17"/>
  <c r="B130" i="4"/>
  <c r="C130" i="4"/>
  <c r="J60" i="21"/>
  <c r="D60" i="21"/>
  <c r="E60" i="21" s="1"/>
  <c r="D73" i="21"/>
  <c r="J73" i="21"/>
  <c r="B75" i="21"/>
  <c r="C75" i="21" s="1"/>
  <c r="S118" i="17" l="1"/>
  <c r="I119" i="17"/>
  <c r="N118" i="17"/>
  <c r="C131" i="4"/>
  <c r="B131" i="4"/>
  <c r="J61" i="21"/>
  <c r="D61" i="21"/>
  <c r="E61" i="21" s="1"/>
  <c r="D74" i="21"/>
  <c r="J74" i="21"/>
  <c r="B76" i="21"/>
  <c r="C76" i="21" s="1"/>
  <c r="I120" i="17" l="1"/>
  <c r="S119" i="17"/>
  <c r="N119" i="17"/>
  <c r="B132" i="4"/>
  <c r="C132" i="4"/>
  <c r="J62" i="21"/>
  <c r="D62" i="21"/>
  <c r="E62" i="21" s="1"/>
  <c r="D75" i="21"/>
  <c r="J75" i="21"/>
  <c r="B77" i="21"/>
  <c r="C77" i="21" s="1"/>
  <c r="S120" i="17" l="1"/>
  <c r="N120" i="17"/>
  <c r="I121" i="17"/>
  <c r="I122" i="17" s="1"/>
  <c r="B133" i="4"/>
  <c r="C133" i="4"/>
  <c r="J63" i="21"/>
  <c r="D63" i="21"/>
  <c r="E63" i="21" s="1"/>
  <c r="D76" i="21"/>
  <c r="J76" i="21"/>
  <c r="B78" i="21"/>
  <c r="C78" i="21" s="1"/>
  <c r="I123" i="17" l="1"/>
  <c r="L122" i="17"/>
  <c r="N121" i="17"/>
  <c r="N122" i="17" s="1"/>
  <c r="S121" i="17"/>
  <c r="S122" i="17" s="1"/>
  <c r="B134" i="4"/>
  <c r="C134" i="4"/>
  <c r="J64" i="21"/>
  <c r="D64" i="21"/>
  <c r="E64" i="21" s="1"/>
  <c r="D77" i="21"/>
  <c r="J77" i="21"/>
  <c r="B79" i="21"/>
  <c r="C79" i="21" s="1"/>
  <c r="V122" i="17" l="1"/>
  <c r="S123" i="17"/>
  <c r="Q122" i="17"/>
  <c r="N123" i="17"/>
  <c r="I124" i="17"/>
  <c r="L123" i="17"/>
  <c r="C135" i="4"/>
  <c r="B135" i="4"/>
  <c r="J65" i="21"/>
  <c r="D65" i="21"/>
  <c r="E65" i="21" s="1"/>
  <c r="D78" i="21"/>
  <c r="J78" i="21"/>
  <c r="B80" i="21"/>
  <c r="C80" i="21" s="1"/>
  <c r="Q123" i="17" l="1"/>
  <c r="N124" i="17"/>
  <c r="I125" i="17"/>
  <c r="L124" i="17"/>
  <c r="S124" i="17"/>
  <c r="V123" i="17"/>
  <c r="B136" i="4"/>
  <c r="C136" i="4"/>
  <c r="J66" i="21"/>
  <c r="D66" i="21"/>
  <c r="E66" i="21" s="1"/>
  <c r="D79" i="21"/>
  <c r="J79" i="21"/>
  <c r="B81" i="21"/>
  <c r="C81" i="21" s="1"/>
  <c r="L125" i="17" l="1"/>
  <c r="I126" i="17"/>
  <c r="V124" i="17"/>
  <c r="S125" i="17"/>
  <c r="Q124" i="17"/>
  <c r="N125" i="17"/>
  <c r="B137" i="4"/>
  <c r="C137" i="4"/>
  <c r="J67" i="21"/>
  <c r="D67" i="21"/>
  <c r="E67" i="21" s="1"/>
  <c r="D80" i="21"/>
  <c r="J80" i="21"/>
  <c r="B82" i="21"/>
  <c r="C82" i="21" s="1"/>
  <c r="Q125" i="17" l="1"/>
  <c r="N126" i="17"/>
  <c r="I127" i="17"/>
  <c r="L126" i="17"/>
  <c r="V125" i="17"/>
  <c r="S126" i="17"/>
  <c r="B138" i="4"/>
  <c r="C138" i="4"/>
  <c r="J69" i="21"/>
  <c r="D70" i="21"/>
  <c r="J68" i="21"/>
  <c r="D68" i="21"/>
  <c r="E68" i="21" s="1"/>
  <c r="D69" i="21"/>
  <c r="D81" i="21"/>
  <c r="J81" i="21"/>
  <c r="B83" i="21"/>
  <c r="C83" i="21" s="1"/>
  <c r="L127" i="17" l="1"/>
  <c r="I128" i="17"/>
  <c r="Q126" i="17"/>
  <c r="N127" i="17"/>
  <c r="V126" i="17"/>
  <c r="S127" i="17"/>
  <c r="C139" i="4"/>
  <c r="B139" i="4"/>
  <c r="D82" i="21"/>
  <c r="J82" i="21"/>
  <c r="E69" i="21"/>
  <c r="B84" i="21"/>
  <c r="C84" i="21" s="1"/>
  <c r="L128" i="17" l="1"/>
  <c r="I129" i="17"/>
  <c r="S128" i="17"/>
  <c r="V127" i="17"/>
  <c r="Q127" i="17"/>
  <c r="N128" i="17"/>
  <c r="B140" i="4"/>
  <c r="C140" i="4"/>
  <c r="D83" i="21"/>
  <c r="J83" i="21"/>
  <c r="B85" i="21"/>
  <c r="C85" i="21" s="1"/>
  <c r="E70" i="21"/>
  <c r="V128" i="17" l="1"/>
  <c r="S129" i="17"/>
  <c r="L129" i="17"/>
  <c r="I130" i="17"/>
  <c r="Q128" i="17"/>
  <c r="N129" i="17"/>
  <c r="B141" i="4"/>
  <c r="C141" i="4"/>
  <c r="D84" i="21"/>
  <c r="J84" i="21"/>
  <c r="E71" i="21"/>
  <c r="B86" i="21"/>
  <c r="C86" i="21" s="1"/>
  <c r="Q129" i="17" l="1"/>
  <c r="N130" i="17"/>
  <c r="L130" i="17"/>
  <c r="I131" i="17"/>
  <c r="S130" i="17"/>
  <c r="V129" i="17"/>
  <c r="B142" i="4"/>
  <c r="C142" i="4"/>
  <c r="D85" i="21"/>
  <c r="J85" i="21"/>
  <c r="B87" i="21"/>
  <c r="C87" i="21" s="1"/>
  <c r="E72" i="21"/>
  <c r="V130" i="17" l="1"/>
  <c r="S131" i="17"/>
  <c r="Q130" i="17"/>
  <c r="N131" i="17"/>
  <c r="I132" i="17"/>
  <c r="L131" i="17"/>
  <c r="C143" i="4"/>
  <c r="B143" i="4"/>
  <c r="D86" i="21"/>
  <c r="J86" i="21"/>
  <c r="E73" i="21"/>
  <c r="B88" i="21"/>
  <c r="C88" i="21" s="1"/>
  <c r="Q131" i="17" l="1"/>
  <c r="N132" i="17"/>
  <c r="I133" i="17"/>
  <c r="L132" i="17"/>
  <c r="V131" i="17"/>
  <c r="S132" i="17"/>
  <c r="B144" i="4"/>
  <c r="C144" i="4"/>
  <c r="D87" i="21"/>
  <c r="J87" i="21"/>
  <c r="E74" i="21"/>
  <c r="B89" i="21"/>
  <c r="C89" i="21" s="1"/>
  <c r="L133" i="17" l="1"/>
  <c r="I134" i="17"/>
  <c r="N133" i="17"/>
  <c r="Q132" i="17"/>
  <c r="S133" i="17"/>
  <c r="V132" i="17"/>
  <c r="B145" i="4"/>
  <c r="C145" i="4"/>
  <c r="D88" i="21"/>
  <c r="J88" i="21"/>
  <c r="B90" i="21"/>
  <c r="C90" i="21" s="1"/>
  <c r="E75" i="21"/>
  <c r="V133" i="17" l="1"/>
  <c r="S134" i="17"/>
  <c r="Q133" i="17"/>
  <c r="N134" i="17"/>
  <c r="I135" i="17"/>
  <c r="L134" i="17"/>
  <c r="B146" i="4"/>
  <c r="C146" i="4"/>
  <c r="D89" i="21"/>
  <c r="J89" i="21"/>
  <c r="E76" i="21"/>
  <c r="B91" i="21"/>
  <c r="C91" i="21" s="1"/>
  <c r="Q134" i="17" l="1"/>
  <c r="N135" i="17"/>
  <c r="V134" i="17"/>
  <c r="S135" i="17"/>
  <c r="L135" i="17"/>
  <c r="I136" i="17"/>
  <c r="C147" i="4"/>
  <c r="B147" i="4"/>
  <c r="D90" i="21"/>
  <c r="J90" i="21"/>
  <c r="E77" i="21"/>
  <c r="B92" i="21"/>
  <c r="C92" i="21" s="1"/>
  <c r="L136" i="17" l="1"/>
  <c r="I137" i="17"/>
  <c r="Q135" i="17"/>
  <c r="N136" i="17"/>
  <c r="S136" i="17"/>
  <c r="V135" i="17"/>
  <c r="B148" i="4"/>
  <c r="C148" i="4"/>
  <c r="D91" i="21"/>
  <c r="J91" i="21"/>
  <c r="E78" i="21"/>
  <c r="B93" i="21"/>
  <c r="C93" i="21" s="1"/>
  <c r="Q136" i="17" l="1"/>
  <c r="N137" i="17"/>
  <c r="L137" i="17"/>
  <c r="I138" i="17"/>
  <c r="S137" i="17"/>
  <c r="V136" i="17"/>
  <c r="C149" i="4"/>
  <c r="B149" i="4"/>
  <c r="D92" i="21"/>
  <c r="J92" i="21"/>
  <c r="B94" i="21"/>
  <c r="C94" i="21" s="1"/>
  <c r="E79" i="21"/>
  <c r="L138" i="17" l="1"/>
  <c r="I139" i="17"/>
  <c r="N138" i="17"/>
  <c r="Q137" i="17"/>
  <c r="V137" i="17"/>
  <c r="S138" i="17"/>
  <c r="B150" i="4"/>
  <c r="C150" i="4"/>
  <c r="D93" i="21"/>
  <c r="J93" i="21"/>
  <c r="E80" i="21"/>
  <c r="B95" i="21"/>
  <c r="C95" i="21" s="1"/>
  <c r="Q138" i="17" l="1"/>
  <c r="N139" i="17"/>
  <c r="L139" i="17"/>
  <c r="I140" i="17"/>
  <c r="V138" i="17"/>
  <c r="S139" i="17"/>
  <c r="B151" i="4"/>
  <c r="C151" i="4"/>
  <c r="D94" i="21"/>
  <c r="J94" i="21"/>
  <c r="B96" i="21"/>
  <c r="C96" i="21" s="1"/>
  <c r="E81" i="21"/>
  <c r="V139" i="17" l="1"/>
  <c r="S140" i="17"/>
  <c r="L140" i="17"/>
  <c r="I141" i="17"/>
  <c r="Q139" i="17"/>
  <c r="N140" i="17"/>
  <c r="B152" i="4"/>
  <c r="C152" i="4"/>
  <c r="D95" i="21"/>
  <c r="J95" i="21"/>
  <c r="E82" i="21"/>
  <c r="B97" i="21"/>
  <c r="C97" i="21" s="1"/>
  <c r="L141" i="17" l="1"/>
  <c r="I142" i="17"/>
  <c r="S141" i="17"/>
  <c r="V140" i="17"/>
  <c r="Q140" i="17"/>
  <c r="N141" i="17"/>
  <c r="C153" i="4"/>
  <c r="B153" i="4"/>
  <c r="D96" i="21"/>
  <c r="J96" i="21"/>
  <c r="E83" i="21"/>
  <c r="B98" i="21"/>
  <c r="C98" i="21" s="1"/>
  <c r="N142" i="17" l="1"/>
  <c r="Q141" i="17"/>
  <c r="V141" i="17"/>
  <c r="S142" i="17"/>
  <c r="L142" i="17"/>
  <c r="I143" i="17"/>
  <c r="B154" i="4"/>
  <c r="C154" i="4"/>
  <c r="D97" i="21"/>
  <c r="J97" i="21"/>
  <c r="B99" i="21"/>
  <c r="C99" i="21" s="1"/>
  <c r="E84" i="21"/>
  <c r="S143" i="17" l="1"/>
  <c r="V142" i="17"/>
  <c r="I144" i="17"/>
  <c r="L143" i="17"/>
  <c r="Q142" i="17"/>
  <c r="N143" i="17"/>
  <c r="B155" i="4"/>
  <c r="C155" i="4"/>
  <c r="D98" i="21"/>
  <c r="J98" i="21"/>
  <c r="E85" i="21"/>
  <c r="B100" i="21"/>
  <c r="C100" i="21" s="1"/>
  <c r="L144" i="17" l="1"/>
  <c r="I145" i="17"/>
  <c r="N144" i="17"/>
  <c r="Q143" i="17"/>
  <c r="V143" i="17"/>
  <c r="S144" i="17"/>
  <c r="B156" i="4"/>
  <c r="C156" i="4"/>
  <c r="D99" i="21"/>
  <c r="J99" i="21"/>
  <c r="B101" i="21"/>
  <c r="C101" i="21" s="1"/>
  <c r="E86" i="21"/>
  <c r="V144" i="17" l="1"/>
  <c r="S145" i="17"/>
  <c r="Q144" i="17"/>
  <c r="N145" i="17"/>
  <c r="I146" i="17"/>
  <c r="L145" i="17"/>
  <c r="B157" i="4"/>
  <c r="C157" i="4"/>
  <c r="D100" i="21"/>
  <c r="J100" i="21"/>
  <c r="E87" i="21"/>
  <c r="B102" i="21"/>
  <c r="C102" i="21" s="1"/>
  <c r="L146" i="17" l="1"/>
  <c r="I147" i="17"/>
  <c r="S146" i="17"/>
  <c r="V145" i="17"/>
  <c r="Q145" i="17"/>
  <c r="N146" i="17"/>
  <c r="B158" i="4"/>
  <c r="C158" i="4"/>
  <c r="D101" i="21"/>
  <c r="J101" i="21"/>
  <c r="B103" i="21"/>
  <c r="C103" i="21" s="1"/>
  <c r="E88" i="21"/>
  <c r="Q146" i="17" l="1"/>
  <c r="N147" i="17"/>
  <c r="V146" i="17"/>
  <c r="S147" i="17"/>
  <c r="I148" i="17"/>
  <c r="L147" i="17"/>
  <c r="B159" i="4"/>
  <c r="C159" i="4"/>
  <c r="D102" i="21"/>
  <c r="J102" i="21"/>
  <c r="E89" i="21"/>
  <c r="B104" i="21"/>
  <c r="C104" i="21" s="1"/>
  <c r="Q147" i="17" l="1"/>
  <c r="N148" i="17"/>
  <c r="I149" i="17"/>
  <c r="L148" i="17"/>
  <c r="V147" i="17"/>
  <c r="S148" i="17"/>
  <c r="B160" i="4"/>
  <c r="C160" i="4"/>
  <c r="D103" i="21"/>
  <c r="J103" i="21"/>
  <c r="E90" i="21"/>
  <c r="B105" i="21"/>
  <c r="C105" i="21" s="1"/>
  <c r="I150" i="17" l="1"/>
  <c r="L149" i="17"/>
  <c r="Q148" i="17"/>
  <c r="N149" i="17"/>
  <c r="S149" i="17"/>
  <c r="V148" i="17"/>
  <c r="B161" i="4"/>
  <c r="C161" i="4"/>
  <c r="D104" i="21"/>
  <c r="J104" i="21"/>
  <c r="E91" i="21"/>
  <c r="B106" i="21"/>
  <c r="C106" i="21" s="1"/>
  <c r="S150" i="17" l="1"/>
  <c r="V149" i="17"/>
  <c r="Q149" i="17"/>
  <c r="N150" i="17"/>
  <c r="I151" i="17"/>
  <c r="L150" i="17"/>
  <c r="B162" i="4"/>
  <c r="C162" i="4"/>
  <c r="D105" i="21"/>
  <c r="J105" i="21"/>
  <c r="E92" i="21"/>
  <c r="B107" i="21"/>
  <c r="C107" i="21" s="1"/>
  <c r="I152" i="17" l="1"/>
  <c r="L151" i="17"/>
  <c r="Q150" i="17"/>
  <c r="N151" i="17"/>
  <c r="S151" i="17"/>
  <c r="V150" i="17"/>
  <c r="C163" i="4"/>
  <c r="B163" i="4"/>
  <c r="D106" i="21"/>
  <c r="J106" i="21"/>
  <c r="B108" i="21"/>
  <c r="C108" i="21" s="1"/>
  <c r="E93" i="21"/>
  <c r="Q151" i="17" l="1"/>
  <c r="N152" i="17"/>
  <c r="S152" i="17"/>
  <c r="V151" i="17"/>
  <c r="I153" i="17"/>
  <c r="L152" i="17"/>
  <c r="B164" i="4"/>
  <c r="C164" i="4"/>
  <c r="D107" i="21"/>
  <c r="J107" i="21"/>
  <c r="E94" i="21"/>
  <c r="B109" i="21"/>
  <c r="C109" i="21" s="1"/>
  <c r="V152" i="17" l="1"/>
  <c r="S153" i="17"/>
  <c r="L153" i="17"/>
  <c r="I154" i="17"/>
  <c r="Q152" i="17"/>
  <c r="N153" i="17"/>
  <c r="B165" i="4"/>
  <c r="C165" i="4"/>
  <c r="D108" i="21"/>
  <c r="J108" i="21"/>
  <c r="B110" i="21"/>
  <c r="C110" i="21" s="1"/>
  <c r="E95" i="21"/>
  <c r="Q153" i="17" l="1"/>
  <c r="N154" i="17"/>
  <c r="V153" i="17"/>
  <c r="S154" i="17"/>
  <c r="I155" i="17"/>
  <c r="L154" i="17"/>
  <c r="B166" i="4"/>
  <c r="C166" i="4"/>
  <c r="D109" i="21"/>
  <c r="J109" i="21"/>
  <c r="E96" i="21"/>
  <c r="B111" i="21"/>
  <c r="C111" i="21" s="1"/>
  <c r="L155" i="17" l="1"/>
  <c r="I156" i="17"/>
  <c r="Q154" i="17"/>
  <c r="N155" i="17"/>
  <c r="S155" i="17"/>
  <c r="V154" i="17"/>
  <c r="C167" i="4"/>
  <c r="B167" i="4"/>
  <c r="D110" i="21"/>
  <c r="J110" i="21"/>
  <c r="B112" i="21"/>
  <c r="C112" i="21" s="1"/>
  <c r="E97" i="21"/>
  <c r="Q155" i="17" l="1"/>
  <c r="N156" i="17"/>
  <c r="S156" i="17"/>
  <c r="V155" i="17"/>
  <c r="L156" i="17"/>
  <c r="I157" i="17"/>
  <c r="B168" i="4"/>
  <c r="C168" i="4"/>
  <c r="D111" i="21"/>
  <c r="J111" i="21"/>
  <c r="E98" i="21"/>
  <c r="B113" i="21"/>
  <c r="C113" i="21" s="1"/>
  <c r="Q156" i="17" l="1"/>
  <c r="N157" i="17"/>
  <c r="I158" i="17"/>
  <c r="L157" i="17"/>
  <c r="V156" i="17"/>
  <c r="S157" i="17"/>
  <c r="B169" i="4"/>
  <c r="C169" i="4"/>
  <c r="D112" i="21"/>
  <c r="J112" i="21"/>
  <c r="B114" i="21"/>
  <c r="C114" i="21" s="1"/>
  <c r="E99" i="21"/>
  <c r="L158" i="17" l="1"/>
  <c r="I159" i="17"/>
  <c r="V157" i="17"/>
  <c r="S158" i="17"/>
  <c r="N158" i="17"/>
  <c r="Q157" i="17"/>
  <c r="B170" i="4"/>
  <c r="C170" i="4"/>
  <c r="D113" i="21"/>
  <c r="J113" i="21"/>
  <c r="E100" i="21"/>
  <c r="B115" i="21"/>
  <c r="C115" i="21" s="1"/>
  <c r="V158" i="17" l="1"/>
  <c r="S159" i="17"/>
  <c r="L159" i="17"/>
  <c r="I160" i="17"/>
  <c r="N159" i="17"/>
  <c r="Q158" i="17"/>
  <c r="B171" i="4"/>
  <c r="C171" i="4"/>
  <c r="D114" i="21"/>
  <c r="J114" i="21"/>
  <c r="E101" i="21"/>
  <c r="B116" i="21"/>
  <c r="C116" i="21" s="1"/>
  <c r="I161" i="17" l="1"/>
  <c r="L160" i="17"/>
  <c r="S160" i="17"/>
  <c r="V159" i="17"/>
  <c r="Q159" i="17"/>
  <c r="N160" i="17"/>
  <c r="B172" i="4"/>
  <c r="C172" i="4"/>
  <c r="D115" i="21"/>
  <c r="J115" i="21"/>
  <c r="B117" i="21"/>
  <c r="C117" i="21" s="1"/>
  <c r="E102" i="21"/>
  <c r="N161" i="17" l="1"/>
  <c r="Q160" i="17"/>
  <c r="S161" i="17"/>
  <c r="V160" i="17"/>
  <c r="I162" i="17"/>
  <c r="L161" i="17"/>
  <c r="B173" i="4"/>
  <c r="C173" i="4"/>
  <c r="D116" i="21"/>
  <c r="J116" i="21"/>
  <c r="E103" i="21"/>
  <c r="B118" i="21"/>
  <c r="C118" i="21" s="1"/>
  <c r="L162" i="17" l="1"/>
  <c r="I163" i="17"/>
  <c r="V161" i="17"/>
  <c r="S162" i="17"/>
  <c r="N162" i="17"/>
  <c r="Q161" i="17"/>
  <c r="B174" i="4"/>
  <c r="C174" i="4"/>
  <c r="D117" i="21"/>
  <c r="J117" i="21"/>
  <c r="B119" i="21"/>
  <c r="C119" i="21" s="1"/>
  <c r="E104" i="21"/>
  <c r="S163" i="17" l="1"/>
  <c r="V162" i="17"/>
  <c r="L163" i="17"/>
  <c r="I164" i="17"/>
  <c r="Q162" i="17"/>
  <c r="N163" i="17"/>
  <c r="B175" i="4"/>
  <c r="C175" i="4"/>
  <c r="D118" i="21"/>
  <c r="J118" i="21"/>
  <c r="B120" i="21"/>
  <c r="C120" i="21" s="1"/>
  <c r="E105" i="21"/>
  <c r="Q163" i="17" l="1"/>
  <c r="N164" i="17"/>
  <c r="L164" i="17"/>
  <c r="I165" i="17"/>
  <c r="S164" i="17"/>
  <c r="V163" i="17"/>
  <c r="B176" i="4"/>
  <c r="C176" i="4"/>
  <c r="D119" i="21"/>
  <c r="J119" i="21"/>
  <c r="E106" i="21"/>
  <c r="B121" i="21"/>
  <c r="C121" i="21" s="1"/>
  <c r="L165" i="17" l="1"/>
  <c r="I166" i="17"/>
  <c r="Q164" i="17"/>
  <c r="N165" i="17"/>
  <c r="V164" i="17"/>
  <c r="S165" i="17"/>
  <c r="B177" i="4"/>
  <c r="C177" i="4"/>
  <c r="D120" i="21"/>
  <c r="J120" i="21"/>
  <c r="E107" i="21"/>
  <c r="B122" i="21"/>
  <c r="C122" i="21" s="1"/>
  <c r="Q165" i="17" l="1"/>
  <c r="N166" i="17"/>
  <c r="V165" i="17"/>
  <c r="S166" i="17"/>
  <c r="I167" i="17"/>
  <c r="L166" i="17"/>
  <c r="C178" i="4"/>
  <c r="B178" i="4"/>
  <c r="D121" i="21"/>
  <c r="J121" i="21"/>
  <c r="B123" i="21"/>
  <c r="C123" i="21" s="1"/>
  <c r="E108" i="21"/>
  <c r="L167" i="17" l="1"/>
  <c r="I168" i="17"/>
  <c r="Q166" i="17"/>
  <c r="N167" i="17"/>
  <c r="S167" i="17"/>
  <c r="V166" i="17"/>
  <c r="C179" i="4"/>
  <c r="B179" i="4"/>
  <c r="D122" i="21"/>
  <c r="J122" i="21"/>
  <c r="E109" i="21"/>
  <c r="B124" i="21"/>
  <c r="C124" i="21" s="1"/>
  <c r="N168" i="17" l="1"/>
  <c r="Q167" i="17"/>
  <c r="V167" i="17"/>
  <c r="S168" i="17"/>
  <c r="I169" i="17"/>
  <c r="L168" i="17"/>
  <c r="B180" i="4"/>
  <c r="C180" i="4"/>
  <c r="D123" i="21"/>
  <c r="J123" i="21"/>
  <c r="B125" i="21"/>
  <c r="C125" i="21" s="1"/>
  <c r="E110" i="21"/>
  <c r="L169" i="17" l="1"/>
  <c r="I170" i="17"/>
  <c r="S169" i="17"/>
  <c r="V168" i="17"/>
  <c r="Q168" i="17"/>
  <c r="N169" i="17"/>
  <c r="B181" i="4"/>
  <c r="C181" i="4"/>
  <c r="D124" i="21"/>
  <c r="J124" i="21"/>
  <c r="B126" i="21"/>
  <c r="C126" i="21" s="1"/>
  <c r="E111" i="21"/>
  <c r="N170" i="17" l="1"/>
  <c r="Q169" i="17"/>
  <c r="S170" i="17"/>
  <c r="V169" i="17"/>
  <c r="I171" i="17"/>
  <c r="L170" i="17"/>
  <c r="C182" i="4"/>
  <c r="B182" i="4"/>
  <c r="D125" i="21"/>
  <c r="J125" i="21"/>
  <c r="E112" i="21"/>
  <c r="B127" i="21"/>
  <c r="C127" i="21" s="1"/>
  <c r="S171" i="17" l="1"/>
  <c r="V170" i="17"/>
  <c r="L171" i="17"/>
  <c r="I172" i="17"/>
  <c r="N171" i="17"/>
  <c r="Q170" i="17"/>
  <c r="C183" i="4"/>
  <c r="B183" i="4"/>
  <c r="D126" i="21"/>
  <c r="J126" i="21"/>
  <c r="B128" i="21"/>
  <c r="C128" i="21" s="1"/>
  <c r="E113" i="21"/>
  <c r="N172" i="17" l="1"/>
  <c r="Q171" i="17"/>
  <c r="I173" i="17"/>
  <c r="L172" i="17"/>
  <c r="V171" i="17"/>
  <c r="S172" i="17"/>
  <c r="B184" i="4"/>
  <c r="C184" i="4"/>
  <c r="D127" i="21"/>
  <c r="J127" i="21"/>
  <c r="B129" i="21"/>
  <c r="C129" i="21" s="1"/>
  <c r="E114" i="21"/>
  <c r="I174" i="17" l="1"/>
  <c r="L173" i="17"/>
  <c r="S173" i="17"/>
  <c r="V172" i="17"/>
  <c r="Q172" i="17"/>
  <c r="N173" i="17"/>
  <c r="B185" i="4"/>
  <c r="C185" i="4"/>
  <c r="D128" i="21"/>
  <c r="J128" i="21"/>
  <c r="E115" i="21"/>
  <c r="B130" i="21"/>
  <c r="C130" i="21" s="1"/>
  <c r="S174" i="17" l="1"/>
  <c r="V173" i="17"/>
  <c r="N174" i="17"/>
  <c r="Q173" i="17"/>
  <c r="I175" i="17"/>
  <c r="L174" i="17"/>
  <c r="B186" i="4"/>
  <c r="C186" i="4"/>
  <c r="D129" i="21"/>
  <c r="J129" i="21"/>
  <c r="B131" i="21"/>
  <c r="C131" i="21" s="1"/>
  <c r="E116" i="21"/>
  <c r="I176" i="17" l="1"/>
  <c r="L175" i="17"/>
  <c r="Q174" i="17"/>
  <c r="N175" i="17"/>
  <c r="S175" i="17"/>
  <c r="V174" i="17"/>
  <c r="B187" i="4"/>
  <c r="C187" i="4"/>
  <c r="D130" i="21"/>
  <c r="J130" i="21"/>
  <c r="E117" i="21"/>
  <c r="B132" i="21"/>
  <c r="C132" i="21" s="1"/>
  <c r="S176" i="17" l="1"/>
  <c r="V175" i="17"/>
  <c r="N176" i="17"/>
  <c r="Q175" i="17"/>
  <c r="I177" i="17"/>
  <c r="L176" i="17"/>
  <c r="B188" i="4"/>
  <c r="C188" i="4"/>
  <c r="D131" i="21"/>
  <c r="J131" i="21"/>
  <c r="B133" i="21"/>
  <c r="C133" i="21" s="1"/>
  <c r="E118" i="21"/>
  <c r="Q176" i="17" l="1"/>
  <c r="N177" i="17"/>
  <c r="I178" i="17"/>
  <c r="L177" i="17"/>
  <c r="S177" i="17"/>
  <c r="V176" i="17"/>
  <c r="B189" i="4"/>
  <c r="C189" i="4"/>
  <c r="D132" i="21"/>
  <c r="J132" i="21"/>
  <c r="E119" i="21"/>
  <c r="B134" i="21"/>
  <c r="C134" i="21" s="1"/>
  <c r="L178" i="17" l="1"/>
  <c r="I179" i="17"/>
  <c r="N178" i="17"/>
  <c r="Q177" i="17"/>
  <c r="S178" i="17"/>
  <c r="V177" i="17"/>
  <c r="C190" i="4"/>
  <c r="B190" i="4"/>
  <c r="D133" i="21"/>
  <c r="J133" i="21"/>
  <c r="B135" i="21"/>
  <c r="C135" i="21" s="1"/>
  <c r="E120" i="21"/>
  <c r="N179" i="17" l="1"/>
  <c r="Q178" i="17"/>
  <c r="S179" i="17"/>
  <c r="V178" i="17"/>
  <c r="I180" i="17"/>
  <c r="L179" i="17"/>
  <c r="B191" i="4"/>
  <c r="C191" i="4"/>
  <c r="D134" i="21"/>
  <c r="J134" i="21"/>
  <c r="B136" i="21"/>
  <c r="C136" i="21" s="1"/>
  <c r="E121" i="21"/>
  <c r="I181" i="17" l="1"/>
  <c r="L180" i="17"/>
  <c r="V179" i="17"/>
  <c r="S180" i="17"/>
  <c r="N180" i="17"/>
  <c r="Q179" i="17"/>
  <c r="B192" i="4"/>
  <c r="C192" i="4"/>
  <c r="D135" i="21"/>
  <c r="J135" i="21"/>
  <c r="B137" i="21"/>
  <c r="C137" i="21" s="1"/>
  <c r="E122" i="21"/>
  <c r="S181" i="17" l="1"/>
  <c r="V180" i="17"/>
  <c r="Q180" i="17"/>
  <c r="N181" i="17"/>
  <c r="I182" i="17"/>
  <c r="L181" i="17"/>
  <c r="B193" i="4"/>
  <c r="C193" i="4"/>
  <c r="D136" i="21"/>
  <c r="J136" i="21"/>
  <c r="E123" i="21"/>
  <c r="B138" i="21"/>
  <c r="C138" i="21" s="1"/>
  <c r="Q181" i="17" l="1"/>
  <c r="N182" i="17"/>
  <c r="I183" i="17"/>
  <c r="L182" i="17"/>
  <c r="S182" i="17"/>
  <c r="V181" i="17"/>
  <c r="C194" i="4"/>
  <c r="B194" i="4"/>
  <c r="D137" i="21"/>
  <c r="J137" i="21"/>
  <c r="B139" i="21"/>
  <c r="C139" i="21" s="1"/>
  <c r="E124" i="21"/>
  <c r="Q182" i="17" l="1"/>
  <c r="N183" i="17"/>
  <c r="S183" i="17"/>
  <c r="V182" i="17"/>
  <c r="I184" i="17"/>
  <c r="L183" i="17"/>
  <c r="B195" i="4"/>
  <c r="C195" i="4"/>
  <c r="D138" i="21"/>
  <c r="J138" i="21"/>
  <c r="B140" i="21"/>
  <c r="C140" i="21" s="1"/>
  <c r="E125" i="21"/>
  <c r="S184" i="17" l="1"/>
  <c r="V183" i="17"/>
  <c r="Q183" i="17"/>
  <c r="N184" i="17"/>
  <c r="I185" i="17"/>
  <c r="L184" i="17"/>
  <c r="B196" i="4"/>
  <c r="C196" i="4"/>
  <c r="D139" i="21"/>
  <c r="J139" i="21"/>
  <c r="B141" i="21"/>
  <c r="C141" i="21" s="1"/>
  <c r="E126" i="21"/>
  <c r="N185" i="17" l="1"/>
  <c r="Q184" i="17"/>
  <c r="L185" i="17"/>
  <c r="I186" i="17"/>
  <c r="S185" i="17"/>
  <c r="V184" i="17"/>
  <c r="B197" i="4"/>
  <c r="C197" i="4"/>
  <c r="D140" i="21"/>
  <c r="J140" i="21"/>
  <c r="E127" i="21"/>
  <c r="B142" i="21"/>
  <c r="C142" i="21" s="1"/>
  <c r="S186" i="17" l="1"/>
  <c r="V185" i="17"/>
  <c r="I187" i="17"/>
  <c r="L186" i="17"/>
  <c r="Q185" i="17"/>
  <c r="N186" i="17"/>
  <c r="C198" i="4"/>
  <c r="B198" i="4"/>
  <c r="D141" i="21"/>
  <c r="J141" i="21"/>
  <c r="E128" i="21"/>
  <c r="B143" i="21"/>
  <c r="C143" i="21" s="1"/>
  <c r="L187" i="17" l="1"/>
  <c r="I188" i="17"/>
  <c r="Q186" i="17"/>
  <c r="N187" i="17"/>
  <c r="V186" i="17"/>
  <c r="S187" i="17"/>
  <c r="C199" i="4"/>
  <c r="B199" i="4"/>
  <c r="D142" i="21"/>
  <c r="J142" i="21"/>
  <c r="B144" i="21"/>
  <c r="C144" i="21" s="1"/>
  <c r="E129" i="21"/>
  <c r="Q187" i="17" l="1"/>
  <c r="N188" i="17"/>
  <c r="L188" i="17"/>
  <c r="I189" i="17"/>
  <c r="S188" i="17"/>
  <c r="V187" i="17"/>
  <c r="B200" i="4"/>
  <c r="C200" i="4"/>
  <c r="D143" i="21"/>
  <c r="J143" i="21"/>
  <c r="B145" i="21"/>
  <c r="C145" i="21" s="1"/>
  <c r="E130" i="21"/>
  <c r="I190" i="17" l="1"/>
  <c r="L189" i="17"/>
  <c r="Q188" i="17"/>
  <c r="N189" i="17"/>
  <c r="V188" i="17"/>
  <c r="S189" i="17"/>
  <c r="B201" i="4"/>
  <c r="C201" i="4"/>
  <c r="D144" i="21"/>
  <c r="J144" i="21"/>
  <c r="E131" i="21"/>
  <c r="B146" i="21"/>
  <c r="C146" i="21" s="1"/>
  <c r="S190" i="17" l="1"/>
  <c r="V189" i="17"/>
  <c r="N190" i="17"/>
  <c r="Q189" i="17"/>
  <c r="I191" i="17"/>
  <c r="L190" i="17"/>
  <c r="B202" i="4"/>
  <c r="C202" i="4"/>
  <c r="D145" i="21"/>
  <c r="J145" i="21"/>
  <c r="E132" i="21"/>
  <c r="B147" i="21"/>
  <c r="C147" i="21" s="1"/>
  <c r="I192" i="17" l="1"/>
  <c r="L191" i="17"/>
  <c r="Q190" i="17"/>
  <c r="N191" i="17"/>
  <c r="S191" i="17"/>
  <c r="V190" i="17"/>
  <c r="B203" i="4"/>
  <c r="C203" i="4"/>
  <c r="D146" i="21"/>
  <c r="J146" i="21"/>
  <c r="B148" i="21"/>
  <c r="C148" i="21" s="1"/>
  <c r="E133" i="21"/>
  <c r="Q191" i="17" l="1"/>
  <c r="N192" i="17"/>
  <c r="V191" i="17"/>
  <c r="S192" i="17"/>
  <c r="I193" i="17"/>
  <c r="L192" i="17"/>
  <c r="B204" i="4"/>
  <c r="C204" i="4"/>
  <c r="D147" i="21"/>
  <c r="J147" i="21"/>
  <c r="E134" i="21"/>
  <c r="B149" i="21"/>
  <c r="C149" i="21" s="1"/>
  <c r="V192" i="17" l="1"/>
  <c r="S193" i="17"/>
  <c r="Q192" i="17"/>
  <c r="N193" i="17"/>
  <c r="I194" i="17"/>
  <c r="L193" i="17"/>
  <c r="B205" i="4"/>
  <c r="C205" i="4"/>
  <c r="D148" i="21"/>
  <c r="J148" i="21"/>
  <c r="B150" i="21"/>
  <c r="C150" i="21" s="1"/>
  <c r="E135" i="21"/>
  <c r="S194" i="17" l="1"/>
  <c r="V193" i="17"/>
  <c r="I195" i="17"/>
  <c r="L194" i="17"/>
  <c r="Q193" i="17"/>
  <c r="N194" i="17"/>
  <c r="C206" i="4"/>
  <c r="B206" i="4"/>
  <c r="D149" i="21"/>
  <c r="J149" i="21"/>
  <c r="E136" i="21"/>
  <c r="B151" i="21"/>
  <c r="C151" i="21" s="1"/>
  <c r="N195" i="17" l="1"/>
  <c r="Q194" i="17"/>
  <c r="I196" i="17"/>
  <c r="L195" i="17"/>
  <c r="V194" i="17"/>
  <c r="S195" i="17"/>
  <c r="C207" i="4"/>
  <c r="B207" i="4"/>
  <c r="D150" i="21"/>
  <c r="J150" i="21"/>
  <c r="B152" i="21"/>
  <c r="C152" i="21" s="1"/>
  <c r="E137" i="21"/>
  <c r="S196" i="17" l="1"/>
  <c r="V195" i="17"/>
  <c r="I197" i="17"/>
  <c r="L196" i="17"/>
  <c r="Q195" i="17"/>
  <c r="N196" i="17"/>
  <c r="B208" i="4"/>
  <c r="C208" i="4"/>
  <c r="D151" i="21"/>
  <c r="J151" i="21"/>
  <c r="B153" i="21"/>
  <c r="C153" i="21" s="1"/>
  <c r="E138" i="21"/>
  <c r="I198" i="17" l="1"/>
  <c r="L197" i="17"/>
  <c r="Q196" i="17"/>
  <c r="N197" i="17"/>
  <c r="V196" i="17"/>
  <c r="S197" i="17"/>
  <c r="B209" i="4"/>
  <c r="C209" i="4"/>
  <c r="D152" i="21"/>
  <c r="J152" i="21"/>
  <c r="E139" i="21"/>
  <c r="B154" i="21"/>
  <c r="C154" i="21" s="1"/>
  <c r="Q197" i="17" l="1"/>
  <c r="N198" i="17"/>
  <c r="S198" i="17"/>
  <c r="V197" i="17"/>
  <c r="I199" i="17"/>
  <c r="L198" i="17"/>
  <c r="C210" i="4"/>
  <c r="B210" i="4"/>
  <c r="D153" i="21"/>
  <c r="J153" i="21"/>
  <c r="B155" i="21"/>
  <c r="C155" i="21" s="1"/>
  <c r="E140" i="21"/>
  <c r="V198" i="17" l="1"/>
  <c r="S199" i="17"/>
  <c r="N199" i="17"/>
  <c r="Q198" i="17"/>
  <c r="L199" i="17"/>
  <c r="I200" i="17"/>
  <c r="C211" i="4"/>
  <c r="B211" i="4"/>
  <c r="D154" i="21"/>
  <c r="J154" i="21"/>
  <c r="B156" i="21"/>
  <c r="C156" i="21" s="1"/>
  <c r="E141" i="21"/>
  <c r="L200" i="17" l="1"/>
  <c r="N200" i="17"/>
  <c r="Q199" i="17"/>
  <c r="V199" i="17"/>
  <c r="S200" i="17"/>
  <c r="V200" i="17" s="1"/>
  <c r="B212" i="4"/>
  <c r="C212" i="4"/>
  <c r="D155" i="21"/>
  <c r="J155" i="21"/>
  <c r="B157" i="21"/>
  <c r="C157" i="21" s="1"/>
  <c r="E142" i="21"/>
  <c r="Q200" i="17" l="1"/>
  <c r="B213" i="4"/>
  <c r="C213" i="4"/>
  <c r="D156" i="21"/>
  <c r="J156" i="21"/>
  <c r="E143" i="21"/>
  <c r="B158" i="21"/>
  <c r="C158" i="21" s="1"/>
  <c r="C214" i="4" l="1"/>
  <c r="B214" i="4"/>
  <c r="D157" i="21"/>
  <c r="J157" i="21"/>
  <c r="E144" i="21"/>
  <c r="B159" i="21"/>
  <c r="C159" i="21" s="1"/>
  <c r="B215" i="4" l="1"/>
  <c r="C215" i="4"/>
  <c r="D158" i="21"/>
  <c r="J158" i="21"/>
  <c r="B160" i="21"/>
  <c r="C160" i="21" s="1"/>
  <c r="E145" i="21"/>
  <c r="B216" i="4" l="1"/>
  <c r="C216" i="4"/>
  <c r="D159" i="21"/>
  <c r="J159" i="21"/>
  <c r="B161" i="21"/>
  <c r="C161" i="21" s="1"/>
  <c r="E146" i="21"/>
  <c r="B217" i="4" l="1"/>
  <c r="C217" i="4"/>
  <c r="D160" i="21"/>
  <c r="J160" i="21"/>
  <c r="E147" i="21"/>
  <c r="B162" i="21"/>
  <c r="C162" i="21" s="1"/>
  <c r="B218" i="4" l="1"/>
  <c r="C218" i="4"/>
  <c r="D161" i="21"/>
  <c r="J161" i="21"/>
  <c r="E148" i="21"/>
  <c r="B163" i="21"/>
  <c r="C163" i="21" s="1"/>
  <c r="B219" i="4" l="1"/>
  <c r="C219" i="4"/>
  <c r="D162" i="21"/>
  <c r="J162" i="21"/>
  <c r="B164" i="21"/>
  <c r="C164" i="21" s="1"/>
  <c r="E149" i="21"/>
  <c r="B220" i="4" l="1"/>
  <c r="C220" i="4"/>
  <c r="D163" i="21"/>
  <c r="J163" i="21"/>
  <c r="E150" i="21"/>
  <c r="B165" i="21"/>
  <c r="C165" i="21" s="1"/>
  <c r="B221" i="4" l="1"/>
  <c r="C221" i="4"/>
  <c r="D164" i="21"/>
  <c r="J164" i="21"/>
  <c r="E151" i="21"/>
  <c r="B166" i="21"/>
  <c r="C166" i="21" s="1"/>
  <c r="B222" i="4" l="1"/>
  <c r="C222" i="4"/>
  <c r="D165" i="21"/>
  <c r="J165" i="21"/>
  <c r="E152" i="21"/>
  <c r="B167" i="21"/>
  <c r="C167" i="21" s="1"/>
  <c r="C223" i="4" l="1"/>
  <c r="B223" i="4"/>
  <c r="D166" i="21"/>
  <c r="J166" i="21"/>
  <c r="B168" i="21"/>
  <c r="C168" i="21" s="1"/>
  <c r="E153" i="21"/>
  <c r="B224" i="4" l="1"/>
  <c r="C224" i="4"/>
  <c r="D167" i="21"/>
  <c r="J167" i="21"/>
  <c r="E154" i="21"/>
  <c r="B169" i="21"/>
  <c r="C169" i="21" s="1"/>
  <c r="B225" i="4" l="1"/>
  <c r="C225" i="4"/>
  <c r="D168" i="21"/>
  <c r="J168" i="21"/>
  <c r="E155" i="21"/>
  <c r="B170" i="21"/>
  <c r="C170" i="21" s="1"/>
  <c r="C226" i="4" l="1"/>
  <c r="B226" i="4"/>
  <c r="D169" i="21"/>
  <c r="J169" i="21"/>
  <c r="B171" i="21"/>
  <c r="C171" i="21" s="1"/>
  <c r="E156" i="21"/>
  <c r="C227" i="4" l="1"/>
  <c r="B227" i="4"/>
  <c r="D170" i="21"/>
  <c r="J170" i="21"/>
  <c r="B172" i="21"/>
  <c r="C172" i="21" s="1"/>
  <c r="E157" i="21"/>
  <c r="B228" i="4" l="1"/>
  <c r="C228" i="4"/>
  <c r="D171" i="21"/>
  <c r="J171" i="21"/>
  <c r="E158" i="21"/>
  <c r="B173" i="21"/>
  <c r="B174" i="21" l="1"/>
  <c r="C173" i="21"/>
  <c r="B229" i="4"/>
  <c r="C229" i="4"/>
  <c r="D172" i="21"/>
  <c r="J172" i="21"/>
  <c r="E159" i="21"/>
  <c r="B175" i="21" l="1"/>
  <c r="C174" i="21"/>
  <c r="B230" i="4"/>
  <c r="C230" i="4"/>
  <c r="D173" i="21"/>
  <c r="J173" i="21"/>
  <c r="E160" i="21"/>
  <c r="D174" i="21" l="1"/>
  <c r="J174" i="21"/>
  <c r="B176" i="21"/>
  <c r="C175" i="21"/>
  <c r="C231" i="4"/>
  <c r="B231" i="4"/>
  <c r="E161" i="21"/>
  <c r="J175" i="21" l="1"/>
  <c r="D175" i="21"/>
  <c r="B177" i="21"/>
  <c r="C176" i="21"/>
  <c r="C232" i="4"/>
  <c r="B232" i="4"/>
  <c r="E162" i="21"/>
  <c r="D176" i="21" l="1"/>
  <c r="J176" i="21"/>
  <c r="B178" i="21"/>
  <c r="C177" i="21"/>
  <c r="B233" i="4"/>
  <c r="C233" i="4"/>
  <c r="E163" i="21"/>
  <c r="D177" i="21" l="1"/>
  <c r="J177" i="21"/>
  <c r="B179" i="21"/>
  <c r="C178" i="21"/>
  <c r="C234" i="4"/>
  <c r="B234" i="4"/>
  <c r="E164" i="21"/>
  <c r="J178" i="21" l="1"/>
  <c r="D178" i="21"/>
  <c r="B180" i="21"/>
  <c r="C179" i="21"/>
  <c r="C235" i="4"/>
  <c r="B235" i="4"/>
  <c r="E165" i="21"/>
  <c r="J179" i="21" l="1"/>
  <c r="D179" i="21"/>
  <c r="B181" i="21"/>
  <c r="C180" i="21"/>
  <c r="B236" i="4"/>
  <c r="C236" i="4"/>
  <c r="E166" i="21"/>
  <c r="J180" i="21" l="1"/>
  <c r="D180" i="21"/>
  <c r="B182" i="21"/>
  <c r="C181" i="21"/>
  <c r="C237" i="4"/>
  <c r="B237" i="4"/>
  <c r="E167" i="21"/>
  <c r="J181" i="21" l="1"/>
  <c r="D181" i="21"/>
  <c r="B183" i="21"/>
  <c r="C182" i="21"/>
  <c r="C238" i="4"/>
  <c r="B238" i="4"/>
  <c r="E168" i="21"/>
  <c r="J182" i="21" l="1"/>
  <c r="D182" i="21"/>
  <c r="B184" i="21"/>
  <c r="C183" i="21"/>
  <c r="C239" i="4"/>
  <c r="B239" i="4"/>
  <c r="E169" i="21"/>
  <c r="J183" i="21" l="1"/>
  <c r="D183" i="21"/>
  <c r="B185" i="21"/>
  <c r="C184" i="21"/>
  <c r="C240" i="4"/>
  <c r="B240" i="4"/>
  <c r="E170" i="21"/>
  <c r="D184" i="21" l="1"/>
  <c r="J184" i="21"/>
  <c r="B186" i="21"/>
  <c r="C185" i="21"/>
  <c r="B241" i="4"/>
  <c r="C241" i="4"/>
  <c r="E171" i="21"/>
  <c r="J185" i="21" l="1"/>
  <c r="D185" i="21"/>
  <c r="B187" i="21"/>
  <c r="C186" i="21"/>
  <c r="B242" i="4"/>
  <c r="C242" i="4"/>
  <c r="E172" i="21"/>
  <c r="D186" i="21" l="1"/>
  <c r="J186" i="21"/>
  <c r="B188" i="21"/>
  <c r="C187" i="21"/>
  <c r="C243" i="4"/>
  <c r="B243" i="4"/>
  <c r="E173" i="21"/>
  <c r="J187" i="21" l="1"/>
  <c r="D187" i="21"/>
  <c r="B189" i="21"/>
  <c r="C188" i="21"/>
  <c r="B244" i="4"/>
  <c r="C244" i="4"/>
  <c r="E174" i="21"/>
  <c r="D188" i="21" l="1"/>
  <c r="J188" i="21"/>
  <c r="B190" i="21"/>
  <c r="C189" i="21"/>
  <c r="C245" i="4"/>
  <c r="B245" i="4"/>
  <c r="E175" i="21"/>
  <c r="D189" i="21" l="1"/>
  <c r="J189" i="21"/>
  <c r="B191" i="21"/>
  <c r="C190" i="21"/>
  <c r="B246" i="4"/>
  <c r="C246" i="4"/>
  <c r="E176" i="21"/>
  <c r="D190" i="21" l="1"/>
  <c r="J190" i="21"/>
  <c r="B192" i="21"/>
  <c r="C191" i="21"/>
  <c r="B247" i="4"/>
  <c r="C247" i="4"/>
  <c r="E177" i="21"/>
  <c r="D191" i="21" l="1"/>
  <c r="J191" i="21"/>
  <c r="B193" i="21"/>
  <c r="C192" i="21"/>
  <c r="J192" i="21" s="1"/>
  <c r="C248" i="4"/>
  <c r="B248" i="4"/>
  <c r="E178" i="21"/>
  <c r="B194" i="21" l="1"/>
  <c r="C193" i="21"/>
  <c r="D192" i="21"/>
  <c r="C249" i="4"/>
  <c r="B249" i="4"/>
  <c r="E179" i="21"/>
  <c r="D193" i="21" l="1"/>
  <c r="J193" i="21"/>
  <c r="B195" i="21"/>
  <c r="C194" i="21"/>
  <c r="B250" i="4"/>
  <c r="C250" i="4"/>
  <c r="E180" i="21"/>
  <c r="J194" i="21" l="1"/>
  <c r="D194" i="21"/>
  <c r="B196" i="21"/>
  <c r="C195" i="21"/>
  <c r="C251" i="4"/>
  <c r="B251" i="4"/>
  <c r="E181" i="21"/>
  <c r="D195" i="21" l="1"/>
  <c r="J195" i="21"/>
  <c r="B197" i="21"/>
  <c r="C196" i="21"/>
  <c r="C252" i="4"/>
  <c r="B252" i="4"/>
  <c r="E182" i="21"/>
  <c r="D196" i="21" l="1"/>
  <c r="J196" i="21"/>
  <c r="B198" i="21"/>
  <c r="C197" i="21"/>
  <c r="C253" i="4"/>
  <c r="B253" i="4"/>
  <c r="E183" i="21"/>
  <c r="J197" i="21" l="1"/>
  <c r="D197" i="21"/>
  <c r="B199" i="21"/>
  <c r="C198" i="21"/>
  <c r="B254" i="4"/>
  <c r="C254" i="4"/>
  <c r="E184" i="21"/>
  <c r="D198" i="21" l="1"/>
  <c r="J198" i="21"/>
  <c r="B200" i="21"/>
  <c r="C199" i="21"/>
  <c r="B255" i="4"/>
  <c r="C255" i="4"/>
  <c r="E185" i="21"/>
  <c r="D199" i="21" l="1"/>
  <c r="J199" i="21"/>
  <c r="B201" i="21"/>
  <c r="C200" i="21"/>
  <c r="C256" i="4"/>
  <c r="B256" i="4"/>
  <c r="E186" i="21"/>
  <c r="D200" i="21" l="1"/>
  <c r="J200" i="21"/>
  <c r="B202" i="21"/>
  <c r="C201" i="21"/>
  <c r="C257" i="4"/>
  <c r="B257" i="4"/>
  <c r="E187" i="21"/>
  <c r="J201" i="21" l="1"/>
  <c r="D201" i="21"/>
  <c r="B203" i="21"/>
  <c r="C202" i="21"/>
  <c r="C258" i="4"/>
  <c r="B258" i="4"/>
  <c r="E188" i="21"/>
  <c r="D202" i="21" l="1"/>
  <c r="J202" i="21"/>
  <c r="B204" i="21"/>
  <c r="C203" i="21"/>
  <c r="B259" i="4"/>
  <c r="C259" i="4"/>
  <c r="E189" i="21"/>
  <c r="J203" i="21" l="1"/>
  <c r="D203" i="21"/>
  <c r="B205" i="21"/>
  <c r="C204" i="21"/>
  <c r="B260" i="4"/>
  <c r="C260" i="4"/>
  <c r="E190" i="21"/>
  <c r="J204" i="21" l="1"/>
  <c r="D204" i="21"/>
  <c r="B206" i="21"/>
  <c r="C205" i="21"/>
  <c r="C261" i="4"/>
  <c r="B261" i="4"/>
  <c r="E191" i="21"/>
  <c r="D205" i="21" l="1"/>
  <c r="J205" i="21"/>
  <c r="B207" i="21"/>
  <c r="C206" i="21"/>
  <c r="C262" i="4"/>
  <c r="B262" i="4"/>
  <c r="E192" i="21"/>
  <c r="D206" i="21" l="1"/>
  <c r="J206" i="21"/>
  <c r="B208" i="21"/>
  <c r="C207" i="21"/>
  <c r="C263" i="4"/>
  <c r="B263" i="4"/>
  <c r="E193" i="21"/>
  <c r="D207" i="21" l="1"/>
  <c r="J207" i="21"/>
  <c r="B209" i="21"/>
  <c r="C208" i="21"/>
  <c r="C264" i="4"/>
  <c r="B264" i="4"/>
  <c r="E194" i="21"/>
  <c r="J208" i="21" l="1"/>
  <c r="D208" i="21"/>
  <c r="B210" i="21"/>
  <c r="C209" i="21"/>
  <c r="C265" i="4"/>
  <c r="B265" i="4"/>
  <c r="E195" i="21"/>
  <c r="J209" i="21" l="1"/>
  <c r="D209" i="21"/>
  <c r="B211" i="21"/>
  <c r="C210" i="21"/>
  <c r="C266" i="4"/>
  <c r="B266" i="4"/>
  <c r="E196" i="21"/>
  <c r="J210" i="21" l="1"/>
  <c r="D210" i="21"/>
  <c r="B212" i="21"/>
  <c r="C211" i="21"/>
  <c r="B267" i="4"/>
  <c r="C267" i="4"/>
  <c r="E197" i="21"/>
  <c r="D211" i="21" l="1"/>
  <c r="J211" i="21"/>
  <c r="B213" i="21"/>
  <c r="C212" i="21"/>
  <c r="B268" i="4"/>
  <c r="C268" i="4"/>
  <c r="E198" i="21"/>
  <c r="D212" i="21" l="1"/>
  <c r="J212" i="21"/>
  <c r="B214" i="21"/>
  <c r="C213" i="21"/>
  <c r="C269" i="4"/>
  <c r="B269" i="4"/>
  <c r="E199" i="21"/>
  <c r="J213" i="21" l="1"/>
  <c r="D213" i="21"/>
  <c r="B215" i="21"/>
  <c r="C214" i="21"/>
  <c r="C270" i="4"/>
  <c r="B270" i="4"/>
  <c r="E200" i="21"/>
  <c r="J214" i="21" l="1"/>
  <c r="D214" i="21"/>
  <c r="B216" i="21"/>
  <c r="C215" i="21"/>
  <c r="B271" i="4"/>
  <c r="C271" i="4"/>
  <c r="E201" i="21"/>
  <c r="J215" i="21" l="1"/>
  <c r="D215" i="21"/>
  <c r="B217" i="21"/>
  <c r="C216" i="21"/>
  <c r="B272" i="4"/>
  <c r="C272" i="4"/>
  <c r="E202" i="21"/>
  <c r="J216" i="21" l="1"/>
  <c r="D216" i="21"/>
  <c r="B218" i="21"/>
  <c r="C217" i="21"/>
  <c r="C273" i="4"/>
  <c r="B273" i="4"/>
  <c r="E203" i="21"/>
  <c r="J217" i="21" l="1"/>
  <c r="D217" i="21"/>
  <c r="B219" i="21"/>
  <c r="B220" i="21" s="1"/>
  <c r="C218" i="21"/>
  <c r="B274" i="4"/>
  <c r="C274" i="4"/>
  <c r="E204" i="21"/>
  <c r="C219" i="21" l="1"/>
  <c r="C220" i="21" s="1"/>
  <c r="D218" i="21"/>
  <c r="J218" i="21"/>
  <c r="B221" i="21"/>
  <c r="C275" i="4"/>
  <c r="B275" i="4"/>
  <c r="E205" i="21"/>
  <c r="J220" i="21" l="1"/>
  <c r="D220" i="21"/>
  <c r="C221" i="21"/>
  <c r="B222" i="21"/>
  <c r="D219" i="21"/>
  <c r="J219" i="21"/>
  <c r="B276" i="4"/>
  <c r="C276" i="4"/>
  <c r="E206" i="21"/>
  <c r="C222" i="21" l="1"/>
  <c r="B223" i="21"/>
  <c r="D221" i="21"/>
  <c r="J221" i="21"/>
  <c r="C277" i="4"/>
  <c r="B277" i="4"/>
  <c r="E207" i="21"/>
  <c r="B224" i="21" l="1"/>
  <c r="C223" i="21"/>
  <c r="J222" i="21"/>
  <c r="D222" i="21"/>
  <c r="B278" i="4"/>
  <c r="C278" i="4"/>
  <c r="E208" i="21"/>
  <c r="D223" i="21" l="1"/>
  <c r="J223" i="21"/>
  <c r="C224" i="21"/>
  <c r="B225" i="21"/>
  <c r="C279" i="4"/>
  <c r="B279" i="4"/>
  <c r="E209" i="21"/>
  <c r="C225" i="21" l="1"/>
  <c r="B226" i="21"/>
  <c r="D224" i="21"/>
  <c r="J224" i="21"/>
  <c r="C280" i="4"/>
  <c r="B280" i="4"/>
  <c r="E210" i="21"/>
  <c r="B227" i="21" l="1"/>
  <c r="C226" i="21"/>
  <c r="D225" i="21"/>
  <c r="J225" i="21"/>
  <c r="B281" i="4"/>
  <c r="C281" i="4"/>
  <c r="E211" i="21"/>
  <c r="J226" i="21" l="1"/>
  <c r="D226" i="21"/>
  <c r="B228" i="21"/>
  <c r="C227" i="21"/>
  <c r="B282" i="4"/>
  <c r="C282" i="4"/>
  <c r="E212" i="21"/>
  <c r="J227" i="21" l="1"/>
  <c r="D227" i="21"/>
  <c r="B229" i="21"/>
  <c r="C228" i="21"/>
  <c r="C283" i="4"/>
  <c r="B283" i="4"/>
  <c r="E213" i="21"/>
  <c r="D228" i="21" l="1"/>
  <c r="J228" i="21"/>
  <c r="B230" i="21"/>
  <c r="C229" i="21"/>
  <c r="B284" i="4"/>
  <c r="C284" i="4"/>
  <c r="E214" i="21"/>
  <c r="J229" i="21" l="1"/>
  <c r="D229" i="21"/>
  <c r="C230" i="21"/>
  <c r="B231" i="21"/>
  <c r="C285" i="4"/>
  <c r="B285" i="4"/>
  <c r="E215" i="21"/>
  <c r="C231" i="21" l="1"/>
  <c r="B232" i="21"/>
  <c r="J230" i="21"/>
  <c r="D230" i="21"/>
  <c r="C286" i="4"/>
  <c r="B286" i="4"/>
  <c r="E216" i="21"/>
  <c r="B233" i="21" l="1"/>
  <c r="C232" i="21"/>
  <c r="J231" i="21"/>
  <c r="D231" i="21"/>
  <c r="B287" i="4"/>
  <c r="C287" i="4"/>
  <c r="E217" i="21"/>
  <c r="J232" i="21" l="1"/>
  <c r="D232" i="21"/>
  <c r="B234" i="21"/>
  <c r="C233" i="21"/>
  <c r="B288" i="4"/>
  <c r="C288" i="4"/>
  <c r="E218" i="21"/>
  <c r="D233" i="21" l="1"/>
  <c r="J233" i="21"/>
  <c r="B235" i="21"/>
  <c r="C234" i="21"/>
  <c r="B289" i="4"/>
  <c r="C289" i="4"/>
  <c r="E219" i="21"/>
  <c r="D234" i="21" l="1"/>
  <c r="J234" i="21"/>
  <c r="C235" i="21"/>
  <c r="B236" i="21"/>
  <c r="B290" i="4"/>
  <c r="C290" i="4"/>
  <c r="E220" i="21"/>
  <c r="C236" i="21" l="1"/>
  <c r="B237" i="21"/>
  <c r="D235" i="21"/>
  <c r="J235" i="21"/>
  <c r="B291" i="4"/>
  <c r="C291" i="4"/>
  <c r="E221" i="21"/>
  <c r="C237" i="21" l="1"/>
  <c r="B238" i="21"/>
  <c r="J236" i="21"/>
  <c r="D236" i="21"/>
  <c r="C292" i="4"/>
  <c r="B292" i="4"/>
  <c r="E222" i="21"/>
  <c r="B239" i="21" l="1"/>
  <c r="C238" i="21"/>
  <c r="J237" i="21"/>
  <c r="D237" i="21"/>
  <c r="F4" i="21"/>
  <c r="F3" i="21"/>
  <c r="G3" i="21" s="1"/>
  <c r="F10" i="21"/>
  <c r="F187" i="21"/>
  <c r="F209" i="21"/>
  <c r="F9" i="21"/>
  <c r="F213" i="21"/>
  <c r="F208" i="21"/>
  <c r="F15" i="21"/>
  <c r="F12" i="21"/>
  <c r="F221" i="21"/>
  <c r="F5" i="21"/>
  <c r="F179" i="21"/>
  <c r="F17" i="21"/>
  <c r="F178" i="21"/>
  <c r="F6" i="21"/>
  <c r="F219" i="21"/>
  <c r="F11" i="21"/>
  <c r="F14" i="21"/>
  <c r="F176" i="21"/>
  <c r="F175" i="21"/>
  <c r="F211" i="21"/>
  <c r="F16" i="21"/>
  <c r="F7" i="21"/>
  <c r="F210" i="21"/>
  <c r="F13" i="21"/>
  <c r="F220" i="21"/>
  <c r="F8" i="21"/>
  <c r="F177" i="21"/>
  <c r="F212" i="21"/>
  <c r="F182" i="21"/>
  <c r="F215" i="21"/>
  <c r="F180" i="21"/>
  <c r="F216" i="21"/>
  <c r="F185" i="21"/>
  <c r="F217" i="21"/>
  <c r="F184" i="21"/>
  <c r="F18" i="21"/>
  <c r="F214" i="21"/>
  <c r="F188" i="21"/>
  <c r="F218" i="21"/>
  <c r="F174" i="21"/>
  <c r="F186" i="21"/>
  <c r="F183" i="21"/>
  <c r="F181" i="21"/>
  <c r="F222" i="21"/>
  <c r="F20" i="21"/>
  <c r="F19" i="21"/>
  <c r="F225" i="21"/>
  <c r="F189" i="21"/>
  <c r="F190" i="21"/>
  <c r="F223" i="21"/>
  <c r="F224" i="21"/>
  <c r="F191" i="21"/>
  <c r="F227" i="21"/>
  <c r="F226" i="21"/>
  <c r="F192" i="21"/>
  <c r="F21" i="21"/>
  <c r="F22" i="21"/>
  <c r="F193" i="21"/>
  <c r="F194" i="21"/>
  <c r="F23" i="21"/>
  <c r="F228" i="21"/>
  <c r="F24" i="21"/>
  <c r="F195" i="21"/>
  <c r="F229" i="21"/>
  <c r="F196" i="21"/>
  <c r="F25" i="21"/>
  <c r="F230" i="21"/>
  <c r="F197" i="21"/>
  <c r="F26" i="21"/>
  <c r="F231" i="21"/>
  <c r="F232" i="21"/>
  <c r="F27" i="21"/>
  <c r="F198" i="21"/>
  <c r="F199" i="21"/>
  <c r="F28" i="21"/>
  <c r="F233" i="21"/>
  <c r="F29" i="21"/>
  <c r="F200" i="21"/>
  <c r="F234" i="21"/>
  <c r="F235" i="21"/>
  <c r="F201" i="21"/>
  <c r="F30" i="21"/>
  <c r="F202" i="21"/>
  <c r="F31" i="21"/>
  <c r="F236" i="21"/>
  <c r="F203" i="21"/>
  <c r="F32" i="21"/>
  <c r="F237" i="21"/>
  <c r="F204" i="21"/>
  <c r="F33" i="21"/>
  <c r="F34" i="21"/>
  <c r="F238" i="21"/>
  <c r="F205" i="21"/>
  <c r="F239" i="21"/>
  <c r="F206" i="21"/>
  <c r="F35" i="21"/>
  <c r="F36" i="21"/>
  <c r="F207" i="21"/>
  <c r="F38" i="21"/>
  <c r="F37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3" i="21"/>
  <c r="F82" i="21"/>
  <c r="F85" i="21"/>
  <c r="F84" i="21"/>
  <c r="F91" i="21"/>
  <c r="F86" i="21"/>
  <c r="F89" i="21"/>
  <c r="F87" i="21"/>
  <c r="F90" i="21"/>
  <c r="F88" i="21"/>
  <c r="F93" i="21"/>
  <c r="F92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3" i="21"/>
  <c r="F122" i="21"/>
  <c r="F124" i="21"/>
  <c r="F125" i="21"/>
  <c r="F127" i="21"/>
  <c r="F126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B293" i="4"/>
  <c r="C293" i="4"/>
  <c r="E223" i="21"/>
  <c r="C239" i="21" l="1"/>
  <c r="D238" i="21"/>
  <c r="J238" i="21"/>
  <c r="D239" i="21"/>
  <c r="J239" i="21"/>
  <c r="H3" i="21"/>
  <c r="G4" i="21"/>
  <c r="K3" i="21"/>
  <c r="C294" i="4"/>
  <c r="B294" i="4"/>
  <c r="E224" i="21"/>
  <c r="G5" i="21" l="1"/>
  <c r="H4" i="21"/>
  <c r="K4" i="21"/>
  <c r="B295" i="4"/>
  <c r="C295" i="4"/>
  <c r="E225" i="21"/>
  <c r="B296" i="4" l="1"/>
  <c r="C296" i="4"/>
  <c r="G6" i="21"/>
  <c r="K5" i="21"/>
  <c r="H5" i="21"/>
  <c r="E226" i="21"/>
  <c r="G7" i="21" l="1"/>
  <c r="K6" i="21"/>
  <c r="H6" i="21"/>
  <c r="B297" i="4"/>
  <c r="C297" i="4"/>
  <c r="E227" i="21"/>
  <c r="B298" i="4" l="1"/>
  <c r="C298" i="4"/>
  <c r="G8" i="21"/>
  <c r="K7" i="21"/>
  <c r="H7" i="21"/>
  <c r="E228" i="21"/>
  <c r="G9" i="21" l="1"/>
  <c r="K8" i="21"/>
  <c r="H8" i="21"/>
  <c r="B299" i="4"/>
  <c r="C299" i="4"/>
  <c r="E229" i="21"/>
  <c r="B300" i="4" l="1"/>
  <c r="C300" i="4"/>
  <c r="G10" i="21"/>
  <c r="K9" i="21"/>
  <c r="H9" i="21"/>
  <c r="E230" i="21"/>
  <c r="G11" i="21" l="1"/>
  <c r="K10" i="21"/>
  <c r="H10" i="21"/>
  <c r="B301" i="4"/>
  <c r="C301" i="4"/>
  <c r="E231" i="21"/>
  <c r="B302" i="4" l="1"/>
  <c r="C302" i="4"/>
  <c r="G12" i="21"/>
  <c r="K11" i="21"/>
  <c r="H11" i="21"/>
  <c r="E232" i="21"/>
  <c r="G13" i="21" l="1"/>
  <c r="K12" i="21"/>
  <c r="H12" i="21"/>
  <c r="B303" i="4"/>
  <c r="C303" i="4"/>
  <c r="E233" i="21"/>
  <c r="B304" i="4" l="1"/>
  <c r="C304" i="4"/>
  <c r="G14" i="21"/>
  <c r="K13" i="21"/>
  <c r="H13" i="21"/>
  <c r="E234" i="21"/>
  <c r="G15" i="21" l="1"/>
  <c r="K14" i="21"/>
  <c r="H14" i="21"/>
  <c r="C306" i="4"/>
  <c r="B305" i="4"/>
  <c r="C305" i="4"/>
  <c r="E235" i="21"/>
  <c r="C307" i="4" l="1"/>
  <c r="B306" i="4"/>
  <c r="G16" i="21"/>
  <c r="K15" i="21"/>
  <c r="H15" i="21"/>
  <c r="E236" i="21"/>
  <c r="G17" i="21" l="1"/>
  <c r="K16" i="21"/>
  <c r="H16" i="21"/>
  <c r="B307" i="4"/>
  <c r="E237" i="21"/>
  <c r="G18" i="21" l="1"/>
  <c r="K17" i="21"/>
  <c r="H17" i="21"/>
  <c r="E238" i="21"/>
  <c r="K18" i="21" l="1"/>
  <c r="G19" i="21"/>
  <c r="H18" i="21"/>
  <c r="E239" i="21"/>
  <c r="K19" i="21" l="1"/>
  <c r="H19" i="21"/>
  <c r="G20" i="21"/>
  <c r="K20" i="21" l="1"/>
  <c r="H20" i="21"/>
  <c r="G21" i="21"/>
  <c r="J49" i="17" l="1"/>
  <c r="O86" i="17"/>
  <c r="J86" i="17"/>
  <c r="T21" i="17"/>
  <c r="T35" i="17"/>
  <c r="J21" i="17"/>
  <c r="J32" i="17"/>
  <c r="O26" i="17"/>
  <c r="O32" i="17"/>
  <c r="J44" i="17"/>
  <c r="J35" i="17"/>
  <c r="T17" i="17"/>
  <c r="T32" i="17"/>
  <c r="J15" i="17"/>
  <c r="K15" i="17" s="1"/>
  <c r="L15" i="17" s="1"/>
  <c r="O20" i="17"/>
  <c r="O30" i="17"/>
  <c r="O22" i="17"/>
  <c r="J36" i="17"/>
  <c r="O46" i="17"/>
  <c r="T30" i="17"/>
  <c r="T37" i="17"/>
  <c r="O28" i="17"/>
  <c r="J46" i="17"/>
  <c r="O34" i="17"/>
  <c r="O56" i="17"/>
  <c r="T23" i="17"/>
  <c r="O53" i="17"/>
  <c r="O18" i="17"/>
  <c r="J24" i="17"/>
  <c r="O50" i="17"/>
  <c r="J61" i="17"/>
  <c r="J66" i="17"/>
  <c r="O65" i="17"/>
  <c r="J72" i="17"/>
  <c r="J77" i="17"/>
  <c r="J80" i="17"/>
  <c r="O85" i="17"/>
  <c r="T22" i="17"/>
  <c r="T39" i="17"/>
  <c r="O49" i="17"/>
  <c r="O55" i="17"/>
  <c r="O59" i="17"/>
  <c r="T25" i="17"/>
  <c r="T36" i="17"/>
  <c r="O45" i="17"/>
  <c r="O35" i="17"/>
  <c r="J31" i="17"/>
  <c r="O47" i="17"/>
  <c r="T19" i="17"/>
  <c r="J18" i="17"/>
  <c r="J37" i="17"/>
  <c r="J19" i="17"/>
  <c r="O40" i="17"/>
  <c r="J25" i="17"/>
  <c r="T28" i="17"/>
  <c r="O37" i="17"/>
  <c r="J58" i="17"/>
  <c r="O27" i="17"/>
  <c r="O31" i="17"/>
  <c r="J63" i="17"/>
  <c r="O66" i="17"/>
  <c r="J70" i="17"/>
  <c r="T27" i="17"/>
  <c r="O33" i="17"/>
  <c r="O29" i="17"/>
  <c r="T26" i="17"/>
  <c r="O17" i="17"/>
  <c r="J50" i="17"/>
  <c r="O16" i="17"/>
  <c r="O38" i="17"/>
  <c r="T24" i="17"/>
  <c r="J48" i="17"/>
  <c r="J45" i="17"/>
  <c r="O23" i="17"/>
  <c r="J26" i="17"/>
  <c r="T16" i="17"/>
  <c r="T34" i="17"/>
  <c r="O15" i="17"/>
  <c r="P15" i="17" s="1"/>
  <c r="Q15" i="17" s="1"/>
  <c r="J30" i="17"/>
  <c r="J29" i="17"/>
  <c r="J67" i="17"/>
  <c r="J68" i="17"/>
  <c r="O62" i="17"/>
  <c r="T31" i="17"/>
  <c r="J16" i="17"/>
  <c r="J33" i="17"/>
  <c r="T15" i="17"/>
  <c r="U15" i="17" s="1"/>
  <c r="V15" i="17" s="1"/>
  <c r="J17" i="17"/>
  <c r="T33" i="17"/>
  <c r="O24" i="17"/>
  <c r="O39" i="17"/>
  <c r="T38" i="17"/>
  <c r="J27" i="17"/>
  <c r="J52" i="17"/>
  <c r="J65" i="17"/>
  <c r="J73" i="17"/>
  <c r="O82" i="17"/>
  <c r="O19" i="17"/>
  <c r="O25" i="17"/>
  <c r="J56" i="17"/>
  <c r="J28" i="17"/>
  <c r="J82" i="17"/>
  <c r="O21" i="17"/>
  <c r="J20" i="17"/>
  <c r="F15" i="17"/>
  <c r="G15" i="17" s="1"/>
  <c r="J39" i="17"/>
  <c r="J22" i="17"/>
  <c r="J59" i="17"/>
  <c r="J23" i="17"/>
  <c r="O36" i="17"/>
  <c r="O76" i="17"/>
  <c r="J75" i="17"/>
  <c r="J83" i="17"/>
  <c r="J87" i="17"/>
  <c r="T29" i="17"/>
  <c r="J38" i="17"/>
  <c r="O48" i="17"/>
  <c r="J34" i="17"/>
  <c r="O44" i="17"/>
  <c r="T20" i="17"/>
  <c r="O41" i="17"/>
  <c r="T18" i="17"/>
  <c r="J57" i="17"/>
  <c r="O79" i="17"/>
  <c r="J84" i="17"/>
  <c r="O88" i="17"/>
  <c r="J88" i="17"/>
  <c r="J89" i="17"/>
  <c r="J90" i="17"/>
  <c r="O90" i="17"/>
  <c r="O92" i="17"/>
  <c r="J92" i="17"/>
  <c r="J94" i="17"/>
  <c r="O94" i="17"/>
  <c r="J95" i="17"/>
  <c r="O96" i="17"/>
  <c r="J96" i="17"/>
  <c r="O98" i="17"/>
  <c r="J98" i="17"/>
  <c r="O99" i="17"/>
  <c r="O100" i="17"/>
  <c r="J100" i="17"/>
  <c r="O101" i="17"/>
  <c r="O102" i="17"/>
  <c r="J102" i="17"/>
  <c r="O104" i="17"/>
  <c r="J104" i="17"/>
  <c r="J105" i="17"/>
  <c r="O106" i="17"/>
  <c r="O107" i="17"/>
  <c r="O108" i="17"/>
  <c r="J110" i="17"/>
  <c r="O111" i="17"/>
  <c r="J112" i="17"/>
  <c r="O112" i="17"/>
  <c r="O114" i="17"/>
  <c r="O115" i="17"/>
  <c r="O116" i="17"/>
  <c r="J116" i="17"/>
  <c r="O117" i="17"/>
  <c r="O118" i="17"/>
  <c r="J119" i="17"/>
  <c r="O120" i="17"/>
  <c r="J121" i="17"/>
  <c r="K21" i="21"/>
  <c r="H21" i="21"/>
  <c r="G22" i="21"/>
  <c r="O121" i="17" l="1"/>
  <c r="J118" i="17"/>
  <c r="J114" i="17"/>
  <c r="O113" i="17"/>
  <c r="O110" i="17"/>
  <c r="O109" i="17"/>
  <c r="J106" i="17"/>
  <c r="O105" i="17"/>
  <c r="O103" i="17"/>
  <c r="J101" i="17"/>
  <c r="O97" i="17"/>
  <c r="O95" i="17"/>
  <c r="J93" i="17"/>
  <c r="J91" i="17"/>
  <c r="O89" i="17"/>
  <c r="O87" i="17"/>
  <c r="O78" i="17"/>
  <c r="O84" i="17"/>
  <c r="O61" i="17"/>
  <c r="J55" i="17"/>
  <c r="O77" i="17"/>
  <c r="O80" i="17"/>
  <c r="J47" i="17"/>
  <c r="O81" i="17"/>
  <c r="O68" i="17"/>
  <c r="O75" i="17"/>
  <c r="J76" i="17"/>
  <c r="J64" i="17"/>
  <c r="O52" i="17"/>
  <c r="J42" i="17"/>
  <c r="J51" i="17"/>
  <c r="O54" i="17"/>
  <c r="J54" i="17"/>
  <c r="O73" i="17"/>
  <c r="O70" i="17"/>
  <c r="O64" i="17"/>
  <c r="O58" i="17"/>
  <c r="O43" i="17"/>
  <c r="J81" i="17"/>
  <c r="J78" i="17"/>
  <c r="J71" i="17"/>
  <c r="O60" i="17"/>
  <c r="J41" i="17"/>
  <c r="J53" i="17"/>
  <c r="J120" i="17"/>
  <c r="O119" i="17"/>
  <c r="J117" i="17"/>
  <c r="J115" i="17"/>
  <c r="J113" i="17"/>
  <c r="J111" i="17"/>
  <c r="J109" i="17"/>
  <c r="J108" i="17"/>
  <c r="J107" i="17"/>
  <c r="J103" i="17"/>
  <c r="J99" i="17"/>
  <c r="J97" i="17"/>
  <c r="O93" i="17"/>
  <c r="O91" i="17"/>
  <c r="O69" i="17"/>
  <c r="J85" i="17"/>
  <c r="J69" i="17"/>
  <c r="O74" i="17"/>
  <c r="O71" i="17"/>
  <c r="J60" i="17"/>
  <c r="O57" i="17"/>
  <c r="J74" i="17"/>
  <c r="O67" i="17"/>
  <c r="J62" i="17"/>
  <c r="O51" i="17"/>
  <c r="O42" i="17"/>
  <c r="O83" i="17"/>
  <c r="J79" i="17"/>
  <c r="O72" i="17"/>
  <c r="O63" i="17"/>
  <c r="J40" i="17"/>
  <c r="J43" i="17"/>
  <c r="F16" i="17"/>
  <c r="G16" i="17" s="1"/>
  <c r="T40" i="17"/>
  <c r="U16" i="17"/>
  <c r="V16" i="17" s="1"/>
  <c r="K22" i="21"/>
  <c r="H22" i="21"/>
  <c r="G23" i="21"/>
  <c r="K16" i="17"/>
  <c r="L16" i="17" s="1"/>
  <c r="P16" i="17"/>
  <c r="Q16" i="17" s="1"/>
  <c r="K17" i="17" l="1"/>
  <c r="K18" i="17" s="1"/>
  <c r="K19" i="17" s="1"/>
  <c r="K20" i="17" s="1"/>
  <c r="K21" i="17" s="1"/>
  <c r="K22" i="17" s="1"/>
  <c r="K23" i="17" s="1"/>
  <c r="K24" i="17" s="1"/>
  <c r="K25" i="17" s="1"/>
  <c r="K26" i="17" s="1"/>
  <c r="F17" i="17"/>
  <c r="G17" i="17" s="1"/>
  <c r="U17" i="17"/>
  <c r="V17" i="17" s="1"/>
  <c r="T84" i="17"/>
  <c r="T77" i="17"/>
  <c r="T62" i="17"/>
  <c r="T67" i="17"/>
  <c r="T70" i="17"/>
  <c r="T59" i="17"/>
  <c r="T56" i="17"/>
  <c r="T61" i="17"/>
  <c r="T75" i="17"/>
  <c r="T87" i="17"/>
  <c r="T47" i="17"/>
  <c r="T81" i="17"/>
  <c r="T85" i="17"/>
  <c r="T91" i="17"/>
  <c r="T92" i="17"/>
  <c r="T42" i="17"/>
  <c r="T65" i="17"/>
  <c r="T66" i="17"/>
  <c r="T71" i="17"/>
  <c r="T78" i="17"/>
  <c r="T54" i="17"/>
  <c r="T88" i="17"/>
  <c r="T89" i="17"/>
  <c r="T93" i="17"/>
  <c r="T97" i="17"/>
  <c r="T98" i="17"/>
  <c r="T51" i="17"/>
  <c r="T48" i="17"/>
  <c r="T53" i="17"/>
  <c r="T58" i="17"/>
  <c r="T76" i="17"/>
  <c r="T41" i="17"/>
  <c r="T46" i="17"/>
  <c r="T74" i="17"/>
  <c r="T82" i="17"/>
  <c r="T49" i="17"/>
  <c r="T83" i="17"/>
  <c r="T80" i="17"/>
  <c r="T73" i="17"/>
  <c r="T79" i="17"/>
  <c r="T69" i="17"/>
  <c r="T96" i="17"/>
  <c r="T101" i="17"/>
  <c r="T105" i="17"/>
  <c r="T109" i="17"/>
  <c r="T117" i="17"/>
  <c r="T86" i="17"/>
  <c r="T63" i="17"/>
  <c r="T68" i="17"/>
  <c r="T55" i="17"/>
  <c r="T52" i="17"/>
  <c r="T57" i="17"/>
  <c r="T45" i="17"/>
  <c r="T72" i="17"/>
  <c r="T94" i="17"/>
  <c r="T99" i="17"/>
  <c r="T102" i="17"/>
  <c r="T120" i="17"/>
  <c r="T121" i="17"/>
  <c r="T90" i="17"/>
  <c r="T100" i="17"/>
  <c r="T103" i="17"/>
  <c r="T115" i="17"/>
  <c r="T50" i="17"/>
  <c r="T106" i="17"/>
  <c r="T107" i="17"/>
  <c r="T112" i="17"/>
  <c r="T118" i="17"/>
  <c r="T43" i="17"/>
  <c r="T44" i="17"/>
  <c r="T60" i="17"/>
  <c r="T64" i="17"/>
  <c r="T113" i="17"/>
  <c r="T116" i="17"/>
  <c r="T95" i="17"/>
  <c r="T108" i="17"/>
  <c r="T110" i="17"/>
  <c r="T111" i="17"/>
  <c r="T104" i="17"/>
  <c r="T114" i="17"/>
  <c r="T119" i="17"/>
  <c r="K23" i="21"/>
  <c r="H23" i="21"/>
  <c r="G24" i="21"/>
  <c r="P17" i="17"/>
  <c r="Q17" i="17" s="1"/>
  <c r="I6" i="17" l="1"/>
  <c r="K27" i="17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L63" i="17"/>
  <c r="K64" i="17"/>
  <c r="L17" i="17"/>
  <c r="F18" i="17"/>
  <c r="G18" i="17" s="1"/>
  <c r="U18" i="17"/>
  <c r="V18" i="17" s="1"/>
  <c r="L18" i="17"/>
  <c r="P18" i="17"/>
  <c r="Q18" i="17" s="1"/>
  <c r="K24" i="21"/>
  <c r="H24" i="21"/>
  <c r="G25" i="21"/>
  <c r="L64" i="17" l="1"/>
  <c r="K65" i="17"/>
  <c r="U19" i="17"/>
  <c r="L19" i="17"/>
  <c r="K25" i="21"/>
  <c r="H25" i="21"/>
  <c r="G26" i="21"/>
  <c r="P19" i="17"/>
  <c r="Q19" i="17" s="1"/>
  <c r="L65" i="17" l="1"/>
  <c r="K66" i="17"/>
  <c r="U20" i="17"/>
  <c r="V20" i="17" s="1"/>
  <c r="V19" i="17"/>
  <c r="L20" i="17"/>
  <c r="K26" i="21"/>
  <c r="H26" i="21"/>
  <c r="G27" i="21"/>
  <c r="P20" i="17"/>
  <c r="Q20" i="17" s="1"/>
  <c r="L66" i="17" l="1"/>
  <c r="K67" i="17"/>
  <c r="U21" i="17"/>
  <c r="V21" i="17" s="1"/>
  <c r="L21" i="17"/>
  <c r="K27" i="21"/>
  <c r="H27" i="21"/>
  <c r="G28" i="21"/>
  <c r="P21" i="17"/>
  <c r="Q21" i="17" s="1"/>
  <c r="L67" i="17" l="1"/>
  <c r="K68" i="17"/>
  <c r="U22" i="17"/>
  <c r="V22" i="17" s="1"/>
  <c r="L22" i="17"/>
  <c r="P22" i="17"/>
  <c r="Q22" i="17" s="1"/>
  <c r="K28" i="21"/>
  <c r="H28" i="21"/>
  <c r="G29" i="21"/>
  <c r="L68" i="17" l="1"/>
  <c r="K69" i="17"/>
  <c r="U23" i="17"/>
  <c r="V23" i="17" s="1"/>
  <c r="L23" i="17"/>
  <c r="P23" i="17"/>
  <c r="Q23" i="17" s="1"/>
  <c r="K29" i="21"/>
  <c r="H29" i="21"/>
  <c r="G30" i="21"/>
  <c r="L69" i="17" l="1"/>
  <c r="K70" i="17"/>
  <c r="U24" i="17"/>
  <c r="V24" i="17" s="1"/>
  <c r="L24" i="17"/>
  <c r="P24" i="17"/>
  <c r="Q24" i="17" s="1"/>
  <c r="K30" i="21"/>
  <c r="H30" i="21"/>
  <c r="G31" i="21"/>
  <c r="L70" i="17" l="1"/>
  <c r="K71" i="17"/>
  <c r="U25" i="17"/>
  <c r="V25" i="17" s="1"/>
  <c r="L25" i="17"/>
  <c r="P25" i="17"/>
  <c r="Q25" i="17" s="1"/>
  <c r="K31" i="21"/>
  <c r="H31" i="21"/>
  <c r="G32" i="21"/>
  <c r="L71" i="17" l="1"/>
  <c r="K72" i="17"/>
  <c r="U26" i="17"/>
  <c r="L26" i="17"/>
  <c r="P26" i="17"/>
  <c r="K32" i="21"/>
  <c r="H32" i="21"/>
  <c r="G33" i="21"/>
  <c r="Q26" i="17" l="1"/>
  <c r="V26" i="17"/>
  <c r="L72" i="17"/>
  <c r="K73" i="17"/>
  <c r="U27" i="17"/>
  <c r="V27" i="17" s="1"/>
  <c r="L27" i="17"/>
  <c r="P27" i="17"/>
  <c r="Q27" i="17" s="1"/>
  <c r="K33" i="21"/>
  <c r="H33" i="21"/>
  <c r="G34" i="21"/>
  <c r="L73" i="17" l="1"/>
  <c r="K74" i="17"/>
  <c r="U28" i="17"/>
  <c r="F29" i="17"/>
  <c r="G29" i="17" s="1"/>
  <c r="P28" i="17"/>
  <c r="K34" i="21"/>
  <c r="H34" i="21"/>
  <c r="G35" i="21"/>
  <c r="Q28" i="17" l="1"/>
  <c r="N6" i="17"/>
  <c r="V28" i="17"/>
  <c r="S6" i="17"/>
  <c r="L74" i="17"/>
  <c r="K75" i="17"/>
  <c r="U29" i="17"/>
  <c r="V29" i="17" s="1"/>
  <c r="F30" i="17"/>
  <c r="G30" i="17" s="1"/>
  <c r="L29" i="17"/>
  <c r="L28" i="17"/>
  <c r="U30" i="17"/>
  <c r="V30" i="17" s="1"/>
  <c r="P29" i="17"/>
  <c r="Q29" i="17" s="1"/>
  <c r="K35" i="21"/>
  <c r="H35" i="21"/>
  <c r="G36" i="21"/>
  <c r="L75" i="17" l="1"/>
  <c r="K76" i="17"/>
  <c r="F31" i="17"/>
  <c r="G31" i="17" s="1"/>
  <c r="L30" i="17"/>
  <c r="U31" i="17"/>
  <c r="V31" i="17" s="1"/>
  <c r="P30" i="17"/>
  <c r="Q30" i="17" s="1"/>
  <c r="K36" i="21"/>
  <c r="H36" i="21"/>
  <c r="G37" i="21"/>
  <c r="L76" i="17" l="1"/>
  <c r="K77" i="17"/>
  <c r="L31" i="17"/>
  <c r="F32" i="17"/>
  <c r="G32" i="17" s="1"/>
  <c r="P31" i="17"/>
  <c r="Q31" i="17" s="1"/>
  <c r="U32" i="17"/>
  <c r="V32" i="17" s="1"/>
  <c r="K37" i="21"/>
  <c r="H37" i="21"/>
  <c r="G38" i="21"/>
  <c r="L77" i="17" l="1"/>
  <c r="K78" i="17"/>
  <c r="L32" i="17"/>
  <c r="F33" i="17"/>
  <c r="G33" i="17" s="1"/>
  <c r="U33" i="17"/>
  <c r="V33" i="17" s="1"/>
  <c r="P32" i="17"/>
  <c r="Q32" i="17" s="1"/>
  <c r="K38" i="21"/>
  <c r="H38" i="21"/>
  <c r="G39" i="21"/>
  <c r="L78" i="17" l="1"/>
  <c r="K79" i="17"/>
  <c r="L33" i="17"/>
  <c r="F34" i="17"/>
  <c r="G34" i="17" s="1"/>
  <c r="P33" i="17"/>
  <c r="Q33" i="17" s="1"/>
  <c r="U34" i="17"/>
  <c r="V34" i="17" s="1"/>
  <c r="K39" i="21"/>
  <c r="H39" i="21"/>
  <c r="G40" i="21"/>
  <c r="L79" i="17" l="1"/>
  <c r="K80" i="17"/>
  <c r="L34" i="17"/>
  <c r="F35" i="17"/>
  <c r="G35" i="17" s="1"/>
  <c r="P34" i="17"/>
  <c r="Q34" i="17" s="1"/>
  <c r="U35" i="17"/>
  <c r="V35" i="17" s="1"/>
  <c r="K40" i="21"/>
  <c r="H40" i="21"/>
  <c r="G41" i="21"/>
  <c r="L80" i="17" l="1"/>
  <c r="K81" i="17"/>
  <c r="L35" i="17"/>
  <c r="F36" i="17"/>
  <c r="G36" i="17" s="1"/>
  <c r="P35" i="17"/>
  <c r="Q35" i="17" s="1"/>
  <c r="U36" i="17"/>
  <c r="V36" i="17" s="1"/>
  <c r="K41" i="21"/>
  <c r="H41" i="21"/>
  <c r="G42" i="21"/>
  <c r="L81" i="17" l="1"/>
  <c r="K82" i="17"/>
  <c r="L36" i="17"/>
  <c r="F37" i="17"/>
  <c r="G37" i="17" s="1"/>
  <c r="U37" i="17"/>
  <c r="V37" i="17" s="1"/>
  <c r="P36" i="17"/>
  <c r="Q36" i="17" s="1"/>
  <c r="K42" i="21"/>
  <c r="H42" i="21"/>
  <c r="G43" i="21"/>
  <c r="L82" i="17" l="1"/>
  <c r="K83" i="17"/>
  <c r="F38" i="17"/>
  <c r="G38" i="17" s="1"/>
  <c r="L37" i="17"/>
  <c r="K43" i="21"/>
  <c r="H43" i="21"/>
  <c r="G44" i="21"/>
  <c r="P37" i="17"/>
  <c r="Q37" i="17" s="1"/>
  <c r="U38" i="17"/>
  <c r="V38" i="17" s="1"/>
  <c r="L83" i="17" l="1"/>
  <c r="K84" i="17"/>
  <c r="L38" i="17"/>
  <c r="F39" i="17"/>
  <c r="G39" i="17" s="1"/>
  <c r="U39" i="17"/>
  <c r="V39" i="17" s="1"/>
  <c r="K44" i="21"/>
  <c r="H44" i="21"/>
  <c r="G45" i="21"/>
  <c r="L39" i="17"/>
  <c r="P38" i="17"/>
  <c r="Q38" i="17" s="1"/>
  <c r="L84" i="17" l="1"/>
  <c r="K85" i="17"/>
  <c r="F40" i="17"/>
  <c r="G40" i="17" s="1"/>
  <c r="L40" i="17"/>
  <c r="U40" i="17"/>
  <c r="V40" i="17" s="1"/>
  <c r="P39" i="17"/>
  <c r="Q39" i="17" s="1"/>
  <c r="K45" i="21"/>
  <c r="H45" i="21"/>
  <c r="G46" i="21"/>
  <c r="L85" i="17" l="1"/>
  <c r="K86" i="17"/>
  <c r="F41" i="17"/>
  <c r="G41" i="17" s="1"/>
  <c r="P40" i="17"/>
  <c r="Q40" i="17" s="1"/>
  <c r="U41" i="17"/>
  <c r="V41" i="17" s="1"/>
  <c r="L41" i="17"/>
  <c r="K46" i="21"/>
  <c r="H46" i="21"/>
  <c r="G47" i="21"/>
  <c r="L86" i="17" l="1"/>
  <c r="K87" i="17"/>
  <c r="F42" i="17"/>
  <c r="G42" i="17" s="1"/>
  <c r="K47" i="21"/>
  <c r="H47" i="21"/>
  <c r="G48" i="21"/>
  <c r="P41" i="17"/>
  <c r="Q41" i="17" s="1"/>
  <c r="L42" i="17"/>
  <c r="U42" i="17"/>
  <c r="V42" i="17" s="1"/>
  <c r="L87" i="17" l="1"/>
  <c r="K88" i="17"/>
  <c r="F43" i="17"/>
  <c r="G43" i="17" s="1"/>
  <c r="L43" i="17"/>
  <c r="K48" i="21"/>
  <c r="H48" i="21"/>
  <c r="G49" i="21"/>
  <c r="U43" i="17"/>
  <c r="V43" i="17" s="1"/>
  <c r="P42" i="17"/>
  <c r="Q42" i="17" s="1"/>
  <c r="L88" i="17" l="1"/>
  <c r="K89" i="17"/>
  <c r="F44" i="17"/>
  <c r="G44" i="17" s="1"/>
  <c r="U44" i="17"/>
  <c r="V44" i="17" s="1"/>
  <c r="L44" i="17"/>
  <c r="P43" i="17"/>
  <c r="Q43" i="17" s="1"/>
  <c r="K49" i="21"/>
  <c r="H49" i="21"/>
  <c r="G50" i="21"/>
  <c r="L89" i="17" l="1"/>
  <c r="K90" i="17"/>
  <c r="F45" i="17"/>
  <c r="G45" i="17" s="1"/>
  <c r="L45" i="17"/>
  <c r="U45" i="17"/>
  <c r="V45" i="17" s="1"/>
  <c r="P44" i="17"/>
  <c r="Q44" i="17" s="1"/>
  <c r="K50" i="21"/>
  <c r="H50" i="21"/>
  <c r="G51" i="21"/>
  <c r="L90" i="17" l="1"/>
  <c r="K91" i="17"/>
  <c r="F46" i="17"/>
  <c r="G46" i="17" s="1"/>
  <c r="U46" i="17"/>
  <c r="V46" i="17" s="1"/>
  <c r="P45" i="17"/>
  <c r="Q45" i="17" s="1"/>
  <c r="L46" i="17"/>
  <c r="K51" i="21"/>
  <c r="H51" i="21"/>
  <c r="G52" i="21"/>
  <c r="L91" i="17" l="1"/>
  <c r="K92" i="17"/>
  <c r="F47" i="17"/>
  <c r="G47" i="17" s="1"/>
  <c r="U47" i="17"/>
  <c r="V47" i="17" s="1"/>
  <c r="P46" i="17"/>
  <c r="Q46" i="17" s="1"/>
  <c r="L47" i="17"/>
  <c r="K52" i="21"/>
  <c r="H52" i="21"/>
  <c r="G53" i="21"/>
  <c r="L92" i="17" l="1"/>
  <c r="K93" i="17"/>
  <c r="F48" i="17"/>
  <c r="G48" i="17" s="1"/>
  <c r="K53" i="21"/>
  <c r="H53" i="21"/>
  <c r="G54" i="21"/>
  <c r="U48" i="17"/>
  <c r="V48" i="17" s="1"/>
  <c r="L48" i="17"/>
  <c r="P47" i="17"/>
  <c r="Q47" i="17" s="1"/>
  <c r="L93" i="17" l="1"/>
  <c r="K94" i="17"/>
  <c r="F49" i="17"/>
  <c r="G49" i="17" s="1"/>
  <c r="K54" i="21"/>
  <c r="H54" i="21"/>
  <c r="G55" i="21"/>
  <c r="U49" i="17"/>
  <c r="V49" i="17" s="1"/>
  <c r="P48" i="17"/>
  <c r="Q48" i="17" s="1"/>
  <c r="L49" i="17"/>
  <c r="L94" i="17" l="1"/>
  <c r="K95" i="17"/>
  <c r="F50" i="17"/>
  <c r="G50" i="17" s="1"/>
  <c r="K55" i="21"/>
  <c r="H55" i="21"/>
  <c r="G56" i="21"/>
  <c r="P49" i="17"/>
  <c r="Q49" i="17" s="1"/>
  <c r="L50" i="17"/>
  <c r="U50" i="17"/>
  <c r="V50" i="17" s="1"/>
  <c r="L95" i="17" l="1"/>
  <c r="K96" i="17"/>
  <c r="F51" i="17"/>
  <c r="G51" i="17" s="1"/>
  <c r="K56" i="21"/>
  <c r="H56" i="21"/>
  <c r="G57" i="21"/>
  <c r="P50" i="17"/>
  <c r="Q50" i="17" s="1"/>
  <c r="U51" i="17"/>
  <c r="V51" i="17" s="1"/>
  <c r="L51" i="17"/>
  <c r="L96" i="17" l="1"/>
  <c r="K97" i="17"/>
  <c r="F52" i="17"/>
  <c r="G52" i="17" s="1"/>
  <c r="L52" i="17"/>
  <c r="K57" i="21"/>
  <c r="H57" i="21"/>
  <c r="G58" i="21"/>
  <c r="U52" i="17"/>
  <c r="V52" i="17" s="1"/>
  <c r="P51" i="17"/>
  <c r="Q51" i="17" s="1"/>
  <c r="L97" i="17" l="1"/>
  <c r="K98" i="17"/>
  <c r="F53" i="17"/>
  <c r="G53" i="17" s="1"/>
  <c r="U53" i="17"/>
  <c r="V53" i="17" s="1"/>
  <c r="L53" i="17"/>
  <c r="P52" i="17"/>
  <c r="Q52" i="17" s="1"/>
  <c r="K58" i="21"/>
  <c r="H58" i="21"/>
  <c r="G59" i="21"/>
  <c r="L98" i="17" l="1"/>
  <c r="K99" i="17"/>
  <c r="F54" i="17"/>
  <c r="G54" i="17" s="1"/>
  <c r="L54" i="17"/>
  <c r="U54" i="17"/>
  <c r="V54" i="17" s="1"/>
  <c r="P53" i="17"/>
  <c r="Q53" i="17" s="1"/>
  <c r="K59" i="21"/>
  <c r="H59" i="21"/>
  <c r="G60" i="21"/>
  <c r="L99" i="17" l="1"/>
  <c r="K100" i="17"/>
  <c r="F55" i="17"/>
  <c r="G55" i="17" s="1"/>
  <c r="U55" i="17"/>
  <c r="V55" i="17" s="1"/>
  <c r="L55" i="17"/>
  <c r="F56" i="17"/>
  <c r="G56" i="17" s="1"/>
  <c r="P54" i="17"/>
  <c r="Q54" i="17" s="1"/>
  <c r="K60" i="21"/>
  <c r="H60" i="21"/>
  <c r="G61" i="21"/>
  <c r="L100" i="17" l="1"/>
  <c r="K101" i="17"/>
  <c r="F57" i="17"/>
  <c r="G57" i="17" s="1"/>
  <c r="L56" i="17"/>
  <c r="P55" i="17"/>
  <c r="Q55" i="17" s="1"/>
  <c r="U56" i="17"/>
  <c r="V56" i="17" s="1"/>
  <c r="K61" i="21"/>
  <c r="H61" i="21"/>
  <c r="G62" i="21"/>
  <c r="L101" i="17" l="1"/>
  <c r="K102" i="17"/>
  <c r="L57" i="17"/>
  <c r="U57" i="17"/>
  <c r="V57" i="17" s="1"/>
  <c r="P56" i="17"/>
  <c r="Q56" i="17" s="1"/>
  <c r="F58" i="17"/>
  <c r="G58" i="17" s="1"/>
  <c r="K62" i="21"/>
  <c r="H62" i="21"/>
  <c r="G63" i="21"/>
  <c r="L102" i="17" l="1"/>
  <c r="K103" i="17"/>
  <c r="F59" i="17"/>
  <c r="G59" i="17" s="1"/>
  <c r="U58" i="17"/>
  <c r="V58" i="17" s="1"/>
  <c r="P57" i="17"/>
  <c r="Q57" i="17" s="1"/>
  <c r="L58" i="17"/>
  <c r="K63" i="21"/>
  <c r="H63" i="21"/>
  <c r="G64" i="21"/>
  <c r="L103" i="17" l="1"/>
  <c r="K104" i="17"/>
  <c r="K64" i="21"/>
  <c r="H64" i="21"/>
  <c r="G65" i="21"/>
  <c r="L59" i="17"/>
  <c r="P58" i="17"/>
  <c r="Q58" i="17" s="1"/>
  <c r="F60" i="17"/>
  <c r="G60" i="17" s="1"/>
  <c r="U59" i="17"/>
  <c r="V59" i="17" s="1"/>
  <c r="L104" i="17" l="1"/>
  <c r="K105" i="17"/>
  <c r="U60" i="17"/>
  <c r="V60" i="17" s="1"/>
  <c r="K65" i="21"/>
  <c r="H65" i="21"/>
  <c r="G66" i="21"/>
  <c r="P59" i="17"/>
  <c r="Q59" i="17" s="1"/>
  <c r="F61" i="17"/>
  <c r="G61" i="17" s="1"/>
  <c r="L60" i="17"/>
  <c r="L105" i="17" l="1"/>
  <c r="K106" i="17"/>
  <c r="U61" i="17"/>
  <c r="V61" i="17" s="1"/>
  <c r="F62" i="17"/>
  <c r="K66" i="21"/>
  <c r="H66" i="21"/>
  <c r="G67" i="21"/>
  <c r="L61" i="17"/>
  <c r="P60" i="17"/>
  <c r="Q60" i="17" s="1"/>
  <c r="L106" i="17" l="1"/>
  <c r="K107" i="17"/>
  <c r="G62" i="17"/>
  <c r="K67" i="21"/>
  <c r="H67" i="21"/>
  <c r="G68" i="21"/>
  <c r="U62" i="17"/>
  <c r="F63" i="17"/>
  <c r="G63" i="17" s="1"/>
  <c r="P61" i="17"/>
  <c r="Q61" i="17" s="1"/>
  <c r="L107" i="17" l="1"/>
  <c r="K108" i="17"/>
  <c r="V62" i="17"/>
  <c r="L62" i="17"/>
  <c r="F64" i="17"/>
  <c r="G64" i="17" s="1"/>
  <c r="U63" i="17"/>
  <c r="V63" i="17" s="1"/>
  <c r="P62" i="17"/>
  <c r="K68" i="21"/>
  <c r="H68" i="21"/>
  <c r="G69" i="21"/>
  <c r="L108" i="17" l="1"/>
  <c r="K109" i="17"/>
  <c r="Q62" i="17"/>
  <c r="F65" i="17"/>
  <c r="G65" i="17" s="1"/>
  <c r="P63" i="17"/>
  <c r="Q63" i="17" s="1"/>
  <c r="U64" i="17"/>
  <c r="V64" i="17" s="1"/>
  <c r="K69" i="21"/>
  <c r="H69" i="21"/>
  <c r="G70" i="21"/>
  <c r="L109" i="17" l="1"/>
  <c r="K110" i="17"/>
  <c r="U65" i="17"/>
  <c r="V65" i="17" s="1"/>
  <c r="P64" i="17"/>
  <c r="Q64" i="17" s="1"/>
  <c r="F66" i="17"/>
  <c r="G66" i="17" s="1"/>
  <c r="K70" i="21"/>
  <c r="H70" i="21"/>
  <c r="G71" i="21"/>
  <c r="L110" i="17" l="1"/>
  <c r="K111" i="17"/>
  <c r="F67" i="17"/>
  <c r="G67" i="17" s="1"/>
  <c r="P65" i="17"/>
  <c r="Q65" i="17" s="1"/>
  <c r="U66" i="17"/>
  <c r="V66" i="17" s="1"/>
  <c r="K71" i="21"/>
  <c r="H71" i="21"/>
  <c r="G72" i="21"/>
  <c r="L111" i="17" l="1"/>
  <c r="K112" i="17"/>
  <c r="P66" i="17"/>
  <c r="Q66" i="17" s="1"/>
  <c r="U67" i="17"/>
  <c r="V67" i="17" s="1"/>
  <c r="F68" i="17"/>
  <c r="G68" i="17" s="1"/>
  <c r="K72" i="21"/>
  <c r="H72" i="21"/>
  <c r="G73" i="21"/>
  <c r="L112" i="17" l="1"/>
  <c r="K113" i="17"/>
  <c r="F69" i="17"/>
  <c r="G69" i="17" s="1"/>
  <c r="U68" i="17"/>
  <c r="V68" i="17" s="1"/>
  <c r="P67" i="17"/>
  <c r="Q67" i="17" s="1"/>
  <c r="K73" i="21"/>
  <c r="H73" i="21"/>
  <c r="G74" i="21"/>
  <c r="L113" i="17" l="1"/>
  <c r="K114" i="17"/>
  <c r="U69" i="17"/>
  <c r="V69" i="17" s="1"/>
  <c r="P68" i="17"/>
  <c r="Q68" i="17" s="1"/>
  <c r="F70" i="17"/>
  <c r="G70" i="17" s="1"/>
  <c r="K74" i="21"/>
  <c r="H74" i="21"/>
  <c r="G75" i="21"/>
  <c r="L114" i="17" l="1"/>
  <c r="K115" i="17"/>
  <c r="F71" i="17"/>
  <c r="G71" i="17" s="1"/>
  <c r="P69" i="17"/>
  <c r="Q69" i="17" s="1"/>
  <c r="U70" i="17"/>
  <c r="V70" i="17" s="1"/>
  <c r="K75" i="21"/>
  <c r="H75" i="21"/>
  <c r="G76" i="21"/>
  <c r="L115" i="17" l="1"/>
  <c r="K116" i="17"/>
  <c r="P70" i="17"/>
  <c r="Q70" i="17" s="1"/>
  <c r="U71" i="17"/>
  <c r="V71" i="17" s="1"/>
  <c r="F72" i="17"/>
  <c r="G72" i="17" s="1"/>
  <c r="K76" i="21"/>
  <c r="H76" i="21"/>
  <c r="G77" i="21"/>
  <c r="L116" i="17" l="1"/>
  <c r="K117" i="17"/>
  <c r="K77" i="21"/>
  <c r="H77" i="21"/>
  <c r="G78" i="21"/>
  <c r="P71" i="17"/>
  <c r="Q71" i="17" s="1"/>
  <c r="F73" i="17"/>
  <c r="G73" i="17" s="1"/>
  <c r="U72" i="17"/>
  <c r="V72" i="17" s="1"/>
  <c r="L117" i="17" l="1"/>
  <c r="K118" i="17"/>
  <c r="K78" i="21"/>
  <c r="H78" i="21"/>
  <c r="G79" i="21"/>
  <c r="F74" i="17"/>
  <c r="G74" i="17" s="1"/>
  <c r="U73" i="17"/>
  <c r="V73" i="17" s="1"/>
  <c r="P72" i="17"/>
  <c r="Q72" i="17" s="1"/>
  <c r="L118" i="17" l="1"/>
  <c r="K119" i="17"/>
  <c r="F75" i="17"/>
  <c r="G75" i="17" s="1"/>
  <c r="P73" i="17"/>
  <c r="Q73" i="17" s="1"/>
  <c r="U74" i="17"/>
  <c r="V74" i="17" s="1"/>
  <c r="K79" i="21"/>
  <c r="H79" i="21"/>
  <c r="G80" i="21"/>
  <c r="L119" i="17" l="1"/>
  <c r="K120" i="17"/>
  <c r="F76" i="17"/>
  <c r="G76" i="17" s="1"/>
  <c r="P74" i="17"/>
  <c r="Q74" i="17" s="1"/>
  <c r="U75" i="17"/>
  <c r="V75" i="17" s="1"/>
  <c r="K80" i="21"/>
  <c r="H80" i="21"/>
  <c r="G81" i="21"/>
  <c r="L120" i="17" l="1"/>
  <c r="K121" i="17"/>
  <c r="P75" i="17"/>
  <c r="Q75" i="17" s="1"/>
  <c r="U76" i="17"/>
  <c r="V76" i="17" s="1"/>
  <c r="F77" i="17"/>
  <c r="G77" i="17" s="1"/>
  <c r="K81" i="21"/>
  <c r="H81" i="21"/>
  <c r="G82" i="21"/>
  <c r="L121" i="17" l="1"/>
  <c r="U77" i="17"/>
  <c r="V77" i="17" s="1"/>
  <c r="P76" i="17"/>
  <c r="Q76" i="17" s="1"/>
  <c r="F78" i="17"/>
  <c r="G78" i="17" s="1"/>
  <c r="K82" i="21"/>
  <c r="H82" i="21"/>
  <c r="G83" i="21"/>
  <c r="F79" i="17" l="1"/>
  <c r="G79" i="17" s="1"/>
  <c r="U78" i="17"/>
  <c r="V78" i="17" s="1"/>
  <c r="P77" i="17"/>
  <c r="Q77" i="17" s="1"/>
  <c r="K83" i="21"/>
  <c r="H83" i="21"/>
  <c r="G84" i="21"/>
  <c r="F80" i="17" l="1"/>
  <c r="G80" i="17" s="1"/>
  <c r="P78" i="17"/>
  <c r="Q78" i="17" s="1"/>
  <c r="U79" i="17"/>
  <c r="V79" i="17" s="1"/>
  <c r="K84" i="21"/>
  <c r="H84" i="21"/>
  <c r="G85" i="21"/>
  <c r="K85" i="21" l="1"/>
  <c r="H85" i="21"/>
  <c r="G86" i="21"/>
  <c r="P79" i="17"/>
  <c r="Q79" i="17" s="1"/>
  <c r="U80" i="17"/>
  <c r="V80" i="17" s="1"/>
  <c r="F81" i="17"/>
  <c r="G81" i="17" s="1"/>
  <c r="P80" i="17" l="1"/>
  <c r="Q80" i="17" s="1"/>
  <c r="K86" i="21"/>
  <c r="H86" i="21"/>
  <c r="G87" i="21"/>
  <c r="U81" i="17"/>
  <c r="V81" i="17" s="1"/>
  <c r="F82" i="17"/>
  <c r="G82" i="17" s="1"/>
  <c r="U82" i="17" l="1"/>
  <c r="V82" i="17" s="1"/>
  <c r="P81" i="17"/>
  <c r="Q81" i="17" s="1"/>
  <c r="F83" i="17"/>
  <c r="G83" i="17" s="1"/>
  <c r="K87" i="21"/>
  <c r="H87" i="21"/>
  <c r="G88" i="21"/>
  <c r="U83" i="17" l="1"/>
  <c r="V83" i="17" s="1"/>
  <c r="F84" i="17"/>
  <c r="G84" i="17" s="1"/>
  <c r="P82" i="17"/>
  <c r="Q82" i="17" s="1"/>
  <c r="K88" i="21"/>
  <c r="H88" i="21"/>
  <c r="G89" i="21"/>
  <c r="F85" i="17" l="1"/>
  <c r="G85" i="17" s="1"/>
  <c r="U84" i="17"/>
  <c r="V84" i="17" s="1"/>
  <c r="P83" i="17"/>
  <c r="Q83" i="17" s="1"/>
  <c r="K89" i="21"/>
  <c r="H89" i="21"/>
  <c r="G90" i="21"/>
  <c r="K90" i="21" l="1"/>
  <c r="H90" i="21"/>
  <c r="G91" i="21"/>
  <c r="U85" i="17"/>
  <c r="V85" i="17" s="1"/>
  <c r="P84" i="17"/>
  <c r="Q84" i="17" s="1"/>
  <c r="F86" i="17"/>
  <c r="G86" i="17" s="1"/>
  <c r="P85" i="17" l="1"/>
  <c r="Q85" i="17" s="1"/>
  <c r="K91" i="21"/>
  <c r="H91" i="21"/>
  <c r="G92" i="21"/>
  <c r="U86" i="17"/>
  <c r="V86" i="17" s="1"/>
  <c r="F87" i="17"/>
  <c r="G87" i="17" s="1"/>
  <c r="U87" i="17" l="1"/>
  <c r="V87" i="17" s="1"/>
  <c r="P86" i="17"/>
  <c r="Q86" i="17" s="1"/>
  <c r="F88" i="17"/>
  <c r="G88" i="17" s="1"/>
  <c r="K92" i="21"/>
  <c r="H92" i="21"/>
  <c r="G93" i="21"/>
  <c r="P87" i="17" l="1"/>
  <c r="Q87" i="17" s="1"/>
  <c r="F89" i="17"/>
  <c r="G89" i="17" s="1"/>
  <c r="U88" i="17"/>
  <c r="V88" i="17" s="1"/>
  <c r="K93" i="21"/>
  <c r="H93" i="21"/>
  <c r="G94" i="21"/>
  <c r="U89" i="17" l="1"/>
  <c r="V89" i="17" s="1"/>
  <c r="F90" i="17"/>
  <c r="G90" i="17" s="1"/>
  <c r="P88" i="17"/>
  <c r="Q88" i="17" s="1"/>
  <c r="K94" i="21"/>
  <c r="H94" i="21"/>
  <c r="G95" i="21"/>
  <c r="U90" i="17" l="1"/>
  <c r="V90" i="17" s="1"/>
  <c r="P89" i="17"/>
  <c r="Q89" i="17" s="1"/>
  <c r="F91" i="17"/>
  <c r="G91" i="17" s="1"/>
  <c r="K95" i="21"/>
  <c r="H95" i="21"/>
  <c r="G96" i="21"/>
  <c r="P90" i="17" l="1"/>
  <c r="Q90" i="17" s="1"/>
  <c r="U91" i="17"/>
  <c r="V91" i="17" s="1"/>
  <c r="F92" i="17"/>
  <c r="G92" i="17" s="1"/>
  <c r="K96" i="21"/>
  <c r="H96" i="21"/>
  <c r="G97" i="21"/>
  <c r="U92" i="17" l="1"/>
  <c r="V92" i="17" s="1"/>
  <c r="P91" i="17"/>
  <c r="Q91" i="17" s="1"/>
  <c r="F93" i="17"/>
  <c r="G93" i="17" s="1"/>
  <c r="K97" i="21"/>
  <c r="H97" i="21"/>
  <c r="G98" i="21"/>
  <c r="P92" i="17" l="1"/>
  <c r="Q92" i="17" s="1"/>
  <c r="K98" i="21"/>
  <c r="H98" i="21"/>
  <c r="G99" i="21"/>
  <c r="F94" i="17"/>
  <c r="G94" i="17" s="1"/>
  <c r="U93" i="17"/>
  <c r="V93" i="17" s="1"/>
  <c r="F95" i="17" l="1"/>
  <c r="G95" i="17" s="1"/>
  <c r="U94" i="17"/>
  <c r="V94" i="17" s="1"/>
  <c r="P93" i="17"/>
  <c r="Q93" i="17" s="1"/>
  <c r="K99" i="21"/>
  <c r="H99" i="21"/>
  <c r="G100" i="21"/>
  <c r="P94" i="17" l="1"/>
  <c r="Q94" i="17" s="1"/>
  <c r="F96" i="17"/>
  <c r="G96" i="17" s="1"/>
  <c r="U95" i="17"/>
  <c r="V95" i="17" s="1"/>
  <c r="K100" i="21"/>
  <c r="H100" i="21"/>
  <c r="G101" i="21"/>
  <c r="U96" i="17" l="1"/>
  <c r="V96" i="17" s="1"/>
  <c r="P95" i="17"/>
  <c r="Q95" i="17" s="1"/>
  <c r="F97" i="17"/>
  <c r="G97" i="17" s="1"/>
  <c r="K101" i="21"/>
  <c r="H101" i="21"/>
  <c r="G102" i="21"/>
  <c r="K102" i="21" l="1"/>
  <c r="H102" i="21"/>
  <c r="G103" i="21"/>
  <c r="F98" i="17"/>
  <c r="G98" i="17" s="1"/>
  <c r="U97" i="17"/>
  <c r="V97" i="17" s="1"/>
  <c r="P96" i="17"/>
  <c r="Q96" i="17" s="1"/>
  <c r="K103" i="21" l="1"/>
  <c r="H103" i="21"/>
  <c r="G104" i="21"/>
  <c r="U98" i="17"/>
  <c r="V98" i="17" s="1"/>
  <c r="P97" i="17"/>
  <c r="Q97" i="17" s="1"/>
  <c r="F99" i="17"/>
  <c r="G99" i="17" s="1"/>
  <c r="K104" i="21" l="1"/>
  <c r="H104" i="21"/>
  <c r="G105" i="21"/>
  <c r="U99" i="17"/>
  <c r="V99" i="17" s="1"/>
  <c r="P98" i="17"/>
  <c r="Q98" i="17" s="1"/>
  <c r="F100" i="17"/>
  <c r="G100" i="17" s="1"/>
  <c r="K105" i="21" l="1"/>
  <c r="H105" i="21"/>
  <c r="G106" i="21"/>
  <c r="P99" i="17"/>
  <c r="Q99" i="17" s="1"/>
  <c r="F101" i="17"/>
  <c r="G101" i="17" s="1"/>
  <c r="U100" i="17"/>
  <c r="V100" i="17" s="1"/>
  <c r="F102" i="17" l="1"/>
  <c r="G102" i="17" s="1"/>
  <c r="K106" i="21"/>
  <c r="H106" i="21"/>
  <c r="G107" i="21"/>
  <c r="U101" i="17"/>
  <c r="V101" i="17" s="1"/>
  <c r="P100" i="17"/>
  <c r="Q100" i="17" s="1"/>
  <c r="K107" i="21" l="1"/>
  <c r="H107" i="21"/>
  <c r="G108" i="21"/>
  <c r="U102" i="17"/>
  <c r="V102" i="17" s="1"/>
  <c r="F103" i="17"/>
  <c r="G103" i="17" s="1"/>
  <c r="P101" i="17"/>
  <c r="Q101" i="17" s="1"/>
  <c r="F104" i="17" l="1"/>
  <c r="G104" i="17" s="1"/>
  <c r="K108" i="21"/>
  <c r="H108" i="21"/>
  <c r="G109" i="21"/>
  <c r="P102" i="17"/>
  <c r="Q102" i="17" s="1"/>
  <c r="U103" i="17"/>
  <c r="V103" i="17" s="1"/>
  <c r="F105" i="17" l="1"/>
  <c r="G105" i="17" s="1"/>
  <c r="U104" i="17"/>
  <c r="V104" i="17" s="1"/>
  <c r="P103" i="17"/>
  <c r="Q103" i="17" s="1"/>
  <c r="K109" i="21"/>
  <c r="H109" i="21"/>
  <c r="G110" i="21"/>
  <c r="F106" i="17" l="1"/>
  <c r="G106" i="17" s="1"/>
  <c r="U105" i="17"/>
  <c r="V105" i="17" s="1"/>
  <c r="P104" i="17"/>
  <c r="Q104" i="17" s="1"/>
  <c r="K110" i="21"/>
  <c r="H110" i="21"/>
  <c r="G111" i="21"/>
  <c r="U106" i="17" l="1"/>
  <c r="V106" i="17" s="1"/>
  <c r="P105" i="17"/>
  <c r="Q105" i="17" s="1"/>
  <c r="F107" i="17"/>
  <c r="G107" i="17" s="1"/>
  <c r="K111" i="21"/>
  <c r="H111" i="21"/>
  <c r="G112" i="21"/>
  <c r="K112" i="21" l="1"/>
  <c r="H112" i="21"/>
  <c r="G113" i="21"/>
  <c r="F108" i="17"/>
  <c r="G108" i="17" s="1"/>
  <c r="P106" i="17"/>
  <c r="Q106" i="17" s="1"/>
  <c r="U107" i="17"/>
  <c r="V107" i="17" s="1"/>
  <c r="U108" i="17" l="1"/>
  <c r="V108" i="17" s="1"/>
  <c r="K113" i="21"/>
  <c r="H113" i="21"/>
  <c r="G114" i="21"/>
  <c r="P107" i="17"/>
  <c r="Q107" i="17" s="1"/>
  <c r="F109" i="17"/>
  <c r="G109" i="17" s="1"/>
  <c r="P108" i="17" l="1"/>
  <c r="Q108" i="17" s="1"/>
  <c r="U109" i="17"/>
  <c r="V109" i="17" s="1"/>
  <c r="F110" i="17"/>
  <c r="G110" i="17" s="1"/>
  <c r="K114" i="21"/>
  <c r="H114" i="21"/>
  <c r="G115" i="21"/>
  <c r="F111" i="17" l="1"/>
  <c r="G111" i="17" s="1"/>
  <c r="U110" i="17"/>
  <c r="V110" i="17" s="1"/>
  <c r="P109" i="17"/>
  <c r="Q109" i="17" s="1"/>
  <c r="K115" i="21"/>
  <c r="H115" i="21"/>
  <c r="G116" i="21"/>
  <c r="U111" i="17" l="1"/>
  <c r="V111" i="17" s="1"/>
  <c r="P110" i="17"/>
  <c r="Q110" i="17" s="1"/>
  <c r="F112" i="17"/>
  <c r="G112" i="17" s="1"/>
  <c r="K116" i="21"/>
  <c r="H116" i="21"/>
  <c r="G117" i="21"/>
  <c r="F113" i="17" l="1"/>
  <c r="G113" i="17" s="1"/>
  <c r="K117" i="21"/>
  <c r="H117" i="21"/>
  <c r="G118" i="21"/>
  <c r="P111" i="17"/>
  <c r="Q111" i="17" s="1"/>
  <c r="U112" i="17"/>
  <c r="V112" i="17" s="1"/>
  <c r="U113" i="17" l="1"/>
  <c r="V113" i="17" s="1"/>
  <c r="P112" i="17"/>
  <c r="Q112" i="17" s="1"/>
  <c r="F114" i="17"/>
  <c r="G114" i="17" s="1"/>
  <c r="K118" i="21"/>
  <c r="H118" i="21"/>
  <c r="G119" i="21"/>
  <c r="F115" i="17" l="1"/>
  <c r="G115" i="17" s="1"/>
  <c r="U114" i="17"/>
  <c r="V114" i="17" s="1"/>
  <c r="P113" i="17"/>
  <c r="Q113" i="17" s="1"/>
  <c r="K119" i="21"/>
  <c r="H119" i="21"/>
  <c r="G120" i="21"/>
  <c r="U115" i="17" l="1"/>
  <c r="V115" i="17" s="1"/>
  <c r="P114" i="17"/>
  <c r="Q114" i="17" s="1"/>
  <c r="F116" i="17"/>
  <c r="G116" i="17" s="1"/>
  <c r="K120" i="21"/>
  <c r="H120" i="21"/>
  <c r="G121" i="21"/>
  <c r="F117" i="17" l="1"/>
  <c r="G117" i="17" s="1"/>
  <c r="U116" i="17"/>
  <c r="V116" i="17" s="1"/>
  <c r="P115" i="17"/>
  <c r="Q115" i="17" s="1"/>
  <c r="K121" i="21"/>
  <c r="H121" i="21"/>
  <c r="G122" i="21"/>
  <c r="K122" i="21" l="1"/>
  <c r="H122" i="21"/>
  <c r="G123" i="21"/>
  <c r="P116" i="17"/>
  <c r="Q116" i="17" s="1"/>
  <c r="F118" i="17"/>
  <c r="G118" i="17" s="1"/>
  <c r="U117" i="17"/>
  <c r="V117" i="17" s="1"/>
  <c r="P117" i="17" l="1"/>
  <c r="Q117" i="17" s="1"/>
  <c r="K123" i="21"/>
  <c r="H123" i="21"/>
  <c r="G124" i="21"/>
  <c r="U118" i="17"/>
  <c r="V118" i="17" s="1"/>
  <c r="F119" i="17"/>
  <c r="G119" i="17" s="1"/>
  <c r="U119" i="17" l="1"/>
  <c r="V119" i="17" s="1"/>
  <c r="P118" i="17"/>
  <c r="Q118" i="17" s="1"/>
  <c r="F120" i="17"/>
  <c r="G120" i="17" s="1"/>
  <c r="K124" i="21"/>
  <c r="H124" i="21"/>
  <c r="G125" i="21"/>
  <c r="P119" i="17" l="1"/>
  <c r="Q119" i="17" s="1"/>
  <c r="F121" i="17"/>
  <c r="U120" i="17"/>
  <c r="V120" i="17" s="1"/>
  <c r="K125" i="21"/>
  <c r="H125" i="21"/>
  <c r="G126" i="21"/>
  <c r="G121" i="17" l="1"/>
  <c r="P120" i="17"/>
  <c r="Q120" i="17" s="1"/>
  <c r="U121" i="17"/>
  <c r="K126" i="21"/>
  <c r="H126" i="21"/>
  <c r="G127" i="21"/>
  <c r="V121" i="17" l="1"/>
  <c r="P121" i="17"/>
  <c r="K127" i="21"/>
  <c r="H127" i="21"/>
  <c r="G128" i="21"/>
  <c r="Q121" i="17" l="1"/>
  <c r="K128" i="21"/>
  <c r="H128" i="21"/>
  <c r="G129" i="21"/>
  <c r="K129" i="21" l="1"/>
  <c r="H129" i="21"/>
  <c r="G130" i="21"/>
  <c r="K130" i="21" l="1"/>
  <c r="H130" i="21"/>
  <c r="G131" i="21"/>
  <c r="K131" i="21" l="1"/>
  <c r="H131" i="21"/>
  <c r="G132" i="21"/>
  <c r="K132" i="21" l="1"/>
  <c r="H132" i="21"/>
  <c r="G133" i="21"/>
  <c r="K133" i="21" l="1"/>
  <c r="H133" i="21"/>
  <c r="G134" i="21"/>
  <c r="K134" i="21" l="1"/>
  <c r="H134" i="21"/>
  <c r="G135" i="21"/>
  <c r="K135" i="21" l="1"/>
  <c r="H135" i="21"/>
  <c r="G136" i="21"/>
  <c r="K136" i="21" l="1"/>
  <c r="H136" i="21"/>
  <c r="G137" i="21"/>
  <c r="K137" i="21" l="1"/>
  <c r="H137" i="21"/>
  <c r="G138" i="21"/>
  <c r="K138" i="21" l="1"/>
  <c r="H138" i="21"/>
  <c r="G139" i="21"/>
  <c r="K139" i="21" l="1"/>
  <c r="H139" i="21"/>
  <c r="G140" i="21"/>
  <c r="K140" i="21" l="1"/>
  <c r="H140" i="21"/>
  <c r="G141" i="21"/>
  <c r="K141" i="21" l="1"/>
  <c r="H141" i="21"/>
  <c r="G142" i="21"/>
  <c r="K142" i="21" l="1"/>
  <c r="H142" i="21"/>
  <c r="G143" i="21"/>
  <c r="K143" i="21" l="1"/>
  <c r="H143" i="21"/>
  <c r="G144" i="21"/>
  <c r="K144" i="21" l="1"/>
  <c r="H144" i="21"/>
  <c r="G145" i="21"/>
  <c r="K145" i="21" l="1"/>
  <c r="H145" i="21"/>
  <c r="G146" i="21"/>
  <c r="K146" i="21" l="1"/>
  <c r="H146" i="21"/>
  <c r="G147" i="21"/>
  <c r="K147" i="21" l="1"/>
  <c r="H147" i="21"/>
  <c r="G148" i="21"/>
  <c r="K148" i="21" l="1"/>
  <c r="H148" i="21"/>
  <c r="G149" i="21"/>
  <c r="K149" i="21" l="1"/>
  <c r="H149" i="21"/>
  <c r="G150" i="21"/>
  <c r="K150" i="21" l="1"/>
  <c r="H150" i="21"/>
  <c r="G151" i="21"/>
  <c r="K151" i="21" l="1"/>
  <c r="H151" i="21"/>
  <c r="G152" i="21"/>
  <c r="K152" i="21" l="1"/>
  <c r="H152" i="21"/>
  <c r="G153" i="21"/>
  <c r="K153" i="21" l="1"/>
  <c r="H153" i="21"/>
  <c r="G154" i="21"/>
  <c r="K154" i="21" l="1"/>
  <c r="H154" i="21"/>
  <c r="G155" i="21"/>
  <c r="K155" i="21" l="1"/>
  <c r="H155" i="21"/>
  <c r="G156" i="21"/>
  <c r="K156" i="21" l="1"/>
  <c r="H156" i="21"/>
  <c r="G157" i="21"/>
  <c r="K157" i="21" l="1"/>
  <c r="H157" i="21"/>
  <c r="G158" i="21"/>
  <c r="K158" i="21" l="1"/>
  <c r="H158" i="21"/>
  <c r="G159" i="21"/>
  <c r="K159" i="21" l="1"/>
  <c r="H159" i="21"/>
  <c r="G160" i="21"/>
  <c r="K160" i="21" l="1"/>
  <c r="H160" i="21"/>
  <c r="G161" i="21"/>
  <c r="K161" i="21" l="1"/>
  <c r="H161" i="21"/>
  <c r="G162" i="21"/>
  <c r="K162" i="21" l="1"/>
  <c r="H162" i="21"/>
  <c r="G163" i="21"/>
  <c r="K163" i="21" l="1"/>
  <c r="H163" i="21"/>
  <c r="G164" i="21"/>
  <c r="K164" i="21" l="1"/>
  <c r="H164" i="21"/>
  <c r="G165" i="21"/>
  <c r="K165" i="21" l="1"/>
  <c r="H165" i="21"/>
  <c r="G166" i="21"/>
  <c r="K166" i="21" l="1"/>
  <c r="H166" i="21"/>
  <c r="G167" i="21"/>
  <c r="K167" i="21" l="1"/>
  <c r="H167" i="21"/>
  <c r="G168" i="21"/>
  <c r="K168" i="21" l="1"/>
  <c r="H168" i="21"/>
  <c r="G169" i="21"/>
  <c r="K169" i="21" l="1"/>
  <c r="H169" i="21"/>
  <c r="G170" i="21"/>
  <c r="K170" i="21" l="1"/>
  <c r="H170" i="21"/>
  <c r="G171" i="21"/>
  <c r="K171" i="21" l="1"/>
  <c r="H171" i="21"/>
  <c r="G172" i="21"/>
  <c r="K172" i="21" l="1"/>
  <c r="H172" i="21"/>
  <c r="G173" i="21"/>
  <c r="K173" i="21" l="1"/>
  <c r="G174" i="21"/>
  <c r="H173" i="21"/>
  <c r="K174" i="21" l="1"/>
  <c r="G175" i="21"/>
  <c r="H174" i="21"/>
  <c r="K175" i="21" l="1"/>
  <c r="G176" i="21"/>
  <c r="H175" i="21"/>
  <c r="K176" i="21" l="1"/>
  <c r="G177" i="21"/>
  <c r="H176" i="21"/>
  <c r="K177" i="21" l="1"/>
  <c r="G178" i="21"/>
  <c r="H177" i="21"/>
  <c r="K178" i="21" l="1"/>
  <c r="G179" i="21"/>
  <c r="H178" i="21"/>
  <c r="G180" i="21" l="1"/>
  <c r="K179" i="21"/>
  <c r="H179" i="21"/>
  <c r="G181" i="21" l="1"/>
  <c r="K180" i="21"/>
  <c r="H180" i="21"/>
  <c r="K181" i="21" l="1"/>
  <c r="G182" i="21"/>
  <c r="H181" i="21"/>
  <c r="K182" i="21" l="1"/>
  <c r="G183" i="21"/>
  <c r="H182" i="21"/>
  <c r="K183" i="21" l="1"/>
  <c r="G184" i="21"/>
  <c r="H183" i="21"/>
  <c r="G185" i="21" l="1"/>
  <c r="K184" i="21"/>
  <c r="H184" i="21"/>
  <c r="K185" i="21" l="1"/>
  <c r="G186" i="21"/>
  <c r="H185" i="21"/>
  <c r="G187" i="21" l="1"/>
  <c r="K186" i="21"/>
  <c r="H186" i="21"/>
  <c r="K187" i="21" l="1"/>
  <c r="G188" i="21"/>
  <c r="H187" i="21"/>
  <c r="K188" i="21" l="1"/>
  <c r="G189" i="21"/>
  <c r="H188" i="21"/>
  <c r="K189" i="21" l="1"/>
  <c r="G190" i="21"/>
  <c r="H189" i="21"/>
  <c r="K190" i="21" l="1"/>
  <c r="G191" i="21"/>
  <c r="H190" i="21"/>
  <c r="K191" i="21" l="1"/>
  <c r="G192" i="21"/>
  <c r="H191" i="21"/>
  <c r="G193" i="21" l="1"/>
  <c r="K192" i="21"/>
  <c r="H192" i="21"/>
  <c r="K193" i="21" l="1"/>
  <c r="G194" i="21"/>
  <c r="H193" i="21"/>
  <c r="K194" i="21" l="1"/>
  <c r="G195" i="21"/>
  <c r="H194" i="21"/>
  <c r="K195" i="21" l="1"/>
  <c r="G196" i="21"/>
  <c r="H195" i="21"/>
  <c r="G197" i="21" l="1"/>
  <c r="K196" i="21"/>
  <c r="H196" i="21"/>
  <c r="K197" i="21" l="1"/>
  <c r="G198" i="21"/>
  <c r="H197" i="21"/>
  <c r="G199" i="21" l="1"/>
  <c r="K198" i="21"/>
  <c r="H198" i="21"/>
  <c r="K199" i="21" l="1"/>
  <c r="G200" i="21"/>
  <c r="H199" i="21"/>
  <c r="K200" i="21" l="1"/>
  <c r="G201" i="21"/>
  <c r="H200" i="21"/>
  <c r="G202" i="21" l="1"/>
  <c r="K201" i="21"/>
  <c r="H201" i="21"/>
  <c r="G203" i="21" l="1"/>
  <c r="K202" i="21"/>
  <c r="H202" i="21"/>
  <c r="K203" i="21" l="1"/>
  <c r="G204" i="21"/>
  <c r="H203" i="21"/>
  <c r="K204" i="21" l="1"/>
  <c r="G205" i="21"/>
  <c r="H204" i="21"/>
  <c r="K205" i="21" l="1"/>
  <c r="G206" i="21"/>
  <c r="H205" i="21"/>
  <c r="G207" i="21" l="1"/>
  <c r="K206" i="21"/>
  <c r="H206" i="21"/>
  <c r="G208" i="21" l="1"/>
  <c r="K207" i="21"/>
  <c r="H207" i="21"/>
  <c r="K208" i="21" l="1"/>
  <c r="G209" i="21"/>
  <c r="H208" i="21"/>
  <c r="G210" i="21" l="1"/>
  <c r="K209" i="21"/>
  <c r="H209" i="21"/>
  <c r="K210" i="21" l="1"/>
  <c r="G211" i="21"/>
  <c r="H210" i="21"/>
  <c r="K211" i="21" l="1"/>
  <c r="G212" i="21"/>
  <c r="H211" i="21"/>
  <c r="G213" i="21" l="1"/>
  <c r="K212" i="21"/>
  <c r="H212" i="21"/>
  <c r="K213" i="21" l="1"/>
  <c r="G214" i="21"/>
  <c r="H213" i="21"/>
  <c r="G215" i="21" l="1"/>
  <c r="K214" i="21"/>
  <c r="H214" i="21"/>
  <c r="K215" i="21" l="1"/>
  <c r="G216" i="21"/>
  <c r="H215" i="21"/>
  <c r="G217" i="21" l="1"/>
  <c r="K216" i="21"/>
  <c r="H216" i="21"/>
  <c r="K217" i="21" l="1"/>
  <c r="G218" i="21"/>
  <c r="H217" i="21"/>
  <c r="G219" i="21" l="1"/>
  <c r="K218" i="21"/>
  <c r="H218" i="21"/>
  <c r="G220" i="21" l="1"/>
  <c r="K219" i="21"/>
  <c r="H219" i="21"/>
  <c r="K220" i="21" l="1"/>
  <c r="G221" i="21"/>
  <c r="H220" i="21"/>
  <c r="K221" i="21" l="1"/>
  <c r="G222" i="21"/>
  <c r="H221" i="21"/>
  <c r="G223" i="21" l="1"/>
  <c r="K222" i="21"/>
  <c r="H222" i="21"/>
  <c r="G224" i="21" l="1"/>
  <c r="K223" i="21"/>
  <c r="H223" i="21"/>
  <c r="G225" i="21" l="1"/>
  <c r="K224" i="21"/>
  <c r="H224" i="21"/>
  <c r="K225" i="21" l="1"/>
  <c r="G226" i="21"/>
  <c r="H225" i="21"/>
  <c r="G227" i="21" l="1"/>
  <c r="K226" i="21"/>
  <c r="H226" i="21"/>
  <c r="K227" i="21" l="1"/>
  <c r="G228" i="21"/>
  <c r="H227" i="21"/>
  <c r="G229" i="21" l="1"/>
  <c r="K228" i="21"/>
  <c r="H228" i="21"/>
  <c r="K229" i="21" l="1"/>
  <c r="G230" i="21"/>
  <c r="H229" i="21"/>
  <c r="G231" i="21" l="1"/>
  <c r="K230" i="21"/>
  <c r="H230" i="21"/>
  <c r="K231" i="21" l="1"/>
  <c r="G232" i="21"/>
  <c r="H231" i="21"/>
  <c r="K232" i="21" l="1"/>
  <c r="G233" i="21"/>
  <c r="H232" i="21"/>
  <c r="K233" i="21" l="1"/>
  <c r="G234" i="21"/>
  <c r="H233" i="21"/>
  <c r="K234" i="21" l="1"/>
  <c r="G235" i="21"/>
  <c r="H234" i="21"/>
  <c r="K235" i="21" l="1"/>
  <c r="G236" i="21"/>
  <c r="H235" i="21"/>
  <c r="K236" i="21" l="1"/>
  <c r="G237" i="21"/>
  <c r="H236" i="21"/>
  <c r="K237" i="21" l="1"/>
  <c r="G238" i="21"/>
  <c r="H237" i="21"/>
  <c r="K238" i="21" l="1"/>
  <c r="G239" i="21"/>
  <c r="H238" i="21"/>
  <c r="K239" i="21" l="1"/>
  <c r="H239" i="21"/>
  <c r="F19" i="17" l="1"/>
  <c r="G19" i="17" s="1"/>
  <c r="F20" i="17" l="1"/>
  <c r="F21" i="17" s="1"/>
  <c r="F22" i="17" s="1"/>
  <c r="G20" i="17" l="1"/>
  <c r="G21" i="17"/>
  <c r="G22" i="17"/>
  <c r="F23" i="17"/>
  <c r="G23" i="17" l="1"/>
  <c r="F24" i="17"/>
  <c r="F25" i="17" l="1"/>
  <c r="G24" i="17"/>
  <c r="F26" i="17" l="1"/>
  <c r="F27" i="17" s="1"/>
  <c r="G25" i="17"/>
  <c r="F28" i="17" l="1"/>
  <c r="G28" i="17" s="1"/>
  <c r="G27" i="17"/>
  <c r="I7" i="17"/>
  <c r="I12" i="17" s="1"/>
  <c r="D6" i="17"/>
  <c r="D7" i="17" s="1"/>
  <c r="D12" i="17" s="1"/>
  <c r="N7" i="17"/>
  <c r="N12" i="17" s="1"/>
  <c r="S7" i="17"/>
  <c r="S12" i="17" s="1"/>
  <c r="G2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Cerismar Carvalho da Mota</author>
  </authors>
  <commentList>
    <comment ref="E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Publicação no dia 10 do mês subsequente.
</t>
        </r>
      </text>
    </comment>
    <comment ref="G1" authorId="0" shapeId="0" xr:uid="{00000000-0006-0000-0000-000002000000}">
      <text>
        <r>
          <rPr>
            <sz val="9"/>
            <color indexed="81"/>
            <rFont val="Tahoma"/>
            <family val="2"/>
          </rPr>
          <t>Publicação no dia 10 do mês subsequente.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00000000-0006-0000-0000-000003000000}">
      <text>
        <r>
          <rPr>
            <sz val="9"/>
            <color indexed="81"/>
            <rFont val="Tahoma"/>
            <family val="2"/>
          </rPr>
          <t>Publicação no dia 10 do mês subsequente.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<sst xmlns="http://schemas.openxmlformats.org/spreadsheetml/2006/main" count="531" uniqueCount="53">
  <si>
    <t>PERÍODO</t>
  </si>
  <si>
    <t>MÊS</t>
  </si>
  <si>
    <t>ANO</t>
  </si>
  <si>
    <t>IGP-M</t>
  </si>
  <si>
    <t/>
  </si>
  <si>
    <t>FATOR</t>
  </si>
  <si>
    <t>% IGP-M</t>
  </si>
  <si>
    <t>% INPC</t>
  </si>
  <si>
    <t>% IPCA</t>
  </si>
  <si>
    <t>% SELIC</t>
  </si>
  <si>
    <t>% IPC / FIPE</t>
  </si>
  <si>
    <t>% Ac.</t>
  </si>
  <si>
    <t>% IGP-DI</t>
  </si>
  <si>
    <t>% INCC-M</t>
  </si>
  <si>
    <t>DÓLAR</t>
  </si>
  <si>
    <t>DATA</t>
  </si>
  <si>
    <t>VAR. DÓLAR</t>
  </si>
  <si>
    <t>DÓLAR ACUM.</t>
  </si>
  <si>
    <t>IGP-M ACUM.</t>
  </si>
  <si>
    <t>DIF.</t>
  </si>
  <si>
    <t>Cruzeiro - 16/03/1990 a 31/07/1993</t>
  </si>
  <si>
    <t xml:space="preserve">Cruzado Novo - 16/01/1989 a 15/03/1990   </t>
  </si>
  <si>
    <t>Cruzeiro Real - 01/08/1993 a 30/06/1994</t>
  </si>
  <si>
    <t>Real</t>
  </si>
  <si>
    <t>  0,5208%</t>
  </si>
  <si>
    <t>  0,5%</t>
  </si>
  <si>
    <t>% TJLP</t>
  </si>
  <si>
    <t>Mês/Ano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</si>
  <si>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</si>
  <si>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</si>
  <si>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</si>
  <si>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</si>
  <si>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</si>
  <si>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</si>
  <si>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</si>
  <si>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</si>
  <si>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</si>
  <si>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</si>
  <si>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</si>
  <si>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</si>
  <si>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% IPCA-E</t>
  </si>
  <si>
    <t>http://www.portalbrasil.net/indices.htm</t>
  </si>
  <si>
    <t>http://tcpoweb.pini.com.br/IndiceCustoSel.aspx</t>
  </si>
  <si>
    <t>http://www.yahii.com.br/debjud.html</t>
  </si>
  <si>
    <t>ÍNDICE DE REAJUSTE =&gt;&gt;</t>
  </si>
  <si>
    <t>PERÍODO INICIAL =&gt;&gt;</t>
  </si>
  <si>
    <t>PERÍODO FINAL =&gt;&gt;</t>
  </si>
  <si>
    <t>VALOR (PRINCIPAL) =&gt;&gt;</t>
  </si>
  <si>
    <t>VARIAÇÃO NO PERÍODO =&gt;&gt;</t>
  </si>
  <si>
    <t>VALOR CORRIGIDO =&gt;&gt;</t>
  </si>
  <si>
    <t>MULTA =&gt;&gt;</t>
  </si>
  <si>
    <t>TOTAL ATUALIZADO =&gt;&gt;</t>
  </si>
  <si>
    <t>JUROS MENSAIS =&gt;&gt;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</si>
</sst>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[$-416]mmm\-yy;@"/>
    <numFmt numFmtId="167" formatCode="0.0000%"/>
    <numFmt numFmtId="168" formatCode="_(* #,##0.0000_);_(* \(#,##0.0000\);_(* &quot;-&quot;??_);_(@_)"/>
    <numFmt numFmtId="169" formatCode="_-* #,##0.0000_-;\-* #,##0.0000_-;_-* &quot;-&quot;??_-;_-@_-"/>
    <numFmt numFmtId="170" formatCode="_-* #,##0.0000_-;\-* #,##0.0000_-;_-* &quot;-&quot;????_-;_-@_-"/>
    <numFmt numFmtId="171" formatCode="0.000000"/>
    <numFmt numFmtId="172" formatCode="&quot;R$&quot;\ #,##0.00"/>
    <numFmt numFmtId="173" formatCode="0.0%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u val="singleAccounting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Inheri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7.5"/>
      <color theme="1"/>
      <name val="Verdana"/>
      <family val="2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rgb="FF000000"/>
      <name val="Arial"/>
      <family val="2"/>
    </font>
    <font>
      <sz val="11"/>
      <color theme="0" tint="-0.499984740745262"/>
      <name val="Calibri"/>
      <family val="2"/>
      <scheme val="minor"/>
    </font>
    <font>
      <b/>
      <u val="singleAccounting"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CE4E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tted">
        <color rgb="FF333333"/>
      </bottom>
      <diagonal/>
    </border>
    <border>
      <left/>
      <right style="medium">
        <color rgb="FFDDDDDD"/>
      </right>
      <top/>
      <bottom style="dotted">
        <color rgb="FFD5D5D5"/>
      </bottom>
      <diagonal/>
    </border>
    <border>
      <left/>
      <right style="medium">
        <color rgb="FFDDDDDD"/>
      </right>
      <top/>
      <bottom style="medium">
        <color rgb="FFAEB3B6"/>
      </bottom>
      <diagonal/>
    </border>
    <border>
      <left/>
      <right/>
      <top/>
      <bottom style="medium">
        <color rgb="FFAEB3B6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24">
    <xf numFmtId="0" fontId="0" fillId="0" borderId="0" xfId="0"/>
    <xf numFmtId="164" fontId="0" fillId="0" borderId="0" xfId="2" applyFont="1"/>
    <xf numFmtId="168" fontId="0" fillId="0" borderId="0" xfId="2" applyNumberFormat="1" applyFont="1"/>
    <xf numFmtId="14" fontId="10" fillId="2" borderId="6" xfId="0" applyNumberFormat="1" applyFont="1" applyFill="1" applyBorder="1" applyAlignment="1">
      <alignment horizontal="left" vertical="center" wrapText="1"/>
    </xf>
    <xf numFmtId="169" fontId="0" fillId="0" borderId="0" xfId="4" applyNumberFormat="1" applyFont="1"/>
    <xf numFmtId="169" fontId="10" fillId="2" borderId="6" xfId="4" applyNumberFormat="1" applyFont="1" applyFill="1" applyBorder="1" applyAlignment="1">
      <alignment horizontal="left" vertical="center" wrapText="1"/>
    </xf>
    <xf numFmtId="14" fontId="0" fillId="0" borderId="0" xfId="0" applyNumberFormat="1"/>
    <xf numFmtId="0" fontId="13" fillId="0" borderId="0" xfId="0" applyFont="1" applyAlignment="1">
      <alignment horizontal="center"/>
    </xf>
    <xf numFmtId="167" fontId="13" fillId="0" borderId="0" xfId="1" applyNumberFormat="1" applyFont="1" applyAlignment="1">
      <alignment horizontal="center"/>
    </xf>
    <xf numFmtId="167" fontId="0" fillId="0" borderId="0" xfId="1" applyNumberFormat="1" applyFont="1"/>
    <xf numFmtId="164" fontId="13" fillId="0" borderId="0" xfId="2" applyFont="1" applyAlignment="1">
      <alignment horizontal="center"/>
    </xf>
    <xf numFmtId="170" fontId="0" fillId="0" borderId="0" xfId="0" applyNumberFormat="1"/>
    <xf numFmtId="164" fontId="13" fillId="4" borderId="0" xfId="2" applyFont="1" applyFill="1" applyAlignment="1">
      <alignment horizontal="center"/>
    </xf>
    <xf numFmtId="168" fontId="0" fillId="4" borderId="0" xfId="2" applyNumberFormat="1" applyFont="1" applyFill="1"/>
    <xf numFmtId="164" fontId="0" fillId="4" borderId="0" xfId="2" applyFont="1" applyFill="1"/>
    <xf numFmtId="168" fontId="0" fillId="0" borderId="0" xfId="0" applyNumberFormat="1"/>
    <xf numFmtId="14" fontId="14" fillId="5" borderId="0" xfId="0" applyNumberFormat="1" applyFont="1" applyFill="1" applyAlignment="1">
      <alignment vertical="center" wrapText="1"/>
    </xf>
    <xf numFmtId="168" fontId="10" fillId="2" borderId="6" xfId="2" applyNumberFormat="1" applyFont="1" applyFill="1" applyBorder="1" applyAlignment="1">
      <alignment horizontal="left" vertical="center" wrapText="1"/>
    </xf>
    <xf numFmtId="171" fontId="0" fillId="0" borderId="0" xfId="0" applyNumberFormat="1"/>
    <xf numFmtId="164" fontId="14" fillId="5" borderId="0" xfId="2" applyFont="1" applyFill="1" applyAlignment="1">
      <alignment horizontal="right" vertical="center" wrapText="1"/>
    </xf>
    <xf numFmtId="14" fontId="10" fillId="9" borderId="6" xfId="0" applyNumberFormat="1" applyFont="1" applyFill="1" applyBorder="1" applyAlignment="1">
      <alignment horizontal="left" vertical="center" wrapText="1"/>
    </xf>
    <xf numFmtId="169" fontId="10" fillId="9" borderId="6" xfId="4" applyNumberFormat="1" applyFont="1" applyFill="1" applyBorder="1" applyAlignment="1">
      <alignment horizontal="left" vertical="center" wrapText="1"/>
    </xf>
    <xf numFmtId="0" fontId="0" fillId="10" borderId="7" xfId="0" applyFill="1" applyBorder="1" applyAlignment="1">
      <alignment horizontal="center" vertical="top" wrapText="1"/>
    </xf>
    <xf numFmtId="0" fontId="2" fillId="10" borderId="7" xfId="0" applyFont="1" applyFill="1" applyBorder="1" applyAlignment="1">
      <alignment horizontal="center" vertical="top" wrapText="1"/>
    </xf>
    <xf numFmtId="10" fontId="0" fillId="10" borderId="7" xfId="0" applyNumberFormat="1" applyFill="1" applyBorder="1" applyAlignment="1">
      <alignment horizontal="center" vertical="top" wrapText="1"/>
    </xf>
    <xf numFmtId="10" fontId="0" fillId="10" borderId="8" xfId="0" applyNumberFormat="1" applyFill="1" applyBorder="1" applyAlignment="1">
      <alignment horizontal="center" vertical="top" wrapText="1"/>
    </xf>
    <xf numFmtId="10" fontId="19" fillId="10" borderId="8" xfId="0" applyNumberFormat="1" applyFont="1" applyFill="1" applyBorder="1" applyAlignment="1">
      <alignment horizontal="center" vertical="top" wrapText="1"/>
    </xf>
    <xf numFmtId="0" fontId="2" fillId="10" borderId="7" xfId="0" applyFont="1" applyFill="1" applyBorder="1" applyAlignment="1">
      <alignment horizontal="left" vertical="top" wrapText="1"/>
    </xf>
    <xf numFmtId="0" fontId="0" fillId="0" borderId="0" xfId="0" applyAlignment="1">
      <alignment wrapText="1"/>
    </xf>
    <xf numFmtId="0" fontId="2" fillId="10" borderId="8" xfId="0" applyFont="1" applyFill="1" applyBorder="1" applyAlignment="1">
      <alignment horizontal="left" vertical="top" wrapText="1"/>
    </xf>
    <xf numFmtId="0" fontId="0" fillId="0" borderId="9" xfId="0" applyBorder="1" applyAlignment="1">
      <alignment wrapText="1"/>
    </xf>
    <xf numFmtId="0" fontId="22" fillId="0" borderId="0" xfId="5"/>
    <xf numFmtId="0" fontId="0" fillId="0" borderId="0" xfId="0" applyNumberFormat="1" applyFont="1" applyAlignment="1" applyProtection="1">
      <alignment horizontal="center"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7" fontId="1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10" fontId="0" fillId="0" borderId="0" xfId="1" applyNumberFormat="1" applyFont="1" applyAlignment="1" applyProtection="1">
      <alignment vertical="center"/>
      <protection locked="0"/>
    </xf>
    <xf numFmtId="167" fontId="0" fillId="0" borderId="0" xfId="0" applyNumberFormat="1" applyFont="1" applyAlignment="1" applyProtection="1">
      <alignment horizontal="center" vertical="center"/>
      <protection locked="0"/>
    </xf>
    <xf numFmtId="167" fontId="0" fillId="0" borderId="0" xfId="0" applyNumberFormat="1" applyProtection="1">
      <protection locked="0"/>
    </xf>
    <xf numFmtId="167" fontId="0" fillId="0" borderId="0" xfId="1" applyNumberFormat="1" applyFont="1" applyBorder="1" applyAlignment="1" applyProtection="1">
      <alignment horizontal="center" vertical="center"/>
      <protection locked="0"/>
    </xf>
    <xf numFmtId="167" fontId="1" fillId="0" borderId="0" xfId="1" applyNumberFormat="1" applyFont="1" applyBorder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wrapText="1"/>
      <protection locked="0"/>
    </xf>
    <xf numFmtId="167" fontId="8" fillId="0" borderId="0" xfId="0" applyNumberFormat="1" applyFon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0" fontId="0" fillId="3" borderId="0" xfId="0" applyNumberFormat="1" applyFont="1" applyFill="1" applyAlignment="1" applyProtection="1">
      <alignment horizontal="center" vertical="center"/>
      <protection locked="0"/>
    </xf>
    <xf numFmtId="167" fontId="0" fillId="3" borderId="0" xfId="1" applyNumberFormat="1" applyFont="1" applyFill="1" applyAlignment="1" applyProtection="1">
      <alignment horizontal="center" vertical="center"/>
      <protection locked="0"/>
    </xf>
    <xf numFmtId="167" fontId="1" fillId="3" borderId="0" xfId="1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167" fontId="0" fillId="0" borderId="0" xfId="1" applyNumberFormat="1" applyFont="1" applyFill="1" applyAlignment="1" applyProtection="1">
      <alignment horizontal="center" vertical="center"/>
      <protection locked="0"/>
    </xf>
    <xf numFmtId="167" fontId="1" fillId="0" borderId="0" xfId="1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horizontal="center" vertical="top" wrapText="1"/>
    </xf>
    <xf numFmtId="167" fontId="3" fillId="0" borderId="0" xfId="1" applyNumberFormat="1" applyFont="1" applyAlignment="1" applyProtection="1">
      <alignment horizontal="center" vertical="top" wrapText="1"/>
    </xf>
    <xf numFmtId="167" fontId="3" fillId="0" borderId="0" xfId="0" applyNumberFormat="1" applyFont="1" applyAlignment="1" applyProtection="1">
      <alignment horizontal="center" vertical="top" wrapText="1"/>
    </xf>
    <xf numFmtId="0" fontId="4" fillId="0" borderId="0" xfId="0" applyFont="1" applyAlignment="1" applyProtection="1">
      <alignment vertical="center" wrapText="1"/>
    </xf>
    <xf numFmtId="173" fontId="0" fillId="11" borderId="2" xfId="1" applyNumberFormat="1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Border="1" applyProtection="1"/>
    <xf numFmtId="0" fontId="20" fillId="0" borderId="0" xfId="0" applyFont="1" applyProtection="1"/>
    <xf numFmtId="0" fontId="0" fillId="0" borderId="2" xfId="0" applyBorder="1" applyAlignment="1" applyProtection="1">
      <alignment horizontal="right"/>
    </xf>
    <xf numFmtId="0" fontId="0" fillId="0" borderId="10" xfId="0" quotePrefix="1" applyBorder="1" applyAlignment="1" applyProtection="1">
      <alignment horizontal="center"/>
    </xf>
    <xf numFmtId="0" fontId="0" fillId="0" borderId="10" xfId="0" applyBorder="1" applyProtection="1"/>
    <xf numFmtId="0" fontId="0" fillId="0" borderId="2" xfId="0" applyFont="1" applyBorder="1" applyAlignment="1" applyProtection="1">
      <alignment horizontal="right"/>
    </xf>
    <xf numFmtId="0" fontId="0" fillId="0" borderId="10" xfId="0" applyFont="1" applyBorder="1" applyProtection="1"/>
    <xf numFmtId="0" fontId="2" fillId="0" borderId="0" xfId="0" applyFont="1" applyBorder="1" applyProtection="1"/>
    <xf numFmtId="0" fontId="0" fillId="0" borderId="0" xfId="0" applyAlignment="1" applyProtection="1">
      <alignment horizontal="right"/>
    </xf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Protection="1"/>
    <xf numFmtId="0" fontId="20" fillId="0" borderId="0" xfId="0" applyNumberFormat="1" applyFont="1" applyProtection="1"/>
    <xf numFmtId="0" fontId="0" fillId="0" borderId="11" xfId="0" applyBorder="1" applyProtection="1"/>
    <xf numFmtId="0" fontId="2" fillId="0" borderId="2" xfId="0" applyFont="1" applyBorder="1" applyAlignment="1" applyProtection="1">
      <alignment horizontal="right"/>
    </xf>
    <xf numFmtId="0" fontId="2" fillId="0" borderId="10" xfId="0" applyFont="1" applyBorder="1" applyProtection="1"/>
    <xf numFmtId="0" fontId="0" fillId="0" borderId="0" xfId="0" applyAlignment="1" applyProtection="1"/>
    <xf numFmtId="0" fontId="0" fillId="0" borderId="0" xfId="0" applyBorder="1" applyAlignment="1" applyProtection="1"/>
    <xf numFmtId="164" fontId="7" fillId="0" borderId="0" xfId="2" quotePrefix="1" applyFont="1" applyBorder="1" applyAlignment="1" applyProtection="1">
      <alignment horizontal="center"/>
    </xf>
    <xf numFmtId="164" fontId="21" fillId="0" borderId="0" xfId="2" quotePrefix="1" applyFont="1" applyBorder="1" applyAlignment="1" applyProtection="1">
      <alignment horizontal="center"/>
    </xf>
    <xf numFmtId="166" fontId="0" fillId="0" borderId="0" xfId="0" applyNumberFormat="1" applyFont="1" applyAlignment="1" applyProtection="1">
      <alignment horizontal="right"/>
    </xf>
    <xf numFmtId="10" fontId="0" fillId="0" borderId="0" xfId="1" applyNumberFormat="1" applyFont="1" applyBorder="1" applyAlignment="1" applyProtection="1">
      <alignment horizontal="center"/>
    </xf>
    <xf numFmtId="168" fontId="0" fillId="0" borderId="0" xfId="2" applyNumberFormat="1" applyFont="1" applyBorder="1" applyProtection="1"/>
    <xf numFmtId="10" fontId="20" fillId="0" borderId="0" xfId="1" applyNumberFormat="1" applyFont="1" applyBorder="1" applyProtection="1"/>
    <xf numFmtId="164" fontId="0" fillId="0" borderId="0" xfId="2" applyFont="1" applyProtection="1"/>
    <xf numFmtId="0" fontId="0" fillId="0" borderId="0" xfId="0" applyAlignment="1" applyProtection="1">
      <alignment horizontal="left"/>
    </xf>
    <xf numFmtId="14" fontId="20" fillId="0" borderId="0" xfId="0" applyNumberFormat="1" applyFont="1" applyProtection="1"/>
    <xf numFmtId="14" fontId="24" fillId="0" borderId="0" xfId="0" applyNumberFormat="1" applyFont="1" applyAlignment="1" applyProtection="1">
      <alignment horizontal="left"/>
    </xf>
    <xf numFmtId="14" fontId="0" fillId="0" borderId="0" xfId="0" applyNumberFormat="1" applyBorder="1" applyProtection="1"/>
    <xf numFmtId="0" fontId="23" fillId="0" borderId="0" xfId="0" applyFont="1" applyProtection="1"/>
    <xf numFmtId="0" fontId="23" fillId="0" borderId="0" xfId="0" applyFont="1" applyBorder="1" applyProtection="1"/>
    <xf numFmtId="166" fontId="3" fillId="0" borderId="0" xfId="0" applyNumberFormat="1" applyFont="1" applyAlignment="1" applyProtection="1">
      <alignment horizontal="center" vertical="top" wrapText="1"/>
    </xf>
    <xf numFmtId="166" fontId="0" fillId="0" borderId="0" xfId="0" applyNumberFormat="1" applyFont="1" applyAlignment="1" applyProtection="1">
      <alignment horizontal="center" vertical="center"/>
      <protection locked="0"/>
    </xf>
    <xf numFmtId="166" fontId="0" fillId="3" borderId="0" xfId="0" applyNumberFormat="1" applyFont="1" applyFill="1" applyAlignment="1" applyProtection="1">
      <alignment horizontal="center" vertical="center"/>
      <protection locked="0"/>
    </xf>
    <xf numFmtId="166" fontId="0" fillId="0" borderId="0" xfId="0" applyNumberFormat="1" applyFont="1" applyFill="1" applyAlignment="1" applyProtection="1">
      <alignment horizontal="center" vertical="center"/>
      <protection locked="0"/>
    </xf>
    <xf numFmtId="172" fontId="1" fillId="4" borderId="3" xfId="3" applyNumberFormat="1" applyFont="1" applyFill="1" applyBorder="1" applyAlignment="1" applyProtection="1">
      <alignment horizontal="center"/>
    </xf>
    <xf numFmtId="172" fontId="1" fillId="4" borderId="4" xfId="3" applyNumberFormat="1" applyFont="1" applyFill="1" applyBorder="1" applyAlignment="1" applyProtection="1">
      <alignment horizontal="center"/>
    </xf>
    <xf numFmtId="172" fontId="1" fillId="4" borderId="5" xfId="3" applyNumberFormat="1" applyFont="1" applyFill="1" applyBorder="1" applyAlignment="1" applyProtection="1">
      <alignment horizontal="center"/>
    </xf>
    <xf numFmtId="165" fontId="0" fillId="4" borderId="2" xfId="3" applyFont="1" applyFill="1" applyBorder="1" applyAlignment="1" applyProtection="1">
      <alignment horizontal="right"/>
    </xf>
    <xf numFmtId="165" fontId="2" fillId="4" borderId="3" xfId="3" applyFont="1" applyFill="1" applyBorder="1" applyAlignment="1" applyProtection="1">
      <alignment horizontal="right"/>
    </xf>
    <xf numFmtId="165" fontId="2" fillId="4" borderId="4" xfId="3" applyFont="1" applyFill="1" applyBorder="1" applyAlignment="1" applyProtection="1">
      <alignment horizontal="right"/>
    </xf>
    <xf numFmtId="165" fontId="2" fillId="4" borderId="5" xfId="3" applyFont="1" applyFill="1" applyBorder="1" applyAlignment="1" applyProtection="1">
      <alignment horizontal="right"/>
    </xf>
    <xf numFmtId="164" fontId="5" fillId="11" borderId="3" xfId="2" quotePrefix="1" applyFont="1" applyFill="1" applyBorder="1" applyAlignment="1" applyProtection="1">
      <alignment horizontal="center" vertical="top"/>
      <protection locked="0"/>
    </xf>
    <xf numFmtId="164" fontId="5" fillId="11" borderId="4" xfId="2" quotePrefix="1" applyFont="1" applyFill="1" applyBorder="1" applyAlignment="1" applyProtection="1">
      <alignment horizontal="center" vertical="top"/>
      <protection locked="0"/>
    </xf>
    <xf numFmtId="164" fontId="5" fillId="11" borderId="5" xfId="2" quotePrefix="1" applyFont="1" applyFill="1" applyBorder="1" applyAlignment="1" applyProtection="1">
      <alignment horizontal="center" vertical="top"/>
      <protection locked="0"/>
    </xf>
    <xf numFmtId="14" fontId="0" fillId="11" borderId="3" xfId="0" applyNumberFormat="1" applyFont="1" applyFill="1" applyBorder="1" applyAlignment="1" applyProtection="1">
      <alignment horizontal="center"/>
    </xf>
    <xf numFmtId="14" fontId="0" fillId="11" borderId="4" xfId="0" applyNumberFormat="1" applyFont="1" applyFill="1" applyBorder="1" applyAlignment="1" applyProtection="1">
      <alignment horizontal="center"/>
    </xf>
    <xf numFmtId="14" fontId="0" fillId="11" borderId="5" xfId="0" applyNumberFormat="1" applyFont="1" applyFill="1" applyBorder="1" applyAlignment="1" applyProtection="1">
      <alignment horizontal="center"/>
    </xf>
    <xf numFmtId="172" fontId="1" fillId="11" borderId="3" xfId="3" applyNumberFormat="1" applyFont="1" applyFill="1" applyBorder="1" applyAlignment="1" applyProtection="1">
      <alignment horizontal="center"/>
    </xf>
    <xf numFmtId="172" fontId="1" fillId="11" borderId="4" xfId="3" applyNumberFormat="1" applyFont="1" applyFill="1" applyBorder="1" applyAlignment="1" applyProtection="1">
      <alignment horizontal="center"/>
    </xf>
    <xf numFmtId="172" fontId="1" fillId="11" borderId="5" xfId="3" applyNumberFormat="1" applyFont="1" applyFill="1" applyBorder="1" applyAlignment="1" applyProtection="1">
      <alignment horizontal="center"/>
    </xf>
    <xf numFmtId="167" fontId="1" fillId="4" borderId="3" xfId="1" applyNumberFormat="1" applyFont="1" applyFill="1" applyBorder="1" applyAlignment="1" applyProtection="1">
      <alignment horizontal="center"/>
    </xf>
    <xf numFmtId="167" fontId="1" fillId="4" borderId="4" xfId="1" applyNumberFormat="1" applyFont="1" applyFill="1" applyBorder="1" applyAlignment="1" applyProtection="1">
      <alignment horizontal="center"/>
    </xf>
    <xf numFmtId="167" fontId="1" fillId="4" borderId="5" xfId="1" applyNumberFormat="1" applyFont="1" applyFill="1" applyBorder="1" applyAlignment="1" applyProtection="1">
      <alignment horizontal="center"/>
    </xf>
    <xf numFmtId="172" fontId="1" fillId="11" borderId="3" xfId="3" applyNumberFormat="1" applyFont="1" applyFill="1" applyBorder="1" applyAlignment="1" applyProtection="1">
      <alignment horizontal="center"/>
      <protection locked="0"/>
    </xf>
    <xf numFmtId="172" fontId="1" fillId="11" borderId="4" xfId="3" applyNumberFormat="1" applyFont="1" applyFill="1" applyBorder="1" applyAlignment="1" applyProtection="1">
      <alignment horizontal="center"/>
      <protection locked="0"/>
    </xf>
    <xf numFmtId="172" fontId="1" fillId="11" borderId="5" xfId="3" applyNumberFormat="1" applyFont="1" applyFill="1" applyBorder="1" applyAlignment="1" applyProtection="1">
      <alignment horizontal="center"/>
      <protection locked="0"/>
    </xf>
    <xf numFmtId="14" fontId="0" fillId="11" borderId="3" xfId="0" applyNumberFormat="1" applyFont="1" applyFill="1" applyBorder="1" applyAlignment="1" applyProtection="1">
      <alignment horizontal="center"/>
      <protection locked="0"/>
    </xf>
    <xf numFmtId="14" fontId="0" fillId="11" borderId="4" xfId="0" applyNumberFormat="1" applyFont="1" applyFill="1" applyBorder="1" applyAlignment="1" applyProtection="1">
      <alignment horizontal="center"/>
      <protection locked="0"/>
    </xf>
    <xf numFmtId="14" fontId="0" fillId="11" borderId="5" xfId="0" applyNumberFormat="1" applyFont="1" applyFill="1" applyBorder="1" applyAlignment="1" applyProtection="1">
      <alignment horizontal="center"/>
      <protection locked="0"/>
    </xf>
    <xf numFmtId="0" fontId="15" fillId="9" borderId="0" xfId="0" applyFont="1" applyFill="1" applyAlignment="1">
      <alignment horizontal="center" vertical="top" textRotation="90"/>
    </xf>
    <xf numFmtId="0" fontId="17" fillId="6" borderId="0" xfId="0" applyFont="1" applyFill="1" applyAlignment="1">
      <alignment horizontal="center" vertical="top" textRotation="90"/>
    </xf>
    <xf numFmtId="0" fontId="16" fillId="7" borderId="0" xfId="0" applyFont="1" applyFill="1" applyAlignment="1">
      <alignment horizontal="center" vertical="top" textRotation="90"/>
    </xf>
    <xf numFmtId="0" fontId="18" fillId="8" borderId="0" xfId="0" applyFont="1" applyFill="1" applyAlignment="1">
      <alignment horizontal="center" vertical="top" textRotation="90"/>
    </xf>
  </cellXfs>
  <cellStyles count="6">
    <cellStyle name="Hiperlink" xfId="5" builtinId="8"/>
    <cellStyle name="Moeda" xfId="3" builtinId="4"/>
    <cellStyle name="Normal" xfId="0" builtinId="0"/>
    <cellStyle name="Porcentagem" xfId="1" builtinId="5"/>
    <cellStyle name="Vírgula" xfId="2" builtinId="3"/>
    <cellStyle name="Vírgula 2" xfId="4" xr:uid="{00000000-0005-0000-0000-000005000000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623360"/>
        <c:axId val="1514624896"/>
      </c:lineChart>
      <c:catAx>
        <c:axId val="1514623360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crossAx val="1514624896"/>
        <c:crosses val="autoZero"/>
        <c:auto val="1"/>
        <c:lblAlgn val="ctr"/>
        <c:lblOffset val="100"/>
        <c:noMultiLvlLbl val="0"/>
      </c:catAx>
      <c:valAx>
        <c:axId val="15146248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514623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ÍNDICES</a:t>
            </a:r>
            <a:r>
              <a:rPr lang="pt-BR" baseline="0"/>
              <a:t> ACUMULADOS</a:t>
            </a:r>
            <a:endParaRPr lang="pt-BR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CÁLCULO!$J$14</c:f>
              <c:strCache>
                <c:ptCount val="1"/>
                <c:pt idx="0">
                  <c:v> % INCC-M </c:v>
                </c:pt>
              </c:strCache>
            </c:strRef>
          </c:tx>
          <c:spPr>
            <a:ln w="22225">
              <a:solidFill>
                <a:schemeClr val="accent4">
                  <a:lumMod val="75000"/>
                </a:schemeClr>
              </a:solidFill>
            </a:ln>
            <a:effectLst/>
          </c:spPr>
          <c:marker>
            <c:symbol val="none"/>
          </c:marker>
          <c:cat>
            <c:numRef>
              <c:f>[0]!Periodos</c:f>
              <c:numCache>
                <c:formatCode>[$-416]mmm\-yy;@</c:formatCode>
                <c:ptCount val="12"/>
                <c:pt idx="0">
                  <c:v>42978</c:v>
                </c:pt>
                <c:pt idx="1">
                  <c:v>43008</c:v>
                </c:pt>
                <c:pt idx="2">
                  <c:v>43039</c:v>
                </c:pt>
                <c:pt idx="3">
                  <c:v>43069</c:v>
                </c:pt>
                <c:pt idx="4">
                  <c:v>43100</c:v>
                </c:pt>
                <c:pt idx="5">
                  <c:v>43131</c:v>
                </c:pt>
                <c:pt idx="6">
                  <c:v>43159</c:v>
                </c:pt>
                <c:pt idx="7">
                  <c:v>43190</c:v>
                </c:pt>
                <c:pt idx="8">
                  <c:v>43220</c:v>
                </c:pt>
                <c:pt idx="9">
                  <c:v>43251</c:v>
                </c:pt>
                <c:pt idx="10">
                  <c:v>43281</c:v>
                </c:pt>
                <c:pt idx="11">
                  <c:v>43312</c:v>
                </c:pt>
              </c:numCache>
            </c:numRef>
          </c:cat>
          <c:val>
            <c:numRef>
              <c:f>CÁLCULO!$L$15:$L$200</c:f>
              <c:numCache>
                <c:formatCode>0.00%</c:formatCode>
                <c:ptCount val="186"/>
                <c:pt idx="0">
                  <c:v>4.0000000000000036E-3</c:v>
                </c:pt>
                <c:pt idx="1">
                  <c:v>5.4056000000000104E-3</c:v>
                </c:pt>
                <c:pt idx="2">
                  <c:v>7.315870640000055E-3</c:v>
                </c:pt>
                <c:pt idx="3">
                  <c:v>1.0136355077791981E-2</c:v>
                </c:pt>
                <c:pt idx="4">
                  <c:v>1.1550545974901016E-2</c:v>
                </c:pt>
                <c:pt idx="5">
                  <c:v>1.4382887503630704E-2</c:v>
                </c:pt>
                <c:pt idx="6">
                  <c:v>1.5803023546135941E-2</c:v>
                </c:pt>
                <c:pt idx="7">
                  <c:v>1.8139370500292129E-2</c:v>
                </c:pt>
                <c:pt idx="8">
                  <c:v>2.0990160737692776E-2</c:v>
                </c:pt>
                <c:pt idx="9">
                  <c:v>2.405313121990571E-2</c:v>
                </c:pt>
                <c:pt idx="10">
                  <c:v>3.1835935017177075E-2</c:v>
                </c:pt>
                <c:pt idx="11">
                  <c:v>3.9265153749300952E-2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C-4BDC-B1BF-89CB90F8CBFE}"/>
            </c:ext>
          </c:extLst>
        </c:ser>
        <c:ser>
          <c:idx val="1"/>
          <c:order val="1"/>
          <c:tx>
            <c:strRef>
              <c:f>CÁLCULO!$E$14</c:f>
              <c:strCache>
                <c:ptCount val="1"/>
                <c:pt idx="0">
                  <c:v> % IGP-M </c:v>
                </c:pt>
              </c:strCache>
            </c:strRef>
          </c:tx>
          <c:spPr>
            <a:ln w="22225">
              <a:solidFill>
                <a:schemeClr val="accent5">
                  <a:lumMod val="75000"/>
                </a:schemeClr>
              </a:solidFill>
            </a:ln>
            <a:effectLst/>
          </c:spPr>
          <c:marker>
            <c:symbol val="square"/>
            <c:size val="4"/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cat>
            <c:numRef>
              <c:f>[0]!Periodos</c:f>
              <c:numCache>
                <c:formatCode>[$-416]mmm\-yy;@</c:formatCode>
                <c:ptCount val="12"/>
                <c:pt idx="0">
                  <c:v>42978</c:v>
                </c:pt>
                <c:pt idx="1">
                  <c:v>43008</c:v>
                </c:pt>
                <c:pt idx="2">
                  <c:v>43039</c:v>
                </c:pt>
                <c:pt idx="3">
                  <c:v>43069</c:v>
                </c:pt>
                <c:pt idx="4">
                  <c:v>43100</c:v>
                </c:pt>
                <c:pt idx="5">
                  <c:v>43131</c:v>
                </c:pt>
                <c:pt idx="6">
                  <c:v>43159</c:v>
                </c:pt>
                <c:pt idx="7">
                  <c:v>43190</c:v>
                </c:pt>
                <c:pt idx="8">
                  <c:v>43220</c:v>
                </c:pt>
                <c:pt idx="9">
                  <c:v>43251</c:v>
                </c:pt>
                <c:pt idx="10">
                  <c:v>43281</c:v>
                </c:pt>
                <c:pt idx="11">
                  <c:v>43312</c:v>
                </c:pt>
              </c:numCache>
            </c:numRef>
          </c:cat>
          <c:val>
            <c:numRef>
              <c:f>CÁLCULO!$G$15:$G$200</c:f>
              <c:numCache>
                <c:formatCode>0.00%</c:formatCode>
                <c:ptCount val="186"/>
                <c:pt idx="0">
                  <c:v>9.9999999999988987E-4</c:v>
                </c:pt>
                <c:pt idx="1">
                  <c:v>5.704699999999896E-3</c:v>
                </c:pt>
                <c:pt idx="2">
                  <c:v>7.7161094000000041E-3</c:v>
                </c:pt>
                <c:pt idx="3">
                  <c:v>1.2956233168880171E-2</c:v>
                </c:pt>
                <c:pt idx="4">
                  <c:v>2.1971543644083047E-2</c:v>
                </c:pt>
                <c:pt idx="5">
                  <c:v>2.9738527375778201E-2</c:v>
                </c:pt>
                <c:pt idx="6">
                  <c:v>3.0459344344941242E-2</c:v>
                </c:pt>
                <c:pt idx="7">
                  <c:v>3.7054284148748895E-2</c:v>
                </c:pt>
                <c:pt idx="8">
                  <c:v>4.296549356839674E-2</c:v>
                </c:pt>
                <c:pt idx="9">
                  <c:v>5.7358417379640647E-2</c:v>
                </c:pt>
                <c:pt idx="10">
                  <c:v>7.7131019784639765E-2</c:v>
                </c:pt>
                <c:pt idx="11">
                  <c:v>8.2624387985541503E-2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4C-4BDC-B1BF-89CB90F8CBFE}"/>
            </c:ext>
          </c:extLst>
        </c:ser>
        <c:ser>
          <c:idx val="2"/>
          <c:order val="2"/>
          <c:tx>
            <c:strRef>
              <c:f>CÁLCULO!$O$14</c:f>
              <c:strCache>
                <c:ptCount val="1"/>
                <c:pt idx="0">
                  <c:v> % IPCA </c:v>
                </c:pt>
              </c:strCache>
            </c:strRef>
          </c:tx>
          <c:spPr>
            <a:ln w="22225">
              <a:solidFill>
                <a:schemeClr val="accent3">
                  <a:lumMod val="50000"/>
                </a:schemeClr>
              </a:solidFill>
            </a:ln>
            <a:effectLst>
              <a:glow rad="38100">
                <a:schemeClr val="accent3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[0]!Periodos</c:f>
              <c:numCache>
                <c:formatCode>[$-416]mmm\-yy;@</c:formatCode>
                <c:ptCount val="12"/>
                <c:pt idx="0">
                  <c:v>42978</c:v>
                </c:pt>
                <c:pt idx="1">
                  <c:v>43008</c:v>
                </c:pt>
                <c:pt idx="2">
                  <c:v>43039</c:v>
                </c:pt>
                <c:pt idx="3">
                  <c:v>43069</c:v>
                </c:pt>
                <c:pt idx="4">
                  <c:v>43100</c:v>
                </c:pt>
                <c:pt idx="5">
                  <c:v>43131</c:v>
                </c:pt>
                <c:pt idx="6">
                  <c:v>43159</c:v>
                </c:pt>
                <c:pt idx="7">
                  <c:v>43190</c:v>
                </c:pt>
                <c:pt idx="8">
                  <c:v>43220</c:v>
                </c:pt>
                <c:pt idx="9">
                  <c:v>43251</c:v>
                </c:pt>
                <c:pt idx="10">
                  <c:v>43281</c:v>
                </c:pt>
                <c:pt idx="11">
                  <c:v>43312</c:v>
                </c:pt>
              </c:numCache>
            </c:numRef>
          </c:cat>
          <c:val>
            <c:numRef>
              <c:f>CÁLCULO!$Q$15:$Q$200</c:f>
              <c:numCache>
                <c:formatCode>0.00%</c:formatCode>
                <c:ptCount val="186"/>
                <c:pt idx="0">
                  <c:v>1.9000000000000128E-3</c:v>
                </c:pt>
                <c:pt idx="1">
                  <c:v>3.5030400000000128E-3</c:v>
                </c:pt>
                <c:pt idx="2">
                  <c:v>7.7177527679999081E-3</c:v>
                </c:pt>
                <c:pt idx="3">
                  <c:v>1.0539362475750158E-2</c:v>
                </c:pt>
                <c:pt idx="4">
                  <c:v>1.4985735670643319E-2</c:v>
                </c:pt>
                <c:pt idx="5">
                  <c:v>1.7929194304088014E-2</c:v>
                </c:pt>
                <c:pt idx="6">
                  <c:v>2.1186567725861138E-2</c:v>
                </c:pt>
                <c:pt idx="7">
                  <c:v>2.2105635636814336E-2</c:v>
                </c:pt>
                <c:pt idx="8">
                  <c:v>2.4354268035215343E-2</c:v>
                </c:pt>
                <c:pt idx="9">
                  <c:v>2.8451685107356184E-2</c:v>
                </c:pt>
                <c:pt idx="10">
                  <c:v>4.1410176339708782E-2</c:v>
                </c:pt>
                <c:pt idx="11">
                  <c:v>4.4846829921629805E-2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4C-4BDC-B1BF-89CB90F8CBFE}"/>
            </c:ext>
          </c:extLst>
        </c:ser>
        <c:ser>
          <c:idx val="3"/>
          <c:order val="3"/>
          <c:tx>
            <c:strRef>
              <c:f>CÁLCULO!$T$14</c:f>
              <c:strCache>
                <c:ptCount val="1"/>
                <c:pt idx="0">
                  <c:v> % INPC </c:v>
                </c:pt>
              </c:strCache>
            </c:strRef>
          </c:tx>
          <c:spPr>
            <a:ln w="22225">
              <a:solidFill>
                <a:schemeClr val="accent6">
                  <a:lumMod val="50000"/>
                </a:schemeClr>
              </a:solidFill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square"/>
            <c:size val="4"/>
            <c:spPr>
              <a:solidFill>
                <a:schemeClr val="accent6">
                  <a:lumMod val="75000"/>
                </a:schemeClr>
              </a:solidFill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c:spPr>
          </c:marker>
          <c:cat>
            <c:numRef>
              <c:f>[0]!Periodos</c:f>
              <c:numCache>
                <c:formatCode>[$-416]mmm\-yy;@</c:formatCode>
                <c:ptCount val="12"/>
                <c:pt idx="0">
                  <c:v>42978</c:v>
                </c:pt>
                <c:pt idx="1">
                  <c:v>43008</c:v>
                </c:pt>
                <c:pt idx="2">
                  <c:v>43039</c:v>
                </c:pt>
                <c:pt idx="3">
                  <c:v>43069</c:v>
                </c:pt>
                <c:pt idx="4">
                  <c:v>43100</c:v>
                </c:pt>
                <c:pt idx="5">
                  <c:v>43131</c:v>
                </c:pt>
                <c:pt idx="6">
                  <c:v>43159</c:v>
                </c:pt>
                <c:pt idx="7">
                  <c:v>43190</c:v>
                </c:pt>
                <c:pt idx="8">
                  <c:v>43220</c:v>
                </c:pt>
                <c:pt idx="9">
                  <c:v>43251</c:v>
                </c:pt>
                <c:pt idx="10">
                  <c:v>43281</c:v>
                </c:pt>
                <c:pt idx="11">
                  <c:v>43312</c:v>
                </c:pt>
              </c:numCache>
            </c:numRef>
          </c:cat>
          <c:val>
            <c:numRef>
              <c:f>CÁLCULO!$V$15:$V$200</c:f>
              <c:numCache>
                <c:formatCode>0.00%</c:formatCode>
                <c:ptCount val="186"/>
                <c:pt idx="0">
                  <c:v>-2.9999999999996696E-4</c:v>
                </c:pt>
                <c:pt idx="1">
                  <c:v>-4.9993999999997651E-4</c:v>
                </c:pt>
                <c:pt idx="2">
                  <c:v>3.1982102220000641E-3</c:v>
                </c:pt>
                <c:pt idx="3">
                  <c:v>5.0039670003996228E-3</c:v>
                </c:pt>
                <c:pt idx="4">
                  <c:v>7.6169773146006481E-3</c:v>
                </c:pt>
                <c:pt idx="5">
                  <c:v>9.9344963624241611E-3</c:v>
                </c:pt>
                <c:pt idx="6">
                  <c:v>1.1752378455876622E-2</c:v>
                </c:pt>
                <c:pt idx="7">
                  <c:v>1.2460605120795609E-2</c:v>
                </c:pt>
                <c:pt idx="8">
                  <c:v>1.4586772391549374E-2</c:v>
                </c:pt>
                <c:pt idx="9">
                  <c:v>1.8949495512833092E-2</c:v>
                </c:pt>
                <c:pt idx="10">
                  <c:v>3.3520473298666476E-2</c:v>
                </c:pt>
                <c:pt idx="11">
                  <c:v>3.6104274481913112E-2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4C-4BDC-B1BF-89CB90F8C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077440"/>
        <c:axId val="922088192"/>
      </c:lineChart>
      <c:dateAx>
        <c:axId val="922077440"/>
        <c:scaling>
          <c:orientation val="minMax"/>
        </c:scaling>
        <c:delete val="0"/>
        <c:axPos val="b"/>
        <c:majorGridlines/>
        <c:numFmt formatCode="[$-416]mmm\-yy;@" sourceLinked="0"/>
        <c:majorTickMark val="none"/>
        <c:minorTickMark val="none"/>
        <c:tickLblPos val="nextTo"/>
        <c:crossAx val="922088192"/>
        <c:crosses val="autoZero"/>
        <c:auto val="1"/>
        <c:lblOffset val="100"/>
        <c:baseTimeUnit val="months"/>
      </c:dateAx>
      <c:valAx>
        <c:axId val="92208819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922077440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35" l="0.51181102362204722" r="0.2" t="0.35" header="0.31496062992125984" footer="0.17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'Dólar x IGP-M (2)'!$J$1</c:f>
              <c:strCache>
                <c:ptCount val="1"/>
                <c:pt idx="0">
                  <c:v>DÓLAR</c:v>
                </c:pt>
              </c:strCache>
            </c:strRef>
          </c:tx>
          <c:marker>
            <c:symbol val="none"/>
          </c:marker>
          <c:cat>
            <c:numRef>
              <c:f>'Dólar x IGP-M (2)'!$B$3:$B$173</c:f>
              <c:numCache>
                <c:formatCode>m/d/yyyy</c:formatCode>
                <c:ptCount val="171"/>
                <c:pt idx="0">
                  <c:v>34515</c:v>
                </c:pt>
                <c:pt idx="1">
                  <c:v>34546</c:v>
                </c:pt>
                <c:pt idx="2">
                  <c:v>34577</c:v>
                </c:pt>
                <c:pt idx="3">
                  <c:v>34607</c:v>
                </c:pt>
                <c:pt idx="4">
                  <c:v>34638</c:v>
                </c:pt>
                <c:pt idx="5">
                  <c:v>34668</c:v>
                </c:pt>
                <c:pt idx="6">
                  <c:v>34699</c:v>
                </c:pt>
                <c:pt idx="7">
                  <c:v>34730</c:v>
                </c:pt>
                <c:pt idx="8">
                  <c:v>34758</c:v>
                </c:pt>
                <c:pt idx="9">
                  <c:v>34789</c:v>
                </c:pt>
                <c:pt idx="10">
                  <c:v>34819</c:v>
                </c:pt>
                <c:pt idx="11">
                  <c:v>34850</c:v>
                </c:pt>
                <c:pt idx="12">
                  <c:v>34880</c:v>
                </c:pt>
                <c:pt idx="13">
                  <c:v>34911</c:v>
                </c:pt>
                <c:pt idx="14">
                  <c:v>34942</c:v>
                </c:pt>
                <c:pt idx="15">
                  <c:v>34972</c:v>
                </c:pt>
                <c:pt idx="16">
                  <c:v>35003</c:v>
                </c:pt>
                <c:pt idx="17">
                  <c:v>35033</c:v>
                </c:pt>
                <c:pt idx="18">
                  <c:v>35064</c:v>
                </c:pt>
                <c:pt idx="19">
                  <c:v>35095</c:v>
                </c:pt>
                <c:pt idx="20">
                  <c:v>35124</c:v>
                </c:pt>
                <c:pt idx="21">
                  <c:v>35155</c:v>
                </c:pt>
                <c:pt idx="22">
                  <c:v>35185</c:v>
                </c:pt>
                <c:pt idx="23">
                  <c:v>35216</c:v>
                </c:pt>
                <c:pt idx="24">
                  <c:v>35246</c:v>
                </c:pt>
                <c:pt idx="25">
                  <c:v>35277</c:v>
                </c:pt>
                <c:pt idx="26">
                  <c:v>35308</c:v>
                </c:pt>
                <c:pt idx="27">
                  <c:v>35338</c:v>
                </c:pt>
                <c:pt idx="28">
                  <c:v>35369</c:v>
                </c:pt>
                <c:pt idx="29">
                  <c:v>35399</c:v>
                </c:pt>
                <c:pt idx="30">
                  <c:v>35430</c:v>
                </c:pt>
                <c:pt idx="31">
                  <c:v>35461</c:v>
                </c:pt>
                <c:pt idx="32">
                  <c:v>35489</c:v>
                </c:pt>
                <c:pt idx="33">
                  <c:v>35520</c:v>
                </c:pt>
                <c:pt idx="34">
                  <c:v>35550</c:v>
                </c:pt>
                <c:pt idx="35">
                  <c:v>35581</c:v>
                </c:pt>
                <c:pt idx="36">
                  <c:v>35611</c:v>
                </c:pt>
                <c:pt idx="37">
                  <c:v>35642</c:v>
                </c:pt>
                <c:pt idx="38">
                  <c:v>35673</c:v>
                </c:pt>
                <c:pt idx="39">
                  <c:v>35703</c:v>
                </c:pt>
                <c:pt idx="40">
                  <c:v>35734</c:v>
                </c:pt>
                <c:pt idx="41">
                  <c:v>35764</c:v>
                </c:pt>
                <c:pt idx="42">
                  <c:v>35795</c:v>
                </c:pt>
                <c:pt idx="43">
                  <c:v>35826</c:v>
                </c:pt>
                <c:pt idx="44">
                  <c:v>35854</c:v>
                </c:pt>
                <c:pt idx="45">
                  <c:v>35885</c:v>
                </c:pt>
                <c:pt idx="46">
                  <c:v>35915</c:v>
                </c:pt>
                <c:pt idx="47">
                  <c:v>35946</c:v>
                </c:pt>
                <c:pt idx="48">
                  <c:v>35976</c:v>
                </c:pt>
                <c:pt idx="49">
                  <c:v>36007</c:v>
                </c:pt>
                <c:pt idx="50">
                  <c:v>36038</c:v>
                </c:pt>
                <c:pt idx="51">
                  <c:v>36068</c:v>
                </c:pt>
                <c:pt idx="52">
                  <c:v>36099</c:v>
                </c:pt>
                <c:pt idx="53">
                  <c:v>36129</c:v>
                </c:pt>
                <c:pt idx="54">
                  <c:v>36160</c:v>
                </c:pt>
                <c:pt idx="55">
                  <c:v>36191</c:v>
                </c:pt>
                <c:pt idx="56">
                  <c:v>36219</c:v>
                </c:pt>
                <c:pt idx="57">
                  <c:v>36250</c:v>
                </c:pt>
                <c:pt idx="58">
                  <c:v>36280</c:v>
                </c:pt>
                <c:pt idx="59">
                  <c:v>36311</c:v>
                </c:pt>
                <c:pt idx="60">
                  <c:v>36341</c:v>
                </c:pt>
                <c:pt idx="61">
                  <c:v>36372</c:v>
                </c:pt>
                <c:pt idx="62">
                  <c:v>36403</c:v>
                </c:pt>
                <c:pt idx="63">
                  <c:v>36433</c:v>
                </c:pt>
                <c:pt idx="64">
                  <c:v>36464</c:v>
                </c:pt>
                <c:pt idx="65">
                  <c:v>36494</c:v>
                </c:pt>
                <c:pt idx="66">
                  <c:v>36525</c:v>
                </c:pt>
                <c:pt idx="67">
                  <c:v>36556</c:v>
                </c:pt>
                <c:pt idx="68">
                  <c:v>36585</c:v>
                </c:pt>
                <c:pt idx="69">
                  <c:v>36616</c:v>
                </c:pt>
                <c:pt idx="70">
                  <c:v>36646</c:v>
                </c:pt>
                <c:pt idx="71">
                  <c:v>36677</c:v>
                </c:pt>
                <c:pt idx="72">
                  <c:v>36707</c:v>
                </c:pt>
                <c:pt idx="73">
                  <c:v>36738</c:v>
                </c:pt>
                <c:pt idx="74">
                  <c:v>36769</c:v>
                </c:pt>
                <c:pt idx="75">
                  <c:v>36799</c:v>
                </c:pt>
                <c:pt idx="76">
                  <c:v>36830</c:v>
                </c:pt>
                <c:pt idx="77">
                  <c:v>36860</c:v>
                </c:pt>
                <c:pt idx="78">
                  <c:v>36891</c:v>
                </c:pt>
                <c:pt idx="79">
                  <c:v>36922</c:v>
                </c:pt>
                <c:pt idx="80">
                  <c:v>36950</c:v>
                </c:pt>
                <c:pt idx="81">
                  <c:v>36981</c:v>
                </c:pt>
                <c:pt idx="82">
                  <c:v>37011</c:v>
                </c:pt>
                <c:pt idx="83">
                  <c:v>37042</c:v>
                </c:pt>
                <c:pt idx="84">
                  <c:v>37072</c:v>
                </c:pt>
                <c:pt idx="85">
                  <c:v>37103</c:v>
                </c:pt>
                <c:pt idx="86">
                  <c:v>37134</c:v>
                </c:pt>
                <c:pt idx="87">
                  <c:v>37164</c:v>
                </c:pt>
                <c:pt idx="88">
                  <c:v>37195</c:v>
                </c:pt>
                <c:pt idx="89">
                  <c:v>37225</c:v>
                </c:pt>
                <c:pt idx="90">
                  <c:v>37256</c:v>
                </c:pt>
                <c:pt idx="91">
                  <c:v>37287</c:v>
                </c:pt>
                <c:pt idx="92">
                  <c:v>37315</c:v>
                </c:pt>
                <c:pt idx="93">
                  <c:v>37346</c:v>
                </c:pt>
                <c:pt idx="94">
                  <c:v>37376</c:v>
                </c:pt>
                <c:pt idx="95">
                  <c:v>37407</c:v>
                </c:pt>
                <c:pt idx="96">
                  <c:v>37437</c:v>
                </c:pt>
                <c:pt idx="97">
                  <c:v>37468</c:v>
                </c:pt>
                <c:pt idx="98">
                  <c:v>37499</c:v>
                </c:pt>
                <c:pt idx="99">
                  <c:v>37529</c:v>
                </c:pt>
                <c:pt idx="100">
                  <c:v>37560</c:v>
                </c:pt>
                <c:pt idx="101">
                  <c:v>37590</c:v>
                </c:pt>
                <c:pt idx="102">
                  <c:v>37621</c:v>
                </c:pt>
                <c:pt idx="103">
                  <c:v>37652</c:v>
                </c:pt>
                <c:pt idx="104">
                  <c:v>37680</c:v>
                </c:pt>
                <c:pt idx="105">
                  <c:v>37711</c:v>
                </c:pt>
                <c:pt idx="106">
                  <c:v>37741</c:v>
                </c:pt>
                <c:pt idx="107">
                  <c:v>37772</c:v>
                </c:pt>
                <c:pt idx="108">
                  <c:v>37802</c:v>
                </c:pt>
                <c:pt idx="109">
                  <c:v>37833</c:v>
                </c:pt>
                <c:pt idx="110">
                  <c:v>37864</c:v>
                </c:pt>
                <c:pt idx="111">
                  <c:v>37894</c:v>
                </c:pt>
                <c:pt idx="112">
                  <c:v>37925</c:v>
                </c:pt>
                <c:pt idx="113">
                  <c:v>37955</c:v>
                </c:pt>
                <c:pt idx="114">
                  <c:v>37986</c:v>
                </c:pt>
                <c:pt idx="115">
                  <c:v>38017</c:v>
                </c:pt>
                <c:pt idx="116">
                  <c:v>38046</c:v>
                </c:pt>
                <c:pt idx="117">
                  <c:v>38077</c:v>
                </c:pt>
                <c:pt idx="118">
                  <c:v>38107</c:v>
                </c:pt>
                <c:pt idx="119">
                  <c:v>38138</c:v>
                </c:pt>
                <c:pt idx="120">
                  <c:v>38168</c:v>
                </c:pt>
                <c:pt idx="121">
                  <c:v>38199</c:v>
                </c:pt>
                <c:pt idx="122">
                  <c:v>38230</c:v>
                </c:pt>
                <c:pt idx="123">
                  <c:v>38260</c:v>
                </c:pt>
                <c:pt idx="124">
                  <c:v>38291</c:v>
                </c:pt>
                <c:pt idx="125">
                  <c:v>38321</c:v>
                </c:pt>
                <c:pt idx="126">
                  <c:v>38352</c:v>
                </c:pt>
                <c:pt idx="127">
                  <c:v>38383</c:v>
                </c:pt>
                <c:pt idx="128">
                  <c:v>38411</c:v>
                </c:pt>
                <c:pt idx="129">
                  <c:v>38442</c:v>
                </c:pt>
                <c:pt idx="130">
                  <c:v>38472</c:v>
                </c:pt>
                <c:pt idx="131">
                  <c:v>38503</c:v>
                </c:pt>
                <c:pt idx="132">
                  <c:v>38533</c:v>
                </c:pt>
                <c:pt idx="133">
                  <c:v>38564</c:v>
                </c:pt>
                <c:pt idx="134">
                  <c:v>38595</c:v>
                </c:pt>
                <c:pt idx="135">
                  <c:v>38625</c:v>
                </c:pt>
                <c:pt idx="136">
                  <c:v>38656</c:v>
                </c:pt>
                <c:pt idx="137">
                  <c:v>38686</c:v>
                </c:pt>
                <c:pt idx="138">
                  <c:v>38717</c:v>
                </c:pt>
                <c:pt idx="139">
                  <c:v>38748</c:v>
                </c:pt>
                <c:pt idx="140">
                  <c:v>38776</c:v>
                </c:pt>
                <c:pt idx="141">
                  <c:v>38807</c:v>
                </c:pt>
                <c:pt idx="142">
                  <c:v>38837</c:v>
                </c:pt>
                <c:pt idx="143">
                  <c:v>38868</c:v>
                </c:pt>
                <c:pt idx="144">
                  <c:v>38898</c:v>
                </c:pt>
                <c:pt idx="145">
                  <c:v>38929</c:v>
                </c:pt>
                <c:pt idx="146">
                  <c:v>38960</c:v>
                </c:pt>
                <c:pt idx="147">
                  <c:v>38990</c:v>
                </c:pt>
                <c:pt idx="148">
                  <c:v>39021</c:v>
                </c:pt>
                <c:pt idx="149">
                  <c:v>39051</c:v>
                </c:pt>
                <c:pt idx="150">
                  <c:v>39082</c:v>
                </c:pt>
                <c:pt idx="151">
                  <c:v>39113</c:v>
                </c:pt>
                <c:pt idx="152">
                  <c:v>39141</c:v>
                </c:pt>
                <c:pt idx="153">
                  <c:v>39172</c:v>
                </c:pt>
                <c:pt idx="154">
                  <c:v>39202</c:v>
                </c:pt>
                <c:pt idx="155">
                  <c:v>39233</c:v>
                </c:pt>
                <c:pt idx="156">
                  <c:v>39263</c:v>
                </c:pt>
                <c:pt idx="157">
                  <c:v>39294</c:v>
                </c:pt>
                <c:pt idx="158">
                  <c:v>39325</c:v>
                </c:pt>
                <c:pt idx="159">
                  <c:v>39355</c:v>
                </c:pt>
                <c:pt idx="160">
                  <c:v>39386</c:v>
                </c:pt>
                <c:pt idx="161">
                  <c:v>39416</c:v>
                </c:pt>
                <c:pt idx="162">
                  <c:v>39447</c:v>
                </c:pt>
                <c:pt idx="163">
                  <c:v>39478</c:v>
                </c:pt>
                <c:pt idx="164">
                  <c:v>39507</c:v>
                </c:pt>
                <c:pt idx="165">
                  <c:v>39538</c:v>
                </c:pt>
                <c:pt idx="166">
                  <c:v>39568</c:v>
                </c:pt>
                <c:pt idx="167">
                  <c:v>39599</c:v>
                </c:pt>
                <c:pt idx="168">
                  <c:v>39629</c:v>
                </c:pt>
                <c:pt idx="169">
                  <c:v>39660</c:v>
                </c:pt>
                <c:pt idx="170">
                  <c:v>39691</c:v>
                </c:pt>
              </c:numCache>
            </c:numRef>
          </c:cat>
          <c:val>
            <c:numRef>
              <c:f>'Dólar x IGP-M (2)'!$J$2:$J$173</c:f>
              <c:numCache>
                <c:formatCode>_(* #,##0.0000_);_(* \(#,##0.0000\);_(* "-"??_);_(@_)</c:formatCode>
                <c:ptCount val="1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2B-48B4-AC6B-5618C576AA69}"/>
            </c:ext>
          </c:extLst>
        </c:ser>
        <c:ser>
          <c:idx val="1"/>
          <c:order val="1"/>
          <c:tx>
            <c:strRef>
              <c:f>'Dólar x IGP-M (2)'!$K$1</c:f>
              <c:strCache>
                <c:ptCount val="1"/>
                <c:pt idx="0">
                  <c:v>IGP-M</c:v>
                </c:pt>
              </c:strCache>
            </c:strRef>
          </c:tx>
          <c:marker>
            <c:symbol val="none"/>
          </c:marker>
          <c:cat>
            <c:numRef>
              <c:f>'Dólar x IGP-M (2)'!$B$3:$B$173</c:f>
              <c:numCache>
                <c:formatCode>m/d/yyyy</c:formatCode>
                <c:ptCount val="171"/>
                <c:pt idx="0">
                  <c:v>34515</c:v>
                </c:pt>
                <c:pt idx="1">
                  <c:v>34546</c:v>
                </c:pt>
                <c:pt idx="2">
                  <c:v>34577</c:v>
                </c:pt>
                <c:pt idx="3">
                  <c:v>34607</c:v>
                </c:pt>
                <c:pt idx="4">
                  <c:v>34638</c:v>
                </c:pt>
                <c:pt idx="5">
                  <c:v>34668</c:v>
                </c:pt>
                <c:pt idx="6">
                  <c:v>34699</c:v>
                </c:pt>
                <c:pt idx="7">
                  <c:v>34730</c:v>
                </c:pt>
                <c:pt idx="8">
                  <c:v>34758</c:v>
                </c:pt>
                <c:pt idx="9">
                  <c:v>34789</c:v>
                </c:pt>
                <c:pt idx="10">
                  <c:v>34819</c:v>
                </c:pt>
                <c:pt idx="11">
                  <c:v>34850</c:v>
                </c:pt>
                <c:pt idx="12">
                  <c:v>34880</c:v>
                </c:pt>
                <c:pt idx="13">
                  <c:v>34911</c:v>
                </c:pt>
                <c:pt idx="14">
                  <c:v>34942</c:v>
                </c:pt>
                <c:pt idx="15">
                  <c:v>34972</c:v>
                </c:pt>
                <c:pt idx="16">
                  <c:v>35003</c:v>
                </c:pt>
                <c:pt idx="17">
                  <c:v>35033</c:v>
                </c:pt>
                <c:pt idx="18">
                  <c:v>35064</c:v>
                </c:pt>
                <c:pt idx="19">
                  <c:v>35095</c:v>
                </c:pt>
                <c:pt idx="20">
                  <c:v>35124</c:v>
                </c:pt>
                <c:pt idx="21">
                  <c:v>35155</c:v>
                </c:pt>
                <c:pt idx="22">
                  <c:v>35185</c:v>
                </c:pt>
                <c:pt idx="23">
                  <c:v>35216</c:v>
                </c:pt>
                <c:pt idx="24">
                  <c:v>35246</c:v>
                </c:pt>
                <c:pt idx="25">
                  <c:v>35277</c:v>
                </c:pt>
                <c:pt idx="26">
                  <c:v>35308</c:v>
                </c:pt>
                <c:pt idx="27">
                  <c:v>35338</c:v>
                </c:pt>
                <c:pt idx="28">
                  <c:v>35369</c:v>
                </c:pt>
                <c:pt idx="29">
                  <c:v>35399</c:v>
                </c:pt>
                <c:pt idx="30">
                  <c:v>35430</c:v>
                </c:pt>
                <c:pt idx="31">
                  <c:v>35461</c:v>
                </c:pt>
                <c:pt idx="32">
                  <c:v>35489</c:v>
                </c:pt>
                <c:pt idx="33">
                  <c:v>35520</c:v>
                </c:pt>
                <c:pt idx="34">
                  <c:v>35550</c:v>
                </c:pt>
                <c:pt idx="35">
                  <c:v>35581</c:v>
                </c:pt>
                <c:pt idx="36">
                  <c:v>35611</c:v>
                </c:pt>
                <c:pt idx="37">
                  <c:v>35642</c:v>
                </c:pt>
                <c:pt idx="38">
                  <c:v>35673</c:v>
                </c:pt>
                <c:pt idx="39">
                  <c:v>35703</c:v>
                </c:pt>
                <c:pt idx="40">
                  <c:v>35734</c:v>
                </c:pt>
                <c:pt idx="41">
                  <c:v>35764</c:v>
                </c:pt>
                <c:pt idx="42">
                  <c:v>35795</c:v>
                </c:pt>
                <c:pt idx="43">
                  <c:v>35826</c:v>
                </c:pt>
                <c:pt idx="44">
                  <c:v>35854</c:v>
                </c:pt>
                <c:pt idx="45">
                  <c:v>35885</c:v>
                </c:pt>
                <c:pt idx="46">
                  <c:v>35915</c:v>
                </c:pt>
                <c:pt idx="47">
                  <c:v>35946</c:v>
                </c:pt>
                <c:pt idx="48">
                  <c:v>35976</c:v>
                </c:pt>
                <c:pt idx="49">
                  <c:v>36007</c:v>
                </c:pt>
                <c:pt idx="50">
                  <c:v>36038</c:v>
                </c:pt>
                <c:pt idx="51">
                  <c:v>36068</c:v>
                </c:pt>
                <c:pt idx="52">
                  <c:v>36099</c:v>
                </c:pt>
                <c:pt idx="53">
                  <c:v>36129</c:v>
                </c:pt>
                <c:pt idx="54">
                  <c:v>36160</c:v>
                </c:pt>
                <c:pt idx="55">
                  <c:v>36191</c:v>
                </c:pt>
                <c:pt idx="56">
                  <c:v>36219</c:v>
                </c:pt>
                <c:pt idx="57">
                  <c:v>36250</c:v>
                </c:pt>
                <c:pt idx="58">
                  <c:v>36280</c:v>
                </c:pt>
                <c:pt idx="59">
                  <c:v>36311</c:v>
                </c:pt>
                <c:pt idx="60">
                  <c:v>36341</c:v>
                </c:pt>
                <c:pt idx="61">
                  <c:v>36372</c:v>
                </c:pt>
                <c:pt idx="62">
                  <c:v>36403</c:v>
                </c:pt>
                <c:pt idx="63">
                  <c:v>36433</c:v>
                </c:pt>
                <c:pt idx="64">
                  <c:v>36464</c:v>
                </c:pt>
                <c:pt idx="65">
                  <c:v>36494</c:v>
                </c:pt>
                <c:pt idx="66">
                  <c:v>36525</c:v>
                </c:pt>
                <c:pt idx="67">
                  <c:v>36556</c:v>
                </c:pt>
                <c:pt idx="68">
                  <c:v>36585</c:v>
                </c:pt>
                <c:pt idx="69">
                  <c:v>36616</c:v>
                </c:pt>
                <c:pt idx="70">
                  <c:v>36646</c:v>
                </c:pt>
                <c:pt idx="71">
                  <c:v>36677</c:v>
                </c:pt>
                <c:pt idx="72">
                  <c:v>36707</c:v>
                </c:pt>
                <c:pt idx="73">
                  <c:v>36738</c:v>
                </c:pt>
                <c:pt idx="74">
                  <c:v>36769</c:v>
                </c:pt>
                <c:pt idx="75">
                  <c:v>36799</c:v>
                </c:pt>
                <c:pt idx="76">
                  <c:v>36830</c:v>
                </c:pt>
                <c:pt idx="77">
                  <c:v>36860</c:v>
                </c:pt>
                <c:pt idx="78">
                  <c:v>36891</c:v>
                </c:pt>
                <c:pt idx="79">
                  <c:v>36922</c:v>
                </c:pt>
                <c:pt idx="80">
                  <c:v>36950</c:v>
                </c:pt>
                <c:pt idx="81">
                  <c:v>36981</c:v>
                </c:pt>
                <c:pt idx="82">
                  <c:v>37011</c:v>
                </c:pt>
                <c:pt idx="83">
                  <c:v>37042</c:v>
                </c:pt>
                <c:pt idx="84">
                  <c:v>37072</c:v>
                </c:pt>
                <c:pt idx="85">
                  <c:v>37103</c:v>
                </c:pt>
                <c:pt idx="86">
                  <c:v>37134</c:v>
                </c:pt>
                <c:pt idx="87">
                  <c:v>37164</c:v>
                </c:pt>
                <c:pt idx="88">
                  <c:v>37195</c:v>
                </c:pt>
                <c:pt idx="89">
                  <c:v>37225</c:v>
                </c:pt>
                <c:pt idx="90">
                  <c:v>37256</c:v>
                </c:pt>
                <c:pt idx="91">
                  <c:v>37287</c:v>
                </c:pt>
                <c:pt idx="92">
                  <c:v>37315</c:v>
                </c:pt>
                <c:pt idx="93">
                  <c:v>37346</c:v>
                </c:pt>
                <c:pt idx="94">
                  <c:v>37376</c:v>
                </c:pt>
                <c:pt idx="95">
                  <c:v>37407</c:v>
                </c:pt>
                <c:pt idx="96">
                  <c:v>37437</c:v>
                </c:pt>
                <c:pt idx="97">
                  <c:v>37468</c:v>
                </c:pt>
                <c:pt idx="98">
                  <c:v>37499</c:v>
                </c:pt>
                <c:pt idx="99">
                  <c:v>37529</c:v>
                </c:pt>
                <c:pt idx="100">
                  <c:v>37560</c:v>
                </c:pt>
                <c:pt idx="101">
                  <c:v>37590</c:v>
                </c:pt>
                <c:pt idx="102">
                  <c:v>37621</c:v>
                </c:pt>
                <c:pt idx="103">
                  <c:v>37652</c:v>
                </c:pt>
                <c:pt idx="104">
                  <c:v>37680</c:v>
                </c:pt>
                <c:pt idx="105">
                  <c:v>37711</c:v>
                </c:pt>
                <c:pt idx="106">
                  <c:v>37741</c:v>
                </c:pt>
                <c:pt idx="107">
                  <c:v>37772</c:v>
                </c:pt>
                <c:pt idx="108">
                  <c:v>37802</c:v>
                </c:pt>
                <c:pt idx="109">
                  <c:v>37833</c:v>
                </c:pt>
                <c:pt idx="110">
                  <c:v>37864</c:v>
                </c:pt>
                <c:pt idx="111">
                  <c:v>37894</c:v>
                </c:pt>
                <c:pt idx="112">
                  <c:v>37925</c:v>
                </c:pt>
                <c:pt idx="113">
                  <c:v>37955</c:v>
                </c:pt>
                <c:pt idx="114">
                  <c:v>37986</c:v>
                </c:pt>
                <c:pt idx="115">
                  <c:v>38017</c:v>
                </c:pt>
                <c:pt idx="116">
                  <c:v>38046</c:v>
                </c:pt>
                <c:pt idx="117">
                  <c:v>38077</c:v>
                </c:pt>
                <c:pt idx="118">
                  <c:v>38107</c:v>
                </c:pt>
                <c:pt idx="119">
                  <c:v>38138</c:v>
                </c:pt>
                <c:pt idx="120">
                  <c:v>38168</c:v>
                </c:pt>
                <c:pt idx="121">
                  <c:v>38199</c:v>
                </c:pt>
                <c:pt idx="122">
                  <c:v>38230</c:v>
                </c:pt>
                <c:pt idx="123">
                  <c:v>38260</c:v>
                </c:pt>
                <c:pt idx="124">
                  <c:v>38291</c:v>
                </c:pt>
                <c:pt idx="125">
                  <c:v>38321</c:v>
                </c:pt>
                <c:pt idx="126">
                  <c:v>38352</c:v>
                </c:pt>
                <c:pt idx="127">
                  <c:v>38383</c:v>
                </c:pt>
                <c:pt idx="128">
                  <c:v>38411</c:v>
                </c:pt>
                <c:pt idx="129">
                  <c:v>38442</c:v>
                </c:pt>
                <c:pt idx="130">
                  <c:v>38472</c:v>
                </c:pt>
                <c:pt idx="131">
                  <c:v>38503</c:v>
                </c:pt>
                <c:pt idx="132">
                  <c:v>38533</c:v>
                </c:pt>
                <c:pt idx="133">
                  <c:v>38564</c:v>
                </c:pt>
                <c:pt idx="134">
                  <c:v>38595</c:v>
                </c:pt>
                <c:pt idx="135">
                  <c:v>38625</c:v>
                </c:pt>
                <c:pt idx="136">
                  <c:v>38656</c:v>
                </c:pt>
                <c:pt idx="137">
                  <c:v>38686</c:v>
                </c:pt>
                <c:pt idx="138">
                  <c:v>38717</c:v>
                </c:pt>
                <c:pt idx="139">
                  <c:v>38748</c:v>
                </c:pt>
                <c:pt idx="140">
                  <c:v>38776</c:v>
                </c:pt>
                <c:pt idx="141">
                  <c:v>38807</c:v>
                </c:pt>
                <c:pt idx="142">
                  <c:v>38837</c:v>
                </c:pt>
                <c:pt idx="143">
                  <c:v>38868</c:v>
                </c:pt>
                <c:pt idx="144">
                  <c:v>38898</c:v>
                </c:pt>
                <c:pt idx="145">
                  <c:v>38929</c:v>
                </c:pt>
                <c:pt idx="146">
                  <c:v>38960</c:v>
                </c:pt>
                <c:pt idx="147">
                  <c:v>38990</c:v>
                </c:pt>
                <c:pt idx="148">
                  <c:v>39021</c:v>
                </c:pt>
                <c:pt idx="149">
                  <c:v>39051</c:v>
                </c:pt>
                <c:pt idx="150">
                  <c:v>39082</c:v>
                </c:pt>
                <c:pt idx="151">
                  <c:v>39113</c:v>
                </c:pt>
                <c:pt idx="152">
                  <c:v>39141</c:v>
                </c:pt>
                <c:pt idx="153">
                  <c:v>39172</c:v>
                </c:pt>
                <c:pt idx="154">
                  <c:v>39202</c:v>
                </c:pt>
                <c:pt idx="155">
                  <c:v>39233</c:v>
                </c:pt>
                <c:pt idx="156">
                  <c:v>39263</c:v>
                </c:pt>
                <c:pt idx="157">
                  <c:v>39294</c:v>
                </c:pt>
                <c:pt idx="158">
                  <c:v>39325</c:v>
                </c:pt>
                <c:pt idx="159">
                  <c:v>39355</c:v>
                </c:pt>
                <c:pt idx="160">
                  <c:v>39386</c:v>
                </c:pt>
                <c:pt idx="161">
                  <c:v>39416</c:v>
                </c:pt>
                <c:pt idx="162">
                  <c:v>39447</c:v>
                </c:pt>
                <c:pt idx="163">
                  <c:v>39478</c:v>
                </c:pt>
                <c:pt idx="164">
                  <c:v>39507</c:v>
                </c:pt>
                <c:pt idx="165">
                  <c:v>39538</c:v>
                </c:pt>
                <c:pt idx="166">
                  <c:v>39568</c:v>
                </c:pt>
                <c:pt idx="167">
                  <c:v>39599</c:v>
                </c:pt>
                <c:pt idx="168">
                  <c:v>39629</c:v>
                </c:pt>
                <c:pt idx="169">
                  <c:v>39660</c:v>
                </c:pt>
                <c:pt idx="170">
                  <c:v>39691</c:v>
                </c:pt>
              </c:numCache>
            </c:numRef>
          </c:cat>
          <c:val>
            <c:numRef>
              <c:f>'Dólar x IGP-M (2)'!$K$2:$K$173</c:f>
              <c:numCache>
                <c:formatCode>General</c:formatCode>
                <c:ptCount val="172"/>
                <c:pt idx="0" formatCode="_(* #,##0.0000_);_(* \(#,##0.000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2B-48B4-AC6B-5618C576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266240"/>
        <c:axId val="922268032"/>
      </c:lineChart>
      <c:dateAx>
        <c:axId val="922266240"/>
        <c:scaling>
          <c:orientation val="minMax"/>
        </c:scaling>
        <c:delete val="0"/>
        <c:axPos val="b"/>
        <c:majorGridlines/>
        <c:numFmt formatCode="m/d/yyyy" sourceLinked="1"/>
        <c:majorTickMark val="out"/>
        <c:minorTickMark val="none"/>
        <c:tickLblPos val="nextTo"/>
        <c:crossAx val="922268032"/>
        <c:crosses val="autoZero"/>
        <c:auto val="1"/>
        <c:lblOffset val="100"/>
        <c:baseTimeUnit val="months"/>
      </c:dateAx>
      <c:valAx>
        <c:axId val="922268032"/>
        <c:scaling>
          <c:orientation val="minMax"/>
        </c:scaling>
        <c:delete val="0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922266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áf1"/>
  <sheetViews>
    <sheetView zoomScale="85" workbookViewId="0"/>
  </sheetViews>
  <sheetProtection content="1" objects="1"/>
  <pageMargins left="0.511811024" right="0.511811024" top="0.78740157499999996" bottom="0.78740157499999996" header="0.31496062000000002" footer="0.31496062000000002"/>
  <pageSetup paperSize="9" orientation="landscape" horizontalDpi="1200" verticalDpi="1200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57151</xdr:rowOff>
    </xdr:from>
    <xdr:to>
      <xdr:col>1</xdr:col>
      <xdr:colOff>1685925</xdr:colOff>
      <xdr:row>30</xdr:row>
      <xdr:rowOff>142875</xdr:rowOff>
    </xdr:to>
    <xdr:sp macro="" textlink="">
      <xdr:nvSpPr>
        <xdr:cNvPr id="2" name="Fluxograma: Documento 1">
          <a:extLst>
            <a:ext uri="{FF2B5EF4-FFF2-40B4-BE49-F238E27FC236}">
              <a16:creationId xmlns:a16="http://schemas.microsoft.com/office/drawing/2014/main" id="{C1F88856-4CF6-42BE-B45B-9C2854EC62DA}"/>
            </a:ext>
          </a:extLst>
        </xdr:cNvPr>
        <xdr:cNvSpPr/>
      </xdr:nvSpPr>
      <xdr:spPr>
        <a:xfrm>
          <a:off x="57150" y="2314576"/>
          <a:ext cx="1685925" cy="3133724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/>
            <a:t>Escolha</a:t>
          </a:r>
          <a:r>
            <a:rPr lang="pt-BR" sz="1000" baseline="0"/>
            <a:t> os índices nas caixas de validação localizadas na linha 2.</a:t>
          </a:r>
        </a:p>
        <a:p>
          <a:pPr algn="l"/>
          <a:endParaRPr lang="pt-BR" sz="500" baseline="0"/>
        </a:p>
        <a:p>
          <a:pPr algn="l"/>
          <a:r>
            <a:rPr lang="pt-BR" sz="1000" baseline="0"/>
            <a:t>Preencha apenas as células em azul degradê.</a:t>
          </a:r>
        </a:p>
        <a:p>
          <a:pPr algn="l"/>
          <a:endParaRPr lang="pt-BR" sz="1000" baseline="0"/>
        </a:p>
        <a:p>
          <a:pPr algn="l"/>
          <a:r>
            <a:rPr lang="pt-BR" sz="1000" baseline="0"/>
            <a:t>Você pode usar os índices apenas para calcular o reajuste de aluguel, ou para comparar a evolução dos mesmos pois, através do gráfico, você consegue visualizar as variações entre os índices que escolheu acima.</a:t>
          </a:r>
          <a:endParaRPr lang="pt-BR" sz="10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03441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2" name="Gráfico 1">
          <a:extLst xmlns:a="http://schemas.openxmlformats.org/drawingml/2006/main">
            <a:ext uri="{FF2B5EF4-FFF2-40B4-BE49-F238E27FC236}">
              <a16:creationId xmlns:a16="http://schemas.microsoft.com/office/drawing/2014/main" id="{A7FAD5A0-5978-4F38-8F5D-DF099F48EDD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5</xdr:row>
      <xdr:rowOff>90487</xdr:rowOff>
    </xdr:from>
    <xdr:to>
      <xdr:col>24</xdr:col>
      <xdr:colOff>171450</xdr:colOff>
      <xdr:row>19</xdr:row>
      <xdr:rowOff>166687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ortalbrasil.net/indic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FF0000"/>
    <pageSetUpPr fitToPage="1"/>
  </sheetPr>
  <dimension ref="A1:L726"/>
  <sheetViews>
    <sheetView showGridLines="0" zoomScaleNormal="100" workbookViewId="0">
      <pane xSplit="3" ySplit="1" topLeftCell="D327" activePane="bottomRight" state="frozen"/>
      <selection pane="topRight" activeCell="D1" sqref="D1"/>
      <selection pane="bottomLeft" activeCell="A2" sqref="A2"/>
      <selection pane="bottomRight" activeCell="D345" sqref="D345"/>
    </sheetView>
  </sheetViews>
  <sheetFormatPr defaultColWidth="9.140625" defaultRowHeight="15"/>
  <cols>
    <col min="1" max="1" width="14.140625" style="92" bestFit="1" customWidth="1"/>
    <col min="2" max="2" width="9.5703125" style="32" customWidth="1"/>
    <col min="3" max="3" width="9.85546875" style="32" customWidth="1"/>
    <col min="4" max="4" width="12" style="46" customWidth="1"/>
    <col min="5" max="5" width="10.140625" style="46" bestFit="1" customWidth="1"/>
    <col min="6" max="6" width="12" style="34" customWidth="1"/>
    <col min="7" max="7" width="12" style="46" customWidth="1"/>
    <col min="8" max="11" width="12" style="34" customWidth="1"/>
    <col min="12" max="12" width="11.140625" style="34" bestFit="1" customWidth="1"/>
    <col min="13" max="16384" width="9.140625" style="35"/>
  </cols>
  <sheetData>
    <row r="1" spans="1:12" s="58" customFormat="1" ht="31.5">
      <c r="A1" s="91" t="s">
        <v>0</v>
      </c>
      <c r="B1" s="55" t="s">
        <v>1</v>
      </c>
      <c r="C1" s="55" t="s">
        <v>2</v>
      </c>
      <c r="D1" s="57" t="s">
        <v>6</v>
      </c>
      <c r="E1" s="57" t="s">
        <v>12</v>
      </c>
      <c r="F1" s="56" t="s">
        <v>13</v>
      </c>
      <c r="G1" s="57" t="s">
        <v>7</v>
      </c>
      <c r="H1" s="56" t="s">
        <v>8</v>
      </c>
      <c r="I1" s="56" t="s">
        <v>40</v>
      </c>
      <c r="J1" s="56" t="s">
        <v>10</v>
      </c>
      <c r="K1" s="56" t="s">
        <v>9</v>
      </c>
      <c r="L1" s="56" t="s">
        <v>26</v>
      </c>
    </row>
    <row r="2" spans="1:12">
      <c r="A2" s="92">
        <v>32904</v>
      </c>
      <c r="B2" s="32">
        <f t="shared" ref="B2:B49" si="0">MONTH(A2)</f>
        <v>1</v>
      </c>
      <c r="C2" s="32">
        <f t="shared" ref="C2:C49" si="1">YEAR(A2)</f>
        <v>1990</v>
      </c>
      <c r="D2" s="33">
        <v>0.61460000000000004</v>
      </c>
      <c r="E2" s="33"/>
      <c r="G2" s="33">
        <v>0.69189999999999996</v>
      </c>
      <c r="I2" s="34">
        <v>0</v>
      </c>
      <c r="J2" s="34" t="str">
        <f>IFERROR(VLOOKUP(A2,IPC,2,FALSE),"")</f>
        <v/>
      </c>
    </row>
    <row r="3" spans="1:12">
      <c r="A3" s="92">
        <f>EOMONTH(A2,1)</f>
        <v>32932</v>
      </c>
      <c r="B3" s="32">
        <f t="shared" si="0"/>
        <v>2</v>
      </c>
      <c r="C3" s="32">
        <f t="shared" si="1"/>
        <v>1990</v>
      </c>
      <c r="D3" s="33">
        <v>0.81289999999999996</v>
      </c>
      <c r="E3" s="33"/>
      <c r="G3" s="33">
        <v>0.7399</v>
      </c>
      <c r="I3" s="34">
        <v>0</v>
      </c>
      <c r="J3" s="34" t="s">
        <v>4</v>
      </c>
    </row>
    <row r="4" spans="1:12">
      <c r="A4" s="92">
        <f t="shared" ref="A4:A67" si="2">EOMONTH(A3,1)</f>
        <v>32963</v>
      </c>
      <c r="B4" s="32">
        <f t="shared" si="0"/>
        <v>3</v>
      </c>
      <c r="C4" s="32">
        <f t="shared" si="1"/>
        <v>1990</v>
      </c>
      <c r="D4" s="33">
        <v>0.83950000000000002</v>
      </c>
      <c r="E4" s="33"/>
      <c r="G4" s="33">
        <v>0.82179999999999997</v>
      </c>
      <c r="I4" s="34">
        <v>0</v>
      </c>
      <c r="J4" s="34" t="s">
        <v>4</v>
      </c>
    </row>
    <row r="5" spans="1:12" s="36" customFormat="1">
      <c r="A5" s="92">
        <f t="shared" si="2"/>
        <v>32993</v>
      </c>
      <c r="B5" s="32">
        <f t="shared" si="0"/>
        <v>4</v>
      </c>
      <c r="C5" s="32">
        <f t="shared" si="1"/>
        <v>1990</v>
      </c>
      <c r="D5" s="33">
        <v>0.28349999999999997</v>
      </c>
      <c r="E5" s="33"/>
      <c r="F5" s="34"/>
      <c r="G5" s="33">
        <v>0.1467</v>
      </c>
      <c r="H5" s="34"/>
      <c r="I5" s="34">
        <v>0</v>
      </c>
      <c r="J5" s="34" t="s">
        <v>4</v>
      </c>
      <c r="K5" s="34"/>
      <c r="L5" s="34"/>
    </row>
    <row r="6" spans="1:12" s="37" customFormat="1">
      <c r="A6" s="92">
        <f t="shared" si="2"/>
        <v>33024</v>
      </c>
      <c r="B6" s="32">
        <f t="shared" si="0"/>
        <v>5</v>
      </c>
      <c r="C6" s="32">
        <f t="shared" si="1"/>
        <v>1990</v>
      </c>
      <c r="D6" s="33">
        <v>5.9299999999999999E-2</v>
      </c>
      <c r="E6" s="33"/>
      <c r="F6" s="34"/>
      <c r="G6" s="33">
        <v>7.3099999999999998E-2</v>
      </c>
      <c r="H6" s="34"/>
      <c r="I6" s="34">
        <v>0</v>
      </c>
      <c r="J6" s="34" t="s">
        <v>4</v>
      </c>
      <c r="K6" s="34"/>
      <c r="L6" s="34"/>
    </row>
    <row r="7" spans="1:12" s="37" customFormat="1">
      <c r="A7" s="92">
        <f t="shared" si="2"/>
        <v>33054</v>
      </c>
      <c r="B7" s="32">
        <f t="shared" si="0"/>
        <v>6</v>
      </c>
      <c r="C7" s="32">
        <f t="shared" si="1"/>
        <v>1990</v>
      </c>
      <c r="D7" s="33">
        <v>9.9400000000000002E-2</v>
      </c>
      <c r="E7" s="33"/>
      <c r="F7" s="34"/>
      <c r="G7" s="33">
        <v>0.1164</v>
      </c>
      <c r="H7" s="34"/>
      <c r="I7" s="34">
        <v>0</v>
      </c>
      <c r="J7" s="34" t="s">
        <v>4</v>
      </c>
      <c r="K7" s="34"/>
      <c r="L7" s="34"/>
    </row>
    <row r="8" spans="1:12">
      <c r="A8" s="92">
        <f t="shared" si="2"/>
        <v>33085</v>
      </c>
      <c r="B8" s="32">
        <f t="shared" si="0"/>
        <v>7</v>
      </c>
      <c r="C8" s="32">
        <f t="shared" si="1"/>
        <v>1990</v>
      </c>
      <c r="D8" s="33">
        <v>0.1201</v>
      </c>
      <c r="E8" s="33"/>
      <c r="G8" s="33">
        <v>0.12620000000000001</v>
      </c>
      <c r="I8" s="34">
        <v>0</v>
      </c>
      <c r="J8" s="34" t="s">
        <v>4</v>
      </c>
    </row>
    <row r="9" spans="1:12" s="36" customFormat="1">
      <c r="A9" s="92">
        <f t="shared" si="2"/>
        <v>33116</v>
      </c>
      <c r="B9" s="32">
        <f t="shared" si="0"/>
        <v>8</v>
      </c>
      <c r="C9" s="32">
        <f t="shared" si="1"/>
        <v>1990</v>
      </c>
      <c r="D9" s="33">
        <v>0.13619999999999999</v>
      </c>
      <c r="E9" s="33"/>
      <c r="F9" s="34"/>
      <c r="G9" s="33">
        <v>0.12180000000000001</v>
      </c>
      <c r="H9" s="34"/>
      <c r="I9" s="34">
        <v>0</v>
      </c>
      <c r="J9" s="34" t="s">
        <v>4</v>
      </c>
      <c r="K9" s="34"/>
      <c r="L9" s="34"/>
    </row>
    <row r="10" spans="1:12" s="36" customFormat="1">
      <c r="A10" s="92">
        <f t="shared" si="2"/>
        <v>33146</v>
      </c>
      <c r="B10" s="32">
        <f t="shared" si="0"/>
        <v>9</v>
      </c>
      <c r="C10" s="32">
        <f t="shared" si="1"/>
        <v>1990</v>
      </c>
      <c r="D10" s="33">
        <v>0.128</v>
      </c>
      <c r="E10" s="33"/>
      <c r="F10" s="34"/>
      <c r="G10" s="33">
        <v>0.1426</v>
      </c>
      <c r="H10" s="34"/>
      <c r="I10" s="34">
        <v>0</v>
      </c>
      <c r="J10" s="34" t="s">
        <v>4</v>
      </c>
      <c r="K10" s="34"/>
      <c r="L10" s="34"/>
    </row>
    <row r="11" spans="1:12" s="36" customFormat="1">
      <c r="A11" s="92">
        <f t="shared" si="2"/>
        <v>33177</v>
      </c>
      <c r="B11" s="32">
        <f t="shared" si="0"/>
        <v>10</v>
      </c>
      <c r="C11" s="32">
        <f t="shared" si="1"/>
        <v>1990</v>
      </c>
      <c r="D11" s="33">
        <v>0.12970000000000001</v>
      </c>
      <c r="E11" s="33"/>
      <c r="F11" s="34"/>
      <c r="G11" s="33">
        <v>0.14430000000000001</v>
      </c>
      <c r="H11" s="34"/>
      <c r="I11" s="34">
        <v>0</v>
      </c>
      <c r="J11" s="34" t="s">
        <v>4</v>
      </c>
      <c r="K11" s="34"/>
      <c r="L11" s="34"/>
    </row>
    <row r="12" spans="1:12" s="36" customFormat="1">
      <c r="A12" s="92">
        <f t="shared" si="2"/>
        <v>33207</v>
      </c>
      <c r="B12" s="32">
        <f t="shared" si="0"/>
        <v>11</v>
      </c>
      <c r="C12" s="32">
        <f t="shared" si="1"/>
        <v>1990</v>
      </c>
      <c r="D12" s="33">
        <v>0.1686</v>
      </c>
      <c r="E12" s="33"/>
      <c r="F12" s="34"/>
      <c r="G12" s="33">
        <v>0.16919999999999999</v>
      </c>
      <c r="H12" s="34"/>
      <c r="I12" s="34">
        <v>0</v>
      </c>
      <c r="J12" s="34" t="s">
        <v>4</v>
      </c>
      <c r="K12" s="34"/>
      <c r="L12" s="34"/>
    </row>
    <row r="13" spans="1:12" s="36" customFormat="1">
      <c r="A13" s="92">
        <f t="shared" si="2"/>
        <v>33238</v>
      </c>
      <c r="B13" s="32">
        <f t="shared" si="0"/>
        <v>12</v>
      </c>
      <c r="C13" s="32">
        <f t="shared" si="1"/>
        <v>1990</v>
      </c>
      <c r="D13" s="33">
        <v>0.18</v>
      </c>
      <c r="E13" s="33"/>
      <c r="F13" s="34"/>
      <c r="G13" s="33">
        <v>0.19139999999999999</v>
      </c>
      <c r="H13" s="34"/>
      <c r="I13" s="34">
        <v>0</v>
      </c>
      <c r="J13" s="34" t="s">
        <v>4</v>
      </c>
      <c r="K13" s="34"/>
      <c r="L13" s="34"/>
    </row>
    <row r="14" spans="1:12" s="36" customFormat="1">
      <c r="A14" s="92">
        <f t="shared" si="2"/>
        <v>33269</v>
      </c>
      <c r="B14" s="32">
        <f t="shared" si="0"/>
        <v>1</v>
      </c>
      <c r="C14" s="32">
        <f t="shared" si="1"/>
        <v>1991</v>
      </c>
      <c r="D14" s="33">
        <v>0.17699999999999999</v>
      </c>
      <c r="E14" s="33"/>
      <c r="F14" s="34"/>
      <c r="G14" s="33">
        <v>0.20949999999999999</v>
      </c>
      <c r="H14" s="34"/>
      <c r="I14" s="34">
        <v>0</v>
      </c>
      <c r="J14" s="34" t="s">
        <v>4</v>
      </c>
      <c r="K14" s="34"/>
      <c r="L14" s="34"/>
    </row>
    <row r="15" spans="1:12" s="36" customFormat="1">
      <c r="A15" s="92">
        <f t="shared" si="2"/>
        <v>33297</v>
      </c>
      <c r="B15" s="32">
        <f t="shared" si="0"/>
        <v>2</v>
      </c>
      <c r="C15" s="32">
        <f t="shared" si="1"/>
        <v>1991</v>
      </c>
      <c r="D15" s="33">
        <v>0.2102</v>
      </c>
      <c r="E15" s="33"/>
      <c r="F15" s="34"/>
      <c r="G15" s="33">
        <v>0.20200000000000001</v>
      </c>
      <c r="H15" s="34"/>
      <c r="I15" s="34">
        <v>0</v>
      </c>
      <c r="J15" s="34" t="s">
        <v>4</v>
      </c>
      <c r="K15" s="34"/>
      <c r="L15" s="34"/>
    </row>
    <row r="16" spans="1:12" s="36" customFormat="1">
      <c r="A16" s="92">
        <f t="shared" si="2"/>
        <v>33328</v>
      </c>
      <c r="B16" s="32">
        <f t="shared" si="0"/>
        <v>3</v>
      </c>
      <c r="C16" s="32">
        <f t="shared" si="1"/>
        <v>1991</v>
      </c>
      <c r="D16" s="33">
        <v>9.1899999999999996E-2</v>
      </c>
      <c r="E16" s="33"/>
      <c r="F16" s="34"/>
      <c r="G16" s="33">
        <v>0.1179</v>
      </c>
      <c r="H16" s="34"/>
      <c r="I16" s="34">
        <v>0</v>
      </c>
      <c r="J16" s="34" t="s">
        <v>4</v>
      </c>
      <c r="K16" s="34"/>
      <c r="L16" s="34"/>
    </row>
    <row r="17" spans="1:12" s="36" customFormat="1">
      <c r="A17" s="92">
        <f t="shared" si="2"/>
        <v>33358</v>
      </c>
      <c r="B17" s="32">
        <f t="shared" si="0"/>
        <v>4</v>
      </c>
      <c r="C17" s="32">
        <f t="shared" si="1"/>
        <v>1991</v>
      </c>
      <c r="D17" s="33">
        <v>7.8100000000000003E-2</v>
      </c>
      <c r="E17" s="33"/>
      <c r="F17" s="34"/>
      <c r="G17" s="33">
        <v>5.0099999999999999E-2</v>
      </c>
      <c r="H17" s="34"/>
      <c r="I17" s="34">
        <v>0</v>
      </c>
      <c r="J17" s="34" t="s">
        <v>4</v>
      </c>
      <c r="K17" s="34"/>
      <c r="L17" s="34"/>
    </row>
    <row r="18" spans="1:12" s="36" customFormat="1">
      <c r="A18" s="92">
        <f t="shared" si="2"/>
        <v>33389</v>
      </c>
      <c r="B18" s="32">
        <f t="shared" si="0"/>
        <v>5</v>
      </c>
      <c r="C18" s="32">
        <f t="shared" si="1"/>
        <v>1991</v>
      </c>
      <c r="D18" s="33">
        <v>7.4800000000000005E-2</v>
      </c>
      <c r="E18" s="33"/>
      <c r="F18" s="34"/>
      <c r="G18" s="33">
        <v>6.6799999999999998E-2</v>
      </c>
      <c r="H18" s="34"/>
      <c r="I18" s="34">
        <v>0</v>
      </c>
      <c r="J18" s="34" t="s">
        <v>4</v>
      </c>
      <c r="K18" s="34"/>
      <c r="L18" s="34"/>
    </row>
    <row r="19" spans="1:12" s="36" customFormat="1">
      <c r="A19" s="92">
        <f t="shared" si="2"/>
        <v>33419</v>
      </c>
      <c r="B19" s="32">
        <f t="shared" si="0"/>
        <v>6</v>
      </c>
      <c r="C19" s="32">
        <f t="shared" si="1"/>
        <v>1991</v>
      </c>
      <c r="D19" s="33">
        <v>8.48E-2</v>
      </c>
      <c r="E19" s="33"/>
      <c r="F19" s="34"/>
      <c r="G19" s="33">
        <v>0.10829999999999999</v>
      </c>
      <c r="H19" s="34"/>
      <c r="I19" s="34">
        <v>0</v>
      </c>
      <c r="J19" s="34" t="s">
        <v>4</v>
      </c>
      <c r="K19" s="34"/>
      <c r="L19" s="34"/>
    </row>
    <row r="20" spans="1:12" s="36" customFormat="1">
      <c r="A20" s="92">
        <f t="shared" si="2"/>
        <v>33450</v>
      </c>
      <c r="B20" s="32">
        <f t="shared" si="0"/>
        <v>7</v>
      </c>
      <c r="C20" s="32">
        <f t="shared" si="1"/>
        <v>1991</v>
      </c>
      <c r="D20" s="33">
        <v>0.13220000000000001</v>
      </c>
      <c r="E20" s="33"/>
      <c r="F20" s="34"/>
      <c r="G20" s="33">
        <v>0.12139999999999999</v>
      </c>
      <c r="H20" s="34"/>
      <c r="I20" s="34">
        <v>0</v>
      </c>
      <c r="J20" s="34" t="s">
        <v>4</v>
      </c>
      <c r="K20" s="34"/>
      <c r="L20" s="34"/>
    </row>
    <row r="21" spans="1:12" s="36" customFormat="1">
      <c r="A21" s="92">
        <f t="shared" si="2"/>
        <v>33481</v>
      </c>
      <c r="B21" s="32">
        <f t="shared" si="0"/>
        <v>8</v>
      </c>
      <c r="C21" s="32">
        <f t="shared" si="1"/>
        <v>1991</v>
      </c>
      <c r="D21" s="33">
        <v>0.1525</v>
      </c>
      <c r="E21" s="33"/>
      <c r="F21" s="34"/>
      <c r="G21" s="33">
        <v>0.15620000000000001</v>
      </c>
      <c r="H21" s="34"/>
      <c r="I21" s="34">
        <v>0</v>
      </c>
      <c r="J21" s="34" t="s">
        <v>4</v>
      </c>
      <c r="K21" s="34"/>
      <c r="L21" s="34"/>
    </row>
    <row r="22" spans="1:12" s="36" customFormat="1">
      <c r="A22" s="92">
        <f t="shared" si="2"/>
        <v>33511</v>
      </c>
      <c r="B22" s="32">
        <f t="shared" si="0"/>
        <v>9</v>
      </c>
      <c r="C22" s="32">
        <f t="shared" si="1"/>
        <v>1991</v>
      </c>
      <c r="D22" s="33">
        <v>0.14929999999999999</v>
      </c>
      <c r="E22" s="33"/>
      <c r="F22" s="34"/>
      <c r="G22" s="33">
        <v>0.15620000000000001</v>
      </c>
      <c r="H22" s="34"/>
      <c r="I22" s="34">
        <v>0</v>
      </c>
      <c r="J22" s="34" t="s">
        <v>4</v>
      </c>
      <c r="K22" s="34"/>
      <c r="L22" s="34"/>
    </row>
    <row r="23" spans="1:12" s="36" customFormat="1">
      <c r="A23" s="92">
        <f t="shared" si="2"/>
        <v>33542</v>
      </c>
      <c r="B23" s="32">
        <f t="shared" si="0"/>
        <v>10</v>
      </c>
      <c r="C23" s="32">
        <f t="shared" si="1"/>
        <v>1991</v>
      </c>
      <c r="D23" s="33">
        <v>0.2263</v>
      </c>
      <c r="E23" s="33"/>
      <c r="F23" s="34"/>
      <c r="G23" s="33">
        <v>0.21079999999999999</v>
      </c>
      <c r="H23" s="34"/>
      <c r="I23" s="34">
        <v>0</v>
      </c>
      <c r="J23" s="34" t="s">
        <v>4</v>
      </c>
      <c r="K23" s="34"/>
      <c r="L23" s="34"/>
    </row>
    <row r="24" spans="1:12" s="36" customFormat="1">
      <c r="A24" s="92">
        <f t="shared" si="2"/>
        <v>33572</v>
      </c>
      <c r="B24" s="32">
        <f t="shared" si="0"/>
        <v>11</v>
      </c>
      <c r="C24" s="32">
        <f t="shared" si="1"/>
        <v>1991</v>
      </c>
      <c r="D24" s="33">
        <v>0.25619999999999998</v>
      </c>
      <c r="E24" s="33"/>
      <c r="F24" s="34"/>
      <c r="G24" s="33">
        <v>0.26479999999999998</v>
      </c>
      <c r="H24" s="34"/>
      <c r="I24" s="34">
        <v>0</v>
      </c>
      <c r="J24" s="34" t="s">
        <v>4</v>
      </c>
      <c r="K24" s="34"/>
      <c r="L24" s="34"/>
    </row>
    <row r="25" spans="1:12" s="36" customFormat="1">
      <c r="A25" s="92">
        <f t="shared" si="2"/>
        <v>33603</v>
      </c>
      <c r="B25" s="32">
        <f t="shared" si="0"/>
        <v>12</v>
      </c>
      <c r="C25" s="32">
        <f t="shared" si="1"/>
        <v>1991</v>
      </c>
      <c r="D25" s="33">
        <v>0.23630000000000001</v>
      </c>
      <c r="E25" s="33"/>
      <c r="F25" s="34"/>
      <c r="G25" s="33">
        <v>0.24149999999999999</v>
      </c>
      <c r="H25" s="34"/>
      <c r="I25" s="34">
        <v>0.23980000000000001</v>
      </c>
      <c r="J25" s="34" t="s">
        <v>4</v>
      </c>
      <c r="K25" s="34"/>
      <c r="L25" s="34"/>
    </row>
    <row r="26" spans="1:12" s="36" customFormat="1">
      <c r="A26" s="92">
        <f t="shared" si="2"/>
        <v>33634</v>
      </c>
      <c r="B26" s="32">
        <f t="shared" si="0"/>
        <v>1</v>
      </c>
      <c r="C26" s="32">
        <f t="shared" si="1"/>
        <v>1992</v>
      </c>
      <c r="D26" s="33">
        <v>0.2356</v>
      </c>
      <c r="E26" s="33"/>
      <c r="F26" s="34"/>
      <c r="G26" s="33">
        <v>0.25919999999999999</v>
      </c>
      <c r="H26" s="34"/>
      <c r="I26" s="34">
        <v>0.25600000000000001</v>
      </c>
      <c r="J26" s="34" t="s">
        <v>4</v>
      </c>
      <c r="K26" s="34"/>
      <c r="L26" s="34"/>
    </row>
    <row r="27" spans="1:12" s="36" customFormat="1">
      <c r="A27" s="92">
        <f t="shared" si="2"/>
        <v>33663</v>
      </c>
      <c r="B27" s="32">
        <f t="shared" si="0"/>
        <v>2</v>
      </c>
      <c r="C27" s="32">
        <f t="shared" si="1"/>
        <v>1992</v>
      </c>
      <c r="D27" s="33">
        <v>0.27860000000000001</v>
      </c>
      <c r="E27" s="33"/>
      <c r="F27" s="34"/>
      <c r="G27" s="33">
        <v>0.24479999999999999</v>
      </c>
      <c r="H27" s="34"/>
      <c r="I27" s="34">
        <v>0.26100000000000001</v>
      </c>
      <c r="J27" s="34" t="s">
        <v>4</v>
      </c>
      <c r="K27" s="34"/>
      <c r="L27" s="34"/>
    </row>
    <row r="28" spans="1:12" s="36" customFormat="1">
      <c r="A28" s="92">
        <f t="shared" si="2"/>
        <v>33694</v>
      </c>
      <c r="B28" s="32">
        <f t="shared" si="0"/>
        <v>3</v>
      </c>
      <c r="C28" s="32">
        <f t="shared" si="1"/>
        <v>1992</v>
      </c>
      <c r="D28" s="33">
        <v>0.21390000000000001</v>
      </c>
      <c r="E28" s="33"/>
      <c r="F28" s="34"/>
      <c r="G28" s="33">
        <v>0.2162</v>
      </c>
      <c r="H28" s="34"/>
      <c r="I28" s="34">
        <v>0.2203</v>
      </c>
      <c r="J28" s="34" t="s">
        <v>4</v>
      </c>
      <c r="K28" s="34"/>
      <c r="L28" s="34"/>
    </row>
    <row r="29" spans="1:12" s="36" customFormat="1">
      <c r="A29" s="92">
        <f t="shared" si="2"/>
        <v>33724</v>
      </c>
      <c r="B29" s="32">
        <f t="shared" si="0"/>
        <v>4</v>
      </c>
      <c r="C29" s="32">
        <f t="shared" si="1"/>
        <v>1992</v>
      </c>
      <c r="D29" s="33">
        <v>0.19939999999999999</v>
      </c>
      <c r="E29" s="33"/>
      <c r="F29" s="34"/>
      <c r="G29" s="33">
        <v>0.2084</v>
      </c>
      <c r="H29" s="34"/>
      <c r="I29" s="34">
        <v>0.1983</v>
      </c>
      <c r="J29" s="34" t="s">
        <v>4</v>
      </c>
      <c r="K29" s="34"/>
      <c r="L29" s="34"/>
    </row>
    <row r="30" spans="1:12" s="36" customFormat="1">
      <c r="A30" s="92">
        <f t="shared" si="2"/>
        <v>33755</v>
      </c>
      <c r="B30" s="32">
        <f t="shared" si="0"/>
        <v>5</v>
      </c>
      <c r="C30" s="32">
        <f t="shared" si="1"/>
        <v>1992</v>
      </c>
      <c r="D30" s="33">
        <v>0.20430000000000001</v>
      </c>
      <c r="E30" s="33"/>
      <c r="F30" s="34"/>
      <c r="G30" s="33">
        <v>0.245</v>
      </c>
      <c r="H30" s="34"/>
      <c r="I30" s="34">
        <v>0.23449999999999999</v>
      </c>
      <c r="J30" s="34" t="s">
        <v>4</v>
      </c>
      <c r="K30" s="34"/>
      <c r="L30" s="34"/>
    </row>
    <row r="31" spans="1:12" s="36" customFormat="1">
      <c r="A31" s="92">
        <f t="shared" si="2"/>
        <v>33785</v>
      </c>
      <c r="B31" s="32">
        <f t="shared" si="0"/>
        <v>6</v>
      </c>
      <c r="C31" s="32">
        <f t="shared" si="1"/>
        <v>1992</v>
      </c>
      <c r="D31" s="33">
        <v>0.2361</v>
      </c>
      <c r="E31" s="33"/>
      <c r="F31" s="34"/>
      <c r="G31" s="33">
        <v>0.20849999999999999</v>
      </c>
      <c r="H31" s="34"/>
      <c r="I31" s="34">
        <v>0</v>
      </c>
      <c r="J31" s="34" t="s">
        <v>4</v>
      </c>
      <c r="K31" s="34"/>
      <c r="L31" s="34"/>
    </row>
    <row r="32" spans="1:12" s="36" customFormat="1">
      <c r="A32" s="92">
        <f t="shared" si="2"/>
        <v>33816</v>
      </c>
      <c r="B32" s="32">
        <f t="shared" si="0"/>
        <v>7</v>
      </c>
      <c r="C32" s="32">
        <f t="shared" si="1"/>
        <v>1992</v>
      </c>
      <c r="D32" s="33">
        <v>0.21840000000000001</v>
      </c>
      <c r="E32" s="33"/>
      <c r="F32" s="34"/>
      <c r="G32" s="33">
        <v>0.2208</v>
      </c>
      <c r="H32" s="34"/>
      <c r="I32" s="34">
        <v>0</v>
      </c>
      <c r="J32" s="34" t="s">
        <v>4</v>
      </c>
      <c r="K32" s="34"/>
      <c r="L32" s="34"/>
    </row>
    <row r="33" spans="1:12" s="36" customFormat="1">
      <c r="A33" s="92">
        <f t="shared" si="2"/>
        <v>33847</v>
      </c>
      <c r="B33" s="32">
        <f t="shared" si="0"/>
        <v>8</v>
      </c>
      <c r="C33" s="32">
        <f t="shared" si="1"/>
        <v>1992</v>
      </c>
      <c r="D33" s="33">
        <v>0.24629999999999999</v>
      </c>
      <c r="E33" s="33"/>
      <c r="F33" s="34"/>
      <c r="G33" s="33">
        <v>0.2238</v>
      </c>
      <c r="H33" s="34"/>
      <c r="I33" s="34">
        <v>0</v>
      </c>
      <c r="J33" s="34" t="s">
        <v>4</v>
      </c>
      <c r="K33" s="34"/>
      <c r="L33" s="34"/>
    </row>
    <row r="34" spans="1:12" s="36" customFormat="1">
      <c r="A34" s="92">
        <f t="shared" si="2"/>
        <v>33877</v>
      </c>
      <c r="B34" s="32">
        <f t="shared" si="0"/>
        <v>9</v>
      </c>
      <c r="C34" s="32">
        <f t="shared" si="1"/>
        <v>1992</v>
      </c>
      <c r="D34" s="33">
        <v>0.25269999999999998</v>
      </c>
      <c r="E34" s="33"/>
      <c r="F34" s="34"/>
      <c r="G34" s="33">
        <v>0.23980000000000001</v>
      </c>
      <c r="H34" s="34"/>
      <c r="I34" s="34">
        <v>0</v>
      </c>
      <c r="J34" s="34" t="s">
        <v>4</v>
      </c>
      <c r="K34" s="34"/>
      <c r="L34" s="34"/>
    </row>
    <row r="35" spans="1:12" s="36" customFormat="1">
      <c r="A35" s="92">
        <f t="shared" si="2"/>
        <v>33908</v>
      </c>
      <c r="B35" s="32">
        <f t="shared" si="0"/>
        <v>10</v>
      </c>
      <c r="C35" s="32">
        <f t="shared" si="1"/>
        <v>1992</v>
      </c>
      <c r="D35" s="33">
        <v>0.2676</v>
      </c>
      <c r="E35" s="33"/>
      <c r="F35" s="34"/>
      <c r="G35" s="33">
        <v>0.26069999999999999</v>
      </c>
      <c r="H35" s="34"/>
      <c r="I35" s="34">
        <v>0.25480000000000003</v>
      </c>
      <c r="J35" s="34" t="s">
        <v>4</v>
      </c>
      <c r="K35" s="34"/>
      <c r="L35" s="34"/>
    </row>
    <row r="36" spans="1:12" s="36" customFormat="1">
      <c r="A36" s="92">
        <f t="shared" si="2"/>
        <v>33938</v>
      </c>
      <c r="B36" s="32">
        <f t="shared" si="0"/>
        <v>11</v>
      </c>
      <c r="C36" s="32">
        <f t="shared" si="1"/>
        <v>1992</v>
      </c>
      <c r="D36" s="33">
        <v>0.23430000000000001</v>
      </c>
      <c r="E36" s="33"/>
      <c r="F36" s="34"/>
      <c r="G36" s="33">
        <v>0.22889999999999999</v>
      </c>
      <c r="H36" s="34"/>
      <c r="I36" s="34">
        <v>0.23699999999999999</v>
      </c>
      <c r="J36" s="34" t="s">
        <v>4</v>
      </c>
      <c r="K36" s="34"/>
      <c r="L36" s="34"/>
    </row>
    <row r="37" spans="1:12" s="36" customFormat="1">
      <c r="A37" s="92">
        <f t="shared" si="2"/>
        <v>33969</v>
      </c>
      <c r="B37" s="32">
        <f t="shared" si="0"/>
        <v>12</v>
      </c>
      <c r="C37" s="32">
        <f t="shared" si="1"/>
        <v>1992</v>
      </c>
      <c r="D37" s="33">
        <v>0.25080000000000002</v>
      </c>
      <c r="E37" s="33"/>
      <c r="F37" s="34"/>
      <c r="G37" s="33">
        <v>0.25580000000000003</v>
      </c>
      <c r="H37" s="34"/>
      <c r="I37" s="34">
        <v>0.2349</v>
      </c>
      <c r="J37" s="34" t="s">
        <v>4</v>
      </c>
      <c r="K37" s="34"/>
      <c r="L37" s="34"/>
    </row>
    <row r="38" spans="1:12" s="36" customFormat="1">
      <c r="A38" s="92">
        <f t="shared" si="2"/>
        <v>34000</v>
      </c>
      <c r="B38" s="32">
        <f t="shared" si="0"/>
        <v>1</v>
      </c>
      <c r="C38" s="32">
        <f t="shared" si="1"/>
        <v>1993</v>
      </c>
      <c r="D38" s="33">
        <v>0.25829999999999997</v>
      </c>
      <c r="E38" s="33"/>
      <c r="F38" s="34"/>
      <c r="G38" s="33">
        <v>0.28770000000000001</v>
      </c>
      <c r="H38" s="34"/>
      <c r="I38" s="34">
        <v>0.29470000000000002</v>
      </c>
      <c r="J38" s="34" t="s">
        <v>4</v>
      </c>
      <c r="K38" s="34"/>
      <c r="L38" s="34"/>
    </row>
    <row r="39" spans="1:12" s="36" customFormat="1">
      <c r="A39" s="92">
        <f t="shared" si="2"/>
        <v>34028</v>
      </c>
      <c r="B39" s="32">
        <f t="shared" si="0"/>
        <v>2</v>
      </c>
      <c r="C39" s="32">
        <f t="shared" si="1"/>
        <v>1993</v>
      </c>
      <c r="D39" s="33">
        <v>0.28420000000000001</v>
      </c>
      <c r="E39" s="33"/>
      <c r="F39" s="34"/>
      <c r="G39" s="33">
        <v>0.24790000000000001</v>
      </c>
      <c r="H39" s="34"/>
      <c r="I39" s="34">
        <v>0.26719999999999999</v>
      </c>
      <c r="J39" s="34" t="s">
        <v>4</v>
      </c>
      <c r="K39" s="34"/>
      <c r="L39" s="34"/>
    </row>
    <row r="40" spans="1:12" s="36" customFormat="1">
      <c r="A40" s="92">
        <f t="shared" si="2"/>
        <v>34059</v>
      </c>
      <c r="B40" s="32">
        <f t="shared" si="0"/>
        <v>3</v>
      </c>
      <c r="C40" s="32">
        <f t="shared" si="1"/>
        <v>1993</v>
      </c>
      <c r="D40" s="33">
        <v>0.26250000000000001</v>
      </c>
      <c r="E40" s="33"/>
      <c r="F40" s="34"/>
      <c r="G40" s="33">
        <v>0.27579999999999999</v>
      </c>
      <c r="H40" s="34"/>
      <c r="I40" s="34">
        <v>0.2596</v>
      </c>
      <c r="J40" s="34" t="s">
        <v>4</v>
      </c>
      <c r="K40" s="34"/>
      <c r="L40" s="34"/>
    </row>
    <row r="41" spans="1:12" s="36" customFormat="1">
      <c r="A41" s="92">
        <f t="shared" si="2"/>
        <v>34089</v>
      </c>
      <c r="B41" s="32">
        <f t="shared" si="0"/>
        <v>4</v>
      </c>
      <c r="C41" s="32">
        <f t="shared" si="1"/>
        <v>1993</v>
      </c>
      <c r="D41" s="33">
        <v>0.2883</v>
      </c>
      <c r="E41" s="33"/>
      <c r="F41" s="34"/>
      <c r="G41" s="33">
        <v>0.28370000000000001</v>
      </c>
      <c r="H41" s="34"/>
      <c r="I41" s="34">
        <v>0.27339999999999998</v>
      </c>
      <c r="J41" s="34" t="s">
        <v>4</v>
      </c>
      <c r="K41" s="34"/>
      <c r="L41" s="34"/>
    </row>
    <row r="42" spans="1:12" s="36" customFormat="1">
      <c r="A42" s="92">
        <f t="shared" si="2"/>
        <v>34120</v>
      </c>
      <c r="B42" s="32">
        <f t="shared" si="0"/>
        <v>5</v>
      </c>
      <c r="C42" s="32">
        <f t="shared" si="1"/>
        <v>1993</v>
      </c>
      <c r="D42" s="33">
        <v>0.29699999999999999</v>
      </c>
      <c r="E42" s="33"/>
      <c r="F42" s="34"/>
      <c r="G42" s="33">
        <v>0.26779999999999998</v>
      </c>
      <c r="H42" s="34"/>
      <c r="I42" s="34">
        <v>0.28610000000000002</v>
      </c>
      <c r="J42" s="34" t="s">
        <v>4</v>
      </c>
      <c r="K42" s="34"/>
      <c r="L42" s="34"/>
    </row>
    <row r="43" spans="1:12" s="36" customFormat="1">
      <c r="A43" s="92">
        <f t="shared" si="2"/>
        <v>34150</v>
      </c>
      <c r="B43" s="32">
        <f t="shared" si="0"/>
        <v>6</v>
      </c>
      <c r="C43" s="32">
        <f t="shared" si="1"/>
        <v>1993</v>
      </c>
      <c r="D43" s="33">
        <v>0.31490000000000001</v>
      </c>
      <c r="E43" s="33"/>
      <c r="F43" s="34"/>
      <c r="G43" s="33">
        <v>0.30370000000000003</v>
      </c>
      <c r="H43" s="34"/>
      <c r="I43" s="34">
        <v>0.27610000000000001</v>
      </c>
      <c r="J43" s="34" t="s">
        <v>4</v>
      </c>
      <c r="K43" s="34"/>
      <c r="L43" s="34"/>
    </row>
    <row r="44" spans="1:12" s="36" customFormat="1">
      <c r="A44" s="92">
        <f t="shared" si="2"/>
        <v>34181</v>
      </c>
      <c r="B44" s="32">
        <f t="shared" si="0"/>
        <v>7</v>
      </c>
      <c r="C44" s="32">
        <f t="shared" si="1"/>
        <v>1993</v>
      </c>
      <c r="D44" s="33">
        <v>0.3125</v>
      </c>
      <c r="E44" s="33"/>
      <c r="F44" s="34"/>
      <c r="G44" s="33">
        <v>0.31009999999999999</v>
      </c>
      <c r="H44" s="34"/>
      <c r="I44" s="34">
        <v>0.30669999999999997</v>
      </c>
      <c r="J44" s="34" t="s">
        <v>4</v>
      </c>
      <c r="K44" s="34"/>
      <c r="L44" s="34"/>
    </row>
    <row r="45" spans="1:12" s="36" customFormat="1">
      <c r="A45" s="92">
        <f t="shared" si="2"/>
        <v>34212</v>
      </c>
      <c r="B45" s="32">
        <f t="shared" si="0"/>
        <v>8</v>
      </c>
      <c r="C45" s="32">
        <f t="shared" si="1"/>
        <v>1993</v>
      </c>
      <c r="D45" s="33">
        <v>0.31790000000000002</v>
      </c>
      <c r="E45" s="33"/>
      <c r="F45" s="34"/>
      <c r="G45" s="33">
        <v>0.33339999999999997</v>
      </c>
      <c r="H45" s="34"/>
      <c r="I45" s="34">
        <v>0.31990000000000002</v>
      </c>
      <c r="J45" s="34" t="s">
        <v>4</v>
      </c>
      <c r="K45" s="34"/>
      <c r="L45" s="34"/>
    </row>
    <row r="46" spans="1:12" s="36" customFormat="1">
      <c r="A46" s="92">
        <f t="shared" si="2"/>
        <v>34242</v>
      </c>
      <c r="B46" s="32">
        <f t="shared" si="0"/>
        <v>9</v>
      </c>
      <c r="C46" s="32">
        <f t="shared" si="1"/>
        <v>1993</v>
      </c>
      <c r="D46" s="33">
        <v>0.3528</v>
      </c>
      <c r="E46" s="33"/>
      <c r="F46" s="34"/>
      <c r="G46" s="33">
        <v>0.35630000000000001</v>
      </c>
      <c r="H46" s="34"/>
      <c r="I46" s="34">
        <v>0.34379999999999999</v>
      </c>
      <c r="J46" s="34" t="s">
        <v>4</v>
      </c>
      <c r="K46" s="34"/>
      <c r="L46" s="34"/>
    </row>
    <row r="47" spans="1:12" s="36" customFormat="1">
      <c r="A47" s="92">
        <f t="shared" si="2"/>
        <v>34273</v>
      </c>
      <c r="B47" s="32">
        <f t="shared" si="0"/>
        <v>10</v>
      </c>
      <c r="C47" s="32">
        <f t="shared" si="1"/>
        <v>1993</v>
      </c>
      <c r="D47" s="33">
        <v>0.35039999999999999</v>
      </c>
      <c r="E47" s="33"/>
      <c r="F47" s="34"/>
      <c r="G47" s="33">
        <v>0.3412</v>
      </c>
      <c r="H47" s="34"/>
      <c r="I47" s="34">
        <v>0.35170000000000001</v>
      </c>
      <c r="J47" s="34" t="s">
        <v>4</v>
      </c>
      <c r="K47" s="34"/>
      <c r="L47" s="34"/>
    </row>
    <row r="48" spans="1:12" s="36" customFormat="1">
      <c r="A48" s="92">
        <f t="shared" si="2"/>
        <v>34303</v>
      </c>
      <c r="B48" s="32">
        <f t="shared" si="0"/>
        <v>11</v>
      </c>
      <c r="C48" s="32">
        <f t="shared" si="1"/>
        <v>1993</v>
      </c>
      <c r="D48" s="33">
        <v>0.36149999999999999</v>
      </c>
      <c r="E48" s="33"/>
      <c r="F48" s="34"/>
      <c r="G48" s="33">
        <v>0.36</v>
      </c>
      <c r="H48" s="34"/>
      <c r="I48" s="34">
        <v>0.33900000000000002</v>
      </c>
      <c r="J48" s="34" t="s">
        <v>4</v>
      </c>
      <c r="K48" s="34"/>
      <c r="L48" s="34"/>
    </row>
    <row r="49" spans="1:12" s="36" customFormat="1">
      <c r="A49" s="92">
        <f t="shared" si="2"/>
        <v>34334</v>
      </c>
      <c r="B49" s="32">
        <f t="shared" si="0"/>
        <v>12</v>
      </c>
      <c r="C49" s="32">
        <f t="shared" si="1"/>
        <v>1993</v>
      </c>
      <c r="D49" s="33">
        <v>0.38319999999999999</v>
      </c>
      <c r="E49" s="33"/>
      <c r="F49" s="34"/>
      <c r="G49" s="33">
        <v>0.37730000000000002</v>
      </c>
      <c r="H49" s="34"/>
      <c r="I49" s="34">
        <v>0.3669</v>
      </c>
      <c r="J49" s="34" t="s">
        <v>4</v>
      </c>
      <c r="K49" s="34"/>
      <c r="L49" s="34"/>
    </row>
    <row r="50" spans="1:12" s="36" customFormat="1">
      <c r="A50" s="92">
        <f t="shared" si="2"/>
        <v>34365</v>
      </c>
      <c r="B50" s="32">
        <f t="shared" ref="B50:B108" si="3">MONTH(A50)</f>
        <v>1</v>
      </c>
      <c r="C50" s="32">
        <f t="shared" ref="C50:C108" si="4">YEAR(A50)</f>
        <v>1994</v>
      </c>
      <c r="D50" s="33">
        <v>0.39069999999999999</v>
      </c>
      <c r="E50" s="33"/>
      <c r="F50" s="34"/>
      <c r="G50" s="33">
        <v>0.41320000000000001</v>
      </c>
      <c r="H50" s="34"/>
      <c r="I50" s="34">
        <v>0.39169999999999999</v>
      </c>
      <c r="J50" s="34" t="s">
        <v>4</v>
      </c>
      <c r="K50" s="34"/>
      <c r="L50" s="34"/>
    </row>
    <row r="51" spans="1:12" s="36" customFormat="1">
      <c r="A51" s="92">
        <f t="shared" si="2"/>
        <v>34393</v>
      </c>
      <c r="B51" s="32">
        <f t="shared" si="3"/>
        <v>2</v>
      </c>
      <c r="C51" s="32">
        <f t="shared" si="4"/>
        <v>1994</v>
      </c>
      <c r="D51" s="33">
        <v>0.4078</v>
      </c>
      <c r="E51" s="33"/>
      <c r="F51" s="34"/>
      <c r="G51" s="33">
        <v>0.40570000000000001</v>
      </c>
      <c r="H51" s="34"/>
      <c r="I51" s="34">
        <v>0.39700000000000002</v>
      </c>
      <c r="J51" s="34" t="s">
        <v>4</v>
      </c>
      <c r="K51" s="34"/>
      <c r="L51" s="34"/>
    </row>
    <row r="52" spans="1:12" s="36" customFormat="1">
      <c r="A52" s="92">
        <f t="shared" si="2"/>
        <v>34424</v>
      </c>
      <c r="B52" s="32">
        <f t="shared" si="3"/>
        <v>3</v>
      </c>
      <c r="C52" s="32">
        <f t="shared" si="4"/>
        <v>1994</v>
      </c>
      <c r="D52" s="33">
        <v>0.45710000000000001</v>
      </c>
      <c r="E52" s="33"/>
      <c r="F52" s="34"/>
      <c r="G52" s="33">
        <v>0.43080000000000002</v>
      </c>
      <c r="H52" s="34"/>
      <c r="I52" s="34">
        <v>0.43630000000000002</v>
      </c>
      <c r="J52" s="34" t="s">
        <v>4</v>
      </c>
      <c r="K52" s="34"/>
      <c r="L52" s="34"/>
    </row>
    <row r="53" spans="1:12" s="36" customFormat="1">
      <c r="A53" s="92">
        <f t="shared" si="2"/>
        <v>34454</v>
      </c>
      <c r="B53" s="32">
        <f t="shared" si="3"/>
        <v>4</v>
      </c>
      <c r="C53" s="32">
        <f t="shared" si="4"/>
        <v>1994</v>
      </c>
      <c r="D53" s="33">
        <v>0.40910000000000002</v>
      </c>
      <c r="E53" s="33"/>
      <c r="F53" s="34"/>
      <c r="G53" s="33">
        <v>0.42859999999999998</v>
      </c>
      <c r="H53" s="34"/>
      <c r="I53" s="34">
        <v>0.41249999999999998</v>
      </c>
      <c r="J53" s="34" t="s">
        <v>4</v>
      </c>
      <c r="K53" s="34"/>
      <c r="L53" s="34"/>
    </row>
    <row r="54" spans="1:12" s="36" customFormat="1">
      <c r="A54" s="92">
        <f t="shared" si="2"/>
        <v>34485</v>
      </c>
      <c r="B54" s="32">
        <f t="shared" si="3"/>
        <v>5</v>
      </c>
      <c r="C54" s="32">
        <f t="shared" si="4"/>
        <v>1994</v>
      </c>
      <c r="D54" s="33">
        <v>0.42580000000000001</v>
      </c>
      <c r="E54" s="33"/>
      <c r="F54" s="34"/>
      <c r="G54" s="33">
        <v>0.42730000000000001</v>
      </c>
      <c r="H54" s="34"/>
      <c r="I54" s="34">
        <v>0.44209999999999999</v>
      </c>
      <c r="J54" s="34" t="s">
        <v>4</v>
      </c>
      <c r="K54" s="34"/>
      <c r="L54" s="34"/>
    </row>
    <row r="55" spans="1:12" s="36" customFormat="1">
      <c r="A55" s="92">
        <f t="shared" si="2"/>
        <v>34515</v>
      </c>
      <c r="B55" s="32">
        <f t="shared" si="3"/>
        <v>6</v>
      </c>
      <c r="C55" s="32">
        <f t="shared" si="4"/>
        <v>1994</v>
      </c>
      <c r="D55" s="33">
        <v>0.4521</v>
      </c>
      <c r="E55" s="33"/>
      <c r="F55" s="34"/>
      <c r="G55" s="33">
        <v>0.4824</v>
      </c>
      <c r="H55" s="34"/>
      <c r="I55" s="34">
        <v>0.44650000000000001</v>
      </c>
      <c r="J55" s="34" t="s">
        <v>4</v>
      </c>
      <c r="K55" s="34"/>
      <c r="L55" s="34"/>
    </row>
    <row r="56" spans="1:12" s="36" customFormat="1">
      <c r="A56" s="92">
        <f t="shared" si="2"/>
        <v>34546</v>
      </c>
      <c r="B56" s="32">
        <f t="shared" si="3"/>
        <v>7</v>
      </c>
      <c r="C56" s="32">
        <f t="shared" si="4"/>
        <v>1994</v>
      </c>
      <c r="D56" s="33">
        <v>4.3299999999999998E-2</v>
      </c>
      <c r="E56" s="33"/>
      <c r="F56" s="34"/>
      <c r="G56" s="33">
        <v>7.7499999999999999E-2</v>
      </c>
      <c r="H56" s="34"/>
      <c r="I56" s="34">
        <v>5.21E-2</v>
      </c>
      <c r="J56" s="34" t="s">
        <v>4</v>
      </c>
      <c r="K56" s="34"/>
      <c r="L56" s="34"/>
    </row>
    <row r="57" spans="1:12" s="36" customFormat="1">
      <c r="A57" s="92">
        <f t="shared" si="2"/>
        <v>34577</v>
      </c>
      <c r="B57" s="32">
        <f t="shared" si="3"/>
        <v>8</v>
      </c>
      <c r="C57" s="32">
        <f t="shared" si="4"/>
        <v>1994</v>
      </c>
      <c r="D57" s="33">
        <v>3.9399999999999998E-2</v>
      </c>
      <c r="E57" s="33"/>
      <c r="F57" s="34">
        <v>3.95E-2</v>
      </c>
      <c r="G57" s="33">
        <v>1.8499999999999999E-2</v>
      </c>
      <c r="H57" s="34"/>
      <c r="I57" s="34">
        <v>0.05</v>
      </c>
      <c r="J57" s="34" t="s">
        <v>4</v>
      </c>
      <c r="K57" s="34"/>
      <c r="L57" s="34"/>
    </row>
    <row r="58" spans="1:12" s="36" customFormat="1">
      <c r="A58" s="92">
        <f t="shared" si="2"/>
        <v>34607</v>
      </c>
      <c r="B58" s="32">
        <f t="shared" si="3"/>
        <v>9</v>
      </c>
      <c r="C58" s="32">
        <f t="shared" si="4"/>
        <v>1994</v>
      </c>
      <c r="D58" s="33">
        <v>1.7500000000000002E-2</v>
      </c>
      <c r="E58" s="33"/>
      <c r="F58" s="34">
        <v>3.0999999999999999E-3</v>
      </c>
      <c r="G58" s="33">
        <v>1.4E-2</v>
      </c>
      <c r="H58" s="34"/>
      <c r="I58" s="34">
        <v>1.6299999999999999E-2</v>
      </c>
      <c r="J58" s="34" t="s">
        <v>4</v>
      </c>
      <c r="K58" s="34"/>
      <c r="L58" s="34"/>
    </row>
    <row r="59" spans="1:12" s="36" customFormat="1">
      <c r="A59" s="92">
        <f t="shared" si="2"/>
        <v>34638</v>
      </c>
      <c r="B59" s="32">
        <f t="shared" si="3"/>
        <v>10</v>
      </c>
      <c r="C59" s="32">
        <f t="shared" si="4"/>
        <v>1994</v>
      </c>
      <c r="D59" s="33">
        <v>1.8200000000000001E-2</v>
      </c>
      <c r="E59" s="33"/>
      <c r="F59" s="34">
        <v>8.8000000000000005E-3</v>
      </c>
      <c r="G59" s="33">
        <v>2.8199999999999999E-2</v>
      </c>
      <c r="H59" s="34"/>
      <c r="I59" s="34">
        <v>1.9E-2</v>
      </c>
      <c r="J59" s="34" t="s">
        <v>4</v>
      </c>
      <c r="K59" s="34"/>
      <c r="L59" s="34"/>
    </row>
    <row r="60" spans="1:12" s="36" customFormat="1">
      <c r="A60" s="92">
        <f t="shared" si="2"/>
        <v>34668</v>
      </c>
      <c r="B60" s="32">
        <f t="shared" si="3"/>
        <v>11</v>
      </c>
      <c r="C60" s="32">
        <f t="shared" si="4"/>
        <v>1994</v>
      </c>
      <c r="D60" s="33">
        <v>2.8500000000000001E-2</v>
      </c>
      <c r="E60" s="33"/>
      <c r="F60" s="34">
        <v>1.4200000000000001E-2</v>
      </c>
      <c r="G60" s="33">
        <v>2.9600000000000001E-2</v>
      </c>
      <c r="H60" s="34"/>
      <c r="I60" s="34">
        <v>2.9499999999999998E-2</v>
      </c>
      <c r="J60" s="34" t="s">
        <v>4</v>
      </c>
      <c r="K60" s="34"/>
      <c r="L60" s="34"/>
    </row>
    <row r="61" spans="1:12" s="36" customFormat="1">
      <c r="A61" s="92">
        <f t="shared" si="2"/>
        <v>34699</v>
      </c>
      <c r="B61" s="32">
        <f t="shared" si="3"/>
        <v>12</v>
      </c>
      <c r="C61" s="32">
        <f t="shared" si="4"/>
        <v>1994</v>
      </c>
      <c r="D61" s="33">
        <v>8.3999999999999995E-3</v>
      </c>
      <c r="E61" s="33"/>
      <c r="F61" s="34">
        <v>2.4400000000000002E-2</v>
      </c>
      <c r="G61" s="33">
        <v>1.7000000000000001E-2</v>
      </c>
      <c r="H61" s="34"/>
      <c r="I61" s="34">
        <v>2.2499999999999999E-2</v>
      </c>
      <c r="J61" s="34" t="s">
        <v>4</v>
      </c>
      <c r="K61" s="34"/>
      <c r="L61" s="34"/>
    </row>
    <row r="62" spans="1:12" s="36" customFormat="1">
      <c r="A62" s="92">
        <f t="shared" si="2"/>
        <v>34730</v>
      </c>
      <c r="B62" s="32">
        <f t="shared" si="3"/>
        <v>1</v>
      </c>
      <c r="C62" s="32">
        <f t="shared" si="4"/>
        <v>1995</v>
      </c>
      <c r="D62" s="33">
        <v>9.1999999999999998E-3</v>
      </c>
      <c r="E62" s="33"/>
      <c r="F62" s="34">
        <v>1.37E-2</v>
      </c>
      <c r="G62" s="33">
        <v>1.44E-2</v>
      </c>
      <c r="H62" s="34"/>
      <c r="I62" s="34">
        <v>1.78E-2</v>
      </c>
      <c r="J62" s="34" t="s">
        <v>4</v>
      </c>
      <c r="K62" s="34">
        <v>0</v>
      </c>
      <c r="L62" s="34">
        <v>2.1675E-2</v>
      </c>
    </row>
    <row r="63" spans="1:12" s="36" customFormat="1">
      <c r="A63" s="92">
        <f t="shared" si="2"/>
        <v>34758</v>
      </c>
      <c r="B63" s="32">
        <f t="shared" si="3"/>
        <v>2</v>
      </c>
      <c r="C63" s="32">
        <f t="shared" si="4"/>
        <v>1995</v>
      </c>
      <c r="D63" s="33">
        <v>1.3899999999999999E-2</v>
      </c>
      <c r="E63" s="33"/>
      <c r="F63" s="34">
        <v>3.5400000000000001E-2</v>
      </c>
      <c r="G63" s="33">
        <v>1.01E-2</v>
      </c>
      <c r="H63" s="34"/>
      <c r="I63" s="34">
        <v>1.2200000000000001E-2</v>
      </c>
      <c r="J63" s="34" t="s">
        <v>4</v>
      </c>
      <c r="K63" s="34">
        <v>3.6299999999999999E-2</v>
      </c>
      <c r="L63" s="34">
        <v>2.1675E-2</v>
      </c>
    </row>
    <row r="64" spans="1:12" s="36" customFormat="1">
      <c r="A64" s="92">
        <f t="shared" si="2"/>
        <v>34789</v>
      </c>
      <c r="B64" s="32">
        <f t="shared" si="3"/>
        <v>3</v>
      </c>
      <c r="C64" s="32">
        <f t="shared" si="4"/>
        <v>1995</v>
      </c>
      <c r="D64" s="33">
        <v>1.12E-2</v>
      </c>
      <c r="E64" s="33"/>
      <c r="F64" s="34">
        <v>2.41E-2</v>
      </c>
      <c r="G64" s="33">
        <v>1.6199999999999999E-2</v>
      </c>
      <c r="H64" s="34"/>
      <c r="I64" s="34">
        <v>1.2800000000000001E-2</v>
      </c>
      <c r="J64" s="34" t="s">
        <v>4</v>
      </c>
      <c r="K64" s="34">
        <v>2.5999999999999999E-2</v>
      </c>
      <c r="L64" s="34">
        <v>1.9708E-2</v>
      </c>
    </row>
    <row r="65" spans="1:12" s="36" customFormat="1">
      <c r="A65" s="92">
        <f t="shared" si="2"/>
        <v>34819</v>
      </c>
      <c r="B65" s="32">
        <f t="shared" si="3"/>
        <v>4</v>
      </c>
      <c r="C65" s="32">
        <f t="shared" si="4"/>
        <v>1995</v>
      </c>
      <c r="D65" s="33">
        <v>2.1000000000000001E-2</v>
      </c>
      <c r="E65" s="33"/>
      <c r="F65" s="34">
        <v>2.7400000000000001E-2</v>
      </c>
      <c r="G65" s="33">
        <v>2.4899999999999999E-2</v>
      </c>
      <c r="H65" s="34"/>
      <c r="I65" s="34">
        <v>1.95E-2</v>
      </c>
      <c r="J65" s="34" t="s">
        <v>4</v>
      </c>
      <c r="K65" s="34">
        <v>4.2599999999999999E-2</v>
      </c>
      <c r="L65" s="34">
        <v>1.9708E-2</v>
      </c>
    </row>
    <row r="66" spans="1:12" s="36" customFormat="1">
      <c r="A66" s="92">
        <f t="shared" si="2"/>
        <v>34850</v>
      </c>
      <c r="B66" s="32">
        <f t="shared" si="3"/>
        <v>5</v>
      </c>
      <c r="C66" s="32">
        <f t="shared" si="4"/>
        <v>1995</v>
      </c>
      <c r="D66" s="33">
        <v>5.7999999999999996E-3</v>
      </c>
      <c r="E66" s="33"/>
      <c r="F66" s="34">
        <v>2.4299999999999999E-2</v>
      </c>
      <c r="G66" s="33">
        <v>2.1000000000000001E-2</v>
      </c>
      <c r="H66" s="34"/>
      <c r="I66" s="34">
        <v>2.7699999999999999E-2</v>
      </c>
      <c r="J66" s="34" t="s">
        <v>4</v>
      </c>
      <c r="K66" s="34">
        <v>4.2500000000000003E-2</v>
      </c>
      <c r="L66" s="34">
        <v>1.9708E-2</v>
      </c>
    </row>
    <row r="67" spans="1:12" s="36" customFormat="1">
      <c r="A67" s="92">
        <f t="shared" si="2"/>
        <v>34880</v>
      </c>
      <c r="B67" s="32">
        <f t="shared" si="3"/>
        <v>6</v>
      </c>
      <c r="C67" s="32">
        <f t="shared" si="4"/>
        <v>1995</v>
      </c>
      <c r="D67" s="33">
        <v>2.46E-2</v>
      </c>
      <c r="E67" s="33"/>
      <c r="F67" s="34">
        <v>9.3799999999999994E-2</v>
      </c>
      <c r="G67" s="33">
        <v>2.18E-2</v>
      </c>
      <c r="H67" s="34"/>
      <c r="I67" s="34">
        <v>2.2499999999999999E-2</v>
      </c>
      <c r="J67" s="34" t="s">
        <v>4</v>
      </c>
      <c r="K67" s="34">
        <v>4.0399999999999998E-2</v>
      </c>
      <c r="L67" s="34">
        <v>2.0608000000000001E-2</v>
      </c>
    </row>
    <row r="68" spans="1:12" s="36" customFormat="1">
      <c r="A68" s="92">
        <f t="shared" ref="A68:A131" si="5">EOMONTH(A67,1)</f>
        <v>34911</v>
      </c>
      <c r="B68" s="32">
        <f t="shared" si="3"/>
        <v>7</v>
      </c>
      <c r="C68" s="32">
        <f t="shared" si="4"/>
        <v>1995</v>
      </c>
      <c r="D68" s="33">
        <v>1.8200000000000001E-2</v>
      </c>
      <c r="E68" s="33"/>
      <c r="F68" s="34">
        <v>2.7099999999999999E-2</v>
      </c>
      <c r="G68" s="33">
        <v>2.46E-2</v>
      </c>
      <c r="H68" s="34"/>
      <c r="I68" s="34">
        <v>2.5899999999999999E-2</v>
      </c>
      <c r="J68" s="34" t="s">
        <v>4</v>
      </c>
      <c r="K68" s="34">
        <v>4.02E-2</v>
      </c>
      <c r="L68" s="34">
        <v>2.0608000000000001E-2</v>
      </c>
    </row>
    <row r="69" spans="1:12" s="36" customFormat="1">
      <c r="A69" s="92">
        <f t="shared" si="5"/>
        <v>34942</v>
      </c>
      <c r="B69" s="32">
        <f t="shared" si="3"/>
        <v>8</v>
      </c>
      <c r="C69" s="32">
        <f t="shared" si="4"/>
        <v>1995</v>
      </c>
      <c r="D69" s="33">
        <v>2.1999999999999999E-2</v>
      </c>
      <c r="E69" s="33"/>
      <c r="F69" s="34">
        <v>9.2999999999999992E-3</v>
      </c>
      <c r="G69" s="33">
        <v>1.0200000000000001E-2</v>
      </c>
      <c r="H69" s="34"/>
      <c r="I69" s="34">
        <v>1.49E-2</v>
      </c>
      <c r="J69" s="34" t="s">
        <v>4</v>
      </c>
      <c r="K69" s="34">
        <v>3.8399999999999997E-2</v>
      </c>
      <c r="L69" s="34">
        <v>2.0608000000000001E-2</v>
      </c>
    </row>
    <row r="70" spans="1:12" s="36" customFormat="1">
      <c r="A70" s="92">
        <f t="shared" si="5"/>
        <v>34972</v>
      </c>
      <c r="B70" s="32">
        <f t="shared" si="3"/>
        <v>9</v>
      </c>
      <c r="C70" s="32">
        <f t="shared" si="4"/>
        <v>1995</v>
      </c>
      <c r="D70" s="33">
        <v>7.1000000000000004E-3</v>
      </c>
      <c r="E70" s="33"/>
      <c r="F70" s="34">
        <v>4.6800000000000001E-2</v>
      </c>
      <c r="G70" s="33">
        <v>1.17E-2</v>
      </c>
      <c r="H70" s="34"/>
      <c r="I70" s="34">
        <v>9.7000000000000003E-3</v>
      </c>
      <c r="J70" s="34" t="s">
        <v>4</v>
      </c>
      <c r="K70" s="34">
        <v>3.32E-2</v>
      </c>
      <c r="L70" s="34">
        <v>1.8283000000000001E-2</v>
      </c>
    </row>
    <row r="71" spans="1:12" s="36" customFormat="1">
      <c r="A71" s="92">
        <f t="shared" si="5"/>
        <v>35003</v>
      </c>
      <c r="B71" s="32">
        <f t="shared" si="3"/>
        <v>10</v>
      </c>
      <c r="C71" s="32">
        <f t="shared" si="4"/>
        <v>1995</v>
      </c>
      <c r="D71" s="33">
        <v>5.1999999999999998E-3</v>
      </c>
      <c r="E71" s="33"/>
      <c r="F71" s="34">
        <v>7.1999999999999998E-3</v>
      </c>
      <c r="G71" s="33">
        <v>1.4E-2</v>
      </c>
      <c r="H71" s="34"/>
      <c r="I71" s="34">
        <v>1.34E-2</v>
      </c>
      <c r="J71" s="34" t="s">
        <v>4</v>
      </c>
      <c r="K71" s="34">
        <v>3.09E-2</v>
      </c>
      <c r="L71" s="34">
        <v>1.8283000000000001E-2</v>
      </c>
    </row>
    <row r="72" spans="1:12" s="36" customFormat="1">
      <c r="A72" s="92">
        <f t="shared" si="5"/>
        <v>35033</v>
      </c>
      <c r="B72" s="32">
        <f t="shared" si="3"/>
        <v>11</v>
      </c>
      <c r="C72" s="32">
        <f t="shared" si="4"/>
        <v>1995</v>
      </c>
      <c r="D72" s="33">
        <v>1.2E-2</v>
      </c>
      <c r="E72" s="33"/>
      <c r="F72" s="34">
        <v>7.6E-3</v>
      </c>
      <c r="G72" s="33">
        <v>1.5100000000000001E-2</v>
      </c>
      <c r="H72" s="34"/>
      <c r="I72" s="34">
        <v>1.3599999999999999E-2</v>
      </c>
      <c r="J72" s="34" t="s">
        <v>4</v>
      </c>
      <c r="K72" s="34">
        <v>2.8799999999999999E-2</v>
      </c>
      <c r="L72" s="34">
        <v>1.8283000000000001E-2</v>
      </c>
    </row>
    <row r="73" spans="1:12" s="36" customFormat="1">
      <c r="A73" s="92">
        <f t="shared" si="5"/>
        <v>35064</v>
      </c>
      <c r="B73" s="32">
        <f t="shared" si="3"/>
        <v>12</v>
      </c>
      <c r="C73" s="32">
        <f t="shared" si="4"/>
        <v>1995</v>
      </c>
      <c r="D73" s="33">
        <v>7.1000000000000004E-3</v>
      </c>
      <c r="E73" s="33"/>
      <c r="F73" s="34">
        <v>1.0699999999999999E-2</v>
      </c>
      <c r="G73" s="33">
        <v>1.6500000000000001E-2</v>
      </c>
      <c r="H73" s="34"/>
      <c r="I73" s="34">
        <v>1.46E-2</v>
      </c>
      <c r="J73" s="34" t="s">
        <v>4</v>
      </c>
      <c r="K73" s="34">
        <v>2.7799999999999998E-2</v>
      </c>
      <c r="L73" s="34">
        <v>1.4767000000000001E-2</v>
      </c>
    </row>
    <row r="74" spans="1:12" s="36" customFormat="1">
      <c r="A74" s="92">
        <f t="shared" si="5"/>
        <v>35095</v>
      </c>
      <c r="B74" s="32">
        <f t="shared" si="3"/>
        <v>1</v>
      </c>
      <c r="C74" s="32">
        <f t="shared" si="4"/>
        <v>1996</v>
      </c>
      <c r="D74" s="33">
        <v>1.7299999999999999E-2</v>
      </c>
      <c r="E74" s="33"/>
      <c r="F74" s="34">
        <v>6.7000000000000002E-3</v>
      </c>
      <c r="G74" s="33">
        <v>1.46E-2</v>
      </c>
      <c r="H74" s="34"/>
      <c r="I74" s="34">
        <v>1.6299999999999999E-2</v>
      </c>
      <c r="J74" s="34" t="s">
        <v>4</v>
      </c>
      <c r="K74" s="34">
        <v>2.58E-2</v>
      </c>
      <c r="L74" s="34">
        <v>1.4767000000000001E-2</v>
      </c>
    </row>
    <row r="75" spans="1:12" s="36" customFormat="1">
      <c r="A75" s="92">
        <f t="shared" si="5"/>
        <v>35124</v>
      </c>
      <c r="B75" s="32">
        <f t="shared" si="3"/>
        <v>2</v>
      </c>
      <c r="C75" s="32">
        <f t="shared" si="4"/>
        <v>1996</v>
      </c>
      <c r="D75" s="33">
        <v>9.7000000000000003E-3</v>
      </c>
      <c r="E75" s="33"/>
      <c r="F75" s="34">
        <v>1.35E-2</v>
      </c>
      <c r="G75" s="33">
        <v>7.1000000000000004E-3</v>
      </c>
      <c r="H75" s="34"/>
      <c r="I75" s="34">
        <v>1.2E-2</v>
      </c>
      <c r="J75" s="34" t="s">
        <v>4</v>
      </c>
      <c r="K75" s="34">
        <v>2.35E-2</v>
      </c>
      <c r="L75" s="34">
        <v>1.4767000000000001E-2</v>
      </c>
    </row>
    <row r="76" spans="1:12" s="36" customFormat="1">
      <c r="A76" s="92">
        <f t="shared" si="5"/>
        <v>35155</v>
      </c>
      <c r="B76" s="32">
        <f t="shared" si="3"/>
        <v>3</v>
      </c>
      <c r="C76" s="32">
        <f t="shared" si="4"/>
        <v>1996</v>
      </c>
      <c r="D76" s="33">
        <v>4.0000000000000001E-3</v>
      </c>
      <c r="E76" s="33"/>
      <c r="F76" s="34">
        <v>1.9E-3</v>
      </c>
      <c r="G76" s="33">
        <v>2.8999999999999998E-3</v>
      </c>
      <c r="H76" s="34"/>
      <c r="I76" s="34">
        <v>6.1999999999999998E-3</v>
      </c>
      <c r="J76" s="34" t="s">
        <v>4</v>
      </c>
      <c r="K76" s="34">
        <v>2.2200000000000001E-2</v>
      </c>
      <c r="L76" s="34">
        <v>1.5283E-2</v>
      </c>
    </row>
    <row r="77" spans="1:12" s="36" customFormat="1">
      <c r="A77" s="92">
        <f t="shared" si="5"/>
        <v>35185</v>
      </c>
      <c r="B77" s="32">
        <f t="shared" si="3"/>
        <v>4</v>
      </c>
      <c r="C77" s="32">
        <f t="shared" si="4"/>
        <v>1996</v>
      </c>
      <c r="D77" s="33">
        <v>3.2000000000000002E-3</v>
      </c>
      <c r="E77" s="33"/>
      <c r="F77" s="34">
        <v>8.8999999999999999E-3</v>
      </c>
      <c r="G77" s="33">
        <v>9.2999999999999992E-3</v>
      </c>
      <c r="H77" s="34"/>
      <c r="I77" s="34">
        <v>7.0000000000000001E-3</v>
      </c>
      <c r="J77" s="34" t="s">
        <v>4</v>
      </c>
      <c r="K77" s="34">
        <v>2.07E-2</v>
      </c>
      <c r="L77" s="34">
        <v>1.5283E-2</v>
      </c>
    </row>
    <row r="78" spans="1:12" s="36" customFormat="1">
      <c r="A78" s="92">
        <f t="shared" si="5"/>
        <v>35216</v>
      </c>
      <c r="B78" s="32">
        <f t="shared" si="3"/>
        <v>5</v>
      </c>
      <c r="C78" s="32">
        <f t="shared" si="4"/>
        <v>1996</v>
      </c>
      <c r="D78" s="33">
        <v>1.55E-2</v>
      </c>
      <c r="E78" s="33"/>
      <c r="F78" s="34">
        <v>5.4999999999999997E-3</v>
      </c>
      <c r="G78" s="33">
        <v>1.2800000000000001E-2</v>
      </c>
      <c r="H78" s="34"/>
      <c r="I78" s="34">
        <v>1.32E-2</v>
      </c>
      <c r="J78" s="34" t="s">
        <v>4</v>
      </c>
      <c r="K78" s="34">
        <v>2.01E-2</v>
      </c>
      <c r="L78" s="34">
        <v>1.5283E-2</v>
      </c>
    </row>
    <row r="79" spans="1:12" s="36" customFormat="1">
      <c r="A79" s="92">
        <f t="shared" si="5"/>
        <v>35246</v>
      </c>
      <c r="B79" s="32">
        <f t="shared" si="3"/>
        <v>6</v>
      </c>
      <c r="C79" s="32">
        <f t="shared" si="4"/>
        <v>1996</v>
      </c>
      <c r="D79" s="33">
        <v>1.0200000000000001E-2</v>
      </c>
      <c r="E79" s="33"/>
      <c r="F79" s="34">
        <v>2.01E-2</v>
      </c>
      <c r="G79" s="33">
        <v>1.3299999999999999E-2</v>
      </c>
      <c r="H79" s="34"/>
      <c r="I79" s="34">
        <v>1.11E-2</v>
      </c>
      <c r="J79" s="34" t="s">
        <v>4</v>
      </c>
      <c r="K79" s="34">
        <v>1.9800000000000002E-2</v>
      </c>
      <c r="L79" s="34">
        <v>1.2867E-2</v>
      </c>
    </row>
    <row r="80" spans="1:12" s="36" customFormat="1">
      <c r="A80" s="92">
        <f t="shared" si="5"/>
        <v>35277</v>
      </c>
      <c r="B80" s="32">
        <f t="shared" si="3"/>
        <v>7</v>
      </c>
      <c r="C80" s="32">
        <f t="shared" si="4"/>
        <v>1996</v>
      </c>
      <c r="D80" s="33">
        <v>1.35E-2</v>
      </c>
      <c r="E80" s="33"/>
      <c r="F80" s="34">
        <v>1.52E-2</v>
      </c>
      <c r="G80" s="33">
        <v>1.2E-2</v>
      </c>
      <c r="H80" s="34"/>
      <c r="I80" s="34">
        <v>1.37E-2</v>
      </c>
      <c r="J80" s="34" t="s">
        <v>4</v>
      </c>
      <c r="K80" s="34">
        <v>1.9300000000000001E-2</v>
      </c>
      <c r="L80" s="34">
        <v>1.2867E-2</v>
      </c>
    </row>
    <row r="81" spans="1:12" s="36" customFormat="1">
      <c r="A81" s="92">
        <f t="shared" si="5"/>
        <v>35308</v>
      </c>
      <c r="B81" s="32">
        <f t="shared" si="3"/>
        <v>8</v>
      </c>
      <c r="C81" s="32">
        <f t="shared" si="4"/>
        <v>1996</v>
      </c>
      <c r="D81" s="33">
        <v>2.8E-3</v>
      </c>
      <c r="E81" s="33"/>
      <c r="F81" s="34">
        <v>7.4000000000000003E-3</v>
      </c>
      <c r="G81" s="33">
        <v>5.0000000000000001E-3</v>
      </c>
      <c r="H81" s="34"/>
      <c r="I81" s="34">
        <v>7.0000000000000001E-3</v>
      </c>
      <c r="J81" s="34" t="s">
        <v>4</v>
      </c>
      <c r="K81" s="34">
        <v>1.9699999999999999E-2</v>
      </c>
      <c r="L81" s="34">
        <v>1.2867E-2</v>
      </c>
    </row>
    <row r="82" spans="1:12" s="36" customFormat="1">
      <c r="A82" s="92">
        <f t="shared" si="5"/>
        <v>35338</v>
      </c>
      <c r="B82" s="32">
        <f t="shared" si="3"/>
        <v>9</v>
      </c>
      <c r="C82" s="32">
        <f t="shared" si="4"/>
        <v>1996</v>
      </c>
      <c r="D82" s="33">
        <v>1E-3</v>
      </c>
      <c r="E82" s="33"/>
      <c r="F82" s="34">
        <v>1.5E-3</v>
      </c>
      <c r="G82" s="33">
        <v>2.0000000000000001E-4</v>
      </c>
      <c r="H82" s="34"/>
      <c r="I82" s="34">
        <v>1.1000000000000001E-3</v>
      </c>
      <c r="J82" s="34" t="s">
        <v>4</v>
      </c>
      <c r="K82" s="34">
        <v>1.9E-2</v>
      </c>
      <c r="L82" s="34">
        <v>1.2475E-2</v>
      </c>
    </row>
    <row r="83" spans="1:12" s="36" customFormat="1">
      <c r="A83" s="92">
        <f t="shared" si="5"/>
        <v>35369</v>
      </c>
      <c r="B83" s="32">
        <f t="shared" si="3"/>
        <v>10</v>
      </c>
      <c r="C83" s="32">
        <f t="shared" si="4"/>
        <v>1996</v>
      </c>
      <c r="D83" s="33">
        <v>1.9E-3</v>
      </c>
      <c r="E83" s="33"/>
      <c r="F83" s="34">
        <v>2.3E-3</v>
      </c>
      <c r="G83" s="33">
        <v>3.8E-3</v>
      </c>
      <c r="H83" s="34"/>
      <c r="I83" s="34">
        <v>1.4E-3</v>
      </c>
      <c r="J83" s="34" t="s">
        <v>4</v>
      </c>
      <c r="K83" s="34">
        <v>1.8599999999999998E-2</v>
      </c>
      <c r="L83" s="34">
        <v>1.2475E-2</v>
      </c>
    </row>
    <row r="84" spans="1:12" s="36" customFormat="1">
      <c r="A84" s="92">
        <f t="shared" si="5"/>
        <v>35399</v>
      </c>
      <c r="B84" s="32">
        <f t="shared" si="3"/>
        <v>11</v>
      </c>
      <c r="C84" s="32">
        <f t="shared" si="4"/>
        <v>1996</v>
      </c>
      <c r="D84" s="33">
        <v>2E-3</v>
      </c>
      <c r="E84" s="33"/>
      <c r="F84" s="34">
        <v>2.8E-3</v>
      </c>
      <c r="G84" s="33">
        <v>3.3999999999999998E-3</v>
      </c>
      <c r="H84" s="34"/>
      <c r="I84" s="34">
        <v>4.1000000000000003E-3</v>
      </c>
      <c r="J84" s="34" t="s">
        <v>4</v>
      </c>
      <c r="K84" s="34">
        <v>1.7999999999999999E-2</v>
      </c>
      <c r="L84" s="34">
        <v>1.2475E-2</v>
      </c>
    </row>
    <row r="85" spans="1:12" s="36" customFormat="1">
      <c r="A85" s="92">
        <f t="shared" si="5"/>
        <v>35430</v>
      </c>
      <c r="B85" s="32">
        <f t="shared" si="3"/>
        <v>12</v>
      </c>
      <c r="C85" s="32">
        <f t="shared" si="4"/>
        <v>1996</v>
      </c>
      <c r="D85" s="33">
        <v>7.3000000000000001E-3</v>
      </c>
      <c r="E85" s="33"/>
      <c r="F85" s="34">
        <v>4.7999999999999996E-3</v>
      </c>
      <c r="G85" s="33">
        <v>3.3E-3</v>
      </c>
      <c r="H85" s="34"/>
      <c r="I85" s="34">
        <v>2E-3</v>
      </c>
      <c r="J85" s="34" t="s">
        <v>4</v>
      </c>
      <c r="K85" s="34">
        <v>1.7999999999999999E-2</v>
      </c>
      <c r="L85" s="34">
        <v>9.1830000000000002E-3</v>
      </c>
    </row>
    <row r="86" spans="1:12" s="36" customFormat="1">
      <c r="A86" s="92">
        <f t="shared" si="5"/>
        <v>35461</v>
      </c>
      <c r="B86" s="32">
        <f t="shared" si="3"/>
        <v>1</v>
      </c>
      <c r="C86" s="32">
        <f t="shared" si="4"/>
        <v>1997</v>
      </c>
      <c r="D86" s="33">
        <v>1.77E-2</v>
      </c>
      <c r="E86" s="33"/>
      <c r="F86" s="34">
        <v>6.7999999999999996E-3</v>
      </c>
      <c r="G86" s="33">
        <v>8.0999999999999996E-3</v>
      </c>
      <c r="H86" s="34"/>
      <c r="I86" s="34">
        <v>1.1299999999999999E-2</v>
      </c>
      <c r="J86" s="34" t="s">
        <v>4</v>
      </c>
      <c r="K86" s="34">
        <v>1.7299999999999999E-2</v>
      </c>
      <c r="L86" s="34">
        <v>9.1830000000000002E-3</v>
      </c>
    </row>
    <row r="87" spans="1:12" s="36" customFormat="1">
      <c r="A87" s="92">
        <f t="shared" si="5"/>
        <v>35489</v>
      </c>
      <c r="B87" s="32">
        <f t="shared" si="3"/>
        <v>2</v>
      </c>
      <c r="C87" s="32">
        <f t="shared" si="4"/>
        <v>1997</v>
      </c>
      <c r="D87" s="33">
        <v>4.3E-3</v>
      </c>
      <c r="E87" s="33"/>
      <c r="F87" s="34">
        <v>3.0999999999999999E-3</v>
      </c>
      <c r="G87" s="33">
        <v>4.4999999999999997E-3</v>
      </c>
      <c r="H87" s="34"/>
      <c r="I87" s="34">
        <v>7.1000000000000004E-3</v>
      </c>
      <c r="J87" s="34" t="s">
        <v>4</v>
      </c>
      <c r="K87" s="34">
        <v>1.67E-2</v>
      </c>
      <c r="L87" s="34">
        <v>9.1830000000000002E-3</v>
      </c>
    </row>
    <row r="88" spans="1:12" s="36" customFormat="1">
      <c r="A88" s="92">
        <f t="shared" si="5"/>
        <v>35520</v>
      </c>
      <c r="B88" s="32">
        <f t="shared" si="3"/>
        <v>3</v>
      </c>
      <c r="C88" s="32">
        <f t="shared" si="4"/>
        <v>1997</v>
      </c>
      <c r="D88" s="33">
        <v>1.15E-2</v>
      </c>
      <c r="E88" s="33"/>
      <c r="F88" s="34">
        <v>4.1999999999999997E-3</v>
      </c>
      <c r="G88" s="33">
        <v>6.7999999999999996E-3</v>
      </c>
      <c r="H88" s="34"/>
      <c r="I88" s="34">
        <v>5.8999999999999999E-3</v>
      </c>
      <c r="J88" s="34" t="s">
        <v>4</v>
      </c>
      <c r="K88" s="34">
        <v>1.6400000000000001E-2</v>
      </c>
      <c r="L88" s="34">
        <v>8.6079999999999993E-3</v>
      </c>
    </row>
    <row r="89" spans="1:12" s="36" customFormat="1">
      <c r="A89" s="92">
        <f t="shared" si="5"/>
        <v>35550</v>
      </c>
      <c r="B89" s="32">
        <f t="shared" si="3"/>
        <v>4</v>
      </c>
      <c r="C89" s="32">
        <f t="shared" si="4"/>
        <v>1997</v>
      </c>
      <c r="D89" s="33">
        <v>6.7999999999999996E-3</v>
      </c>
      <c r="E89" s="33"/>
      <c r="F89" s="34">
        <v>7.3000000000000001E-3</v>
      </c>
      <c r="G89" s="33">
        <v>6.0000000000000001E-3</v>
      </c>
      <c r="H89" s="34"/>
      <c r="I89" s="34">
        <v>6.7999999999999996E-3</v>
      </c>
      <c r="J89" s="34" t="s">
        <v>4</v>
      </c>
      <c r="K89" s="34">
        <v>1.66E-2</v>
      </c>
      <c r="L89" s="34">
        <v>8.6079999999999993E-3</v>
      </c>
    </row>
    <row r="90" spans="1:12" s="36" customFormat="1">
      <c r="A90" s="92">
        <f t="shared" si="5"/>
        <v>35581</v>
      </c>
      <c r="B90" s="32">
        <f t="shared" si="3"/>
        <v>5</v>
      </c>
      <c r="C90" s="32">
        <f t="shared" si="4"/>
        <v>1997</v>
      </c>
      <c r="D90" s="33">
        <v>2.0999999999999999E-3</v>
      </c>
      <c r="E90" s="33"/>
      <c r="F90" s="34">
        <v>3.0000000000000001E-3</v>
      </c>
      <c r="G90" s="33">
        <v>1.1000000000000001E-3</v>
      </c>
      <c r="H90" s="34"/>
      <c r="I90" s="34">
        <v>5.0000000000000001E-3</v>
      </c>
      <c r="J90" s="34" t="s">
        <v>4</v>
      </c>
      <c r="K90" s="34">
        <v>1.5800000000000002E-2</v>
      </c>
      <c r="L90" s="34">
        <v>8.6079999999999993E-3</v>
      </c>
    </row>
    <row r="91" spans="1:12" s="36" customFormat="1">
      <c r="A91" s="92">
        <f t="shared" si="5"/>
        <v>35611</v>
      </c>
      <c r="B91" s="32">
        <f t="shared" si="3"/>
        <v>6</v>
      </c>
      <c r="C91" s="32">
        <f t="shared" si="4"/>
        <v>1997</v>
      </c>
      <c r="D91" s="33">
        <v>7.4000000000000003E-3</v>
      </c>
      <c r="E91" s="33"/>
      <c r="F91" s="34">
        <v>9.9000000000000008E-3</v>
      </c>
      <c r="G91" s="33">
        <v>3.5000000000000001E-3</v>
      </c>
      <c r="H91" s="34"/>
      <c r="I91" s="34">
        <v>5.4999999999999997E-3</v>
      </c>
      <c r="J91" s="34" t="s">
        <v>4</v>
      </c>
      <c r="K91" s="34">
        <v>1.61E-2</v>
      </c>
      <c r="L91" s="34">
        <v>8.4580000000000002E-3</v>
      </c>
    </row>
    <row r="92" spans="1:12" s="36" customFormat="1">
      <c r="A92" s="92">
        <f t="shared" si="5"/>
        <v>35642</v>
      </c>
      <c r="B92" s="32">
        <f t="shared" si="3"/>
        <v>7</v>
      </c>
      <c r="C92" s="32">
        <f t="shared" si="4"/>
        <v>1997</v>
      </c>
      <c r="D92" s="33">
        <v>8.9999999999999998E-4</v>
      </c>
      <c r="E92" s="33"/>
      <c r="F92" s="34">
        <v>9.4000000000000004E-3</v>
      </c>
      <c r="G92" s="33">
        <v>1.8E-3</v>
      </c>
      <c r="H92" s="34"/>
      <c r="I92" s="34">
        <v>3.0999999999999999E-3</v>
      </c>
      <c r="J92" s="34" t="s">
        <v>4</v>
      </c>
      <c r="K92" s="34">
        <v>1.6E-2</v>
      </c>
      <c r="L92" s="34">
        <v>8.4580000000000002E-3</v>
      </c>
    </row>
    <row r="93" spans="1:12" s="36" customFormat="1">
      <c r="A93" s="92">
        <f t="shared" si="5"/>
        <v>35673</v>
      </c>
      <c r="B93" s="32">
        <f t="shared" si="3"/>
        <v>8</v>
      </c>
      <c r="C93" s="32">
        <f t="shared" si="4"/>
        <v>1997</v>
      </c>
      <c r="D93" s="33">
        <v>8.9999999999999998E-4</v>
      </c>
      <c r="E93" s="33"/>
      <c r="F93" s="34">
        <v>5.4999999999999997E-3</v>
      </c>
      <c r="G93" s="33">
        <v>-2.9999999999999997E-4</v>
      </c>
      <c r="H93" s="34"/>
      <c r="I93" s="34">
        <v>1.6999999999999999E-3</v>
      </c>
      <c r="J93" s="34" t="s">
        <v>4</v>
      </c>
      <c r="K93" s="34">
        <v>1.5900000000000001E-2</v>
      </c>
      <c r="L93" s="34">
        <v>8.4580000000000002E-3</v>
      </c>
    </row>
    <row r="94" spans="1:12" s="36" customFormat="1">
      <c r="A94" s="92">
        <f t="shared" si="5"/>
        <v>35703</v>
      </c>
      <c r="B94" s="32">
        <f t="shared" si="3"/>
        <v>9</v>
      </c>
      <c r="C94" s="32">
        <f t="shared" si="4"/>
        <v>1997</v>
      </c>
      <c r="D94" s="33">
        <v>4.7999999999999996E-3</v>
      </c>
      <c r="E94" s="33"/>
      <c r="F94" s="34">
        <v>1.18E-2</v>
      </c>
      <c r="G94" s="33">
        <v>1E-3</v>
      </c>
      <c r="H94" s="34"/>
      <c r="I94" s="34">
        <v>-5.0000000000000001E-4</v>
      </c>
      <c r="J94" s="34" t="s">
        <v>4</v>
      </c>
      <c r="K94" s="34">
        <v>1.5900000000000001E-2</v>
      </c>
      <c r="L94" s="34">
        <v>7.8329999999999997E-3</v>
      </c>
    </row>
    <row r="95" spans="1:12" s="36" customFormat="1">
      <c r="A95" s="92">
        <f t="shared" si="5"/>
        <v>35734</v>
      </c>
      <c r="B95" s="32">
        <f t="shared" si="3"/>
        <v>10</v>
      </c>
      <c r="C95" s="32">
        <f t="shared" si="4"/>
        <v>1997</v>
      </c>
      <c r="D95" s="33">
        <v>3.7000000000000002E-3</v>
      </c>
      <c r="E95" s="33"/>
      <c r="F95" s="34">
        <v>2.2000000000000001E-3</v>
      </c>
      <c r="G95" s="33">
        <v>2.8999999999999998E-3</v>
      </c>
      <c r="H95" s="34"/>
      <c r="I95" s="34">
        <v>2.5000000000000001E-3</v>
      </c>
      <c r="J95" s="34" t="s">
        <v>4</v>
      </c>
      <c r="K95" s="34">
        <v>1.67E-2</v>
      </c>
      <c r="L95" s="34">
        <v>7.8329999999999997E-3</v>
      </c>
    </row>
    <row r="96" spans="1:12" s="36" customFormat="1">
      <c r="A96" s="92">
        <f t="shared" si="5"/>
        <v>35764</v>
      </c>
      <c r="B96" s="32">
        <f t="shared" si="3"/>
        <v>11</v>
      </c>
      <c r="C96" s="32">
        <f t="shared" si="4"/>
        <v>1997</v>
      </c>
      <c r="D96" s="33">
        <v>6.4000000000000003E-3</v>
      </c>
      <c r="E96" s="33"/>
      <c r="F96" s="34">
        <v>2.2000000000000001E-3</v>
      </c>
      <c r="G96" s="33">
        <v>1.5E-3</v>
      </c>
      <c r="H96" s="34"/>
      <c r="I96" s="34">
        <v>6.9999999999999999E-4</v>
      </c>
      <c r="J96" s="34" t="s">
        <v>4</v>
      </c>
      <c r="K96" s="34">
        <v>3.04E-2</v>
      </c>
      <c r="L96" s="34">
        <v>7.8329999999999997E-3</v>
      </c>
    </row>
    <row r="97" spans="1:12" s="36" customFormat="1">
      <c r="A97" s="92">
        <f t="shared" si="5"/>
        <v>35795</v>
      </c>
      <c r="B97" s="32">
        <f t="shared" si="3"/>
        <v>12</v>
      </c>
      <c r="C97" s="32">
        <f t="shared" si="4"/>
        <v>1997</v>
      </c>
      <c r="D97" s="33">
        <v>8.3999999999999995E-3</v>
      </c>
      <c r="E97" s="33"/>
      <c r="F97" s="34">
        <v>5.1999999999999998E-3</v>
      </c>
      <c r="G97" s="33">
        <v>5.7000000000000002E-3</v>
      </c>
      <c r="H97" s="34"/>
      <c r="I97" s="34">
        <v>4.8999999999999998E-3</v>
      </c>
      <c r="J97" s="34" t="s">
        <v>4</v>
      </c>
      <c r="K97" s="34">
        <v>2.9700000000000001E-2</v>
      </c>
      <c r="L97" s="34">
        <v>8.2419999999999993E-3</v>
      </c>
    </row>
    <row r="98" spans="1:12" s="36" customFormat="1">
      <c r="A98" s="92">
        <f t="shared" si="5"/>
        <v>35826</v>
      </c>
      <c r="B98" s="32">
        <f t="shared" si="3"/>
        <v>1</v>
      </c>
      <c r="C98" s="32">
        <f t="shared" si="4"/>
        <v>1998</v>
      </c>
      <c r="D98" s="33">
        <v>9.5999999999999992E-3</v>
      </c>
      <c r="E98" s="33"/>
      <c r="F98" s="34">
        <v>2.8999999999999998E-3</v>
      </c>
      <c r="G98" s="33">
        <v>8.5000000000000006E-3</v>
      </c>
      <c r="H98" s="34"/>
      <c r="I98" s="34">
        <v>5.4000000000000003E-3</v>
      </c>
      <c r="J98" s="34" t="s">
        <v>4</v>
      </c>
      <c r="K98" s="34">
        <v>2.6700000000000002E-2</v>
      </c>
      <c r="L98" s="34">
        <v>8.2419999999999993E-3</v>
      </c>
    </row>
    <row r="99" spans="1:12" s="36" customFormat="1">
      <c r="A99" s="92">
        <f t="shared" si="5"/>
        <v>35854</v>
      </c>
      <c r="B99" s="32">
        <f t="shared" si="3"/>
        <v>2</v>
      </c>
      <c r="C99" s="32">
        <f t="shared" si="4"/>
        <v>1998</v>
      </c>
      <c r="D99" s="33">
        <v>1.8E-3</v>
      </c>
      <c r="E99" s="33"/>
      <c r="F99" s="34">
        <v>4.7999999999999996E-3</v>
      </c>
      <c r="G99" s="33">
        <v>5.4000000000000003E-3</v>
      </c>
      <c r="H99" s="34"/>
      <c r="I99" s="34">
        <v>6.4000000000000003E-3</v>
      </c>
      <c r="J99" s="34" t="s">
        <v>4</v>
      </c>
      <c r="K99" s="34">
        <v>2.1299999999999999E-2</v>
      </c>
      <c r="L99" s="34">
        <v>8.2419999999999993E-3</v>
      </c>
    </row>
    <row r="100" spans="1:12" s="36" customFormat="1">
      <c r="A100" s="92">
        <f t="shared" si="5"/>
        <v>35885</v>
      </c>
      <c r="B100" s="32">
        <f t="shared" si="3"/>
        <v>3</v>
      </c>
      <c r="C100" s="32">
        <f t="shared" si="4"/>
        <v>1998</v>
      </c>
      <c r="D100" s="33">
        <v>1.9E-3</v>
      </c>
      <c r="E100" s="33"/>
      <c r="F100" s="34">
        <v>3.0999999999999999E-3</v>
      </c>
      <c r="G100" s="33">
        <v>4.8999999999999998E-3</v>
      </c>
      <c r="H100" s="34"/>
      <c r="I100" s="34">
        <v>3.8999999999999998E-3</v>
      </c>
      <c r="J100" s="34" t="s">
        <v>4</v>
      </c>
      <c r="K100" s="34">
        <v>2.1999999999999999E-2</v>
      </c>
      <c r="L100" s="34">
        <v>9.8080000000000007E-3</v>
      </c>
    </row>
    <row r="101" spans="1:12" s="36" customFormat="1">
      <c r="A101" s="92">
        <f t="shared" si="5"/>
        <v>35915</v>
      </c>
      <c r="B101" s="32">
        <f t="shared" si="3"/>
        <v>4</v>
      </c>
      <c r="C101" s="32">
        <f t="shared" si="4"/>
        <v>1998</v>
      </c>
      <c r="D101" s="33">
        <v>1.2999999999999999E-3</v>
      </c>
      <c r="E101" s="33"/>
      <c r="F101" s="34">
        <v>-4.5999999999999999E-3</v>
      </c>
      <c r="G101" s="33">
        <v>4.4999999999999997E-3</v>
      </c>
      <c r="H101" s="34"/>
      <c r="I101" s="34">
        <v>2.2000000000000001E-3</v>
      </c>
      <c r="J101" s="34" t="s">
        <v>4</v>
      </c>
      <c r="K101" s="34">
        <v>1.7100000000000001E-2</v>
      </c>
      <c r="L101" s="34">
        <v>9.8080000000000007E-3</v>
      </c>
    </row>
    <row r="102" spans="1:12" s="36" customFormat="1">
      <c r="A102" s="92">
        <f t="shared" si="5"/>
        <v>35946</v>
      </c>
      <c r="B102" s="32">
        <f t="shared" si="3"/>
        <v>5</v>
      </c>
      <c r="C102" s="32">
        <f t="shared" si="4"/>
        <v>1998</v>
      </c>
      <c r="D102" s="33">
        <v>1.4E-3</v>
      </c>
      <c r="E102" s="33"/>
      <c r="F102" s="34">
        <v>4.7000000000000002E-3</v>
      </c>
      <c r="G102" s="33">
        <v>7.1999999999999998E-3</v>
      </c>
      <c r="H102" s="34"/>
      <c r="I102" s="34">
        <v>4.1000000000000003E-3</v>
      </c>
      <c r="J102" s="34" t="s">
        <v>4</v>
      </c>
      <c r="K102" s="34">
        <v>1.6299999999999999E-2</v>
      </c>
      <c r="L102" s="34">
        <v>9.8080000000000007E-3</v>
      </c>
    </row>
    <row r="103" spans="1:12" s="36" customFormat="1">
      <c r="A103" s="92">
        <f t="shared" si="5"/>
        <v>35976</v>
      </c>
      <c r="B103" s="32">
        <f t="shared" si="3"/>
        <v>6</v>
      </c>
      <c r="C103" s="32">
        <f t="shared" si="4"/>
        <v>1998</v>
      </c>
      <c r="D103" s="33">
        <v>3.8E-3</v>
      </c>
      <c r="E103" s="33"/>
      <c r="F103" s="34">
        <v>8.6E-3</v>
      </c>
      <c r="G103" s="33">
        <v>1.5E-3</v>
      </c>
      <c r="H103" s="34"/>
      <c r="I103" s="34">
        <v>3.3999999999999998E-3</v>
      </c>
      <c r="J103" s="34" t="s">
        <v>4</v>
      </c>
      <c r="K103" s="34">
        <v>1.6E-2</v>
      </c>
      <c r="L103" s="34">
        <v>8.8579999999999996E-3</v>
      </c>
    </row>
    <row r="104" spans="1:12" s="36" customFormat="1">
      <c r="A104" s="92">
        <f t="shared" si="5"/>
        <v>36007</v>
      </c>
      <c r="B104" s="32">
        <f t="shared" si="3"/>
        <v>7</v>
      </c>
      <c r="C104" s="32">
        <f t="shared" si="4"/>
        <v>1998</v>
      </c>
      <c r="D104" s="33">
        <v>-1.6999999999999999E-3</v>
      </c>
      <c r="E104" s="33"/>
      <c r="F104" s="34">
        <v>4.1999999999999997E-3</v>
      </c>
      <c r="G104" s="33">
        <v>-2.8E-3</v>
      </c>
      <c r="H104" s="34"/>
      <c r="I104" s="34">
        <v>-1.1000000000000001E-3</v>
      </c>
      <c r="J104" s="34" t="s">
        <v>4</v>
      </c>
      <c r="K104" s="34">
        <v>1.7000000000000001E-2</v>
      </c>
      <c r="L104" s="34">
        <v>8.8579999999999996E-3</v>
      </c>
    </row>
    <row r="105" spans="1:12" s="36" customFormat="1">
      <c r="A105" s="92">
        <f t="shared" si="5"/>
        <v>36038</v>
      </c>
      <c r="B105" s="32">
        <f t="shared" si="3"/>
        <v>8</v>
      </c>
      <c r="C105" s="32">
        <f t="shared" si="4"/>
        <v>1998</v>
      </c>
      <c r="D105" s="33">
        <v>-1.6000000000000001E-3</v>
      </c>
      <c r="E105" s="33"/>
      <c r="F105" s="34">
        <v>2.8999999999999998E-3</v>
      </c>
      <c r="G105" s="33">
        <v>-4.8999999999999998E-3</v>
      </c>
      <c r="H105" s="34"/>
      <c r="I105" s="34">
        <v>-3.7000000000000002E-3</v>
      </c>
      <c r="J105" s="34" t="s">
        <v>4</v>
      </c>
      <c r="K105" s="34">
        <v>1.4800000000000001E-2</v>
      </c>
      <c r="L105" s="34">
        <v>8.8579999999999996E-3</v>
      </c>
    </row>
    <row r="106" spans="1:12" s="36" customFormat="1">
      <c r="A106" s="92">
        <f t="shared" si="5"/>
        <v>36068</v>
      </c>
      <c r="B106" s="32">
        <f t="shared" si="3"/>
        <v>9</v>
      </c>
      <c r="C106" s="32">
        <f t="shared" si="4"/>
        <v>1998</v>
      </c>
      <c r="D106" s="33">
        <v>-8.0000000000000004E-4</v>
      </c>
      <c r="E106" s="33"/>
      <c r="F106" s="34">
        <v>8.9999999999999998E-4</v>
      </c>
      <c r="G106" s="33">
        <v>-3.0999999999999999E-3</v>
      </c>
      <c r="H106" s="34"/>
      <c r="I106" s="34">
        <v>-4.4000000000000003E-3</v>
      </c>
      <c r="J106" s="34" t="s">
        <v>4</v>
      </c>
      <c r="K106" s="34">
        <v>2.4899999999999999E-2</v>
      </c>
      <c r="L106" s="34">
        <v>9.7330000000000003E-3</v>
      </c>
    </row>
    <row r="107" spans="1:12" s="36" customFormat="1">
      <c r="A107" s="92">
        <f t="shared" si="5"/>
        <v>36099</v>
      </c>
      <c r="B107" s="32">
        <f t="shared" si="3"/>
        <v>10</v>
      </c>
      <c r="C107" s="32">
        <f t="shared" si="4"/>
        <v>1998</v>
      </c>
      <c r="D107" s="33">
        <v>-8.0000000000000004E-4</v>
      </c>
      <c r="E107" s="33"/>
      <c r="F107" s="34">
        <v>5.0000000000000001E-4</v>
      </c>
      <c r="G107" s="33">
        <v>1.1000000000000001E-3</v>
      </c>
      <c r="H107" s="34"/>
      <c r="I107" s="34">
        <v>1E-4</v>
      </c>
      <c r="J107" s="34" t="s">
        <v>4</v>
      </c>
      <c r="K107" s="34">
        <v>2.9399999999999999E-2</v>
      </c>
      <c r="L107" s="34">
        <v>9.7330000000000003E-3</v>
      </c>
    </row>
    <row r="108" spans="1:12" s="36" customFormat="1">
      <c r="A108" s="92">
        <f t="shared" si="5"/>
        <v>36129</v>
      </c>
      <c r="B108" s="32">
        <f t="shared" si="3"/>
        <v>11</v>
      </c>
      <c r="C108" s="32">
        <f t="shared" si="4"/>
        <v>1998</v>
      </c>
      <c r="D108" s="33">
        <v>-3.2000000000000002E-3</v>
      </c>
      <c r="E108" s="33"/>
      <c r="F108" s="34">
        <v>-6.9999999999999999E-4</v>
      </c>
      <c r="G108" s="33">
        <v>-1.8E-3</v>
      </c>
      <c r="H108" s="34"/>
      <c r="I108" s="34">
        <v>-1.1000000000000001E-3</v>
      </c>
      <c r="J108" s="34" t="s">
        <v>4</v>
      </c>
      <c r="K108" s="34">
        <v>2.63E-2</v>
      </c>
      <c r="L108" s="34">
        <v>9.7330000000000003E-3</v>
      </c>
    </row>
    <row r="109" spans="1:12" s="36" customFormat="1">
      <c r="A109" s="92">
        <f t="shared" si="5"/>
        <v>36160</v>
      </c>
      <c r="B109" s="32">
        <f t="shared" ref="B109:B167" si="6">MONTH(A109)</f>
        <v>12</v>
      </c>
      <c r="C109" s="32">
        <f t="shared" ref="C109:C167" si="7">YEAR(A109)</f>
        <v>1998</v>
      </c>
      <c r="D109" s="33">
        <v>4.4999999999999997E-3</v>
      </c>
      <c r="E109" s="33"/>
      <c r="F109" s="34">
        <v>-1E-4</v>
      </c>
      <c r="G109" s="33">
        <v>4.1999999999999997E-3</v>
      </c>
      <c r="H109" s="34"/>
      <c r="I109" s="34">
        <v>1.2999999999999999E-3</v>
      </c>
      <c r="J109" s="34" t="s">
        <v>4</v>
      </c>
      <c r="K109" s="34">
        <v>2.4E-2</v>
      </c>
      <c r="L109" s="34">
        <v>1.5049999999999999E-2</v>
      </c>
    </row>
    <row r="110" spans="1:12" s="36" customFormat="1">
      <c r="A110" s="92">
        <f t="shared" si="5"/>
        <v>36191</v>
      </c>
      <c r="B110" s="32">
        <f t="shared" si="6"/>
        <v>1</v>
      </c>
      <c r="C110" s="32">
        <f t="shared" si="7"/>
        <v>1999</v>
      </c>
      <c r="D110" s="33">
        <v>8.3999999999999995E-3</v>
      </c>
      <c r="E110" s="33"/>
      <c r="F110" s="34">
        <v>2.0999999999999999E-3</v>
      </c>
      <c r="G110" s="33">
        <v>6.4999999999999997E-3</v>
      </c>
      <c r="H110" s="34"/>
      <c r="I110" s="34">
        <v>6.7999999999999996E-3</v>
      </c>
      <c r="J110" s="34" t="s">
        <v>4</v>
      </c>
      <c r="K110" s="34">
        <v>2.18E-2</v>
      </c>
      <c r="L110" s="34">
        <v>1.0699999999999999E-2</v>
      </c>
    </row>
    <row r="111" spans="1:12" s="36" customFormat="1">
      <c r="A111" s="92">
        <f t="shared" si="5"/>
        <v>36219</v>
      </c>
      <c r="B111" s="32">
        <f t="shared" si="6"/>
        <v>2</v>
      </c>
      <c r="C111" s="32">
        <f t="shared" si="7"/>
        <v>1999</v>
      </c>
      <c r="D111" s="33">
        <v>3.61E-2</v>
      </c>
      <c r="E111" s="33"/>
      <c r="F111" s="34">
        <v>6.1999999999999998E-3</v>
      </c>
      <c r="G111" s="33">
        <v>1.29E-2</v>
      </c>
      <c r="H111" s="34"/>
      <c r="I111" s="34">
        <v>6.4000000000000003E-3</v>
      </c>
      <c r="J111" s="34" t="s">
        <v>4</v>
      </c>
      <c r="K111" s="34">
        <v>2.3800000000000002E-2</v>
      </c>
      <c r="L111" s="34">
        <v>1.0699999999999999E-2</v>
      </c>
    </row>
    <row r="112" spans="1:12" s="36" customFormat="1">
      <c r="A112" s="92">
        <f t="shared" si="5"/>
        <v>36250</v>
      </c>
      <c r="B112" s="32">
        <f t="shared" si="6"/>
        <v>3</v>
      </c>
      <c r="C112" s="32">
        <f t="shared" si="7"/>
        <v>1999</v>
      </c>
      <c r="D112" s="33">
        <v>2.8299999999999999E-2</v>
      </c>
      <c r="E112" s="33"/>
      <c r="F112" s="34">
        <v>9.1000000000000004E-3</v>
      </c>
      <c r="G112" s="33">
        <v>1.2800000000000001E-2</v>
      </c>
      <c r="H112" s="34"/>
      <c r="I112" s="34">
        <v>1.2200000000000001E-2</v>
      </c>
      <c r="J112" s="34" t="s">
        <v>4</v>
      </c>
      <c r="K112" s="34">
        <v>3.3300000000000003E-2</v>
      </c>
      <c r="L112" s="34">
        <v>1.0699999999999999E-2</v>
      </c>
    </row>
    <row r="113" spans="1:12" s="36" customFormat="1">
      <c r="A113" s="92">
        <f t="shared" si="5"/>
        <v>36280</v>
      </c>
      <c r="B113" s="32">
        <f t="shared" si="6"/>
        <v>4</v>
      </c>
      <c r="C113" s="32">
        <f t="shared" si="7"/>
        <v>1999</v>
      </c>
      <c r="D113" s="33">
        <v>7.1000000000000004E-3</v>
      </c>
      <c r="E113" s="33"/>
      <c r="F113" s="34">
        <v>5.7999999999999996E-3</v>
      </c>
      <c r="G113" s="33">
        <v>4.7000000000000002E-3</v>
      </c>
      <c r="H113" s="34"/>
      <c r="I113" s="34">
        <v>7.7999999999999996E-3</v>
      </c>
      <c r="J113" s="34" t="s">
        <v>4</v>
      </c>
      <c r="K113" s="34">
        <v>2.35E-2</v>
      </c>
      <c r="L113" s="34">
        <v>1.1233E-2</v>
      </c>
    </row>
    <row r="114" spans="1:12" s="36" customFormat="1">
      <c r="A114" s="92">
        <f t="shared" si="5"/>
        <v>36311</v>
      </c>
      <c r="B114" s="32">
        <f t="shared" si="6"/>
        <v>5</v>
      </c>
      <c r="C114" s="32">
        <f t="shared" si="7"/>
        <v>1999</v>
      </c>
      <c r="D114" s="33">
        <v>-2.8999999999999998E-3</v>
      </c>
      <c r="E114" s="33"/>
      <c r="F114" s="34">
        <v>3.8E-3</v>
      </c>
      <c r="G114" s="33">
        <v>5.0000000000000001E-4</v>
      </c>
      <c r="H114" s="34"/>
      <c r="I114" s="34">
        <v>5.1000000000000004E-3</v>
      </c>
      <c r="J114" s="34" t="s">
        <v>4</v>
      </c>
      <c r="K114" s="34">
        <v>2.0199999999999999E-2</v>
      </c>
      <c r="L114" s="34">
        <v>1.1233E-2</v>
      </c>
    </row>
    <row r="115" spans="1:12" s="36" customFormat="1">
      <c r="A115" s="92">
        <f t="shared" si="5"/>
        <v>36341</v>
      </c>
      <c r="B115" s="32">
        <f t="shared" si="6"/>
        <v>6</v>
      </c>
      <c r="C115" s="32">
        <f t="shared" si="7"/>
        <v>1999</v>
      </c>
      <c r="D115" s="33">
        <v>3.5999999999999999E-3</v>
      </c>
      <c r="E115" s="33"/>
      <c r="F115" s="34">
        <v>8.8000000000000005E-3</v>
      </c>
      <c r="G115" s="33">
        <v>6.9999999999999999E-4</v>
      </c>
      <c r="H115" s="34"/>
      <c r="I115" s="34">
        <v>-2.0000000000000001E-4</v>
      </c>
      <c r="J115" s="34" t="s">
        <v>4</v>
      </c>
      <c r="K115" s="34">
        <v>1.67E-2</v>
      </c>
      <c r="L115" s="34">
        <v>1.1233E-2</v>
      </c>
    </row>
    <row r="116" spans="1:12" s="36" customFormat="1">
      <c r="A116" s="92">
        <f t="shared" si="5"/>
        <v>36372</v>
      </c>
      <c r="B116" s="32">
        <f t="shared" si="6"/>
        <v>7</v>
      </c>
      <c r="C116" s="32">
        <f t="shared" si="7"/>
        <v>1999</v>
      </c>
      <c r="D116" s="33">
        <v>1.55E-2</v>
      </c>
      <c r="E116" s="33"/>
      <c r="F116" s="34">
        <v>4.1000000000000003E-3</v>
      </c>
      <c r="G116" s="33">
        <v>7.4000000000000003E-3</v>
      </c>
      <c r="H116" s="34"/>
      <c r="I116" s="34">
        <v>7.9000000000000008E-3</v>
      </c>
      <c r="J116" s="34" t="s">
        <v>4</v>
      </c>
      <c r="K116" s="34">
        <v>1.66E-2</v>
      </c>
      <c r="L116" s="34">
        <v>1.1708E-2</v>
      </c>
    </row>
    <row r="117" spans="1:12" s="36" customFormat="1">
      <c r="A117" s="92">
        <f t="shared" si="5"/>
        <v>36403</v>
      </c>
      <c r="B117" s="32">
        <f t="shared" si="6"/>
        <v>8</v>
      </c>
      <c r="C117" s="32">
        <f t="shared" si="7"/>
        <v>1999</v>
      </c>
      <c r="D117" s="33">
        <v>1.5599999999999999E-2</v>
      </c>
      <c r="E117" s="33"/>
      <c r="F117" s="34">
        <v>5.1999999999999998E-3</v>
      </c>
      <c r="G117" s="33">
        <v>5.4999999999999997E-3</v>
      </c>
      <c r="H117" s="34"/>
      <c r="I117" s="34">
        <v>8.0999999999999996E-3</v>
      </c>
      <c r="J117" s="34" t="s">
        <v>4</v>
      </c>
      <c r="K117" s="34">
        <v>1.5699999999999999E-2</v>
      </c>
      <c r="L117" s="34">
        <v>1.1708E-2</v>
      </c>
    </row>
    <row r="118" spans="1:12" s="36" customFormat="1">
      <c r="A118" s="92">
        <f t="shared" si="5"/>
        <v>36433</v>
      </c>
      <c r="B118" s="32">
        <f t="shared" si="6"/>
        <v>9</v>
      </c>
      <c r="C118" s="32">
        <f t="shared" si="7"/>
        <v>1999</v>
      </c>
      <c r="D118" s="33">
        <v>1.4500000000000001E-2</v>
      </c>
      <c r="E118" s="33"/>
      <c r="F118" s="34">
        <v>8.3000000000000001E-3</v>
      </c>
      <c r="G118" s="33">
        <v>3.8999999999999998E-3</v>
      </c>
      <c r="H118" s="34"/>
      <c r="I118" s="34">
        <v>4.7000000000000002E-3</v>
      </c>
      <c r="J118" s="34" t="s">
        <v>4</v>
      </c>
      <c r="K118" s="34">
        <v>1.49E-2</v>
      </c>
      <c r="L118" s="34">
        <v>1.1708E-2</v>
      </c>
    </row>
    <row r="119" spans="1:12" s="36" customFormat="1">
      <c r="A119" s="92">
        <f t="shared" si="5"/>
        <v>36464</v>
      </c>
      <c r="B119" s="32">
        <f t="shared" si="6"/>
        <v>10</v>
      </c>
      <c r="C119" s="32">
        <f t="shared" si="7"/>
        <v>1999</v>
      </c>
      <c r="D119" s="33">
        <v>1.7000000000000001E-2</v>
      </c>
      <c r="E119" s="33"/>
      <c r="F119" s="34">
        <v>7.9000000000000008E-3</v>
      </c>
      <c r="G119" s="33">
        <v>9.5999999999999992E-3</v>
      </c>
      <c r="H119" s="34"/>
      <c r="I119" s="34">
        <v>8.0000000000000002E-3</v>
      </c>
      <c r="J119" s="34" t="s">
        <v>4</v>
      </c>
      <c r="K119" s="34">
        <v>1.38E-2</v>
      </c>
      <c r="L119" s="34">
        <v>1.0416999999999999E-2</v>
      </c>
    </row>
    <row r="120" spans="1:12" s="36" customFormat="1">
      <c r="A120" s="92">
        <f t="shared" si="5"/>
        <v>36494</v>
      </c>
      <c r="B120" s="32">
        <f t="shared" si="6"/>
        <v>11</v>
      </c>
      <c r="C120" s="32">
        <f t="shared" si="7"/>
        <v>1999</v>
      </c>
      <c r="D120" s="33">
        <v>2.3900000000000001E-2</v>
      </c>
      <c r="E120" s="33"/>
      <c r="F120" s="34">
        <v>1.2200000000000001E-2</v>
      </c>
      <c r="G120" s="33">
        <v>9.4000000000000004E-3</v>
      </c>
      <c r="H120" s="34"/>
      <c r="I120" s="34">
        <v>9.9000000000000008E-3</v>
      </c>
      <c r="J120" s="34" t="s">
        <v>4</v>
      </c>
      <c r="K120" s="34">
        <v>1.3899999999999999E-2</v>
      </c>
      <c r="L120" s="34">
        <v>1.0416999999999999E-2</v>
      </c>
    </row>
    <row r="121" spans="1:12" s="36" customFormat="1">
      <c r="A121" s="92">
        <f t="shared" si="5"/>
        <v>36525</v>
      </c>
      <c r="B121" s="32">
        <f t="shared" si="6"/>
        <v>12</v>
      </c>
      <c r="C121" s="32">
        <f t="shared" si="7"/>
        <v>1999</v>
      </c>
      <c r="D121" s="33">
        <v>1.8100000000000002E-2</v>
      </c>
      <c r="E121" s="33"/>
      <c r="F121" s="34">
        <v>8.0999999999999996E-3</v>
      </c>
      <c r="G121" s="33">
        <v>7.4000000000000003E-3</v>
      </c>
      <c r="H121" s="34"/>
      <c r="I121" s="34">
        <v>9.1000000000000004E-3</v>
      </c>
      <c r="J121" s="34" t="s">
        <v>4</v>
      </c>
      <c r="K121" s="34">
        <v>1.6E-2</v>
      </c>
      <c r="L121" s="34">
        <v>1.0416999999999999E-2</v>
      </c>
    </row>
    <row r="122" spans="1:12" s="36" customFormat="1">
      <c r="A122" s="92">
        <f t="shared" si="5"/>
        <v>36556</v>
      </c>
      <c r="B122" s="32">
        <f t="shared" si="6"/>
        <v>1</v>
      </c>
      <c r="C122" s="32">
        <f t="shared" si="7"/>
        <v>2000</v>
      </c>
      <c r="D122" s="33">
        <v>1.24E-2</v>
      </c>
      <c r="E122" s="33"/>
      <c r="F122" s="34">
        <v>1.15E-2</v>
      </c>
      <c r="G122" s="33">
        <v>6.1000000000000004E-3</v>
      </c>
      <c r="H122" s="34"/>
      <c r="I122" s="34">
        <v>6.4999999999999997E-3</v>
      </c>
      <c r="J122" s="34" t="s">
        <v>4</v>
      </c>
      <c r="K122" s="34">
        <v>1.46E-2</v>
      </c>
      <c r="L122" s="34">
        <v>0.01</v>
      </c>
    </row>
    <row r="123" spans="1:12" s="36" customFormat="1">
      <c r="A123" s="92">
        <f t="shared" si="5"/>
        <v>36585</v>
      </c>
      <c r="B123" s="32">
        <f t="shared" si="6"/>
        <v>2</v>
      </c>
      <c r="C123" s="32">
        <f t="shared" si="7"/>
        <v>2000</v>
      </c>
      <c r="D123" s="33">
        <v>3.5000000000000001E-3</v>
      </c>
      <c r="E123" s="33"/>
      <c r="F123" s="34">
        <v>8.8999999999999999E-3</v>
      </c>
      <c r="G123" s="33">
        <v>5.0000000000000001E-4</v>
      </c>
      <c r="H123" s="34"/>
      <c r="I123" s="34">
        <v>3.3999999999999998E-3</v>
      </c>
      <c r="J123" s="34" t="s">
        <v>4</v>
      </c>
      <c r="K123" s="34">
        <v>1.4500000000000001E-2</v>
      </c>
      <c r="L123" s="34">
        <v>0.01</v>
      </c>
    </row>
    <row r="124" spans="1:12" s="36" customFormat="1">
      <c r="A124" s="92">
        <f t="shared" si="5"/>
        <v>36616</v>
      </c>
      <c r="B124" s="32">
        <f t="shared" si="6"/>
        <v>3</v>
      </c>
      <c r="C124" s="32">
        <f t="shared" si="7"/>
        <v>2000</v>
      </c>
      <c r="D124" s="33">
        <v>1.5E-3</v>
      </c>
      <c r="E124" s="33"/>
      <c r="F124" s="34">
        <v>8.2000000000000007E-3</v>
      </c>
      <c r="G124" s="33">
        <v>1.2999999999999999E-3</v>
      </c>
      <c r="H124" s="34"/>
      <c r="I124" s="34">
        <v>8.9999999999999998E-4</v>
      </c>
      <c r="J124" s="34" t="s">
        <v>4</v>
      </c>
      <c r="K124" s="34">
        <v>1.4500000000000001E-2</v>
      </c>
      <c r="L124" s="34">
        <v>0.01</v>
      </c>
    </row>
    <row r="125" spans="1:12" s="36" customFormat="1">
      <c r="A125" s="92">
        <f t="shared" si="5"/>
        <v>36646</v>
      </c>
      <c r="B125" s="32">
        <f t="shared" si="6"/>
        <v>4</v>
      </c>
      <c r="C125" s="32">
        <f t="shared" si="7"/>
        <v>2000</v>
      </c>
      <c r="D125" s="33">
        <v>2.3E-3</v>
      </c>
      <c r="E125" s="33"/>
      <c r="F125" s="34">
        <v>6.8999999999999999E-3</v>
      </c>
      <c r="G125" s="33">
        <v>8.9999999999999998E-4</v>
      </c>
      <c r="H125" s="34"/>
      <c r="I125" s="34">
        <v>4.7000000000000002E-3</v>
      </c>
      <c r="J125" s="34" t="s">
        <v>4</v>
      </c>
      <c r="K125" s="34">
        <v>1.2999999999999999E-2</v>
      </c>
      <c r="L125" s="34">
        <v>9.1669999999999998E-3</v>
      </c>
    </row>
    <row r="126" spans="1:12" s="36" customFormat="1">
      <c r="A126" s="92">
        <f t="shared" si="5"/>
        <v>36677</v>
      </c>
      <c r="B126" s="32">
        <f t="shared" si="6"/>
        <v>5</v>
      </c>
      <c r="C126" s="32">
        <f t="shared" si="7"/>
        <v>2000</v>
      </c>
      <c r="D126" s="33">
        <v>3.0999999999999999E-3</v>
      </c>
      <c r="E126" s="33"/>
      <c r="F126" s="34">
        <v>5.7000000000000002E-3</v>
      </c>
      <c r="G126" s="33">
        <v>-5.0000000000000001E-4</v>
      </c>
      <c r="H126" s="34"/>
      <c r="I126" s="34">
        <v>8.9999999999999998E-4</v>
      </c>
      <c r="J126" s="34" t="s">
        <v>4</v>
      </c>
      <c r="K126" s="34">
        <v>1.49E-2</v>
      </c>
      <c r="L126" s="34">
        <v>9.1669999999999998E-3</v>
      </c>
    </row>
    <row r="127" spans="1:12" s="36" customFormat="1">
      <c r="A127" s="92">
        <f t="shared" si="5"/>
        <v>36707</v>
      </c>
      <c r="B127" s="32">
        <f t="shared" si="6"/>
        <v>6</v>
      </c>
      <c r="C127" s="32">
        <f t="shared" si="7"/>
        <v>2000</v>
      </c>
      <c r="D127" s="33">
        <v>8.5000000000000006E-3</v>
      </c>
      <c r="E127" s="33"/>
      <c r="F127" s="34">
        <v>1.09E-2</v>
      </c>
      <c r="G127" s="33">
        <v>3.0000000000000001E-3</v>
      </c>
      <c r="H127" s="34"/>
      <c r="I127" s="34">
        <v>8.0000000000000004E-4</v>
      </c>
      <c r="J127" s="34" t="s">
        <v>4</v>
      </c>
      <c r="K127" s="34">
        <v>1.3899999999999999E-2</v>
      </c>
      <c r="L127" s="34">
        <v>9.1669999999999998E-3</v>
      </c>
    </row>
    <row r="128" spans="1:12" s="36" customFormat="1">
      <c r="A128" s="92">
        <f t="shared" si="5"/>
        <v>36738</v>
      </c>
      <c r="B128" s="32">
        <f t="shared" si="6"/>
        <v>7</v>
      </c>
      <c r="C128" s="32">
        <f t="shared" si="7"/>
        <v>2000</v>
      </c>
      <c r="D128" s="33">
        <v>1.5699999999999999E-2</v>
      </c>
      <c r="E128" s="33"/>
      <c r="F128" s="34">
        <v>8.3000000000000001E-3</v>
      </c>
      <c r="G128" s="33">
        <v>1.3899999999999999E-2</v>
      </c>
      <c r="H128" s="34"/>
      <c r="I128" s="34">
        <v>7.7999999999999996E-3</v>
      </c>
      <c r="J128" s="34" t="s">
        <v>4</v>
      </c>
      <c r="K128" s="34">
        <v>1.3100000000000001E-2</v>
      </c>
      <c r="L128" s="34">
        <v>8.5419999999999992E-3</v>
      </c>
    </row>
    <row r="129" spans="1:12" s="36" customFormat="1">
      <c r="A129" s="92">
        <f t="shared" si="5"/>
        <v>36769</v>
      </c>
      <c r="B129" s="32">
        <f t="shared" si="6"/>
        <v>8</v>
      </c>
      <c r="C129" s="32">
        <f t="shared" si="7"/>
        <v>2000</v>
      </c>
      <c r="D129" s="33">
        <v>2.3900000000000001E-2</v>
      </c>
      <c r="E129" s="33"/>
      <c r="F129" s="34">
        <v>3.5000000000000001E-3</v>
      </c>
      <c r="G129" s="33">
        <v>1.21E-2</v>
      </c>
      <c r="H129" s="34"/>
      <c r="I129" s="34">
        <v>1.9900000000000001E-2</v>
      </c>
      <c r="J129" s="34" t="s">
        <v>4</v>
      </c>
      <c r="K129" s="34">
        <v>1.41E-2</v>
      </c>
      <c r="L129" s="34">
        <v>8.5419999999999992E-3</v>
      </c>
    </row>
    <row r="130" spans="1:12" s="36" customFormat="1">
      <c r="A130" s="92">
        <f t="shared" si="5"/>
        <v>36799</v>
      </c>
      <c r="B130" s="32">
        <f t="shared" si="6"/>
        <v>9</v>
      </c>
      <c r="C130" s="32">
        <f t="shared" si="7"/>
        <v>2000</v>
      </c>
      <c r="D130" s="33">
        <v>1.1599999999999999E-2</v>
      </c>
      <c r="E130" s="33"/>
      <c r="F130" s="34">
        <v>3.0000000000000001E-3</v>
      </c>
      <c r="G130" s="33">
        <v>4.3E-3</v>
      </c>
      <c r="H130" s="34"/>
      <c r="I130" s="34">
        <v>4.4999999999999997E-3</v>
      </c>
      <c r="J130" s="34" t="s">
        <v>4</v>
      </c>
      <c r="K130" s="34">
        <v>1.2200000000000001E-2</v>
      </c>
      <c r="L130" s="34">
        <v>8.5419999999999992E-3</v>
      </c>
    </row>
    <row r="131" spans="1:12" s="36" customFormat="1">
      <c r="A131" s="92">
        <f t="shared" si="5"/>
        <v>36830</v>
      </c>
      <c r="B131" s="32">
        <f t="shared" si="6"/>
        <v>10</v>
      </c>
      <c r="C131" s="32">
        <f t="shared" si="7"/>
        <v>2000</v>
      </c>
      <c r="D131" s="33">
        <v>3.8E-3</v>
      </c>
      <c r="E131" s="33"/>
      <c r="F131" s="34">
        <v>2.8E-3</v>
      </c>
      <c r="G131" s="33">
        <v>1.6000000000000001E-3</v>
      </c>
      <c r="H131" s="34"/>
      <c r="I131" s="34">
        <v>1.8E-3</v>
      </c>
      <c r="J131" s="34" t="s">
        <v>4</v>
      </c>
      <c r="K131" s="34">
        <v>1.29E-2</v>
      </c>
      <c r="L131" s="34">
        <v>8.1250000000000003E-3</v>
      </c>
    </row>
    <row r="132" spans="1:12" s="36" customFormat="1">
      <c r="A132" s="92">
        <f t="shared" ref="A132:A195" si="8">EOMONTH(A131,1)</f>
        <v>36860</v>
      </c>
      <c r="B132" s="32">
        <f t="shared" si="6"/>
        <v>11</v>
      </c>
      <c r="C132" s="32">
        <f t="shared" si="7"/>
        <v>2000</v>
      </c>
      <c r="D132" s="33">
        <v>2.8999999999999998E-3</v>
      </c>
      <c r="E132" s="33"/>
      <c r="F132" s="34">
        <v>2.8999999999999998E-3</v>
      </c>
      <c r="G132" s="33">
        <v>2.8999999999999998E-3</v>
      </c>
      <c r="H132" s="34"/>
      <c r="I132" s="34">
        <v>1.6999999999999999E-3</v>
      </c>
      <c r="J132" s="34" t="s">
        <v>4</v>
      </c>
      <c r="K132" s="34">
        <v>1.2200000000000001E-2</v>
      </c>
      <c r="L132" s="34">
        <v>8.1250000000000003E-3</v>
      </c>
    </row>
    <row r="133" spans="1:12" s="36" customFormat="1">
      <c r="A133" s="92">
        <f t="shared" si="8"/>
        <v>36891</v>
      </c>
      <c r="B133" s="32">
        <f t="shared" si="6"/>
        <v>12</v>
      </c>
      <c r="C133" s="32">
        <f t="shared" si="7"/>
        <v>2000</v>
      </c>
      <c r="D133" s="33">
        <v>6.3E-3</v>
      </c>
      <c r="E133" s="33"/>
      <c r="F133" s="34">
        <v>4.8999999999999998E-3</v>
      </c>
      <c r="G133" s="33">
        <v>5.4999999999999997E-3</v>
      </c>
      <c r="H133" s="34"/>
      <c r="I133" s="34">
        <v>6.0000000000000001E-3</v>
      </c>
      <c r="J133" s="34" t="s">
        <v>4</v>
      </c>
      <c r="K133" s="34">
        <v>1.2E-2</v>
      </c>
      <c r="L133" s="34">
        <v>8.1250000000000003E-3</v>
      </c>
    </row>
    <row r="134" spans="1:12" s="36" customFormat="1">
      <c r="A134" s="92">
        <f t="shared" si="8"/>
        <v>36922</v>
      </c>
      <c r="B134" s="32">
        <f t="shared" si="6"/>
        <v>1</v>
      </c>
      <c r="C134" s="32">
        <f t="shared" si="7"/>
        <v>2001</v>
      </c>
      <c r="D134" s="33">
        <v>6.1999999999999998E-3</v>
      </c>
      <c r="E134" s="33"/>
      <c r="F134" s="34">
        <v>4.0000000000000001E-3</v>
      </c>
      <c r="G134" s="33">
        <v>7.7000000000000002E-3</v>
      </c>
      <c r="H134" s="34"/>
      <c r="I134" s="34">
        <v>6.3E-3</v>
      </c>
      <c r="J134" s="34" t="s">
        <v>4</v>
      </c>
      <c r="K134" s="34">
        <v>1.2699999999999999E-2</v>
      </c>
      <c r="L134" s="34">
        <v>7.7079999999999996E-3</v>
      </c>
    </row>
    <row r="135" spans="1:12" s="36" customFormat="1">
      <c r="A135" s="92">
        <f t="shared" si="8"/>
        <v>36950</v>
      </c>
      <c r="B135" s="32">
        <f t="shared" si="6"/>
        <v>2</v>
      </c>
      <c r="C135" s="32">
        <f t="shared" si="7"/>
        <v>2001</v>
      </c>
      <c r="D135" s="33">
        <v>2.3E-3</v>
      </c>
      <c r="E135" s="33"/>
      <c r="F135" s="34">
        <v>5.4999999999999997E-3</v>
      </c>
      <c r="G135" s="33">
        <v>4.8999999999999998E-3</v>
      </c>
      <c r="H135" s="34"/>
      <c r="I135" s="34">
        <v>5.0000000000000001E-3</v>
      </c>
      <c r="J135" s="34" t="s">
        <v>4</v>
      </c>
      <c r="K135" s="34">
        <v>1.0200000000000001E-2</v>
      </c>
      <c r="L135" s="34">
        <v>7.7079999999999996E-3</v>
      </c>
    </row>
    <row r="136" spans="1:12" s="36" customFormat="1">
      <c r="A136" s="92">
        <f t="shared" si="8"/>
        <v>36981</v>
      </c>
      <c r="B136" s="32">
        <f t="shared" si="6"/>
        <v>3</v>
      </c>
      <c r="C136" s="32">
        <f t="shared" si="7"/>
        <v>2001</v>
      </c>
      <c r="D136" s="33">
        <v>5.5999999999999999E-3</v>
      </c>
      <c r="E136" s="33"/>
      <c r="F136" s="34">
        <v>3.3999999999999998E-3</v>
      </c>
      <c r="G136" s="33">
        <v>4.7999999999999996E-3</v>
      </c>
      <c r="H136" s="34"/>
      <c r="I136" s="34">
        <v>3.5999999999999999E-3</v>
      </c>
      <c r="J136" s="34" t="s">
        <v>4</v>
      </c>
      <c r="K136" s="34">
        <v>1.26E-2</v>
      </c>
      <c r="L136" s="34">
        <v>7.7079999999999996E-3</v>
      </c>
    </row>
    <row r="137" spans="1:12" s="36" customFormat="1">
      <c r="A137" s="92">
        <f t="shared" si="8"/>
        <v>37011</v>
      </c>
      <c r="B137" s="32">
        <f t="shared" si="6"/>
        <v>4</v>
      </c>
      <c r="C137" s="32">
        <f t="shared" si="7"/>
        <v>2001</v>
      </c>
      <c r="D137" s="33">
        <v>0.01</v>
      </c>
      <c r="E137" s="33"/>
      <c r="F137" s="34">
        <v>2.8E-3</v>
      </c>
      <c r="G137" s="33">
        <v>8.3999999999999995E-3</v>
      </c>
      <c r="H137" s="34"/>
      <c r="I137" s="34">
        <v>5.0000000000000001E-3</v>
      </c>
      <c r="J137" s="34" t="s">
        <v>4</v>
      </c>
      <c r="K137" s="34">
        <v>1.1900000000000001E-2</v>
      </c>
      <c r="L137" s="34">
        <v>7.7079999999999996E-3</v>
      </c>
    </row>
    <row r="138" spans="1:12" s="36" customFormat="1">
      <c r="A138" s="92">
        <f t="shared" si="8"/>
        <v>37042</v>
      </c>
      <c r="B138" s="32">
        <f t="shared" si="6"/>
        <v>5</v>
      </c>
      <c r="C138" s="32">
        <f t="shared" si="7"/>
        <v>2001</v>
      </c>
      <c r="D138" s="33">
        <v>8.6E-3</v>
      </c>
      <c r="E138" s="33"/>
      <c r="F138" s="34">
        <v>0.02</v>
      </c>
      <c r="G138" s="33">
        <v>5.7000000000000002E-3</v>
      </c>
      <c r="H138" s="34"/>
      <c r="I138" s="34">
        <v>4.8999999999999998E-3</v>
      </c>
      <c r="J138" s="34" t="s">
        <v>4</v>
      </c>
      <c r="K138" s="34">
        <v>1.34E-2</v>
      </c>
      <c r="L138" s="34">
        <v>7.7079999999999996E-3</v>
      </c>
    </row>
    <row r="139" spans="1:12" s="36" customFormat="1">
      <c r="A139" s="92">
        <f t="shared" si="8"/>
        <v>37072</v>
      </c>
      <c r="B139" s="32">
        <f t="shared" si="6"/>
        <v>6</v>
      </c>
      <c r="C139" s="32">
        <f t="shared" si="7"/>
        <v>2001</v>
      </c>
      <c r="D139" s="33">
        <v>9.7999999999999997E-3</v>
      </c>
      <c r="E139" s="33"/>
      <c r="F139" s="34">
        <v>6.8999999999999999E-3</v>
      </c>
      <c r="G139" s="33">
        <v>6.0000000000000001E-3</v>
      </c>
      <c r="H139" s="34"/>
      <c r="I139" s="34">
        <v>3.8E-3</v>
      </c>
      <c r="J139" s="34" t="s">
        <v>4</v>
      </c>
      <c r="K139" s="34">
        <v>1.2699999999999999E-2</v>
      </c>
      <c r="L139" s="34">
        <v>7.7079999999999996E-3</v>
      </c>
    </row>
    <row r="140" spans="1:12" s="36" customFormat="1">
      <c r="A140" s="92">
        <f t="shared" si="8"/>
        <v>37103</v>
      </c>
      <c r="B140" s="32">
        <f t="shared" si="6"/>
        <v>7</v>
      </c>
      <c r="C140" s="32">
        <f t="shared" si="7"/>
        <v>2001</v>
      </c>
      <c r="D140" s="33">
        <v>1.4800000000000001E-2</v>
      </c>
      <c r="E140" s="33"/>
      <c r="F140" s="34">
        <v>1.0699999999999999E-2</v>
      </c>
      <c r="G140" s="33">
        <v>1.11E-2</v>
      </c>
      <c r="H140" s="34"/>
      <c r="I140" s="34">
        <v>9.4000000000000004E-3</v>
      </c>
      <c r="J140" s="34" t="s">
        <v>4</v>
      </c>
      <c r="K140" s="34">
        <v>1.4999999999999999E-2</v>
      </c>
      <c r="L140" s="34">
        <v>7.9170000000000004E-3</v>
      </c>
    </row>
    <row r="141" spans="1:12" s="36" customFormat="1">
      <c r="A141" s="92">
        <f t="shared" si="8"/>
        <v>37134</v>
      </c>
      <c r="B141" s="32">
        <f t="shared" si="6"/>
        <v>8</v>
      </c>
      <c r="C141" s="32">
        <f t="shared" si="7"/>
        <v>2001</v>
      </c>
      <c r="D141" s="33">
        <v>1.38E-2</v>
      </c>
      <c r="E141" s="33"/>
      <c r="F141" s="34">
        <v>5.5999999999999999E-3</v>
      </c>
      <c r="G141" s="33">
        <v>7.9000000000000008E-3</v>
      </c>
      <c r="H141" s="34"/>
      <c r="I141" s="34">
        <v>1.18E-2</v>
      </c>
      <c r="J141" s="34" t="s">
        <v>4</v>
      </c>
      <c r="K141" s="34">
        <v>1.6E-2</v>
      </c>
      <c r="L141" s="34">
        <v>7.9170000000000004E-3</v>
      </c>
    </row>
    <row r="142" spans="1:12" s="36" customFormat="1">
      <c r="A142" s="92">
        <f t="shared" si="8"/>
        <v>37164</v>
      </c>
      <c r="B142" s="32">
        <f t="shared" si="6"/>
        <v>9</v>
      </c>
      <c r="C142" s="32">
        <f t="shared" si="7"/>
        <v>2001</v>
      </c>
      <c r="D142" s="33">
        <v>3.0999999999999999E-3</v>
      </c>
      <c r="E142" s="33"/>
      <c r="F142" s="34">
        <v>5.8999999999999999E-3</v>
      </c>
      <c r="G142" s="33">
        <v>4.4000000000000003E-3</v>
      </c>
      <c r="H142" s="34"/>
      <c r="I142" s="34">
        <v>3.8E-3</v>
      </c>
      <c r="J142" s="34" t="s">
        <v>4</v>
      </c>
      <c r="K142" s="34">
        <v>1.32E-2</v>
      </c>
      <c r="L142" s="34">
        <v>7.9170000000000004E-3</v>
      </c>
    </row>
    <row r="143" spans="1:12" s="36" customFormat="1">
      <c r="A143" s="92">
        <f t="shared" si="8"/>
        <v>37195</v>
      </c>
      <c r="B143" s="32">
        <f t="shared" si="6"/>
        <v>10</v>
      </c>
      <c r="C143" s="32">
        <f t="shared" si="7"/>
        <v>2001</v>
      </c>
      <c r="D143" s="33">
        <v>1.18E-2</v>
      </c>
      <c r="E143" s="33"/>
      <c r="F143" s="34">
        <v>9.1999999999999998E-3</v>
      </c>
      <c r="G143" s="33">
        <v>9.4000000000000004E-3</v>
      </c>
      <c r="H143" s="34"/>
      <c r="I143" s="34">
        <v>3.7000000000000002E-3</v>
      </c>
      <c r="J143" s="34" t="s">
        <v>4</v>
      </c>
      <c r="K143" s="34">
        <v>1.5299999999999999E-2</v>
      </c>
      <c r="L143" s="34">
        <v>8.3330000000000001E-3</v>
      </c>
    </row>
    <row r="144" spans="1:12" s="36" customFormat="1">
      <c r="A144" s="92">
        <f t="shared" si="8"/>
        <v>37225</v>
      </c>
      <c r="B144" s="32">
        <f t="shared" si="6"/>
        <v>11</v>
      </c>
      <c r="C144" s="32">
        <f t="shared" si="7"/>
        <v>2001</v>
      </c>
      <c r="D144" s="33">
        <v>1.0999999999999999E-2</v>
      </c>
      <c r="E144" s="33"/>
      <c r="F144" s="34">
        <v>6.0000000000000001E-3</v>
      </c>
      <c r="G144" s="33">
        <v>1.29E-2</v>
      </c>
      <c r="H144" s="34"/>
      <c r="I144" s="34">
        <v>9.9000000000000008E-3</v>
      </c>
      <c r="J144" s="34" t="s">
        <v>4</v>
      </c>
      <c r="K144" s="34">
        <v>1.3899999999999999E-2</v>
      </c>
      <c r="L144" s="34">
        <v>8.3330000000000001E-3</v>
      </c>
    </row>
    <row r="145" spans="1:12" s="36" customFormat="1">
      <c r="A145" s="92">
        <f t="shared" si="8"/>
        <v>37256</v>
      </c>
      <c r="B145" s="32">
        <f t="shared" si="6"/>
        <v>12</v>
      </c>
      <c r="C145" s="32">
        <f t="shared" si="7"/>
        <v>2001</v>
      </c>
      <c r="D145" s="33">
        <v>2.2000000000000001E-3</v>
      </c>
      <c r="E145" s="33"/>
      <c r="F145" s="34">
        <v>7.0000000000000001E-3</v>
      </c>
      <c r="G145" s="33">
        <v>7.4000000000000003E-3</v>
      </c>
      <c r="H145" s="34"/>
      <c r="I145" s="34">
        <v>5.4999999999999997E-3</v>
      </c>
      <c r="J145" s="34" t="s">
        <v>4</v>
      </c>
      <c r="K145" s="34">
        <v>1.3899999999999999E-2</v>
      </c>
      <c r="L145" s="34">
        <v>8.3330000000000001E-3</v>
      </c>
    </row>
    <row r="146" spans="1:12" s="36" customFormat="1">
      <c r="A146" s="92">
        <f t="shared" si="8"/>
        <v>37287</v>
      </c>
      <c r="B146" s="32">
        <f t="shared" si="6"/>
        <v>1</v>
      </c>
      <c r="C146" s="32">
        <f t="shared" si="7"/>
        <v>2002</v>
      </c>
      <c r="D146" s="33">
        <v>3.5999999999999999E-3</v>
      </c>
      <c r="E146" s="33"/>
      <c r="F146" s="34">
        <v>4.0000000000000001E-3</v>
      </c>
      <c r="G146" s="33">
        <v>1.0699999999999999E-2</v>
      </c>
      <c r="H146" s="34"/>
      <c r="I146" s="34">
        <v>6.1999999999999998E-3</v>
      </c>
      <c r="J146" s="34" t="s">
        <v>4</v>
      </c>
      <c r="K146" s="34">
        <v>1.5299999999999999E-2</v>
      </c>
      <c r="L146" s="34">
        <v>8.3330000000000001E-3</v>
      </c>
    </row>
    <row r="147" spans="1:12" s="36" customFormat="1">
      <c r="A147" s="92">
        <f t="shared" si="8"/>
        <v>37315</v>
      </c>
      <c r="B147" s="32">
        <f t="shared" si="6"/>
        <v>2</v>
      </c>
      <c r="C147" s="32">
        <f t="shared" si="7"/>
        <v>2002</v>
      </c>
      <c r="D147" s="33">
        <v>5.9999999999999995E-4</v>
      </c>
      <c r="E147" s="33"/>
      <c r="F147" s="34">
        <v>3.0999999999999999E-3</v>
      </c>
      <c r="G147" s="33">
        <v>3.0999999999999999E-3</v>
      </c>
      <c r="H147" s="34"/>
      <c r="I147" s="34">
        <v>4.4000000000000003E-3</v>
      </c>
      <c r="J147" s="34" t="s">
        <v>4</v>
      </c>
      <c r="K147" s="34">
        <v>1.2500000000000001E-2</v>
      </c>
      <c r="L147" s="34">
        <v>8.3330000000000001E-3</v>
      </c>
    </row>
    <row r="148" spans="1:12" s="36" customFormat="1">
      <c r="A148" s="92">
        <f t="shared" si="8"/>
        <v>37346</v>
      </c>
      <c r="B148" s="32">
        <f t="shared" si="6"/>
        <v>3</v>
      </c>
      <c r="C148" s="32">
        <f t="shared" si="7"/>
        <v>2002</v>
      </c>
      <c r="D148" s="33">
        <v>8.9999999999999998E-4</v>
      </c>
      <c r="E148" s="33"/>
      <c r="F148" s="34">
        <v>8.3999999999999995E-3</v>
      </c>
      <c r="G148" s="33">
        <v>6.1999999999999998E-3</v>
      </c>
      <c r="H148" s="34"/>
      <c r="I148" s="34">
        <v>4.0000000000000001E-3</v>
      </c>
      <c r="J148" s="34" t="s">
        <v>4</v>
      </c>
      <c r="K148" s="34">
        <v>1.37E-2</v>
      </c>
      <c r="L148" s="34">
        <v>8.3330000000000001E-3</v>
      </c>
    </row>
    <row r="149" spans="1:12" s="36" customFormat="1">
      <c r="A149" s="92">
        <f t="shared" si="8"/>
        <v>37376</v>
      </c>
      <c r="B149" s="32">
        <f t="shared" si="6"/>
        <v>4</v>
      </c>
      <c r="C149" s="32">
        <f t="shared" si="7"/>
        <v>2002</v>
      </c>
      <c r="D149" s="33">
        <v>5.5999999999999999E-3</v>
      </c>
      <c r="E149" s="33"/>
      <c r="F149" s="34">
        <v>3.2000000000000002E-3</v>
      </c>
      <c r="G149" s="33">
        <v>6.7999999999999996E-3</v>
      </c>
      <c r="H149" s="34"/>
      <c r="I149" s="34">
        <v>7.7999999999999996E-3</v>
      </c>
      <c r="J149" s="34" t="s">
        <v>4</v>
      </c>
      <c r="K149" s="34">
        <v>1.4800000000000001E-2</v>
      </c>
      <c r="L149" s="34">
        <v>7.9170000000000004E-3</v>
      </c>
    </row>
    <row r="150" spans="1:12" s="36" customFormat="1">
      <c r="A150" s="92">
        <f t="shared" si="8"/>
        <v>37407</v>
      </c>
      <c r="B150" s="32">
        <f t="shared" si="6"/>
        <v>5</v>
      </c>
      <c r="C150" s="32">
        <f t="shared" si="7"/>
        <v>2002</v>
      </c>
      <c r="D150" s="33">
        <v>8.3000000000000001E-3</v>
      </c>
      <c r="E150" s="33"/>
      <c r="F150" s="34">
        <v>2.47E-2</v>
      </c>
      <c r="G150" s="33">
        <v>8.9999999999999998E-4</v>
      </c>
      <c r="H150" s="34"/>
      <c r="I150" s="34">
        <v>4.1999999999999997E-3</v>
      </c>
      <c r="J150" s="34" t="s">
        <v>4</v>
      </c>
      <c r="K150" s="34">
        <v>1.41E-2</v>
      </c>
      <c r="L150" s="34">
        <v>7.9170000000000004E-3</v>
      </c>
    </row>
    <row r="151" spans="1:12" s="36" customFormat="1">
      <c r="A151" s="92">
        <f t="shared" si="8"/>
        <v>37437</v>
      </c>
      <c r="B151" s="32">
        <f t="shared" si="6"/>
        <v>6</v>
      </c>
      <c r="C151" s="32">
        <f t="shared" si="7"/>
        <v>2002</v>
      </c>
      <c r="D151" s="33">
        <v>1.54E-2</v>
      </c>
      <c r="E151" s="33"/>
      <c r="F151" s="34">
        <v>2.0999999999999999E-3</v>
      </c>
      <c r="G151" s="33">
        <v>6.1000000000000004E-3</v>
      </c>
      <c r="H151" s="34"/>
      <c r="I151" s="34">
        <v>3.3E-3</v>
      </c>
      <c r="J151" s="34" t="s">
        <v>4</v>
      </c>
      <c r="K151" s="34">
        <v>1.3299999999999999E-2</v>
      </c>
      <c r="L151" s="34">
        <v>7.9170000000000004E-3</v>
      </c>
    </row>
    <row r="152" spans="1:12" s="36" customFormat="1">
      <c r="A152" s="92">
        <f t="shared" si="8"/>
        <v>37468</v>
      </c>
      <c r="B152" s="32">
        <f t="shared" si="6"/>
        <v>7</v>
      </c>
      <c r="C152" s="32">
        <f t="shared" si="7"/>
        <v>2002</v>
      </c>
      <c r="D152" s="33">
        <v>1.95E-2</v>
      </c>
      <c r="E152" s="33"/>
      <c r="F152" s="34">
        <v>6.3E-3</v>
      </c>
      <c r="G152" s="33">
        <v>1.15E-2</v>
      </c>
      <c r="H152" s="34"/>
      <c r="I152" s="34">
        <v>7.7000000000000002E-3</v>
      </c>
      <c r="J152" s="34" t="s">
        <v>4</v>
      </c>
      <c r="K152" s="34">
        <v>1.54E-2</v>
      </c>
      <c r="L152" s="34">
        <v>8.3330000000000001E-3</v>
      </c>
    </row>
    <row r="153" spans="1:12" s="36" customFormat="1">
      <c r="A153" s="92">
        <f t="shared" si="8"/>
        <v>37499</v>
      </c>
      <c r="B153" s="32">
        <f t="shared" si="6"/>
        <v>8</v>
      </c>
      <c r="C153" s="32">
        <f t="shared" si="7"/>
        <v>2002</v>
      </c>
      <c r="D153" s="33">
        <v>2.3199999999999998E-2</v>
      </c>
      <c r="E153" s="33"/>
      <c r="F153" s="34">
        <v>8.2000000000000007E-3</v>
      </c>
      <c r="G153" s="33">
        <v>8.6E-3</v>
      </c>
      <c r="H153" s="34"/>
      <c r="I153" s="34">
        <v>0.01</v>
      </c>
      <c r="J153" s="34" t="s">
        <v>4</v>
      </c>
      <c r="K153" s="34">
        <v>1.44E-2</v>
      </c>
      <c r="L153" s="34">
        <v>8.3330000000000001E-3</v>
      </c>
    </row>
    <row r="154" spans="1:12" s="36" customFormat="1">
      <c r="A154" s="92">
        <f t="shared" si="8"/>
        <v>37529</v>
      </c>
      <c r="B154" s="32">
        <f t="shared" si="6"/>
        <v>9</v>
      </c>
      <c r="C154" s="32">
        <f t="shared" si="7"/>
        <v>2002</v>
      </c>
      <c r="D154" s="33">
        <v>2.4E-2</v>
      </c>
      <c r="E154" s="33"/>
      <c r="F154" s="34">
        <v>6.7999999999999996E-3</v>
      </c>
      <c r="G154" s="33">
        <v>8.3000000000000001E-3</v>
      </c>
      <c r="H154" s="34"/>
      <c r="I154" s="34">
        <v>6.1999999999999998E-3</v>
      </c>
      <c r="J154" s="34" t="s">
        <v>4</v>
      </c>
      <c r="K154" s="34">
        <v>1.38E-2</v>
      </c>
      <c r="L154" s="34">
        <v>8.3330000000000001E-3</v>
      </c>
    </row>
    <row r="155" spans="1:12" s="36" customFormat="1">
      <c r="A155" s="92">
        <f t="shared" si="8"/>
        <v>37560</v>
      </c>
      <c r="B155" s="32">
        <f t="shared" si="6"/>
        <v>10</v>
      </c>
      <c r="C155" s="32">
        <f t="shared" si="7"/>
        <v>2002</v>
      </c>
      <c r="D155" s="33">
        <v>3.8699999999999998E-2</v>
      </c>
      <c r="E155" s="33"/>
      <c r="F155" s="34">
        <v>8.2000000000000007E-3</v>
      </c>
      <c r="G155" s="33">
        <v>1.5699999999999999E-2</v>
      </c>
      <c r="H155" s="34"/>
      <c r="I155" s="34">
        <v>8.9999999999999993E-3</v>
      </c>
      <c r="J155" s="34" t="s">
        <v>4</v>
      </c>
      <c r="K155" s="34">
        <v>1.6500000000000001E-2</v>
      </c>
      <c r="L155" s="34">
        <v>8.3330000000000001E-3</v>
      </c>
    </row>
    <row r="156" spans="1:12" s="36" customFormat="1">
      <c r="A156" s="92">
        <f t="shared" si="8"/>
        <v>37590</v>
      </c>
      <c r="B156" s="32">
        <f t="shared" si="6"/>
        <v>11</v>
      </c>
      <c r="C156" s="32">
        <f t="shared" si="7"/>
        <v>2002</v>
      </c>
      <c r="D156" s="33">
        <v>5.1900000000000002E-2</v>
      </c>
      <c r="E156" s="33"/>
      <c r="F156" s="34">
        <v>2.1899999999999999E-2</v>
      </c>
      <c r="G156" s="33">
        <v>3.39E-2</v>
      </c>
      <c r="H156" s="34"/>
      <c r="I156" s="34">
        <v>2.0799999999999999E-2</v>
      </c>
      <c r="J156" s="34" t="s">
        <v>4</v>
      </c>
      <c r="K156" s="34">
        <v>1.54E-2</v>
      </c>
      <c r="L156" s="34">
        <v>8.3330000000000001E-3</v>
      </c>
    </row>
    <row r="157" spans="1:12" s="36" customFormat="1">
      <c r="A157" s="92">
        <f t="shared" si="8"/>
        <v>37621</v>
      </c>
      <c r="B157" s="32">
        <f t="shared" si="6"/>
        <v>12</v>
      </c>
      <c r="C157" s="32">
        <f t="shared" si="7"/>
        <v>2002</v>
      </c>
      <c r="D157" s="33">
        <v>3.7499999999999999E-2</v>
      </c>
      <c r="E157" s="33"/>
      <c r="F157" s="34">
        <v>2.1299999999999999E-2</v>
      </c>
      <c r="G157" s="33">
        <v>2.7E-2</v>
      </c>
      <c r="H157" s="34"/>
      <c r="I157" s="34">
        <v>3.0499999999999999E-2</v>
      </c>
      <c r="J157" s="34" t="s">
        <v>4</v>
      </c>
      <c r="K157" s="34">
        <v>1.7399999999999999E-2</v>
      </c>
      <c r="L157" s="34">
        <v>8.3330000000000001E-3</v>
      </c>
    </row>
    <row r="158" spans="1:12" s="36" customFormat="1">
      <c r="A158" s="92">
        <f t="shared" si="8"/>
        <v>37652</v>
      </c>
      <c r="B158" s="32">
        <f t="shared" si="6"/>
        <v>1</v>
      </c>
      <c r="C158" s="32">
        <f t="shared" si="7"/>
        <v>2003</v>
      </c>
      <c r="D158" s="33">
        <v>2.3300000000000001E-2</v>
      </c>
      <c r="E158" s="33"/>
      <c r="F158" s="34">
        <v>1.4500000000000001E-2</v>
      </c>
      <c r="G158" s="33">
        <v>2.47E-2</v>
      </c>
      <c r="H158" s="34"/>
      <c r="I158" s="34">
        <v>1.9800000000000002E-2</v>
      </c>
      <c r="J158" s="34" t="s">
        <v>4</v>
      </c>
      <c r="K158" s="34">
        <v>1.9699999999999999E-2</v>
      </c>
      <c r="L158" s="34">
        <v>9.1669999999999998E-3</v>
      </c>
    </row>
    <row r="159" spans="1:12" s="36" customFormat="1">
      <c r="A159" s="92">
        <f t="shared" si="8"/>
        <v>37680</v>
      </c>
      <c r="B159" s="32">
        <f t="shared" si="6"/>
        <v>2</v>
      </c>
      <c r="C159" s="32">
        <f t="shared" si="7"/>
        <v>2003</v>
      </c>
      <c r="D159" s="33">
        <v>2.2800000000000001E-2</v>
      </c>
      <c r="E159" s="33"/>
      <c r="F159" s="34">
        <v>1.6E-2</v>
      </c>
      <c r="G159" s="33">
        <v>1.46E-2</v>
      </c>
      <c r="H159" s="34"/>
      <c r="I159" s="34">
        <v>2.1899999999999999E-2</v>
      </c>
      <c r="J159" s="34" t="s">
        <v>4</v>
      </c>
      <c r="K159" s="34">
        <v>1.83E-2</v>
      </c>
      <c r="L159" s="34">
        <v>9.1669999999999998E-3</v>
      </c>
    </row>
    <row r="160" spans="1:12" s="36" customFormat="1">
      <c r="A160" s="92">
        <f t="shared" si="8"/>
        <v>37711</v>
      </c>
      <c r="B160" s="32">
        <f t="shared" si="6"/>
        <v>3</v>
      </c>
      <c r="C160" s="32">
        <f t="shared" si="7"/>
        <v>2003</v>
      </c>
      <c r="D160" s="33">
        <v>1.5299999999999999E-2</v>
      </c>
      <c r="E160" s="33"/>
      <c r="F160" s="34">
        <v>1.38E-2</v>
      </c>
      <c r="G160" s="33">
        <v>1.37E-2</v>
      </c>
      <c r="H160" s="34"/>
      <c r="I160" s="34">
        <v>1.14E-2</v>
      </c>
      <c r="J160" s="34" t="s">
        <v>4</v>
      </c>
      <c r="K160" s="34">
        <v>1.78E-2</v>
      </c>
      <c r="L160" s="34">
        <v>9.1669999999999998E-3</v>
      </c>
    </row>
    <row r="161" spans="1:12" s="36" customFormat="1">
      <c r="A161" s="92">
        <f t="shared" si="8"/>
        <v>37741</v>
      </c>
      <c r="B161" s="32">
        <f t="shared" si="6"/>
        <v>4</v>
      </c>
      <c r="C161" s="32">
        <f t="shared" si="7"/>
        <v>2003</v>
      </c>
      <c r="D161" s="33">
        <v>9.1999999999999998E-3</v>
      </c>
      <c r="E161" s="33"/>
      <c r="F161" s="34">
        <v>8.0999999999999996E-3</v>
      </c>
      <c r="G161" s="33">
        <v>1.38E-2</v>
      </c>
      <c r="H161" s="34"/>
      <c r="I161" s="34">
        <v>1.14E-2</v>
      </c>
      <c r="J161" s="34" t="s">
        <v>4</v>
      </c>
      <c r="K161" s="34">
        <v>1.8700000000000001E-2</v>
      </c>
      <c r="L161" s="34">
        <v>0.01</v>
      </c>
    </row>
    <row r="162" spans="1:12" s="36" customFormat="1">
      <c r="A162" s="92">
        <f t="shared" si="8"/>
        <v>37772</v>
      </c>
      <c r="B162" s="32">
        <f t="shared" si="6"/>
        <v>5</v>
      </c>
      <c r="C162" s="32">
        <f t="shared" si="7"/>
        <v>2003</v>
      </c>
      <c r="D162" s="33">
        <v>-2.5999999999999999E-3</v>
      </c>
      <c r="E162" s="33"/>
      <c r="F162" s="34">
        <v>2.98E-2</v>
      </c>
      <c r="G162" s="33">
        <v>9.9000000000000008E-3</v>
      </c>
      <c r="H162" s="34"/>
      <c r="I162" s="34">
        <v>8.5000000000000006E-3</v>
      </c>
      <c r="J162" s="34" t="s">
        <v>4</v>
      </c>
      <c r="K162" s="34">
        <v>1.9699999999999999E-2</v>
      </c>
      <c r="L162" s="34">
        <v>0.01</v>
      </c>
    </row>
    <row r="163" spans="1:12" s="36" customFormat="1">
      <c r="A163" s="92">
        <f t="shared" si="8"/>
        <v>37802</v>
      </c>
      <c r="B163" s="32">
        <f t="shared" si="6"/>
        <v>6</v>
      </c>
      <c r="C163" s="32">
        <f t="shared" si="7"/>
        <v>2003</v>
      </c>
      <c r="D163" s="33">
        <v>-0.01</v>
      </c>
      <c r="E163" s="33"/>
      <c r="F163" s="38">
        <v>5.8999999999999999E-3</v>
      </c>
      <c r="G163" s="33">
        <v>-5.9999999999999995E-4</v>
      </c>
      <c r="H163" s="38"/>
      <c r="I163" s="34">
        <v>2.2000000000000001E-3</v>
      </c>
      <c r="J163" s="34" t="s">
        <v>4</v>
      </c>
      <c r="K163" s="34">
        <v>1.8599999999999998E-2</v>
      </c>
      <c r="L163" s="34">
        <v>0.01</v>
      </c>
    </row>
    <row r="164" spans="1:12" s="36" customFormat="1">
      <c r="A164" s="92">
        <f t="shared" si="8"/>
        <v>37833</v>
      </c>
      <c r="B164" s="32">
        <f t="shared" si="6"/>
        <v>7</v>
      </c>
      <c r="C164" s="32">
        <f t="shared" si="7"/>
        <v>2003</v>
      </c>
      <c r="D164" s="33">
        <v>-4.1999999999999997E-3</v>
      </c>
      <c r="E164" s="33"/>
      <c r="F164" s="34">
        <v>7.4000000000000003E-3</v>
      </c>
      <c r="G164" s="33">
        <v>4.0000000000000002E-4</v>
      </c>
      <c r="H164" s="34"/>
      <c r="I164" s="34">
        <v>-1.8E-3</v>
      </c>
      <c r="J164" s="34" t="s">
        <v>4</v>
      </c>
      <c r="K164" s="34">
        <v>2.0799999999999999E-2</v>
      </c>
      <c r="L164" s="34">
        <v>0.01</v>
      </c>
    </row>
    <row r="165" spans="1:12" s="36" customFormat="1">
      <c r="A165" s="92">
        <f t="shared" si="8"/>
        <v>37864</v>
      </c>
      <c r="B165" s="32">
        <f t="shared" si="6"/>
        <v>8</v>
      </c>
      <c r="C165" s="32">
        <f t="shared" si="7"/>
        <v>2003</v>
      </c>
      <c r="D165" s="33">
        <v>3.8E-3</v>
      </c>
      <c r="E165" s="33"/>
      <c r="F165" s="34">
        <v>2.1999999999999999E-2</v>
      </c>
      <c r="G165" s="33">
        <v>1.8E-3</v>
      </c>
      <c r="H165" s="34"/>
      <c r="I165" s="34">
        <v>2.7000000000000001E-3</v>
      </c>
      <c r="J165" s="34" t="s">
        <v>4</v>
      </c>
      <c r="K165" s="34">
        <v>1.77E-2</v>
      </c>
      <c r="L165" s="34">
        <v>0.01</v>
      </c>
    </row>
    <row r="166" spans="1:12" s="36" customFormat="1">
      <c r="A166" s="92">
        <f t="shared" si="8"/>
        <v>37894</v>
      </c>
      <c r="B166" s="32">
        <f t="shared" si="6"/>
        <v>9</v>
      </c>
      <c r="C166" s="32">
        <f t="shared" si="7"/>
        <v>2003</v>
      </c>
      <c r="D166" s="33">
        <v>1.18E-2</v>
      </c>
      <c r="E166" s="33"/>
      <c r="F166" s="34">
        <v>2.3999999999999998E-3</v>
      </c>
      <c r="G166" s="33">
        <v>8.2000000000000007E-3</v>
      </c>
      <c r="H166" s="34"/>
      <c r="I166" s="34">
        <v>5.7000000000000002E-3</v>
      </c>
      <c r="J166" s="34" t="s">
        <v>4</v>
      </c>
      <c r="K166" s="34">
        <v>1.6799999999999999E-2</v>
      </c>
      <c r="L166" s="34">
        <v>0.01</v>
      </c>
    </row>
    <row r="167" spans="1:12" s="36" customFormat="1">
      <c r="A167" s="92">
        <f t="shared" si="8"/>
        <v>37925</v>
      </c>
      <c r="B167" s="32">
        <f t="shared" si="6"/>
        <v>10</v>
      </c>
      <c r="C167" s="32">
        <f t="shared" si="7"/>
        <v>2003</v>
      </c>
      <c r="D167" s="33">
        <v>3.8E-3</v>
      </c>
      <c r="E167" s="33"/>
      <c r="F167" s="34">
        <v>4.7000000000000002E-3</v>
      </c>
      <c r="G167" s="33">
        <v>3.8999999999999998E-3</v>
      </c>
      <c r="H167" s="34"/>
      <c r="I167" s="34">
        <v>6.6E-3</v>
      </c>
      <c r="J167" s="34" t="s">
        <v>4</v>
      </c>
      <c r="K167" s="34">
        <v>1.6400000000000001E-2</v>
      </c>
      <c r="L167" s="34">
        <v>9.1669999999999998E-3</v>
      </c>
    </row>
    <row r="168" spans="1:12" s="36" customFormat="1">
      <c r="A168" s="92">
        <f t="shared" si="8"/>
        <v>37955</v>
      </c>
      <c r="B168" s="32">
        <f t="shared" ref="B168:B221" si="9">MONTH(A168)</f>
        <v>11</v>
      </c>
      <c r="C168" s="32">
        <f t="shared" ref="C168:C221" si="10">YEAR(A168)</f>
        <v>2003</v>
      </c>
      <c r="D168" s="33">
        <v>4.8999999999999998E-3</v>
      </c>
      <c r="E168" s="33"/>
      <c r="F168" s="34">
        <v>4.1999999999999997E-3</v>
      </c>
      <c r="G168" s="33">
        <v>3.7000000000000002E-3</v>
      </c>
      <c r="H168" s="34"/>
      <c r="I168" s="34">
        <v>1.6999999999999999E-3</v>
      </c>
      <c r="J168" s="34" t="s">
        <v>4</v>
      </c>
      <c r="K168" s="34">
        <v>1.34E-2</v>
      </c>
      <c r="L168" s="34">
        <v>9.1669999999999998E-3</v>
      </c>
    </row>
    <row r="169" spans="1:12" s="36" customFormat="1">
      <c r="A169" s="92">
        <f t="shared" si="8"/>
        <v>37986</v>
      </c>
      <c r="B169" s="32">
        <f t="shared" si="9"/>
        <v>12</v>
      </c>
      <c r="C169" s="32">
        <f t="shared" si="10"/>
        <v>2003</v>
      </c>
      <c r="D169" s="33">
        <v>6.1000000000000004E-3</v>
      </c>
      <c r="E169" s="33"/>
      <c r="F169" s="34">
        <v>9.9000000000000008E-3</v>
      </c>
      <c r="G169" s="33">
        <v>5.4000000000000003E-3</v>
      </c>
      <c r="H169" s="34"/>
      <c r="I169" s="34">
        <v>4.5999999999999999E-3</v>
      </c>
      <c r="J169" s="34" t="s">
        <v>4</v>
      </c>
      <c r="K169" s="34">
        <v>1.37E-2</v>
      </c>
      <c r="L169" s="34">
        <v>9.1669999999999998E-3</v>
      </c>
    </row>
    <row r="170" spans="1:12" s="36" customFormat="1">
      <c r="A170" s="92">
        <f t="shared" si="8"/>
        <v>38017</v>
      </c>
      <c r="B170" s="32">
        <f t="shared" si="9"/>
        <v>1</v>
      </c>
      <c r="C170" s="32">
        <f t="shared" si="10"/>
        <v>2004</v>
      </c>
      <c r="D170" s="33">
        <v>8.8000000000000005E-3</v>
      </c>
      <c r="E170" s="39">
        <v>8.0000000000000002E-3</v>
      </c>
      <c r="F170" s="34">
        <v>2.8E-3</v>
      </c>
      <c r="G170" s="33">
        <v>8.3000000000000001E-3</v>
      </c>
      <c r="H170" s="34"/>
      <c r="I170" s="34">
        <v>6.7999999999999996E-3</v>
      </c>
      <c r="J170" s="34">
        <v>6.4999999999999997E-3</v>
      </c>
      <c r="K170" s="34">
        <v>1.2699999999999999E-2</v>
      </c>
      <c r="L170" s="34">
        <v>8.3330000000000001E-3</v>
      </c>
    </row>
    <row r="171" spans="1:12" s="36" customFormat="1">
      <c r="A171" s="92">
        <f t="shared" si="8"/>
        <v>38046</v>
      </c>
      <c r="B171" s="32">
        <f t="shared" si="9"/>
        <v>2</v>
      </c>
      <c r="C171" s="32">
        <f t="shared" si="10"/>
        <v>2004</v>
      </c>
      <c r="D171" s="33">
        <v>6.8999999999999999E-3</v>
      </c>
      <c r="E171" s="39">
        <v>1.0800000000000001E-2</v>
      </c>
      <c r="F171" s="34">
        <v>4.7999999999999996E-3</v>
      </c>
      <c r="G171" s="33">
        <v>3.8999999999999998E-3</v>
      </c>
      <c r="H171" s="34"/>
      <c r="I171" s="34">
        <v>8.9999999999999993E-3</v>
      </c>
      <c r="J171" s="34">
        <v>1.9E-3</v>
      </c>
      <c r="K171" s="34">
        <v>1.0800000000000001E-2</v>
      </c>
      <c r="L171" s="34">
        <v>8.3330000000000001E-3</v>
      </c>
    </row>
    <row r="172" spans="1:12" s="36" customFormat="1">
      <c r="A172" s="92">
        <f t="shared" si="8"/>
        <v>38077</v>
      </c>
      <c r="B172" s="32">
        <f t="shared" si="9"/>
        <v>3</v>
      </c>
      <c r="C172" s="32">
        <f t="shared" si="10"/>
        <v>2004</v>
      </c>
      <c r="D172" s="33">
        <v>1.1299999999999999E-2</v>
      </c>
      <c r="E172" s="39">
        <v>9.300000000000001E-3</v>
      </c>
      <c r="F172" s="34">
        <v>1.5900000000000001E-2</v>
      </c>
      <c r="G172" s="33">
        <v>5.7000000000000002E-3</v>
      </c>
      <c r="H172" s="34"/>
      <c r="I172" s="34">
        <v>4.0000000000000001E-3</v>
      </c>
      <c r="J172" s="34">
        <v>1.1999999999999999E-3</v>
      </c>
      <c r="K172" s="34">
        <v>1.38E-2</v>
      </c>
      <c r="L172" s="34">
        <v>8.3330000000000001E-3</v>
      </c>
    </row>
    <row r="173" spans="1:12" s="36" customFormat="1">
      <c r="A173" s="92">
        <f t="shared" si="8"/>
        <v>38107</v>
      </c>
      <c r="B173" s="32">
        <f t="shared" si="9"/>
        <v>4</v>
      </c>
      <c r="C173" s="32">
        <f t="shared" si="10"/>
        <v>2004</v>
      </c>
      <c r="D173" s="33">
        <v>1.21E-2</v>
      </c>
      <c r="E173" s="39">
        <v>1.15E-2</v>
      </c>
      <c r="F173" s="34">
        <v>6.0000000000000001E-3</v>
      </c>
      <c r="G173" s="33">
        <v>4.1000000000000003E-3</v>
      </c>
      <c r="H173" s="34"/>
      <c r="I173" s="34">
        <v>2.0999999999999999E-3</v>
      </c>
      <c r="J173" s="34">
        <v>2.8999999999999998E-3</v>
      </c>
      <c r="K173" s="34">
        <v>1.18E-2</v>
      </c>
      <c r="L173" s="34">
        <v>8.1250000000000003E-3</v>
      </c>
    </row>
    <row r="174" spans="1:12" s="36" customFormat="1">
      <c r="A174" s="92">
        <f t="shared" si="8"/>
        <v>38138</v>
      </c>
      <c r="B174" s="32">
        <f t="shared" si="9"/>
        <v>5</v>
      </c>
      <c r="C174" s="32">
        <f t="shared" si="10"/>
        <v>2004</v>
      </c>
      <c r="D174" s="33">
        <v>1.3100000000000001E-2</v>
      </c>
      <c r="E174" s="39">
        <v>1.46E-2</v>
      </c>
      <c r="F174" s="34">
        <v>1.7399999999999999E-2</v>
      </c>
      <c r="G174" s="33">
        <v>4.0000000000000001E-3</v>
      </c>
      <c r="H174" s="34"/>
      <c r="I174" s="34">
        <v>5.4000000000000003E-3</v>
      </c>
      <c r="J174" s="34">
        <v>5.6999999999999993E-3</v>
      </c>
      <c r="K174" s="34">
        <v>1.23E-2</v>
      </c>
      <c r="L174" s="34">
        <v>8.1250000000000003E-3</v>
      </c>
    </row>
    <row r="175" spans="1:12" s="36" customFormat="1">
      <c r="A175" s="92">
        <f t="shared" si="8"/>
        <v>38168</v>
      </c>
      <c r="B175" s="32">
        <f t="shared" si="9"/>
        <v>6</v>
      </c>
      <c r="C175" s="32">
        <f t="shared" si="10"/>
        <v>2004</v>
      </c>
      <c r="D175" s="33">
        <v>1.38E-2</v>
      </c>
      <c r="E175" s="39">
        <v>1.29E-2</v>
      </c>
      <c r="F175" s="34">
        <v>5.5999999999999999E-3</v>
      </c>
      <c r="G175" s="33">
        <v>5.0000000000000001E-3</v>
      </c>
      <c r="H175" s="34"/>
      <c r="I175" s="34">
        <v>5.5999999999999999E-3</v>
      </c>
      <c r="J175" s="34">
        <v>9.1999999999999998E-3</v>
      </c>
      <c r="K175" s="34">
        <v>1.23E-2</v>
      </c>
      <c r="L175" s="34">
        <v>8.1250000000000003E-3</v>
      </c>
    </row>
    <row r="176" spans="1:12" s="36" customFormat="1">
      <c r="A176" s="92">
        <f t="shared" si="8"/>
        <v>38199</v>
      </c>
      <c r="B176" s="32">
        <f t="shared" si="9"/>
        <v>7</v>
      </c>
      <c r="C176" s="32">
        <f t="shared" si="10"/>
        <v>2004</v>
      </c>
      <c r="D176" s="33">
        <v>1.3100000000000001E-2</v>
      </c>
      <c r="E176" s="39">
        <v>1.1399999999999999E-2</v>
      </c>
      <c r="F176" s="34">
        <v>1.12E-2</v>
      </c>
      <c r="G176" s="33">
        <v>7.3000000000000001E-3</v>
      </c>
      <c r="H176" s="34"/>
      <c r="I176" s="34">
        <v>9.2999999999999992E-3</v>
      </c>
      <c r="J176" s="34">
        <v>5.8999999999999999E-3</v>
      </c>
      <c r="K176" s="34">
        <v>1.29E-2</v>
      </c>
      <c r="L176" s="34">
        <v>8.1250000000000003E-3</v>
      </c>
    </row>
    <row r="177" spans="1:12" s="36" customFormat="1">
      <c r="A177" s="92">
        <f t="shared" si="8"/>
        <v>38230</v>
      </c>
      <c r="B177" s="32">
        <f t="shared" si="9"/>
        <v>8</v>
      </c>
      <c r="C177" s="32">
        <f t="shared" si="10"/>
        <v>2004</v>
      </c>
      <c r="D177" s="33">
        <v>1.2200000000000001E-2</v>
      </c>
      <c r="E177" s="39">
        <v>1.3100000000000001E-2</v>
      </c>
      <c r="F177" s="34">
        <v>8.9999999999999993E-3</v>
      </c>
      <c r="G177" s="33">
        <v>5.0000000000000001E-3</v>
      </c>
      <c r="H177" s="34"/>
      <c r="I177" s="34">
        <v>7.9000000000000008E-3</v>
      </c>
      <c r="J177" s="34">
        <v>9.8999999999999991E-3</v>
      </c>
      <c r="K177" s="34">
        <v>1.29E-2</v>
      </c>
      <c r="L177" s="34">
        <v>8.1250000000000003E-3</v>
      </c>
    </row>
    <row r="178" spans="1:12" s="36" customFormat="1">
      <c r="A178" s="92">
        <f t="shared" si="8"/>
        <v>38260</v>
      </c>
      <c r="B178" s="32">
        <f t="shared" si="9"/>
        <v>9</v>
      </c>
      <c r="C178" s="32">
        <f t="shared" si="10"/>
        <v>2004</v>
      </c>
      <c r="D178" s="33">
        <v>6.8999999999999999E-3</v>
      </c>
      <c r="E178" s="39">
        <v>4.7999999999999996E-3</v>
      </c>
      <c r="F178" s="34">
        <v>6.7000000000000002E-3</v>
      </c>
      <c r="G178" s="33">
        <v>1.6999999999999999E-3</v>
      </c>
      <c r="H178" s="34"/>
      <c r="I178" s="34">
        <v>4.8999999999999998E-3</v>
      </c>
      <c r="J178" s="34">
        <v>2.0999999999999999E-3</v>
      </c>
      <c r="K178" s="34">
        <v>1.2500000000000001E-2</v>
      </c>
      <c r="L178" s="34">
        <v>8.1250000000000003E-3</v>
      </c>
    </row>
    <row r="179" spans="1:12" s="36" customFormat="1">
      <c r="A179" s="92">
        <f t="shared" si="8"/>
        <v>38291</v>
      </c>
      <c r="B179" s="32">
        <f t="shared" si="9"/>
        <v>10</v>
      </c>
      <c r="C179" s="32">
        <f t="shared" si="10"/>
        <v>2004</v>
      </c>
      <c r="D179" s="33">
        <v>3.8999999999999998E-3</v>
      </c>
      <c r="E179" s="39">
        <v>5.3E-3</v>
      </c>
      <c r="F179" s="34">
        <v>9.4999999999999998E-3</v>
      </c>
      <c r="G179" s="33">
        <v>1.6999999999999999E-3</v>
      </c>
      <c r="H179" s="34"/>
      <c r="I179" s="34">
        <v>3.2000000000000002E-3</v>
      </c>
      <c r="J179" s="34">
        <v>6.1999999999999998E-3</v>
      </c>
      <c r="K179" s="34">
        <v>1.21E-2</v>
      </c>
      <c r="L179" s="34">
        <v>8.1250000000000003E-3</v>
      </c>
    </row>
    <row r="180" spans="1:12" s="36" customFormat="1">
      <c r="A180" s="92">
        <f t="shared" si="8"/>
        <v>38321</v>
      </c>
      <c r="B180" s="32">
        <f t="shared" si="9"/>
        <v>11</v>
      </c>
      <c r="C180" s="32">
        <f t="shared" si="10"/>
        <v>2004</v>
      </c>
      <c r="D180" s="33">
        <v>8.2000000000000007E-3</v>
      </c>
      <c r="E180" s="39">
        <v>8.199999999999999E-3</v>
      </c>
      <c r="F180" s="34">
        <v>9.4000000000000004E-3</v>
      </c>
      <c r="G180" s="33">
        <v>4.4000000000000003E-3</v>
      </c>
      <c r="H180" s="34"/>
      <c r="I180" s="34">
        <v>6.3E-3</v>
      </c>
      <c r="J180" s="34">
        <v>5.6000000000000008E-3</v>
      </c>
      <c r="K180" s="34">
        <v>1.2500000000000001E-2</v>
      </c>
      <c r="L180" s="34">
        <v>8.1250000000000003E-3</v>
      </c>
    </row>
    <row r="181" spans="1:12" s="36" customFormat="1">
      <c r="A181" s="92">
        <f t="shared" si="8"/>
        <v>38352</v>
      </c>
      <c r="B181" s="32">
        <f t="shared" si="9"/>
        <v>12</v>
      </c>
      <c r="C181" s="32">
        <f t="shared" si="10"/>
        <v>2004</v>
      </c>
      <c r="D181" s="33">
        <v>7.4000000000000003E-3</v>
      </c>
      <c r="E181" s="39">
        <v>5.1999999999999998E-3</v>
      </c>
      <c r="F181" s="34">
        <v>6.1000000000000004E-3</v>
      </c>
      <c r="G181" s="33">
        <v>8.6E-3</v>
      </c>
      <c r="H181" s="34"/>
      <c r="I181" s="34">
        <v>8.3999999999999995E-3</v>
      </c>
      <c r="J181" s="34">
        <v>6.7000000000000002E-3</v>
      </c>
      <c r="K181" s="34">
        <v>1.4800000000000001E-2</v>
      </c>
      <c r="L181" s="34">
        <v>8.1250000000000003E-3</v>
      </c>
    </row>
    <row r="182" spans="1:12" s="36" customFormat="1">
      <c r="A182" s="92">
        <f t="shared" si="8"/>
        <v>38383</v>
      </c>
      <c r="B182" s="32">
        <f t="shared" si="9"/>
        <v>1</v>
      </c>
      <c r="C182" s="32">
        <f t="shared" si="10"/>
        <v>2005</v>
      </c>
      <c r="D182" s="33">
        <v>3.8999999999999998E-3</v>
      </c>
      <c r="E182" s="39">
        <v>3.3E-3</v>
      </c>
      <c r="F182" s="34">
        <v>7.0000000000000001E-3</v>
      </c>
      <c r="G182" s="33">
        <v>5.7000000000000002E-3</v>
      </c>
      <c r="H182" s="34">
        <v>5.7999999999999996E-3</v>
      </c>
      <c r="I182" s="34">
        <v>6.7999999999999996E-3</v>
      </c>
      <c r="J182" s="34">
        <v>5.6000000000000008E-3</v>
      </c>
      <c r="K182" s="34">
        <v>1.38E-2</v>
      </c>
      <c r="L182" s="34">
        <v>8.1250000000000003E-3</v>
      </c>
    </row>
    <row r="183" spans="1:12" s="36" customFormat="1">
      <c r="A183" s="92">
        <f t="shared" si="8"/>
        <v>38411</v>
      </c>
      <c r="B183" s="32">
        <f t="shared" si="9"/>
        <v>2</v>
      </c>
      <c r="C183" s="32">
        <f t="shared" si="10"/>
        <v>2005</v>
      </c>
      <c r="D183" s="33">
        <v>3.0000000000000001E-3</v>
      </c>
      <c r="E183" s="39">
        <v>4.0000000000000001E-3</v>
      </c>
      <c r="F183" s="34">
        <v>4.1999999999999997E-3</v>
      </c>
      <c r="G183" s="33">
        <v>4.4000000000000003E-3</v>
      </c>
      <c r="H183" s="34">
        <v>5.8999999999999999E-3</v>
      </c>
      <c r="I183" s="34">
        <v>7.4000000000000003E-3</v>
      </c>
      <c r="J183" s="34">
        <v>3.5999999999999999E-3</v>
      </c>
      <c r="K183" s="34">
        <v>1.2200000000000001E-2</v>
      </c>
      <c r="L183" s="34">
        <v>8.1250000000000003E-3</v>
      </c>
    </row>
    <row r="184" spans="1:12" s="36" customFormat="1">
      <c r="A184" s="92">
        <f t="shared" si="8"/>
        <v>38442</v>
      </c>
      <c r="B184" s="32">
        <f t="shared" si="9"/>
        <v>3</v>
      </c>
      <c r="C184" s="32">
        <f t="shared" si="10"/>
        <v>2005</v>
      </c>
      <c r="D184" s="33">
        <v>8.5000000000000006E-3</v>
      </c>
      <c r="E184" s="39">
        <v>9.8999999999999991E-3</v>
      </c>
      <c r="F184" s="34">
        <v>7.1000000000000004E-3</v>
      </c>
      <c r="G184" s="33">
        <v>7.3000000000000001E-3</v>
      </c>
      <c r="H184" s="34">
        <v>6.0999999999999995E-3</v>
      </c>
      <c r="I184" s="34">
        <v>3.5000000000000001E-3</v>
      </c>
      <c r="J184" s="34">
        <v>7.9000000000000008E-3</v>
      </c>
      <c r="K184" s="34">
        <v>1.5299999999999999E-2</v>
      </c>
      <c r="L184" s="34">
        <v>8.1250000000000003E-3</v>
      </c>
    </row>
    <row r="185" spans="1:12" s="36" customFormat="1">
      <c r="A185" s="92">
        <f t="shared" si="8"/>
        <v>38472</v>
      </c>
      <c r="B185" s="32">
        <f t="shared" si="9"/>
        <v>4</v>
      </c>
      <c r="C185" s="32">
        <f t="shared" si="10"/>
        <v>2005</v>
      </c>
      <c r="D185" s="33">
        <v>8.6E-3</v>
      </c>
      <c r="E185" s="39">
        <v>5.1000000000000004E-3</v>
      </c>
      <c r="F185" s="34">
        <v>3.8E-3</v>
      </c>
      <c r="G185" s="33">
        <v>9.1000000000000004E-3</v>
      </c>
      <c r="H185" s="34">
        <v>8.6999999999999994E-3</v>
      </c>
      <c r="I185" s="34">
        <v>7.4000000000000003E-3</v>
      </c>
      <c r="J185" s="34">
        <v>8.3000000000000001E-3</v>
      </c>
      <c r="K185" s="34">
        <v>1.41E-2</v>
      </c>
      <c r="L185" s="34">
        <v>8.1250000000000003E-3</v>
      </c>
    </row>
    <row r="186" spans="1:12" s="36" customFormat="1">
      <c r="A186" s="92">
        <f t="shared" si="8"/>
        <v>38503</v>
      </c>
      <c r="B186" s="32">
        <f t="shared" si="9"/>
        <v>5</v>
      </c>
      <c r="C186" s="32">
        <f t="shared" si="10"/>
        <v>2005</v>
      </c>
      <c r="D186" s="33">
        <v>-2.2000000000000001E-3</v>
      </c>
      <c r="E186" s="39">
        <v>-2.5000000000000001E-3</v>
      </c>
      <c r="F186" s="34">
        <v>5.4000000000000003E-3</v>
      </c>
      <c r="G186" s="33">
        <v>7.0000000000000001E-3</v>
      </c>
      <c r="H186" s="34">
        <v>4.8999999999999998E-3</v>
      </c>
      <c r="I186" s="34">
        <v>8.3000000000000001E-3</v>
      </c>
      <c r="J186" s="34">
        <v>3.4999999999999996E-3</v>
      </c>
      <c r="K186" s="34">
        <v>1.4999999999999999E-2</v>
      </c>
      <c r="L186" s="34">
        <v>8.1250000000000003E-3</v>
      </c>
    </row>
    <row r="187" spans="1:12" s="36" customFormat="1">
      <c r="A187" s="92">
        <f t="shared" si="8"/>
        <v>38533</v>
      </c>
      <c r="B187" s="32">
        <f t="shared" si="9"/>
        <v>6</v>
      </c>
      <c r="C187" s="32">
        <f t="shared" si="10"/>
        <v>2005</v>
      </c>
      <c r="D187" s="33">
        <v>-4.4000000000000003E-3</v>
      </c>
      <c r="E187" s="39">
        <v>-4.5000000000000005E-3</v>
      </c>
      <c r="F187" s="34">
        <v>2.1999999999999999E-2</v>
      </c>
      <c r="G187" s="33">
        <v>-1.1000000000000001E-3</v>
      </c>
      <c r="H187" s="34">
        <v>-2.0000000000000001E-4</v>
      </c>
      <c r="I187" s="34">
        <v>1.1999999999999999E-3</v>
      </c>
      <c r="J187" s="34">
        <v>-2E-3</v>
      </c>
      <c r="K187" s="34">
        <v>1.5900000000000001E-2</v>
      </c>
      <c r="L187" s="34">
        <v>8.1250000000000003E-3</v>
      </c>
    </row>
    <row r="188" spans="1:12" s="36" customFormat="1">
      <c r="A188" s="92">
        <f t="shared" si="8"/>
        <v>38564</v>
      </c>
      <c r="B188" s="32">
        <f t="shared" si="9"/>
        <v>7</v>
      </c>
      <c r="C188" s="32">
        <f t="shared" si="10"/>
        <v>2005</v>
      </c>
      <c r="D188" s="33">
        <v>-3.3999999999999998E-3</v>
      </c>
      <c r="E188" s="39">
        <v>-4.0000000000000001E-3</v>
      </c>
      <c r="F188" s="34">
        <v>6.4999999999999997E-3</v>
      </c>
      <c r="G188" s="33">
        <v>2.9999999999999997E-4</v>
      </c>
      <c r="H188" s="34">
        <v>2.5000000000000001E-3</v>
      </c>
      <c r="I188" s="34">
        <v>1.1000000000000001E-3</v>
      </c>
      <c r="J188" s="34">
        <v>3.0000000000000001E-3</v>
      </c>
      <c r="K188" s="34">
        <v>1.5100000000000001E-2</v>
      </c>
      <c r="L188" s="34">
        <v>8.1250000000000003E-3</v>
      </c>
    </row>
    <row r="189" spans="1:12" s="36" customFormat="1">
      <c r="A189" s="92">
        <f t="shared" si="8"/>
        <v>38595</v>
      </c>
      <c r="B189" s="32">
        <f t="shared" si="9"/>
        <v>8</v>
      </c>
      <c r="C189" s="32">
        <f t="shared" si="10"/>
        <v>2005</v>
      </c>
      <c r="D189" s="33">
        <v>-6.4999999999999997E-3</v>
      </c>
      <c r="E189" s="39">
        <v>-7.9000000000000008E-3</v>
      </c>
      <c r="F189" s="34">
        <v>5.0000000000000001E-4</v>
      </c>
      <c r="G189" s="33">
        <v>0</v>
      </c>
      <c r="H189" s="34">
        <v>1.7000000000000001E-3</v>
      </c>
      <c r="I189" s="34">
        <v>2.8E-3</v>
      </c>
      <c r="J189" s="34">
        <v>-2E-3</v>
      </c>
      <c r="K189" s="34">
        <v>1.66E-2</v>
      </c>
      <c r="L189" s="34">
        <v>8.1250000000000003E-3</v>
      </c>
    </row>
    <row r="190" spans="1:12" s="36" customFormat="1">
      <c r="A190" s="92">
        <f t="shared" si="8"/>
        <v>38625</v>
      </c>
      <c r="B190" s="32">
        <f t="shared" si="9"/>
        <v>9</v>
      </c>
      <c r="C190" s="32">
        <f t="shared" si="10"/>
        <v>2005</v>
      </c>
      <c r="D190" s="33">
        <v>-5.3E-3</v>
      </c>
      <c r="E190" s="39">
        <v>-1.2999999999999999E-3</v>
      </c>
      <c r="F190" s="34">
        <v>5.9999999999999995E-4</v>
      </c>
      <c r="G190" s="33">
        <v>1.5E-3</v>
      </c>
      <c r="H190" s="34">
        <v>3.4999999999999996E-3</v>
      </c>
      <c r="I190" s="34">
        <v>1.6000000000000001E-3</v>
      </c>
      <c r="J190" s="34">
        <v>4.4000000000000003E-3</v>
      </c>
      <c r="K190" s="34">
        <v>1.4999999999999999E-2</v>
      </c>
      <c r="L190" s="34">
        <v>8.1250000000000003E-3</v>
      </c>
    </row>
    <row r="191" spans="1:12" s="36" customFormat="1">
      <c r="A191" s="92">
        <f t="shared" si="8"/>
        <v>38656</v>
      </c>
      <c r="B191" s="32">
        <f t="shared" si="9"/>
        <v>10</v>
      </c>
      <c r="C191" s="32">
        <f t="shared" si="10"/>
        <v>2005</v>
      </c>
      <c r="D191" s="33">
        <v>6.0000000000000001E-3</v>
      </c>
      <c r="E191" s="39">
        <v>6.3E-3</v>
      </c>
      <c r="F191" s="34">
        <v>2.8E-3</v>
      </c>
      <c r="G191" s="33">
        <v>5.7999999999999996E-3</v>
      </c>
      <c r="H191" s="34">
        <v>7.4999999999999997E-3</v>
      </c>
      <c r="I191" s="34">
        <v>5.5999999999999999E-3</v>
      </c>
      <c r="J191" s="34">
        <v>6.3E-3</v>
      </c>
      <c r="K191" s="34">
        <v>1.41E-2</v>
      </c>
      <c r="L191" s="34">
        <v>8.1250000000000003E-3</v>
      </c>
    </row>
    <row r="192" spans="1:12" s="36" customFormat="1">
      <c r="A192" s="92">
        <f t="shared" si="8"/>
        <v>38686</v>
      </c>
      <c r="B192" s="32">
        <f t="shared" si="9"/>
        <v>11</v>
      </c>
      <c r="C192" s="32">
        <f t="shared" si="10"/>
        <v>2005</v>
      </c>
      <c r="D192" s="33">
        <v>4.0000000000000001E-3</v>
      </c>
      <c r="E192" s="39">
        <v>3.3E-3</v>
      </c>
      <c r="F192" s="34">
        <v>2.8999999999999998E-3</v>
      </c>
      <c r="G192" s="33">
        <v>5.4000000000000003E-3</v>
      </c>
      <c r="H192" s="34">
        <v>5.5000000000000005E-3</v>
      </c>
      <c r="I192" s="34">
        <v>7.7999999999999996E-3</v>
      </c>
      <c r="J192" s="34">
        <v>2.8999999999999998E-3</v>
      </c>
      <c r="K192" s="34">
        <v>1.38E-2</v>
      </c>
      <c r="L192" s="34">
        <v>8.1250000000000003E-3</v>
      </c>
    </row>
    <row r="193" spans="1:12" s="36" customFormat="1">
      <c r="A193" s="92">
        <f t="shared" si="8"/>
        <v>38717</v>
      </c>
      <c r="B193" s="32">
        <f t="shared" si="9"/>
        <v>12</v>
      </c>
      <c r="C193" s="32">
        <f t="shared" si="10"/>
        <v>2005</v>
      </c>
      <c r="D193" s="33">
        <v>-1E-4</v>
      </c>
      <c r="E193" s="39">
        <v>7.000000000000001E-4</v>
      </c>
      <c r="F193" s="34">
        <v>3.8E-3</v>
      </c>
      <c r="G193" s="33">
        <v>4.0000000000000001E-3</v>
      </c>
      <c r="H193" s="34">
        <v>3.5999999999999999E-3</v>
      </c>
      <c r="I193" s="34">
        <v>3.8E-3</v>
      </c>
      <c r="J193" s="34">
        <v>2.8999999999999998E-3</v>
      </c>
      <c r="K193" s="34">
        <v>1.47E-2</v>
      </c>
      <c r="L193" s="34">
        <v>8.1250000000000003E-3</v>
      </c>
    </row>
    <row r="194" spans="1:12" s="36" customFormat="1">
      <c r="A194" s="92">
        <f t="shared" si="8"/>
        <v>38748</v>
      </c>
      <c r="B194" s="32">
        <f t="shared" si="9"/>
        <v>1</v>
      </c>
      <c r="C194" s="32">
        <f t="shared" si="10"/>
        <v>2006</v>
      </c>
      <c r="D194" s="33">
        <v>9.1999999999999998E-3</v>
      </c>
      <c r="E194" s="39">
        <v>7.1999999999999998E-3</v>
      </c>
      <c r="F194" s="34">
        <v>2.3999999999999998E-3</v>
      </c>
      <c r="G194" s="33">
        <v>3.8E-3</v>
      </c>
      <c r="H194" s="34">
        <v>5.8999999999999999E-3</v>
      </c>
      <c r="I194" s="34">
        <v>5.1000000000000004E-3</v>
      </c>
      <c r="J194" s="34">
        <v>5.0000000000000001E-3</v>
      </c>
      <c r="K194" s="34">
        <v>1.43E-2</v>
      </c>
      <c r="L194" s="34">
        <v>7.4999999999999997E-3</v>
      </c>
    </row>
    <row r="195" spans="1:12" s="36" customFormat="1">
      <c r="A195" s="92">
        <f t="shared" si="8"/>
        <v>38776</v>
      </c>
      <c r="B195" s="32">
        <f t="shared" si="9"/>
        <v>2</v>
      </c>
      <c r="C195" s="32">
        <f t="shared" si="10"/>
        <v>2006</v>
      </c>
      <c r="D195" s="33">
        <v>1E-4</v>
      </c>
      <c r="E195" s="39">
        <v>-5.9999999999999995E-4</v>
      </c>
      <c r="F195" s="34">
        <v>2.8E-3</v>
      </c>
      <c r="G195" s="33">
        <v>2.3E-3</v>
      </c>
      <c r="H195" s="34">
        <v>4.0999999999999995E-3</v>
      </c>
      <c r="I195" s="34">
        <v>5.1999999999999998E-3</v>
      </c>
      <c r="J195" s="34">
        <v>-2.9999999999999997E-4</v>
      </c>
      <c r="K195" s="34">
        <v>1.15E-2</v>
      </c>
      <c r="L195" s="34">
        <v>7.4999999999999997E-3</v>
      </c>
    </row>
    <row r="196" spans="1:12" s="36" customFormat="1">
      <c r="A196" s="92">
        <f t="shared" ref="A196:A259" si="11">EOMONTH(A195,1)</f>
        <v>38807</v>
      </c>
      <c r="B196" s="32">
        <f t="shared" si="9"/>
        <v>3</v>
      </c>
      <c r="C196" s="32">
        <f t="shared" si="10"/>
        <v>2006</v>
      </c>
      <c r="D196" s="33">
        <v>-2.3E-3</v>
      </c>
      <c r="E196" s="39">
        <v>-4.5000000000000005E-3</v>
      </c>
      <c r="F196" s="34">
        <v>2.3E-3</v>
      </c>
      <c r="G196" s="33">
        <v>2.7000000000000001E-3</v>
      </c>
      <c r="H196" s="34">
        <v>4.3E-3</v>
      </c>
      <c r="I196" s="34">
        <v>3.7000000000000002E-3</v>
      </c>
      <c r="J196" s="34">
        <v>1.4000000000000002E-3</v>
      </c>
      <c r="K196" s="34">
        <v>1.4200000000000001E-2</v>
      </c>
      <c r="L196" s="34">
        <v>7.4999999999999997E-3</v>
      </c>
    </row>
    <row r="197" spans="1:12" s="36" customFormat="1">
      <c r="A197" s="92">
        <f t="shared" si="11"/>
        <v>38837</v>
      </c>
      <c r="B197" s="32">
        <f t="shared" si="9"/>
        <v>4</v>
      </c>
      <c r="C197" s="32">
        <f t="shared" si="10"/>
        <v>2006</v>
      </c>
      <c r="D197" s="33">
        <v>-4.1999999999999997E-3</v>
      </c>
      <c r="E197" s="39">
        <v>2.0000000000000001E-4</v>
      </c>
      <c r="F197" s="34">
        <v>2.0999999999999999E-3</v>
      </c>
      <c r="G197" s="33">
        <v>1.1999999999999999E-3</v>
      </c>
      <c r="H197" s="34">
        <v>2.0999999999999999E-3</v>
      </c>
      <c r="I197" s="34">
        <v>1.6999999999999999E-3</v>
      </c>
      <c r="J197" s="34">
        <v>1E-4</v>
      </c>
      <c r="K197" s="34">
        <v>1.0800000000000001E-2</v>
      </c>
      <c r="L197" s="34">
        <v>6.7920000000000003E-3</v>
      </c>
    </row>
    <row r="198" spans="1:12" s="36" customFormat="1">
      <c r="A198" s="92">
        <f t="shared" si="11"/>
        <v>38868</v>
      </c>
      <c r="B198" s="32">
        <f t="shared" si="9"/>
        <v>5</v>
      </c>
      <c r="C198" s="32">
        <f t="shared" si="10"/>
        <v>2006</v>
      </c>
      <c r="D198" s="33">
        <v>3.8E-3</v>
      </c>
      <c r="E198" s="39">
        <v>3.8E-3</v>
      </c>
      <c r="F198" s="34">
        <v>8.0999999999999996E-3</v>
      </c>
      <c r="G198" s="33">
        <v>1.2999999999999999E-3</v>
      </c>
      <c r="H198" s="34">
        <v>1E-3</v>
      </c>
      <c r="I198" s="34">
        <v>2.7000000000000001E-3</v>
      </c>
      <c r="J198" s="34">
        <v>-2.2000000000000001E-3</v>
      </c>
      <c r="K198" s="34">
        <v>1.2800000000000001E-2</v>
      </c>
      <c r="L198" s="34">
        <v>6.7920000000000003E-3</v>
      </c>
    </row>
    <row r="199" spans="1:12" s="36" customFormat="1">
      <c r="A199" s="92">
        <f t="shared" si="11"/>
        <v>38898</v>
      </c>
      <c r="B199" s="32">
        <f t="shared" si="9"/>
        <v>6</v>
      </c>
      <c r="C199" s="32">
        <f t="shared" si="10"/>
        <v>2006</v>
      </c>
      <c r="D199" s="33">
        <v>7.4999999999999997E-3</v>
      </c>
      <c r="E199" s="39">
        <v>6.7000000000000002E-3</v>
      </c>
      <c r="F199" s="34">
        <v>1.4500000000000001E-2</v>
      </c>
      <c r="G199" s="33">
        <v>-6.9999999999999999E-4</v>
      </c>
      <c r="H199" s="34">
        <v>-2.0999999999999999E-3</v>
      </c>
      <c r="I199" s="34">
        <v>-1.5E-3</v>
      </c>
      <c r="J199" s="34">
        <v>-3.0999999999999999E-3</v>
      </c>
      <c r="K199" s="34">
        <v>1.18E-2</v>
      </c>
      <c r="L199" s="34">
        <v>6.7920000000000003E-3</v>
      </c>
    </row>
    <row r="200" spans="1:12" s="36" customFormat="1">
      <c r="A200" s="92">
        <f t="shared" si="11"/>
        <v>38929</v>
      </c>
      <c r="B200" s="32">
        <f t="shared" si="9"/>
        <v>7</v>
      </c>
      <c r="C200" s="32">
        <f t="shared" si="10"/>
        <v>2006</v>
      </c>
      <c r="D200" s="33">
        <v>1.8E-3</v>
      </c>
      <c r="E200" s="39">
        <v>1.7000000000000001E-3</v>
      </c>
      <c r="F200" s="34">
        <v>5.7000000000000002E-3</v>
      </c>
      <c r="G200" s="33">
        <v>1.1000000000000001E-3</v>
      </c>
      <c r="H200" s="34">
        <v>1.9E-3</v>
      </c>
      <c r="I200" s="34">
        <v>-2.0000000000000001E-4</v>
      </c>
      <c r="J200" s="34">
        <v>2.0999999999999999E-3</v>
      </c>
      <c r="K200" s="34">
        <v>1.17E-2</v>
      </c>
      <c r="L200" s="34">
        <v>6.2500000000000003E-3</v>
      </c>
    </row>
    <row r="201" spans="1:12" s="36" customFormat="1">
      <c r="A201" s="92">
        <f t="shared" si="11"/>
        <v>38960</v>
      </c>
      <c r="B201" s="32">
        <f t="shared" si="9"/>
        <v>8</v>
      </c>
      <c r="C201" s="32">
        <f t="shared" si="10"/>
        <v>2006</v>
      </c>
      <c r="D201" s="33">
        <v>3.7000000000000002E-3</v>
      </c>
      <c r="E201" s="39">
        <v>4.0999999999999995E-3</v>
      </c>
      <c r="F201" s="34">
        <v>3.5000000000000001E-3</v>
      </c>
      <c r="G201" s="33">
        <v>-2.0000000000000001E-4</v>
      </c>
      <c r="H201" s="34">
        <v>5.0000000000000001E-4</v>
      </c>
      <c r="I201" s="34">
        <v>1.9E-3</v>
      </c>
      <c r="J201" s="34">
        <v>1.1999999999999999E-3</v>
      </c>
      <c r="K201" s="34">
        <v>1.26E-2</v>
      </c>
      <c r="L201" s="34">
        <v>6.2500000000000003E-3</v>
      </c>
    </row>
    <row r="202" spans="1:12" s="36" customFormat="1">
      <c r="A202" s="92">
        <f t="shared" si="11"/>
        <v>38990</v>
      </c>
      <c r="B202" s="32">
        <f t="shared" si="9"/>
        <v>9</v>
      </c>
      <c r="C202" s="32">
        <f t="shared" si="10"/>
        <v>2006</v>
      </c>
      <c r="D202" s="33">
        <v>2.8999999999999998E-3</v>
      </c>
      <c r="E202" s="39">
        <v>2.3999999999999998E-3</v>
      </c>
      <c r="F202" s="34">
        <v>8.9999999999999998E-4</v>
      </c>
      <c r="G202" s="33">
        <v>1.6000000000000001E-3</v>
      </c>
      <c r="H202" s="34">
        <v>2.0999999999999999E-3</v>
      </c>
      <c r="I202" s="34">
        <v>5.0000000000000001E-4</v>
      </c>
      <c r="J202" s="34">
        <v>2.5000000000000001E-3</v>
      </c>
      <c r="K202" s="34">
        <v>1.06E-2</v>
      </c>
      <c r="L202" s="34">
        <v>6.2500000000000003E-3</v>
      </c>
    </row>
    <row r="203" spans="1:12" s="36" customFormat="1">
      <c r="A203" s="92">
        <f t="shared" si="11"/>
        <v>39021</v>
      </c>
      <c r="B203" s="32">
        <f t="shared" si="9"/>
        <v>10</v>
      </c>
      <c r="C203" s="32">
        <f t="shared" si="10"/>
        <v>2006</v>
      </c>
      <c r="D203" s="33">
        <v>4.7000000000000002E-3</v>
      </c>
      <c r="E203" s="39">
        <v>8.1000000000000013E-3</v>
      </c>
      <c r="F203" s="34">
        <v>1.8E-3</v>
      </c>
      <c r="G203" s="33">
        <v>4.3E-3</v>
      </c>
      <c r="H203" s="34">
        <v>3.3E-3</v>
      </c>
      <c r="I203" s="34">
        <v>2.8999999999999998E-3</v>
      </c>
      <c r="J203" s="34">
        <v>3.9000000000000003E-3</v>
      </c>
      <c r="K203" s="34">
        <v>1.09E-2</v>
      </c>
      <c r="L203" s="34">
        <v>5.7080000000000004E-3</v>
      </c>
    </row>
    <row r="204" spans="1:12" s="36" customFormat="1">
      <c r="A204" s="92">
        <f t="shared" si="11"/>
        <v>39051</v>
      </c>
      <c r="B204" s="32">
        <f t="shared" si="9"/>
        <v>11</v>
      </c>
      <c r="C204" s="32">
        <f t="shared" si="10"/>
        <v>2006</v>
      </c>
      <c r="D204" s="33">
        <v>7.4999999999999997E-3</v>
      </c>
      <c r="E204" s="39">
        <v>5.6999999999999993E-3</v>
      </c>
      <c r="F204" s="34">
        <v>2.3E-3</v>
      </c>
      <c r="G204" s="33">
        <v>4.1999999999999997E-3</v>
      </c>
      <c r="H204" s="34">
        <v>3.0999999999999999E-3</v>
      </c>
      <c r="I204" s="34">
        <v>3.7000000000000002E-3</v>
      </c>
      <c r="J204" s="34">
        <v>4.1999999999999997E-3</v>
      </c>
      <c r="K204" s="34">
        <v>1.0200000000000001E-2</v>
      </c>
      <c r="L204" s="34">
        <v>5.7080000000000004E-3</v>
      </c>
    </row>
    <row r="205" spans="1:12" s="36" customFormat="1">
      <c r="A205" s="92">
        <f t="shared" si="11"/>
        <v>39082</v>
      </c>
      <c r="B205" s="32">
        <f t="shared" si="9"/>
        <v>12</v>
      </c>
      <c r="C205" s="32">
        <f t="shared" si="10"/>
        <v>2006</v>
      </c>
      <c r="D205" s="33">
        <v>3.2000000000000002E-3</v>
      </c>
      <c r="E205" s="39">
        <v>2.5999999999999999E-3</v>
      </c>
      <c r="F205" s="34">
        <v>3.0000000000000001E-3</v>
      </c>
      <c r="G205" s="33">
        <v>6.1999999999999998E-3</v>
      </c>
      <c r="H205" s="34">
        <v>4.7999999999999996E-3</v>
      </c>
      <c r="I205" s="34">
        <v>3.5000000000000001E-3</v>
      </c>
      <c r="J205" s="34">
        <v>1.04E-2</v>
      </c>
      <c r="K205" s="34">
        <v>9.9000000000000008E-3</v>
      </c>
      <c r="L205" s="34">
        <v>5.7080000000000004E-3</v>
      </c>
    </row>
    <row r="206" spans="1:12" s="36" customFormat="1">
      <c r="A206" s="92">
        <f t="shared" si="11"/>
        <v>39113</v>
      </c>
      <c r="B206" s="32">
        <f t="shared" si="9"/>
        <v>1</v>
      </c>
      <c r="C206" s="32">
        <f t="shared" si="10"/>
        <v>2007</v>
      </c>
      <c r="D206" s="33">
        <v>5.0000000000000001E-3</v>
      </c>
      <c r="E206" s="39">
        <v>4.3E-3</v>
      </c>
      <c r="F206" s="34">
        <v>4.4999999999999997E-3</v>
      </c>
      <c r="G206" s="33">
        <v>4.8999999999999998E-3</v>
      </c>
      <c r="H206" s="34">
        <v>4.4000000000000003E-3</v>
      </c>
      <c r="I206" s="34">
        <v>5.1999999999999998E-3</v>
      </c>
      <c r="J206" s="34">
        <v>6.6E-3</v>
      </c>
      <c r="K206" s="34">
        <v>1.0800000000000001E-2</v>
      </c>
      <c r="L206" s="34">
        <v>5.4169999999999999E-3</v>
      </c>
    </row>
    <row r="207" spans="1:12" s="36" customFormat="1">
      <c r="A207" s="92">
        <f t="shared" si="11"/>
        <v>39141</v>
      </c>
      <c r="B207" s="32">
        <f t="shared" si="9"/>
        <v>2</v>
      </c>
      <c r="C207" s="32">
        <f t="shared" si="10"/>
        <v>2007</v>
      </c>
      <c r="D207" s="33">
        <v>2.7000000000000001E-3</v>
      </c>
      <c r="E207" s="39">
        <v>2.3E-3</v>
      </c>
      <c r="F207" s="34">
        <v>2.5999999999999999E-3</v>
      </c>
      <c r="G207" s="33">
        <v>4.1999999999999997E-3</v>
      </c>
      <c r="H207" s="34">
        <v>4.4000000000000003E-3</v>
      </c>
      <c r="I207" s="34">
        <v>4.5999999999999999E-3</v>
      </c>
      <c r="J207" s="34">
        <v>3.3E-3</v>
      </c>
      <c r="K207" s="34">
        <v>8.6999999999999994E-3</v>
      </c>
      <c r="L207" s="34">
        <v>5.4169999999999999E-3</v>
      </c>
    </row>
    <row r="208" spans="1:12" s="36" customFormat="1">
      <c r="A208" s="92">
        <f t="shared" si="11"/>
        <v>39172</v>
      </c>
      <c r="B208" s="32">
        <f t="shared" si="9"/>
        <v>3</v>
      </c>
      <c r="C208" s="32">
        <f t="shared" si="10"/>
        <v>2007</v>
      </c>
      <c r="D208" s="33">
        <v>3.3999999999999998E-3</v>
      </c>
      <c r="E208" s="39">
        <v>2.2000000000000001E-3</v>
      </c>
      <c r="F208" s="34">
        <v>1.6999999999999999E-3</v>
      </c>
      <c r="G208" s="33">
        <v>4.4000000000000003E-3</v>
      </c>
      <c r="H208" s="34">
        <v>3.7000000000000002E-3</v>
      </c>
      <c r="I208" s="34">
        <v>4.1000000000000003E-3</v>
      </c>
      <c r="J208" s="34">
        <v>1.1000000000000001E-3</v>
      </c>
      <c r="K208" s="34">
        <v>1.0500000000000001E-2</v>
      </c>
      <c r="L208" s="34">
        <v>5.4169999999999999E-3</v>
      </c>
    </row>
    <row r="209" spans="1:12" s="36" customFormat="1">
      <c r="A209" s="92">
        <f t="shared" si="11"/>
        <v>39202</v>
      </c>
      <c r="B209" s="32">
        <f t="shared" si="9"/>
        <v>4</v>
      </c>
      <c r="C209" s="32">
        <f t="shared" si="10"/>
        <v>2007</v>
      </c>
      <c r="D209" s="33">
        <v>4.0000000000000002E-4</v>
      </c>
      <c r="E209" s="39">
        <v>1.4000000000000002E-3</v>
      </c>
      <c r="F209" s="34">
        <v>4.3E-3</v>
      </c>
      <c r="G209" s="33">
        <v>2.5999999999999999E-3</v>
      </c>
      <c r="H209" s="34">
        <v>2.5000000000000001E-3</v>
      </c>
      <c r="I209" s="34">
        <v>2.2000000000000001E-3</v>
      </c>
      <c r="J209" s="34">
        <v>3.3E-3</v>
      </c>
      <c r="K209" s="34">
        <v>9.4000000000000004E-3</v>
      </c>
      <c r="L209" s="34">
        <v>5.4169999999999999E-3</v>
      </c>
    </row>
    <row r="210" spans="1:12" s="36" customFormat="1">
      <c r="A210" s="92">
        <f t="shared" si="11"/>
        <v>39233</v>
      </c>
      <c r="B210" s="32">
        <f t="shared" si="9"/>
        <v>5</v>
      </c>
      <c r="C210" s="32">
        <f t="shared" si="10"/>
        <v>2007</v>
      </c>
      <c r="D210" s="33">
        <v>4.0000000000000002E-4</v>
      </c>
      <c r="E210" s="39">
        <v>1.6000000000000001E-3</v>
      </c>
      <c r="F210" s="34">
        <v>5.4999999999999997E-3</v>
      </c>
      <c r="G210" s="33">
        <v>2.5999999999999999E-3</v>
      </c>
      <c r="H210" s="34">
        <v>2.8000000000000004E-3</v>
      </c>
      <c r="I210" s="34">
        <v>2.5999999999999999E-3</v>
      </c>
      <c r="J210" s="34">
        <v>3.5999999999999999E-3</v>
      </c>
      <c r="K210" s="34">
        <v>1.03E-2</v>
      </c>
      <c r="L210" s="34">
        <v>5.4169999999999999E-3</v>
      </c>
    </row>
    <row r="211" spans="1:12" s="36" customFormat="1">
      <c r="A211" s="92">
        <f t="shared" si="11"/>
        <v>39263</v>
      </c>
      <c r="B211" s="32">
        <f t="shared" si="9"/>
        <v>6</v>
      </c>
      <c r="C211" s="32">
        <f t="shared" si="10"/>
        <v>2007</v>
      </c>
      <c r="D211" s="33">
        <v>2.5999999999999999E-3</v>
      </c>
      <c r="E211" s="39">
        <v>2.5999999999999999E-3</v>
      </c>
      <c r="F211" s="34">
        <v>1.67E-2</v>
      </c>
      <c r="G211" s="33">
        <v>3.0999999999999999E-3</v>
      </c>
      <c r="H211" s="34">
        <v>2.8000000000000004E-3</v>
      </c>
      <c r="I211" s="34">
        <v>2.8999999999999998E-3</v>
      </c>
      <c r="J211" s="34">
        <v>5.5000000000000005E-3</v>
      </c>
      <c r="K211" s="34">
        <v>9.1000000000000004E-3</v>
      </c>
      <c r="L211" s="34">
        <v>5.4169999999999999E-3</v>
      </c>
    </row>
    <row r="212" spans="1:12" s="36" customFormat="1">
      <c r="A212" s="92">
        <f t="shared" si="11"/>
        <v>39294</v>
      </c>
      <c r="B212" s="32">
        <f t="shared" si="9"/>
        <v>7</v>
      </c>
      <c r="C212" s="32">
        <f t="shared" si="10"/>
        <v>2007</v>
      </c>
      <c r="D212" s="33">
        <v>2.8E-3</v>
      </c>
      <c r="E212" s="39">
        <v>3.7000000000000002E-3</v>
      </c>
      <c r="F212" s="34">
        <v>2.0999999999999999E-3</v>
      </c>
      <c r="G212" s="33">
        <v>3.2000000000000002E-3</v>
      </c>
      <c r="H212" s="34">
        <v>2.3999999999999998E-3</v>
      </c>
      <c r="I212" s="34">
        <v>2.3999999999999998E-3</v>
      </c>
      <c r="J212" s="34">
        <v>2.7000000000000001E-3</v>
      </c>
      <c r="K212" s="34">
        <v>9.7000000000000003E-3</v>
      </c>
      <c r="L212" s="34">
        <v>5.208E-3</v>
      </c>
    </row>
    <row r="213" spans="1:12" s="36" customFormat="1">
      <c r="A213" s="92">
        <f t="shared" si="11"/>
        <v>39325</v>
      </c>
      <c r="B213" s="32">
        <f t="shared" si="9"/>
        <v>8</v>
      </c>
      <c r="C213" s="32">
        <f t="shared" si="10"/>
        <v>2007</v>
      </c>
      <c r="D213" s="33">
        <v>9.7999999999999997E-3</v>
      </c>
      <c r="E213" s="39">
        <v>1.3899999999999999E-2</v>
      </c>
      <c r="F213" s="34">
        <v>3.5000000000000001E-3</v>
      </c>
      <c r="G213" s="33">
        <v>5.8999999999999999E-3</v>
      </c>
      <c r="H213" s="34">
        <v>4.6999999999999993E-3</v>
      </c>
      <c r="I213" s="34">
        <v>4.1999999999999997E-3</v>
      </c>
      <c r="J213" s="34">
        <v>7.000000000000001E-4</v>
      </c>
      <c r="K213" s="34">
        <v>9.9000000000000008E-3</v>
      </c>
      <c r="L213" s="34">
        <v>5.208E-3</v>
      </c>
    </row>
    <row r="214" spans="1:12" s="36" customFormat="1">
      <c r="A214" s="92">
        <f t="shared" si="11"/>
        <v>39355</v>
      </c>
      <c r="B214" s="32">
        <f t="shared" si="9"/>
        <v>9</v>
      </c>
      <c r="C214" s="32">
        <f t="shared" si="10"/>
        <v>2007</v>
      </c>
      <c r="D214" s="33">
        <v>1.29E-2</v>
      </c>
      <c r="E214" s="39">
        <v>1.1699999999999999E-2</v>
      </c>
      <c r="F214" s="34">
        <v>3.8999999999999998E-3</v>
      </c>
      <c r="G214" s="33">
        <v>2.5000000000000001E-3</v>
      </c>
      <c r="H214" s="34">
        <v>1.8E-3</v>
      </c>
      <c r="I214" s="34">
        <v>2.8999999999999998E-3</v>
      </c>
      <c r="J214" s="34">
        <v>2.3999999999999998E-3</v>
      </c>
      <c r="K214" s="34">
        <v>8.0000000000000002E-3</v>
      </c>
      <c r="L214" s="34">
        <v>5.208E-3</v>
      </c>
    </row>
    <row r="215" spans="1:12" s="36" customFormat="1">
      <c r="A215" s="92">
        <f t="shared" si="11"/>
        <v>39386</v>
      </c>
      <c r="B215" s="32">
        <f t="shared" si="9"/>
        <v>10</v>
      </c>
      <c r="C215" s="32">
        <f t="shared" si="10"/>
        <v>2007</v>
      </c>
      <c r="D215" s="33">
        <v>1.0500000000000001E-2</v>
      </c>
      <c r="E215" s="39">
        <v>7.4999999999999997E-3</v>
      </c>
      <c r="F215" s="34">
        <v>4.8999999999999998E-3</v>
      </c>
      <c r="G215" s="33">
        <v>3.0000000000000001E-3</v>
      </c>
      <c r="H215" s="34">
        <v>3.0000000000000001E-3</v>
      </c>
      <c r="I215" s="34">
        <v>2.3999999999999998E-3</v>
      </c>
      <c r="J215" s="34">
        <v>8.0000000000000004E-4</v>
      </c>
      <c r="K215" s="34">
        <v>9.2999999999999992E-3</v>
      </c>
      <c r="L215" s="34">
        <v>5.208E-3</v>
      </c>
    </row>
    <row r="216" spans="1:12" s="36" customFormat="1">
      <c r="A216" s="92">
        <f t="shared" si="11"/>
        <v>39416</v>
      </c>
      <c r="B216" s="32">
        <f t="shared" si="9"/>
        <v>11</v>
      </c>
      <c r="C216" s="32">
        <f t="shared" si="10"/>
        <v>2007</v>
      </c>
      <c r="D216" s="33">
        <v>6.8999999999999999E-3</v>
      </c>
      <c r="E216" s="39">
        <v>1.0500000000000001E-2</v>
      </c>
      <c r="F216" s="34">
        <v>4.7999999999999996E-3</v>
      </c>
      <c r="G216" s="33">
        <v>4.3E-3</v>
      </c>
      <c r="H216" s="34">
        <v>3.8E-3</v>
      </c>
      <c r="I216" s="34">
        <v>2.3E-3</v>
      </c>
      <c r="J216" s="34">
        <v>4.6999999999999993E-3</v>
      </c>
      <c r="K216" s="34">
        <v>8.3999999999999995E-3</v>
      </c>
      <c r="L216" s="34">
        <v>5.208E-3</v>
      </c>
    </row>
    <row r="217" spans="1:12" s="36" customFormat="1">
      <c r="A217" s="92">
        <f t="shared" si="11"/>
        <v>39447</v>
      </c>
      <c r="B217" s="32">
        <f t="shared" si="9"/>
        <v>12</v>
      </c>
      <c r="C217" s="32">
        <f t="shared" si="10"/>
        <v>2007</v>
      </c>
      <c r="D217" s="33">
        <v>1.7600000000000001E-2</v>
      </c>
      <c r="E217" s="39">
        <v>1.47E-2</v>
      </c>
      <c r="F217" s="34">
        <v>4.3E-3</v>
      </c>
      <c r="G217" s="33">
        <v>9.7000000000000003E-3</v>
      </c>
      <c r="H217" s="34">
        <v>7.4000000000000003E-3</v>
      </c>
      <c r="I217" s="34">
        <v>7.0000000000000001E-3</v>
      </c>
      <c r="J217" s="34">
        <v>8.199999999999999E-3</v>
      </c>
      <c r="K217" s="34">
        <v>8.3999999999999995E-3</v>
      </c>
      <c r="L217" s="34">
        <v>5.208E-3</v>
      </c>
    </row>
    <row r="218" spans="1:12" s="36" customFormat="1">
      <c r="A218" s="92">
        <f t="shared" si="11"/>
        <v>39478</v>
      </c>
      <c r="B218" s="32">
        <f t="shared" si="9"/>
        <v>1</v>
      </c>
      <c r="C218" s="32">
        <f t="shared" si="10"/>
        <v>2008</v>
      </c>
      <c r="D218" s="33">
        <v>1.09E-2</v>
      </c>
      <c r="E218" s="39">
        <v>9.8999999999999991E-3</v>
      </c>
      <c r="F218" s="34">
        <v>4.1000000000000003E-3</v>
      </c>
      <c r="G218" s="33">
        <v>6.8999999999999999E-3</v>
      </c>
      <c r="H218" s="34">
        <v>5.4000000000000003E-3</v>
      </c>
      <c r="I218" s="34">
        <v>7.0000000000000001E-3</v>
      </c>
      <c r="J218" s="34">
        <v>5.1999999999999998E-3</v>
      </c>
      <c r="K218" s="34">
        <v>9.2999999999999992E-3</v>
      </c>
      <c r="L218" s="34">
        <v>5.208E-3</v>
      </c>
    </row>
    <row r="219" spans="1:12" s="36" customFormat="1">
      <c r="A219" s="92">
        <f t="shared" si="11"/>
        <v>39507</v>
      </c>
      <c r="B219" s="32">
        <f t="shared" si="9"/>
        <v>2</v>
      </c>
      <c r="C219" s="32">
        <f t="shared" si="10"/>
        <v>2008</v>
      </c>
      <c r="D219" s="33">
        <v>5.3E-3</v>
      </c>
      <c r="E219" s="39">
        <v>3.8E-3</v>
      </c>
      <c r="F219" s="34">
        <v>4.3E-3</v>
      </c>
      <c r="G219" s="33">
        <v>4.7999999999999996E-3</v>
      </c>
      <c r="H219" s="34">
        <v>4.8999999999999998E-3</v>
      </c>
      <c r="I219" s="34">
        <v>6.4000000000000003E-3</v>
      </c>
      <c r="J219" s="34">
        <v>1.9E-3</v>
      </c>
      <c r="K219" s="34">
        <v>8.0000000000000002E-3</v>
      </c>
      <c r="L219" s="34">
        <v>5.208E-3</v>
      </c>
    </row>
    <row r="220" spans="1:12" s="36" customFormat="1">
      <c r="A220" s="92">
        <f t="shared" si="11"/>
        <v>39538</v>
      </c>
      <c r="B220" s="32">
        <f t="shared" si="9"/>
        <v>3</v>
      </c>
      <c r="C220" s="32">
        <f t="shared" si="10"/>
        <v>2008</v>
      </c>
      <c r="D220" s="33">
        <v>7.4000000000000003E-3</v>
      </c>
      <c r="E220" s="39">
        <v>6.9999999999999993E-3</v>
      </c>
      <c r="F220" s="34">
        <v>5.8999999999999999E-3</v>
      </c>
      <c r="G220" s="33">
        <v>5.1000000000000004E-3</v>
      </c>
      <c r="H220" s="34">
        <v>4.7999999999999996E-3</v>
      </c>
      <c r="I220" s="34">
        <v>2.3E-3</v>
      </c>
      <c r="J220" s="34">
        <v>3.0999999999999999E-3</v>
      </c>
      <c r="K220" s="34">
        <v>8.3999999999999995E-3</v>
      </c>
      <c r="L220" s="34">
        <v>5.208E-3</v>
      </c>
    </row>
    <row r="221" spans="1:12" s="36" customFormat="1">
      <c r="A221" s="92">
        <f t="shared" si="11"/>
        <v>39568</v>
      </c>
      <c r="B221" s="32">
        <f t="shared" si="9"/>
        <v>4</v>
      </c>
      <c r="C221" s="32">
        <f t="shared" si="10"/>
        <v>2008</v>
      </c>
      <c r="D221" s="33">
        <v>6.8999999999999999E-3</v>
      </c>
      <c r="E221" s="39">
        <v>1.1200000000000002E-2</v>
      </c>
      <c r="F221" s="34">
        <v>8.2000000000000007E-3</v>
      </c>
      <c r="G221" s="33">
        <v>6.4000000000000003E-3</v>
      </c>
      <c r="H221" s="34">
        <v>5.5000000000000005E-3</v>
      </c>
      <c r="I221" s="34">
        <v>5.8999999999999999E-3</v>
      </c>
      <c r="J221" s="34">
        <v>5.4000000000000003E-3</v>
      </c>
      <c r="K221" s="34">
        <v>8.9999999999999993E-3</v>
      </c>
      <c r="L221" s="34">
        <v>5.208E-3</v>
      </c>
    </row>
    <row r="222" spans="1:12">
      <c r="A222" s="92">
        <f t="shared" si="11"/>
        <v>39599</v>
      </c>
      <c r="B222" s="32">
        <f t="shared" ref="B222:B243" si="12">MONTH(A222)</f>
        <v>5</v>
      </c>
      <c r="C222" s="32">
        <f t="shared" ref="C222:C243" si="13">YEAR(A222)</f>
        <v>2008</v>
      </c>
      <c r="D222" s="33">
        <v>1.61E-2</v>
      </c>
      <c r="E222" s="39">
        <v>1.8799999999999997E-2</v>
      </c>
      <c r="F222" s="34">
        <v>1.0999999999999999E-2</v>
      </c>
      <c r="G222" s="33">
        <v>9.5999999999999992E-3</v>
      </c>
      <c r="H222" s="34">
        <v>7.9000000000000008E-3</v>
      </c>
      <c r="I222" s="34">
        <v>5.5999999999999999E-3</v>
      </c>
      <c r="J222" s="34">
        <v>1.23E-2</v>
      </c>
      <c r="K222" s="34">
        <v>8.8000000000000005E-3</v>
      </c>
      <c r="L222" s="34">
        <v>5.208E-3</v>
      </c>
    </row>
    <row r="223" spans="1:12">
      <c r="A223" s="92">
        <f t="shared" si="11"/>
        <v>39629</v>
      </c>
      <c r="B223" s="32">
        <f t="shared" si="12"/>
        <v>6</v>
      </c>
      <c r="C223" s="32">
        <f t="shared" si="13"/>
        <v>2008</v>
      </c>
      <c r="D223" s="33">
        <v>1.9800000000000002E-2</v>
      </c>
      <c r="E223" s="39">
        <v>1.89E-2</v>
      </c>
      <c r="F223" s="34">
        <v>2.6700000000000002E-2</v>
      </c>
      <c r="G223" s="33">
        <v>9.1000000000000004E-3</v>
      </c>
      <c r="H223" s="34">
        <v>7.4000000000000003E-3</v>
      </c>
      <c r="I223" s="34">
        <v>8.9999999999999993E-3</v>
      </c>
      <c r="J223" s="34">
        <v>9.5999999999999992E-3</v>
      </c>
      <c r="K223" s="34">
        <v>9.5999999999999992E-3</v>
      </c>
      <c r="L223" s="34">
        <v>5.208E-3</v>
      </c>
    </row>
    <row r="224" spans="1:12">
      <c r="A224" s="92">
        <f t="shared" si="11"/>
        <v>39660</v>
      </c>
      <c r="B224" s="32">
        <f t="shared" si="12"/>
        <v>7</v>
      </c>
      <c r="C224" s="32">
        <f t="shared" si="13"/>
        <v>2008</v>
      </c>
      <c r="D224" s="33">
        <v>1.7600000000000001E-2</v>
      </c>
      <c r="E224" s="39">
        <v>1.1200000000000002E-2</v>
      </c>
      <c r="F224" s="34">
        <v>1.4200000000000001E-2</v>
      </c>
      <c r="G224" s="33">
        <v>5.7999999999999996E-3</v>
      </c>
      <c r="H224" s="34">
        <v>5.3E-3</v>
      </c>
      <c r="I224" s="34">
        <v>6.3E-3</v>
      </c>
      <c r="J224" s="34">
        <v>4.5000000000000005E-3</v>
      </c>
      <c r="K224" s="34">
        <v>1.0699999999999999E-2</v>
      </c>
      <c r="L224" s="34" t="s">
        <v>24</v>
      </c>
    </row>
    <row r="225" spans="1:12">
      <c r="A225" s="92">
        <f t="shared" si="11"/>
        <v>39691</v>
      </c>
      <c r="B225" s="32">
        <f t="shared" si="12"/>
        <v>8</v>
      </c>
      <c r="C225" s="32">
        <f t="shared" si="13"/>
        <v>2008</v>
      </c>
      <c r="D225" s="33">
        <v>-3.2000000000000002E-3</v>
      </c>
      <c r="E225" s="39">
        <v>-3.8E-3</v>
      </c>
      <c r="F225" s="34">
        <v>1.2699999999999999E-2</v>
      </c>
      <c r="G225" s="33">
        <v>2.0999999999999999E-3</v>
      </c>
      <c r="H225" s="34">
        <v>2.8000000000000004E-3</v>
      </c>
      <c r="I225" s="34">
        <v>3.5000000000000001E-3</v>
      </c>
      <c r="J225" s="34">
        <v>3.8E-3</v>
      </c>
      <c r="K225" s="34">
        <v>1.0200000000000001E-2</v>
      </c>
      <c r="L225" s="34" t="s">
        <v>24</v>
      </c>
    </row>
    <row r="226" spans="1:12">
      <c r="A226" s="92">
        <f t="shared" si="11"/>
        <v>39721</v>
      </c>
      <c r="B226" s="32">
        <f t="shared" si="12"/>
        <v>9</v>
      </c>
      <c r="C226" s="32">
        <f t="shared" si="13"/>
        <v>2008</v>
      </c>
      <c r="D226" s="40">
        <v>1.1000000000000001E-3</v>
      </c>
      <c r="E226" s="39">
        <v>3.5999999999999999E-3</v>
      </c>
      <c r="F226" s="41">
        <v>9.4999999999999998E-3</v>
      </c>
      <c r="G226" s="40">
        <v>1.5E-3</v>
      </c>
      <c r="H226" s="41">
        <v>2.5999999999999999E-3</v>
      </c>
      <c r="I226" s="34">
        <v>2.5999999999999999E-3</v>
      </c>
      <c r="J226" s="34">
        <v>3.8E-3</v>
      </c>
      <c r="K226" s="34">
        <v>1.0999999999999999E-2</v>
      </c>
      <c r="L226" s="34" t="s">
        <v>24</v>
      </c>
    </row>
    <row r="227" spans="1:12">
      <c r="A227" s="92">
        <f t="shared" si="11"/>
        <v>39752</v>
      </c>
      <c r="B227" s="32">
        <f t="shared" si="12"/>
        <v>10</v>
      </c>
      <c r="C227" s="32">
        <f t="shared" si="13"/>
        <v>2008</v>
      </c>
      <c r="D227" s="40">
        <v>9.7999999999999997E-3</v>
      </c>
      <c r="E227" s="39">
        <v>1.09E-2</v>
      </c>
      <c r="F227" s="41">
        <v>8.5000000000000006E-3</v>
      </c>
      <c r="G227" s="40">
        <v>5.0000000000000001E-3</v>
      </c>
      <c r="H227" s="41">
        <v>4.5000000000000005E-3</v>
      </c>
      <c r="I227" s="34">
        <v>3.0000000000000001E-3</v>
      </c>
      <c r="J227" s="34">
        <v>5.0000000000000001E-3</v>
      </c>
      <c r="K227" s="34">
        <v>1.18E-2</v>
      </c>
      <c r="L227" s="34" t="s">
        <v>24</v>
      </c>
    </row>
    <row r="228" spans="1:12">
      <c r="A228" s="92">
        <f t="shared" si="11"/>
        <v>39782</v>
      </c>
      <c r="B228" s="32">
        <f t="shared" si="12"/>
        <v>11</v>
      </c>
      <c r="C228" s="32">
        <f t="shared" si="13"/>
        <v>2008</v>
      </c>
      <c r="D228" s="40">
        <v>3.8E-3</v>
      </c>
      <c r="E228" s="39">
        <v>7.000000000000001E-4</v>
      </c>
      <c r="F228" s="41">
        <v>6.4999999999999997E-3</v>
      </c>
      <c r="G228" s="40">
        <v>3.8E-3</v>
      </c>
      <c r="H228" s="41">
        <v>3.5999999999999999E-3</v>
      </c>
      <c r="I228" s="34">
        <v>4.8999999999999998E-3</v>
      </c>
      <c r="J228" s="34">
        <v>3.9000000000000003E-3</v>
      </c>
      <c r="K228" s="34">
        <v>1.0200000000000001E-2</v>
      </c>
      <c r="L228" s="34" t="s">
        <v>24</v>
      </c>
    </row>
    <row r="229" spans="1:12">
      <c r="A229" s="92">
        <f t="shared" si="11"/>
        <v>39813</v>
      </c>
      <c r="B229" s="32">
        <f t="shared" si="12"/>
        <v>12</v>
      </c>
      <c r="C229" s="32">
        <f t="shared" si="13"/>
        <v>2008</v>
      </c>
      <c r="D229" s="40">
        <v>-1.2999999999999999E-3</v>
      </c>
      <c r="E229" s="39">
        <v>-4.4000000000000003E-3</v>
      </c>
      <c r="F229" s="41">
        <v>2.2000000000000001E-3</v>
      </c>
      <c r="G229" s="40">
        <v>2.8999999999999998E-3</v>
      </c>
      <c r="H229" s="41">
        <v>2.8000000000000004E-3</v>
      </c>
      <c r="I229" s="34">
        <v>2.8999999999999998E-3</v>
      </c>
      <c r="J229" s="34">
        <v>1.6000000000000001E-3</v>
      </c>
      <c r="K229" s="34">
        <v>1.12E-2</v>
      </c>
      <c r="L229" s="34" t="s">
        <v>24</v>
      </c>
    </row>
    <row r="230" spans="1:12">
      <c r="A230" s="92">
        <f t="shared" si="11"/>
        <v>39844</v>
      </c>
      <c r="B230" s="32">
        <f t="shared" si="12"/>
        <v>1</v>
      </c>
      <c r="C230" s="32">
        <f t="shared" si="13"/>
        <v>2009</v>
      </c>
      <c r="D230" s="33">
        <v>-4.4000000000000003E-3</v>
      </c>
      <c r="E230" s="39">
        <v>1E-4</v>
      </c>
      <c r="F230" s="34">
        <v>2.5999999999999999E-3</v>
      </c>
      <c r="G230" s="33">
        <v>6.4000000000000003E-3</v>
      </c>
      <c r="H230" s="34">
        <v>4.7999999999999996E-3</v>
      </c>
      <c r="I230" s="34">
        <v>4.0000000000000001E-3</v>
      </c>
      <c r="J230" s="34">
        <v>4.5999999999999999E-3</v>
      </c>
      <c r="K230" s="34">
        <v>1.0500000000000001E-2</v>
      </c>
      <c r="L230" s="34">
        <v>5.208E-3</v>
      </c>
    </row>
    <row r="231" spans="1:12">
      <c r="A231" s="92">
        <f t="shared" si="11"/>
        <v>39872</v>
      </c>
      <c r="B231" s="32">
        <f t="shared" si="12"/>
        <v>2</v>
      </c>
      <c r="C231" s="32">
        <f t="shared" si="13"/>
        <v>2009</v>
      </c>
      <c r="D231" s="33">
        <v>2.5999999999999999E-3</v>
      </c>
      <c r="E231" s="39">
        <v>-1.2999999999999999E-3</v>
      </c>
      <c r="F231" s="34">
        <v>3.5000000000000001E-3</v>
      </c>
      <c r="G231" s="33">
        <v>3.0999999999999999E-3</v>
      </c>
      <c r="H231" s="34">
        <v>5.5000000000000005E-3</v>
      </c>
      <c r="I231" s="34">
        <v>6.3E-3</v>
      </c>
      <c r="J231" s="34">
        <v>2.7000000000000001E-3</v>
      </c>
      <c r="K231" s="34">
        <v>8.6E-3</v>
      </c>
      <c r="L231" s="34">
        <v>5.208E-3</v>
      </c>
    </row>
    <row r="232" spans="1:12">
      <c r="A232" s="92">
        <f t="shared" si="11"/>
        <v>39903</v>
      </c>
      <c r="B232" s="32">
        <f t="shared" si="12"/>
        <v>3</v>
      </c>
      <c r="C232" s="32">
        <f t="shared" si="13"/>
        <v>2009</v>
      </c>
      <c r="D232" s="33">
        <v>-7.4000000000000003E-3</v>
      </c>
      <c r="E232" s="39">
        <v>-8.3999999999999995E-3</v>
      </c>
      <c r="F232" s="34">
        <v>-1.6999999999999999E-3</v>
      </c>
      <c r="G232" s="33">
        <v>2E-3</v>
      </c>
      <c r="H232" s="34">
        <v>2E-3</v>
      </c>
      <c r="I232" s="34">
        <v>1.1000000000000001E-3</v>
      </c>
      <c r="J232" s="34">
        <v>4.0000000000000001E-3</v>
      </c>
      <c r="K232" s="34">
        <v>9.7000000000000003E-3</v>
      </c>
      <c r="L232" s="34">
        <v>5.208E-3</v>
      </c>
    </row>
    <row r="233" spans="1:12">
      <c r="A233" s="92">
        <f t="shared" si="11"/>
        <v>39933</v>
      </c>
      <c r="B233" s="32">
        <f t="shared" si="12"/>
        <v>4</v>
      </c>
      <c r="C233" s="32">
        <f t="shared" si="13"/>
        <v>2009</v>
      </c>
      <c r="D233" s="33">
        <v>-1.5E-3</v>
      </c>
      <c r="E233" s="39">
        <v>4.0000000000000002E-4</v>
      </c>
      <c r="F233" s="34">
        <v>-1E-4</v>
      </c>
      <c r="G233" s="33">
        <v>5.4999999999999997E-3</v>
      </c>
      <c r="H233" s="34">
        <v>4.7999999999999996E-3</v>
      </c>
      <c r="I233" s="34">
        <v>3.5999999999999999E-3</v>
      </c>
      <c r="J233" s="34">
        <v>3.0999999999999999E-3</v>
      </c>
      <c r="K233" s="34">
        <v>8.3999999999999995E-3</v>
      </c>
      <c r="L233" s="34">
        <v>5.208E-3</v>
      </c>
    </row>
    <row r="234" spans="1:12">
      <c r="A234" s="92">
        <f t="shared" si="11"/>
        <v>39964</v>
      </c>
      <c r="B234" s="32">
        <f t="shared" si="12"/>
        <v>5</v>
      </c>
      <c r="C234" s="32">
        <f t="shared" si="13"/>
        <v>2009</v>
      </c>
      <c r="D234" s="33">
        <v>-6.9999999999999999E-4</v>
      </c>
      <c r="E234" s="39">
        <v>1.8E-3</v>
      </c>
      <c r="F234" s="34">
        <v>2.5000000000000001E-3</v>
      </c>
      <c r="G234" s="33">
        <v>6.0000000000000001E-3</v>
      </c>
      <c r="H234" s="34">
        <v>4.6999999999999993E-3</v>
      </c>
      <c r="I234" s="34">
        <v>5.8999999999999999E-3</v>
      </c>
      <c r="J234" s="34">
        <v>3.3E-3</v>
      </c>
      <c r="K234" s="34">
        <v>7.7000000000000002E-3</v>
      </c>
      <c r="L234" s="34">
        <v>5.208E-3</v>
      </c>
    </row>
    <row r="235" spans="1:12">
      <c r="A235" s="92">
        <f t="shared" si="11"/>
        <v>39994</v>
      </c>
      <c r="B235" s="32">
        <f t="shared" si="12"/>
        <v>6</v>
      </c>
      <c r="C235" s="32">
        <f t="shared" si="13"/>
        <v>2009</v>
      </c>
      <c r="D235" s="33">
        <v>-1E-3</v>
      </c>
      <c r="E235" s="39">
        <v>-3.2000000000000002E-3</v>
      </c>
      <c r="F235" s="34">
        <v>1.5299999999999999E-2</v>
      </c>
      <c r="G235" s="33">
        <v>4.1999999999999997E-3</v>
      </c>
      <c r="H235" s="34">
        <v>3.5999999999999999E-3</v>
      </c>
      <c r="I235" s="34">
        <v>3.8E-3</v>
      </c>
      <c r="J235" s="34">
        <v>1.2999999999999999E-3</v>
      </c>
      <c r="K235" s="34">
        <v>7.6E-3</v>
      </c>
      <c r="L235" s="34">
        <v>5.208E-3</v>
      </c>
    </row>
    <row r="236" spans="1:12">
      <c r="A236" s="92">
        <f t="shared" si="11"/>
        <v>40025</v>
      </c>
      <c r="B236" s="32">
        <f t="shared" si="12"/>
        <v>7</v>
      </c>
      <c r="C236" s="32">
        <f t="shared" si="13"/>
        <v>2009</v>
      </c>
      <c r="D236" s="33">
        <v>-4.3E-3</v>
      </c>
      <c r="E236" s="39">
        <v>-6.4000000000000003E-3</v>
      </c>
      <c r="F236" s="34">
        <v>3.7000000000000002E-3</v>
      </c>
      <c r="G236" s="33">
        <v>2.3E-3</v>
      </c>
      <c r="H236" s="34">
        <v>2.3999999999999998E-3</v>
      </c>
      <c r="I236" s="34">
        <v>2.2000000000000001E-3</v>
      </c>
      <c r="J236" s="34">
        <v>3.3E-3</v>
      </c>
      <c r="K236" s="34">
        <v>7.9000000000000008E-3</v>
      </c>
      <c r="L236" s="34">
        <v>5.0000000000000001E-3</v>
      </c>
    </row>
    <row r="237" spans="1:12">
      <c r="A237" s="92">
        <f t="shared" si="11"/>
        <v>40056</v>
      </c>
      <c r="B237" s="32">
        <f t="shared" si="12"/>
        <v>8</v>
      </c>
      <c r="C237" s="32">
        <f t="shared" si="13"/>
        <v>2009</v>
      </c>
      <c r="D237" s="33">
        <v>-3.5999999999999999E-3</v>
      </c>
      <c r="E237" s="39">
        <v>8.9999999999999998E-4</v>
      </c>
      <c r="F237" s="34">
        <v>1E-4</v>
      </c>
      <c r="G237" s="33">
        <v>8.0000000000000004E-4</v>
      </c>
      <c r="H237" s="34">
        <v>1.5E-3</v>
      </c>
      <c r="I237" s="34">
        <v>2.3E-3</v>
      </c>
      <c r="J237" s="34">
        <v>4.7999999999999996E-3</v>
      </c>
      <c r="K237" s="34">
        <v>6.8999999999999999E-3</v>
      </c>
      <c r="L237" s="34" t="s">
        <v>25</v>
      </c>
    </row>
    <row r="238" spans="1:12">
      <c r="A238" s="92">
        <f t="shared" si="11"/>
        <v>40086</v>
      </c>
      <c r="B238" s="32">
        <f t="shared" si="12"/>
        <v>9</v>
      </c>
      <c r="C238" s="32">
        <f t="shared" si="13"/>
        <v>2009</v>
      </c>
      <c r="D238" s="33">
        <v>4.1999999999999997E-3</v>
      </c>
      <c r="E238" s="39">
        <v>2.5000000000000001E-3</v>
      </c>
      <c r="F238" s="34">
        <v>6.9999999999999999E-4</v>
      </c>
      <c r="G238" s="33">
        <v>1.6000000000000001E-3</v>
      </c>
      <c r="H238" s="34">
        <v>2.3999999999999998E-3</v>
      </c>
      <c r="I238" s="34">
        <v>1.9E-3</v>
      </c>
      <c r="J238" s="34">
        <v>1.6000000000000001E-3</v>
      </c>
      <c r="K238" s="34">
        <v>6.8999999999999999E-3</v>
      </c>
      <c r="L238" s="34" t="s">
        <v>25</v>
      </c>
    </row>
    <row r="239" spans="1:12">
      <c r="A239" s="92">
        <f t="shared" si="11"/>
        <v>40117</v>
      </c>
      <c r="B239" s="32">
        <f t="shared" si="12"/>
        <v>10</v>
      </c>
      <c r="C239" s="32">
        <f t="shared" si="13"/>
        <v>2009</v>
      </c>
      <c r="D239" s="33">
        <v>5.0000000000000001E-4</v>
      </c>
      <c r="E239" s="39">
        <v>-4.0000000000000002E-4</v>
      </c>
      <c r="F239" s="34">
        <v>1.2999999999999999E-3</v>
      </c>
      <c r="G239" s="33">
        <v>2.3999999999999998E-3</v>
      </c>
      <c r="H239" s="34">
        <v>2.8000000000000004E-3</v>
      </c>
      <c r="I239" s="34">
        <v>1.8E-3</v>
      </c>
      <c r="J239" s="34">
        <v>2.5000000000000001E-3</v>
      </c>
      <c r="K239" s="34">
        <v>6.8999999999999999E-3</v>
      </c>
      <c r="L239" s="34" t="s">
        <v>25</v>
      </c>
    </row>
    <row r="240" spans="1:12">
      <c r="A240" s="92">
        <f t="shared" si="11"/>
        <v>40147</v>
      </c>
      <c r="B240" s="32">
        <f t="shared" si="12"/>
        <v>11</v>
      </c>
      <c r="C240" s="32">
        <f t="shared" si="13"/>
        <v>2009</v>
      </c>
      <c r="D240" s="33">
        <v>1E-3</v>
      </c>
      <c r="E240" s="39">
        <v>7.000000000000001E-4</v>
      </c>
      <c r="F240" s="34">
        <v>1.8E-3</v>
      </c>
      <c r="G240" s="33">
        <v>3.7000000000000002E-3</v>
      </c>
      <c r="H240" s="34">
        <v>4.1000000000000003E-3</v>
      </c>
      <c r="I240" s="34">
        <v>4.4000000000000003E-3</v>
      </c>
      <c r="J240" s="34">
        <v>2.8999999999999998E-3</v>
      </c>
      <c r="K240" s="34">
        <v>6.6E-3</v>
      </c>
      <c r="L240" s="34" t="s">
        <v>25</v>
      </c>
    </row>
    <row r="241" spans="1:12">
      <c r="A241" s="92">
        <f t="shared" si="11"/>
        <v>40178</v>
      </c>
      <c r="B241" s="32">
        <f t="shared" si="12"/>
        <v>12</v>
      </c>
      <c r="C241" s="32">
        <f t="shared" si="13"/>
        <v>2009</v>
      </c>
      <c r="D241" s="33">
        <v>-2.5999999999999999E-3</v>
      </c>
      <c r="E241" s="39">
        <v>-1.1000000000000001E-3</v>
      </c>
      <c r="F241" s="34">
        <v>2E-3</v>
      </c>
      <c r="G241" s="33">
        <v>2.3999999999999998E-3</v>
      </c>
      <c r="H241" s="34">
        <v>3.7000000000000002E-3</v>
      </c>
      <c r="I241" s="34">
        <v>3.8E-3</v>
      </c>
      <c r="J241" s="34">
        <v>1.8E-3</v>
      </c>
      <c r="K241" s="34">
        <v>7.3000000000000001E-3</v>
      </c>
      <c r="L241" s="34">
        <v>5.0000000000000001E-3</v>
      </c>
    </row>
    <row r="242" spans="1:12">
      <c r="A242" s="92">
        <f t="shared" si="11"/>
        <v>40209</v>
      </c>
      <c r="B242" s="32">
        <f t="shared" si="12"/>
        <v>1</v>
      </c>
      <c r="C242" s="32">
        <f t="shared" si="13"/>
        <v>2010</v>
      </c>
      <c r="D242" s="33">
        <v>6.3E-3</v>
      </c>
      <c r="E242" s="39">
        <v>1.01E-2</v>
      </c>
      <c r="F242" s="34">
        <v>5.1999999999999998E-3</v>
      </c>
      <c r="G242" s="33">
        <v>8.8000000000000005E-3</v>
      </c>
      <c r="H242" s="34">
        <v>7.4999999999999997E-3</v>
      </c>
      <c r="I242" s="34">
        <v>5.1999999999999998E-3</v>
      </c>
      <c r="J242" s="34">
        <v>1.34E-2</v>
      </c>
      <c r="K242" s="34">
        <v>6.6E-3</v>
      </c>
      <c r="L242" s="34">
        <v>5.0000000000000001E-3</v>
      </c>
    </row>
    <row r="243" spans="1:12">
      <c r="A243" s="92">
        <f t="shared" si="11"/>
        <v>40237</v>
      </c>
      <c r="B243" s="32">
        <f t="shared" si="12"/>
        <v>2</v>
      </c>
      <c r="C243" s="32">
        <f t="shared" si="13"/>
        <v>2010</v>
      </c>
      <c r="D243" s="33">
        <v>1.18E-2</v>
      </c>
      <c r="E243" s="39">
        <v>1.09E-2</v>
      </c>
      <c r="F243" s="34">
        <v>3.5000000000000001E-3</v>
      </c>
      <c r="G243" s="33">
        <v>7.0000000000000001E-3</v>
      </c>
      <c r="H243" s="34">
        <v>7.7999999999999996E-3</v>
      </c>
      <c r="I243" s="34">
        <v>9.4000000000000004E-3</v>
      </c>
      <c r="J243" s="34">
        <v>7.4000000000000003E-3</v>
      </c>
      <c r="K243" s="34">
        <v>5.8999999999999999E-3</v>
      </c>
      <c r="L243" s="34">
        <v>5.0000000000000001E-3</v>
      </c>
    </row>
    <row r="244" spans="1:12">
      <c r="A244" s="92">
        <f t="shared" si="11"/>
        <v>40268</v>
      </c>
      <c r="B244" s="32">
        <f t="shared" ref="B244:B282" si="14">MONTH(A244)</f>
        <v>3</v>
      </c>
      <c r="C244" s="32">
        <f t="shared" ref="C244:C290" si="15">YEAR(A244)</f>
        <v>2010</v>
      </c>
      <c r="D244" s="33">
        <v>9.4000000000000004E-3</v>
      </c>
      <c r="E244" s="39">
        <v>6.3E-3</v>
      </c>
      <c r="F244" s="34">
        <v>4.4999999999999997E-3</v>
      </c>
      <c r="G244" s="33">
        <v>7.1000000000000004E-3</v>
      </c>
      <c r="H244" s="34">
        <v>5.1999999999999998E-3</v>
      </c>
      <c r="I244" s="34">
        <v>5.4999999999999997E-3</v>
      </c>
      <c r="J244" s="34">
        <v>3.4000000000000002E-3</v>
      </c>
      <c r="K244" s="34">
        <v>7.6E-3</v>
      </c>
      <c r="L244" s="34">
        <v>5.0000000000000001E-3</v>
      </c>
    </row>
    <row r="245" spans="1:12">
      <c r="A245" s="92">
        <f t="shared" si="11"/>
        <v>40298</v>
      </c>
      <c r="B245" s="32">
        <f t="shared" si="14"/>
        <v>4</v>
      </c>
      <c r="C245" s="32">
        <f t="shared" si="15"/>
        <v>2010</v>
      </c>
      <c r="D245" s="33">
        <v>7.7000000000000002E-3</v>
      </c>
      <c r="E245" s="39">
        <v>7.1999999999999998E-3</v>
      </c>
      <c r="F245" s="34">
        <v>1.17E-2</v>
      </c>
      <c r="G245" s="33">
        <v>7.3000000000000001E-3</v>
      </c>
      <c r="H245" s="34">
        <v>5.7000000000000002E-3</v>
      </c>
      <c r="I245" s="34">
        <v>4.7999999999999996E-3</v>
      </c>
      <c r="J245" s="34">
        <v>3.9000000000000003E-3</v>
      </c>
      <c r="K245" s="34">
        <v>6.7000000000000002E-3</v>
      </c>
      <c r="L245" s="34">
        <v>5.0000000000000001E-3</v>
      </c>
    </row>
    <row r="246" spans="1:12">
      <c r="A246" s="92">
        <f t="shared" si="11"/>
        <v>40329</v>
      </c>
      <c r="B246" s="32">
        <f t="shared" si="14"/>
        <v>5</v>
      </c>
      <c r="C246" s="32">
        <f t="shared" si="15"/>
        <v>2010</v>
      </c>
      <c r="D246" s="33">
        <v>1.1900000000000001E-2</v>
      </c>
      <c r="E246" s="39">
        <v>1.5700000000000002E-2</v>
      </c>
      <c r="F246" s="34">
        <v>9.2999999999999992E-3</v>
      </c>
      <c r="G246" s="33">
        <v>4.3E-3</v>
      </c>
      <c r="H246" s="34">
        <v>4.3E-3</v>
      </c>
      <c r="I246" s="34">
        <v>6.3E-3</v>
      </c>
      <c r="J246" s="34">
        <v>2.2000000000000001E-3</v>
      </c>
      <c r="K246" s="34">
        <v>7.4999999999999997E-3</v>
      </c>
      <c r="L246" s="34">
        <v>5.0000000000000001E-3</v>
      </c>
    </row>
    <row r="247" spans="1:12">
      <c r="A247" s="92">
        <f t="shared" si="11"/>
        <v>40359</v>
      </c>
      <c r="B247" s="32">
        <f t="shared" si="14"/>
        <v>6</v>
      </c>
      <c r="C247" s="32">
        <f t="shared" si="15"/>
        <v>2010</v>
      </c>
      <c r="D247" s="33">
        <v>8.5000000000000006E-3</v>
      </c>
      <c r="E247" s="39">
        <v>3.4000000000000002E-3</v>
      </c>
      <c r="F247" s="34">
        <v>1.77E-2</v>
      </c>
      <c r="G247" s="33">
        <v>-1.1000000000000001E-3</v>
      </c>
      <c r="H247" s="34">
        <v>0</v>
      </c>
      <c r="I247" s="34">
        <v>1.9E-3</v>
      </c>
      <c r="J247" s="34">
        <v>4.0000000000000002E-4</v>
      </c>
      <c r="K247" s="34">
        <v>7.9000000000000008E-3</v>
      </c>
      <c r="L247" s="34">
        <v>5.0000000000000001E-3</v>
      </c>
    </row>
    <row r="248" spans="1:12">
      <c r="A248" s="92">
        <f t="shared" si="11"/>
        <v>40390</v>
      </c>
      <c r="B248" s="32">
        <f t="shared" si="14"/>
        <v>7</v>
      </c>
      <c r="C248" s="32">
        <f t="shared" si="15"/>
        <v>2010</v>
      </c>
      <c r="D248" s="33">
        <v>1.5E-3</v>
      </c>
      <c r="E248" s="39">
        <v>2.2000000000000001E-3</v>
      </c>
      <c r="F248" s="34">
        <v>6.1999999999999998E-3</v>
      </c>
      <c r="G248" s="33">
        <v>-6.9999999999999999E-4</v>
      </c>
      <c r="H248" s="34">
        <v>1E-4</v>
      </c>
      <c r="I248" s="34">
        <v>-8.9999999999999998E-4</v>
      </c>
      <c r="J248" s="34">
        <v>1.7000000000000001E-3</v>
      </c>
      <c r="K248" s="34">
        <v>8.6E-3</v>
      </c>
      <c r="L248" s="34">
        <v>5.0000000000000001E-3</v>
      </c>
    </row>
    <row r="249" spans="1:12">
      <c r="A249" s="92">
        <f t="shared" si="11"/>
        <v>40421</v>
      </c>
      <c r="B249" s="32">
        <f t="shared" si="14"/>
        <v>8</v>
      </c>
      <c r="C249" s="32">
        <f t="shared" si="15"/>
        <v>2010</v>
      </c>
      <c r="D249" s="33">
        <v>7.7000000000000002E-3</v>
      </c>
      <c r="E249" s="39">
        <v>1.1000000000000001E-2</v>
      </c>
      <c r="F249" s="34">
        <v>2.2000000000000001E-3</v>
      </c>
      <c r="G249" s="33">
        <v>-6.9999999999999999E-4</v>
      </c>
      <c r="H249" s="34">
        <v>4.0000000000000002E-4</v>
      </c>
      <c r="I249" s="34">
        <v>-5.0000000000000001E-4</v>
      </c>
      <c r="J249" s="34">
        <v>1.7000000000000001E-3</v>
      </c>
      <c r="K249" s="34">
        <v>8.8999999999999999E-3</v>
      </c>
      <c r="L249" s="34">
        <v>5.0000000000000001E-3</v>
      </c>
    </row>
    <row r="250" spans="1:12">
      <c r="A250" s="92">
        <f t="shared" si="11"/>
        <v>40451</v>
      </c>
      <c r="B250" s="32">
        <f t="shared" si="14"/>
        <v>9</v>
      </c>
      <c r="C250" s="32">
        <f t="shared" si="15"/>
        <v>2010</v>
      </c>
      <c r="D250" s="42">
        <v>1.15E-2</v>
      </c>
      <c r="E250" s="39">
        <v>1.1000000000000001E-2</v>
      </c>
      <c r="F250" s="42">
        <v>2E-3</v>
      </c>
      <c r="G250" s="42">
        <v>5.4000000000000003E-3</v>
      </c>
      <c r="H250" s="42">
        <v>4.4999999999999997E-3</v>
      </c>
      <c r="I250" s="34">
        <v>3.0999999999999999E-3</v>
      </c>
      <c r="J250" s="34">
        <v>5.3E-3</v>
      </c>
      <c r="K250" s="34">
        <v>8.5000000000000006E-3</v>
      </c>
      <c r="L250" s="34">
        <v>5.0000000000000001E-3</v>
      </c>
    </row>
    <row r="251" spans="1:12">
      <c r="A251" s="92">
        <f t="shared" si="11"/>
        <v>40482</v>
      </c>
      <c r="B251" s="32">
        <f t="shared" si="14"/>
        <v>10</v>
      </c>
      <c r="C251" s="32">
        <f t="shared" si="15"/>
        <v>2010</v>
      </c>
      <c r="D251" s="42">
        <v>1.01E-2</v>
      </c>
      <c r="E251" s="39">
        <v>1.03E-2</v>
      </c>
      <c r="F251" s="42">
        <v>1.5E-3</v>
      </c>
      <c r="G251" s="42">
        <v>9.1999999999999998E-3</v>
      </c>
      <c r="H251" s="42">
        <v>7.4999999999999997E-3</v>
      </c>
      <c r="I251" s="34">
        <v>6.1999999999999998E-3</v>
      </c>
      <c r="J251" s="34">
        <v>1.04E-2</v>
      </c>
      <c r="K251" s="34">
        <v>8.0999999999999996E-3</v>
      </c>
      <c r="L251" s="34">
        <v>5.0000000000000001E-3</v>
      </c>
    </row>
    <row r="252" spans="1:12">
      <c r="A252" s="92">
        <f t="shared" si="11"/>
        <v>40512</v>
      </c>
      <c r="B252" s="32">
        <f t="shared" si="14"/>
        <v>11</v>
      </c>
      <c r="C252" s="32">
        <f t="shared" si="15"/>
        <v>2010</v>
      </c>
      <c r="D252" s="42">
        <v>1.4500000000000001E-2</v>
      </c>
      <c r="E252" s="39">
        <v>1.5800000000000002E-2</v>
      </c>
      <c r="F252" s="42">
        <v>3.5999999999999999E-3</v>
      </c>
      <c r="G252" s="42">
        <v>1.03E-2</v>
      </c>
      <c r="H252" s="42">
        <v>8.3000000000000001E-3</v>
      </c>
      <c r="I252" s="34">
        <v>8.6E-3</v>
      </c>
      <c r="J252" s="34">
        <v>7.1999999999999998E-3</v>
      </c>
      <c r="K252" s="34">
        <v>8.0999999999999996E-3</v>
      </c>
      <c r="L252" s="34">
        <v>5.0000000000000001E-3</v>
      </c>
    </row>
    <row r="253" spans="1:12">
      <c r="A253" s="92">
        <f t="shared" si="11"/>
        <v>40543</v>
      </c>
      <c r="B253" s="32">
        <f t="shared" si="14"/>
        <v>12</v>
      </c>
      <c r="C253" s="32">
        <f t="shared" si="15"/>
        <v>2010</v>
      </c>
      <c r="D253" s="42">
        <v>6.8999999999999999E-3</v>
      </c>
      <c r="E253" s="39">
        <v>3.8E-3</v>
      </c>
      <c r="F253" s="42">
        <v>5.8999999999999999E-3</v>
      </c>
      <c r="G253" s="42">
        <v>6.0000000000000001E-3</v>
      </c>
      <c r="H253" s="42">
        <v>6.3E-3</v>
      </c>
      <c r="I253" s="34">
        <v>6.8999999999999999E-3</v>
      </c>
      <c r="J253" s="34">
        <v>5.4000000000000003E-3</v>
      </c>
      <c r="K253" s="34">
        <v>9.2999999999999992E-3</v>
      </c>
      <c r="L253" s="34">
        <v>5.0000000000000001E-3</v>
      </c>
    </row>
    <row r="254" spans="1:12">
      <c r="A254" s="92">
        <f t="shared" si="11"/>
        <v>40574</v>
      </c>
      <c r="B254" s="32">
        <f t="shared" si="14"/>
        <v>1</v>
      </c>
      <c r="C254" s="32">
        <f t="shared" si="15"/>
        <v>2011</v>
      </c>
      <c r="D254" s="42">
        <v>7.9000000000000008E-3</v>
      </c>
      <c r="E254" s="39">
        <v>9.7999999999999997E-3</v>
      </c>
      <c r="F254" s="42">
        <v>3.7000000000000002E-3</v>
      </c>
      <c r="G254" s="42">
        <v>9.4000000000000004E-3</v>
      </c>
      <c r="H254" s="42">
        <v>8.3000000000000001E-3</v>
      </c>
      <c r="I254" s="34">
        <v>7.6E-3</v>
      </c>
      <c r="J254" s="34">
        <v>1.15E-2</v>
      </c>
      <c r="K254" s="34">
        <v>8.6E-3</v>
      </c>
      <c r="L254" s="34">
        <v>5.0000000000000001E-3</v>
      </c>
    </row>
    <row r="255" spans="1:12">
      <c r="A255" s="92">
        <f t="shared" si="11"/>
        <v>40602</v>
      </c>
      <c r="B255" s="32">
        <f t="shared" si="14"/>
        <v>2</v>
      </c>
      <c r="C255" s="32">
        <f t="shared" si="15"/>
        <v>2011</v>
      </c>
      <c r="D255" s="42">
        <v>0.01</v>
      </c>
      <c r="E255" s="39">
        <v>9.5999999999999992E-3</v>
      </c>
      <c r="F255" s="42">
        <v>3.8999999999999998E-3</v>
      </c>
      <c r="G255" s="42">
        <v>5.4000000000000003E-3</v>
      </c>
      <c r="H255" s="42">
        <v>8.0000000000000002E-3</v>
      </c>
      <c r="I255" s="34">
        <v>9.7000000000000003E-3</v>
      </c>
      <c r="J255" s="34">
        <v>6.0000000000000001E-3</v>
      </c>
      <c r="K255" s="34">
        <v>8.3999999999999995E-3</v>
      </c>
      <c r="L255" s="34">
        <v>5.0000000000000001E-3</v>
      </c>
    </row>
    <row r="256" spans="1:12">
      <c r="A256" s="92">
        <f t="shared" si="11"/>
        <v>40633</v>
      </c>
      <c r="B256" s="32">
        <f t="shared" si="14"/>
        <v>3</v>
      </c>
      <c r="C256" s="32">
        <f t="shared" si="15"/>
        <v>2011</v>
      </c>
      <c r="D256" s="42">
        <v>6.1999999999999998E-3</v>
      </c>
      <c r="E256" s="39">
        <v>6.0999999999999995E-3</v>
      </c>
      <c r="F256" s="42">
        <v>4.4000000000000003E-3</v>
      </c>
      <c r="G256" s="42">
        <v>6.6E-3</v>
      </c>
      <c r="H256" s="43">
        <v>7.9000000000000008E-3</v>
      </c>
      <c r="I256" s="34">
        <v>6.0000000000000001E-3</v>
      </c>
      <c r="J256" s="34">
        <v>3.4999999999999996E-3</v>
      </c>
      <c r="K256" s="34">
        <v>9.1999999999999998E-3</v>
      </c>
      <c r="L256" s="34">
        <v>5.0000000000000001E-3</v>
      </c>
    </row>
    <row r="257" spans="1:12">
      <c r="A257" s="92">
        <f t="shared" si="11"/>
        <v>40663</v>
      </c>
      <c r="B257" s="32">
        <f t="shared" si="14"/>
        <v>4</v>
      </c>
      <c r="C257" s="32">
        <f t="shared" si="15"/>
        <v>2011</v>
      </c>
      <c r="D257" s="42">
        <v>4.4999999999999997E-3</v>
      </c>
      <c r="E257" s="39">
        <v>5.0000000000000001E-3</v>
      </c>
      <c r="F257" s="42">
        <v>7.4999999999999997E-3</v>
      </c>
      <c r="G257" s="42">
        <v>7.1999999999999998E-3</v>
      </c>
      <c r="H257" s="42">
        <v>7.7000000000000002E-3</v>
      </c>
      <c r="I257" s="34">
        <v>7.7000000000000002E-3</v>
      </c>
      <c r="J257" s="34">
        <v>6.9999999999999993E-3</v>
      </c>
      <c r="K257" s="34">
        <v>8.3999999999999995E-3</v>
      </c>
      <c r="L257" s="34">
        <v>5.0000000000000001E-3</v>
      </c>
    </row>
    <row r="258" spans="1:12">
      <c r="A258" s="92">
        <f t="shared" si="11"/>
        <v>40694</v>
      </c>
      <c r="B258" s="32">
        <f t="shared" si="14"/>
        <v>5</v>
      </c>
      <c r="C258" s="32">
        <f t="shared" si="15"/>
        <v>2011</v>
      </c>
      <c r="D258" s="42">
        <v>4.3E-3</v>
      </c>
      <c r="E258" s="39">
        <v>1E-4</v>
      </c>
      <c r="F258" s="34">
        <v>2.0299999999999999E-2</v>
      </c>
      <c r="G258" s="42">
        <v>5.7000000000000002E-3</v>
      </c>
      <c r="H258" s="42">
        <v>4.7000000000000002E-3</v>
      </c>
      <c r="I258" s="34">
        <v>7.0000000000000001E-3</v>
      </c>
      <c r="J258" s="34">
        <v>3.0999999999999999E-3</v>
      </c>
      <c r="K258" s="34">
        <v>9.9000000000000008E-3</v>
      </c>
      <c r="L258" s="34">
        <v>5.0000000000000001E-3</v>
      </c>
    </row>
    <row r="259" spans="1:12">
      <c r="A259" s="92">
        <f t="shared" si="11"/>
        <v>40724</v>
      </c>
      <c r="B259" s="32">
        <f t="shared" si="14"/>
        <v>6</v>
      </c>
      <c r="C259" s="32">
        <f t="shared" si="15"/>
        <v>2011</v>
      </c>
      <c r="D259" s="42">
        <v>-1.8E-3</v>
      </c>
      <c r="E259" s="39">
        <v>-1.2999999999999999E-3</v>
      </c>
      <c r="F259" s="42">
        <v>1.43E-2</v>
      </c>
      <c r="G259" s="42">
        <v>2.2000000000000001E-3</v>
      </c>
      <c r="H259" s="42">
        <v>1.5E-3</v>
      </c>
      <c r="I259" s="34">
        <v>2.3E-3</v>
      </c>
      <c r="J259" s="34">
        <v>1E-4</v>
      </c>
      <c r="K259" s="34">
        <v>9.5999999999999992E-3</v>
      </c>
      <c r="L259" s="34">
        <v>5.0000000000000001E-3</v>
      </c>
    </row>
    <row r="260" spans="1:12">
      <c r="A260" s="92">
        <f t="shared" ref="A260:A323" si="16">EOMONTH(A259,1)</f>
        <v>40755</v>
      </c>
      <c r="B260" s="32">
        <f t="shared" si="14"/>
        <v>7</v>
      </c>
      <c r="C260" s="32">
        <f t="shared" si="15"/>
        <v>2011</v>
      </c>
      <c r="D260" s="42">
        <v>-1.1999999999999999E-3</v>
      </c>
      <c r="E260" s="39">
        <v>-5.0000000000000001E-4</v>
      </c>
      <c r="F260" s="42">
        <v>5.8999999999999999E-3</v>
      </c>
      <c r="G260" s="42">
        <v>0</v>
      </c>
      <c r="H260" s="42">
        <v>1.6000000000000001E-3</v>
      </c>
      <c r="I260" s="34">
        <v>1E-3</v>
      </c>
      <c r="J260" s="34">
        <v>3.0000000000000001E-3</v>
      </c>
      <c r="K260" s="34">
        <v>9.7000000000000003E-3</v>
      </c>
      <c r="L260" s="34">
        <v>5.0000000000000001E-3</v>
      </c>
    </row>
    <row r="261" spans="1:12">
      <c r="A261" s="92">
        <f t="shared" si="16"/>
        <v>40786</v>
      </c>
      <c r="B261" s="32">
        <f t="shared" si="14"/>
        <v>8</v>
      </c>
      <c r="C261" s="32">
        <f t="shared" si="15"/>
        <v>2011</v>
      </c>
      <c r="D261" s="33">
        <v>4.4000000000000003E-3</v>
      </c>
      <c r="E261" s="39">
        <v>6.0999999999999995E-3</v>
      </c>
      <c r="F261" s="42">
        <v>1.6000000000000001E-3</v>
      </c>
      <c r="G261" s="42">
        <v>4.1999999999999997E-3</v>
      </c>
      <c r="H261" s="42">
        <v>3.7000000000000002E-3</v>
      </c>
      <c r="I261" s="34">
        <v>2.7000000000000001E-3</v>
      </c>
      <c r="J261" s="34">
        <v>3.9000000000000003E-3</v>
      </c>
      <c r="K261" s="34">
        <v>1.0699999999999999E-2</v>
      </c>
      <c r="L261" s="34">
        <v>5.0000000000000001E-3</v>
      </c>
    </row>
    <row r="262" spans="1:12">
      <c r="A262" s="92">
        <f t="shared" si="16"/>
        <v>40816</v>
      </c>
      <c r="B262" s="32">
        <f t="shared" si="14"/>
        <v>9</v>
      </c>
      <c r="C262" s="32">
        <f t="shared" si="15"/>
        <v>2011</v>
      </c>
      <c r="D262" s="42">
        <v>6.4999999999999997E-3</v>
      </c>
      <c r="E262" s="39">
        <v>7.4999999999999997E-3</v>
      </c>
      <c r="F262" s="42">
        <v>1.4E-3</v>
      </c>
      <c r="G262" s="42">
        <v>4.4999999999999997E-3</v>
      </c>
      <c r="H262" s="42">
        <v>5.3E-3</v>
      </c>
      <c r="I262" s="34">
        <v>5.3E-3</v>
      </c>
      <c r="J262" s="34">
        <v>2.5000000000000001E-3</v>
      </c>
      <c r="K262" s="34">
        <v>9.4000000000000004E-3</v>
      </c>
      <c r="L262" s="34">
        <v>5.0000000000000001E-3</v>
      </c>
    </row>
    <row r="263" spans="1:12">
      <c r="A263" s="92">
        <f t="shared" si="16"/>
        <v>40847</v>
      </c>
      <c r="B263" s="32">
        <f t="shared" si="14"/>
        <v>10</v>
      </c>
      <c r="C263" s="32">
        <f t="shared" si="15"/>
        <v>2011</v>
      </c>
      <c r="D263" s="42">
        <v>5.3E-3</v>
      </c>
      <c r="E263" s="39">
        <v>4.0000000000000001E-3</v>
      </c>
      <c r="F263" s="42">
        <v>2E-3</v>
      </c>
      <c r="G263" s="42">
        <v>3.2000000000000002E-3</v>
      </c>
      <c r="H263" s="42">
        <v>4.3E-3</v>
      </c>
      <c r="I263" s="34">
        <v>4.1999999999999997E-3</v>
      </c>
      <c r="J263" s="34">
        <v>3.9000000000000003E-3</v>
      </c>
      <c r="K263" s="34">
        <v>8.8000000000000005E-3</v>
      </c>
      <c r="L263" s="34">
        <v>5.0000000000000001E-3</v>
      </c>
    </row>
    <row r="264" spans="1:12">
      <c r="A264" s="92">
        <f t="shared" si="16"/>
        <v>40877</v>
      </c>
      <c r="B264" s="32">
        <f t="shared" si="14"/>
        <v>11</v>
      </c>
      <c r="C264" s="32">
        <f t="shared" si="15"/>
        <v>2011</v>
      </c>
      <c r="D264" s="42">
        <v>5.0000000000000001E-3</v>
      </c>
      <c r="E264" s="39">
        <v>4.3E-3</v>
      </c>
      <c r="F264" s="42">
        <v>5.0000000000000001E-3</v>
      </c>
      <c r="G264" s="42">
        <v>5.7000000000000002E-3</v>
      </c>
      <c r="H264" s="42">
        <v>5.1999999999999998E-3</v>
      </c>
      <c r="I264" s="34">
        <v>4.5999999999999999E-3</v>
      </c>
      <c r="J264" s="34">
        <v>6.0000000000000001E-3</v>
      </c>
      <c r="K264" s="34">
        <v>8.6E-3</v>
      </c>
      <c r="L264" s="34">
        <v>5.0000000000000001E-3</v>
      </c>
    </row>
    <row r="265" spans="1:12">
      <c r="A265" s="92">
        <f t="shared" si="16"/>
        <v>40908</v>
      </c>
      <c r="B265" s="32">
        <f t="shared" si="14"/>
        <v>12</v>
      </c>
      <c r="C265" s="32">
        <f t="shared" si="15"/>
        <v>2011</v>
      </c>
      <c r="D265" s="42">
        <v>-1.1999999999999999E-3</v>
      </c>
      <c r="E265" s="39">
        <v>-1.6000000000000001E-3</v>
      </c>
      <c r="F265" s="42">
        <v>3.5000000000000001E-3</v>
      </c>
      <c r="G265" s="42">
        <v>5.1000000000000004E-3</v>
      </c>
      <c r="H265" s="42">
        <v>5.0000000000000001E-3</v>
      </c>
      <c r="I265" s="34">
        <v>5.5999999999999999E-3</v>
      </c>
      <c r="J265" s="34">
        <v>6.0999999999999995E-3</v>
      </c>
      <c r="K265" s="34">
        <v>9.1000000000000004E-3</v>
      </c>
      <c r="L265" s="34">
        <v>5.0000000000000001E-3</v>
      </c>
    </row>
    <row r="266" spans="1:12">
      <c r="A266" s="92">
        <f t="shared" si="16"/>
        <v>40939</v>
      </c>
      <c r="B266" s="32">
        <f t="shared" si="14"/>
        <v>1</v>
      </c>
      <c r="C266" s="32">
        <f t="shared" si="15"/>
        <v>2012</v>
      </c>
      <c r="D266" s="42">
        <v>2.5000000000000001E-3</v>
      </c>
      <c r="E266" s="39">
        <v>3.0000000000000001E-3</v>
      </c>
      <c r="F266" s="42">
        <v>6.7000000000000002E-3</v>
      </c>
      <c r="G266" s="42">
        <v>5.1000000000000004E-3</v>
      </c>
      <c r="H266" s="42">
        <v>5.5999999999999999E-3</v>
      </c>
      <c r="I266" s="34">
        <v>6.4999999999999997E-3</v>
      </c>
      <c r="J266" s="34">
        <v>6.6E-3</v>
      </c>
      <c r="K266" s="34">
        <v>8.8999999999999999E-3</v>
      </c>
      <c r="L266" s="34">
        <v>5.0000000000000001E-3</v>
      </c>
    </row>
    <row r="267" spans="1:12">
      <c r="A267" s="92">
        <f t="shared" si="16"/>
        <v>40968</v>
      </c>
      <c r="B267" s="32">
        <f t="shared" si="14"/>
        <v>2</v>
      </c>
      <c r="C267" s="32">
        <f t="shared" si="15"/>
        <v>2012</v>
      </c>
      <c r="D267" s="42">
        <v>-5.9999999999999995E-4</v>
      </c>
      <c r="E267" s="39">
        <v>7.000000000000001E-4</v>
      </c>
      <c r="F267" s="42">
        <v>4.1999999999999997E-3</v>
      </c>
      <c r="G267" s="42">
        <v>3.8999999999999998E-3</v>
      </c>
      <c r="H267" s="42">
        <v>4.4999999999999997E-3</v>
      </c>
      <c r="I267" s="34">
        <v>5.3E-3</v>
      </c>
      <c r="J267" s="34">
        <v>-7.000000000000001E-4</v>
      </c>
      <c r="K267" s="34">
        <v>7.4999999999999997E-3</v>
      </c>
      <c r="L267" s="34">
        <v>5.0000000000000001E-3</v>
      </c>
    </row>
    <row r="268" spans="1:12">
      <c r="A268" s="92">
        <f t="shared" si="16"/>
        <v>40999</v>
      </c>
      <c r="B268" s="32">
        <f t="shared" si="14"/>
        <v>3</v>
      </c>
      <c r="C268" s="32">
        <f t="shared" si="15"/>
        <v>2012</v>
      </c>
      <c r="D268" s="33">
        <v>4.3E-3</v>
      </c>
      <c r="E268" s="39">
        <v>5.6000000000000008E-3</v>
      </c>
      <c r="F268" s="34">
        <v>3.7000000000000002E-3</v>
      </c>
      <c r="G268" s="33">
        <v>1.8E-3</v>
      </c>
      <c r="H268" s="34">
        <v>2.0999999999999999E-3</v>
      </c>
      <c r="I268" s="34">
        <v>2.5000000000000001E-3</v>
      </c>
      <c r="J268" s="34">
        <v>1.5E-3</v>
      </c>
      <c r="K268" s="34">
        <v>8.2000000000000007E-3</v>
      </c>
      <c r="L268" s="34">
        <v>5.0000000000000001E-3</v>
      </c>
    </row>
    <row r="269" spans="1:12">
      <c r="A269" s="92">
        <f t="shared" si="16"/>
        <v>41029</v>
      </c>
      <c r="B269" s="32">
        <f t="shared" si="14"/>
        <v>4</v>
      </c>
      <c r="C269" s="32">
        <f t="shared" si="15"/>
        <v>2012</v>
      </c>
      <c r="D269" s="33">
        <v>8.5000000000000006E-3</v>
      </c>
      <c r="E269" s="39">
        <v>1.0200000000000001E-2</v>
      </c>
      <c r="F269" s="34">
        <v>8.3000000000000001E-3</v>
      </c>
      <c r="G269" s="33">
        <v>6.4000000000000003E-3</v>
      </c>
      <c r="H269" s="34">
        <v>6.4000000000000003E-3</v>
      </c>
      <c r="I269" s="34">
        <v>4.3E-3</v>
      </c>
      <c r="J269" s="34">
        <v>4.6999999999999993E-3</v>
      </c>
      <c r="K269" s="34">
        <v>7.1000000000000004E-3</v>
      </c>
      <c r="L269" s="34">
        <v>5.0000000000000001E-3</v>
      </c>
    </row>
    <row r="270" spans="1:12">
      <c r="A270" s="92">
        <f t="shared" si="16"/>
        <v>41060</v>
      </c>
      <c r="B270" s="32">
        <f t="shared" si="14"/>
        <v>5</v>
      </c>
      <c r="C270" s="32">
        <f t="shared" si="15"/>
        <v>2012</v>
      </c>
      <c r="D270" s="33">
        <v>1.0200000000000001E-2</v>
      </c>
      <c r="E270" s="39">
        <v>9.1000000000000004E-3</v>
      </c>
      <c r="F270" s="34">
        <v>1.2999999999999999E-2</v>
      </c>
      <c r="G270" s="33">
        <v>5.4999999999999997E-3</v>
      </c>
      <c r="H270" s="34">
        <v>3.5999999999999999E-3</v>
      </c>
      <c r="I270" s="34">
        <v>5.1000000000000004E-3</v>
      </c>
      <c r="J270" s="34">
        <v>3.4999999999999996E-3</v>
      </c>
      <c r="K270" s="34">
        <v>7.4000000000000003E-3</v>
      </c>
      <c r="L270" s="34">
        <v>5.0000000000000001E-3</v>
      </c>
    </row>
    <row r="271" spans="1:12">
      <c r="A271" s="92">
        <f t="shared" si="16"/>
        <v>41090</v>
      </c>
      <c r="B271" s="32">
        <f t="shared" si="14"/>
        <v>6</v>
      </c>
      <c r="C271" s="32">
        <f t="shared" si="15"/>
        <v>2012</v>
      </c>
      <c r="D271" s="33">
        <v>6.6E-3</v>
      </c>
      <c r="E271" s="39">
        <v>6.8999999999999999E-3</v>
      </c>
      <c r="F271" s="34">
        <v>1.3100000000000001E-2</v>
      </c>
      <c r="G271" s="33">
        <v>2.5999999999999999E-3</v>
      </c>
      <c r="H271" s="34">
        <v>8.0000000000000004E-4</v>
      </c>
      <c r="I271" s="34">
        <v>1.8E-3</v>
      </c>
      <c r="J271" s="34">
        <v>2.3E-3</v>
      </c>
      <c r="K271" s="34">
        <v>6.4000000000000003E-3</v>
      </c>
      <c r="L271" s="34">
        <v>5.0000000000000001E-3</v>
      </c>
    </row>
    <row r="272" spans="1:12">
      <c r="A272" s="92">
        <f t="shared" si="16"/>
        <v>41121</v>
      </c>
      <c r="B272" s="32">
        <f t="shared" si="14"/>
        <v>7</v>
      </c>
      <c r="C272" s="32">
        <f t="shared" si="15"/>
        <v>2012</v>
      </c>
      <c r="D272" s="33">
        <v>1.34E-2</v>
      </c>
      <c r="E272" s="39">
        <v>1.52E-2</v>
      </c>
      <c r="F272" s="34">
        <v>1.8499999999999999E-2</v>
      </c>
      <c r="G272" s="33">
        <v>4.3E-3</v>
      </c>
      <c r="H272" s="34">
        <v>4.3E-3</v>
      </c>
      <c r="I272" s="34">
        <v>3.3E-3</v>
      </c>
      <c r="J272" s="34">
        <v>1.2999999999999999E-3</v>
      </c>
      <c r="K272" s="34">
        <v>6.7999999999999996E-3</v>
      </c>
      <c r="L272" s="34">
        <v>4.5830000000000003E-3</v>
      </c>
    </row>
    <row r="273" spans="1:12">
      <c r="A273" s="92">
        <f t="shared" si="16"/>
        <v>41152</v>
      </c>
      <c r="B273" s="32">
        <f t="shared" si="14"/>
        <v>8</v>
      </c>
      <c r="C273" s="32">
        <f t="shared" si="15"/>
        <v>2012</v>
      </c>
      <c r="D273" s="33">
        <v>1.43E-2</v>
      </c>
      <c r="E273" s="39">
        <v>1.29E-2</v>
      </c>
      <c r="F273" s="34">
        <v>3.2000000000000002E-3</v>
      </c>
      <c r="G273" s="33">
        <v>4.4999999999999997E-3</v>
      </c>
      <c r="H273" s="34">
        <v>4.1000000000000003E-3</v>
      </c>
      <c r="I273" s="34">
        <v>3.8999999999999998E-3</v>
      </c>
      <c r="J273" s="34">
        <v>2.7000000000000001E-3</v>
      </c>
      <c r="K273" s="34">
        <v>6.8999999999999999E-3</v>
      </c>
      <c r="L273" s="34">
        <v>4.5830000000000003E-3</v>
      </c>
    </row>
    <row r="274" spans="1:12">
      <c r="A274" s="92">
        <f t="shared" si="16"/>
        <v>41182</v>
      </c>
      <c r="B274" s="32">
        <f t="shared" si="14"/>
        <v>9</v>
      </c>
      <c r="C274" s="32">
        <f t="shared" si="15"/>
        <v>2012</v>
      </c>
      <c r="D274" s="33">
        <v>9.7000000000000003E-3</v>
      </c>
      <c r="E274" s="39">
        <v>8.8000000000000005E-3</v>
      </c>
      <c r="F274" s="34">
        <v>2.0999999999999999E-3</v>
      </c>
      <c r="G274" s="33">
        <v>6.3E-3</v>
      </c>
      <c r="H274" s="34">
        <v>5.7000000000000002E-3</v>
      </c>
      <c r="I274" s="34">
        <v>4.7999999999999996E-3</v>
      </c>
      <c r="J274" s="34">
        <v>5.4999999999999997E-3</v>
      </c>
      <c r="K274" s="34">
        <v>5.4000000000000003E-3</v>
      </c>
      <c r="L274" s="34">
        <v>4.5830000000000003E-3</v>
      </c>
    </row>
    <row r="275" spans="1:12">
      <c r="A275" s="92">
        <f t="shared" si="16"/>
        <v>41213</v>
      </c>
      <c r="B275" s="32">
        <f t="shared" si="14"/>
        <v>10</v>
      </c>
      <c r="C275" s="32">
        <f t="shared" si="15"/>
        <v>2012</v>
      </c>
      <c r="D275" s="33">
        <v>2.0000000000000001E-4</v>
      </c>
      <c r="E275" s="39">
        <v>-3.0999999999999999E-3</v>
      </c>
      <c r="F275" s="34">
        <v>2.3999999999999998E-3</v>
      </c>
      <c r="G275" s="33">
        <v>7.1000000000000004E-3</v>
      </c>
      <c r="H275" s="34">
        <v>5.8999999999999999E-3</v>
      </c>
      <c r="I275" s="34">
        <v>6.4999999999999997E-3</v>
      </c>
      <c r="J275" s="34">
        <v>8.0000000000000002E-3</v>
      </c>
      <c r="K275" s="33">
        <v>6.1000000000000004E-3</v>
      </c>
      <c r="L275" s="33">
        <v>4.5830000000000003E-3</v>
      </c>
    </row>
    <row r="276" spans="1:12">
      <c r="A276" s="92">
        <f t="shared" si="16"/>
        <v>41243</v>
      </c>
      <c r="B276" s="32">
        <f t="shared" si="14"/>
        <v>11</v>
      </c>
      <c r="C276" s="32">
        <f t="shared" si="15"/>
        <v>2012</v>
      </c>
      <c r="D276" s="33">
        <v>-2.9999999999999997E-4</v>
      </c>
      <c r="E276" s="39">
        <v>2.5000000000000001E-3</v>
      </c>
      <c r="F276" s="34">
        <v>2.3E-3</v>
      </c>
      <c r="G276" s="33">
        <v>5.4000000000000003E-3</v>
      </c>
      <c r="H276" s="34">
        <v>6.0000000000000001E-3</v>
      </c>
      <c r="I276" s="34">
        <v>5.4000000000000003E-3</v>
      </c>
      <c r="J276" s="34">
        <v>6.7999999999999996E-3</v>
      </c>
      <c r="K276" s="34">
        <v>5.4999999999999997E-3</v>
      </c>
      <c r="L276" s="34">
        <v>4.5830000000000003E-3</v>
      </c>
    </row>
    <row r="277" spans="1:12">
      <c r="A277" s="92">
        <f t="shared" si="16"/>
        <v>41274</v>
      </c>
      <c r="B277" s="32">
        <f t="shared" si="14"/>
        <v>12</v>
      </c>
      <c r="C277" s="32">
        <f t="shared" si="15"/>
        <v>2012</v>
      </c>
      <c r="D277" s="33">
        <v>6.7999999999999996E-3</v>
      </c>
      <c r="E277" s="39">
        <v>6.6E-3</v>
      </c>
      <c r="F277" s="34">
        <v>2.8999999999999998E-3</v>
      </c>
      <c r="G277" s="33">
        <v>7.4000000000000003E-3</v>
      </c>
      <c r="H277" s="34">
        <v>7.9000000000000008E-3</v>
      </c>
      <c r="I277" s="34">
        <v>6.8999999999999999E-3</v>
      </c>
      <c r="J277" s="34">
        <v>7.7999999999999996E-3</v>
      </c>
      <c r="K277" s="34">
        <v>5.4999999999999997E-3</v>
      </c>
      <c r="L277" s="34">
        <v>4.5830000000000003E-3</v>
      </c>
    </row>
    <row r="278" spans="1:12">
      <c r="A278" s="92">
        <f t="shared" si="16"/>
        <v>41305</v>
      </c>
      <c r="B278" s="32">
        <f t="shared" si="14"/>
        <v>1</v>
      </c>
      <c r="C278" s="32">
        <f t="shared" si="15"/>
        <v>2013</v>
      </c>
      <c r="D278" s="33">
        <v>3.3999999999999998E-3</v>
      </c>
      <c r="E278" s="39">
        <v>3.0999999999999999E-3</v>
      </c>
      <c r="F278" s="34">
        <v>3.8999999999999998E-3</v>
      </c>
      <c r="G278" s="44">
        <v>9.1999999999999998E-3</v>
      </c>
      <c r="H278" s="34">
        <v>8.6E-3</v>
      </c>
      <c r="I278" s="34">
        <v>8.8000000000000005E-3</v>
      </c>
      <c r="J278" s="34">
        <v>1.15E-2</v>
      </c>
      <c r="K278" s="34">
        <v>6.0000000000000001E-3</v>
      </c>
      <c r="L278" s="34">
        <v>4.1669999999999997E-3</v>
      </c>
    </row>
    <row r="279" spans="1:12">
      <c r="A279" s="92">
        <f t="shared" si="16"/>
        <v>41333</v>
      </c>
      <c r="B279" s="32">
        <f t="shared" si="14"/>
        <v>2</v>
      </c>
      <c r="C279" s="32">
        <f t="shared" si="15"/>
        <v>2013</v>
      </c>
      <c r="D279" s="33">
        <v>2.8999999999999998E-3</v>
      </c>
      <c r="E279" s="39">
        <v>2E-3</v>
      </c>
      <c r="F279" s="34">
        <v>8.0000000000000002E-3</v>
      </c>
      <c r="G279" s="45">
        <v>5.1999999999999998E-3</v>
      </c>
      <c r="H279" s="34">
        <v>6.0000000000000001E-3</v>
      </c>
      <c r="I279" s="34">
        <v>6.7999999999999996E-3</v>
      </c>
      <c r="J279" s="34">
        <v>2.2000000000000001E-3</v>
      </c>
      <c r="K279" s="34">
        <v>4.8999999999999998E-3</v>
      </c>
      <c r="L279" s="34">
        <v>4.1669999999999997E-3</v>
      </c>
    </row>
    <row r="280" spans="1:12">
      <c r="A280" s="92">
        <f t="shared" si="16"/>
        <v>41364</v>
      </c>
      <c r="B280" s="32">
        <f t="shared" si="14"/>
        <v>3</v>
      </c>
      <c r="C280" s="32">
        <f t="shared" si="15"/>
        <v>2013</v>
      </c>
      <c r="D280" s="33">
        <v>2.0999999999999999E-3</v>
      </c>
      <c r="E280" s="39">
        <v>3.0999999999999999E-3</v>
      </c>
      <c r="F280" s="34">
        <v>2.8E-3</v>
      </c>
      <c r="G280" s="33">
        <v>6.0000000000000001E-3</v>
      </c>
      <c r="H280" s="34">
        <v>4.7000000000000002E-3</v>
      </c>
      <c r="I280" s="34">
        <v>4.8999999999999998E-3</v>
      </c>
      <c r="J280" s="34">
        <v>-1.6999999999999999E-3</v>
      </c>
      <c r="K280" s="34">
        <v>5.4999999999999997E-3</v>
      </c>
      <c r="L280" s="34">
        <v>4.1669999999999997E-3</v>
      </c>
    </row>
    <row r="281" spans="1:12">
      <c r="A281" s="92">
        <f t="shared" si="16"/>
        <v>41394</v>
      </c>
      <c r="B281" s="32">
        <f t="shared" si="14"/>
        <v>4</v>
      </c>
      <c r="C281" s="32">
        <f t="shared" si="15"/>
        <v>2013</v>
      </c>
      <c r="D281" s="33">
        <v>1.5E-3</v>
      </c>
      <c r="E281" s="39">
        <v>-5.9999999999999995E-4</v>
      </c>
      <c r="F281" s="34">
        <v>8.3999999999999995E-3</v>
      </c>
      <c r="G281" s="33">
        <v>5.8999999999999999E-3</v>
      </c>
      <c r="H281" s="34">
        <v>5.4999999999999997E-3</v>
      </c>
      <c r="I281" s="34">
        <v>5.1000000000000004E-3</v>
      </c>
      <c r="J281" s="34">
        <v>2.8E-3</v>
      </c>
      <c r="K281" s="34">
        <v>6.1000000000000004E-3</v>
      </c>
      <c r="L281" s="34">
        <v>4.1669999999999997E-3</v>
      </c>
    </row>
    <row r="282" spans="1:12">
      <c r="A282" s="92">
        <f t="shared" si="16"/>
        <v>41425</v>
      </c>
      <c r="B282" s="32">
        <f t="shared" si="14"/>
        <v>5</v>
      </c>
      <c r="C282" s="32">
        <f t="shared" si="15"/>
        <v>2013</v>
      </c>
      <c r="D282" s="33">
        <v>0</v>
      </c>
      <c r="E282" s="39">
        <v>3.2000000000000002E-3</v>
      </c>
      <c r="F282" s="34">
        <v>1.24E-2</v>
      </c>
      <c r="G282" s="33">
        <v>3.5000000000000001E-3</v>
      </c>
      <c r="H282" s="34">
        <v>3.7000000000000002E-3</v>
      </c>
      <c r="I282" s="34">
        <v>4.5999999999999999E-3</v>
      </c>
      <c r="J282" s="34">
        <v>1E-3</v>
      </c>
      <c r="K282" s="34">
        <v>6.0000000000000001E-3</v>
      </c>
      <c r="L282" s="34">
        <v>4.1669999999999997E-3</v>
      </c>
    </row>
    <row r="283" spans="1:12">
      <c r="A283" s="92">
        <f t="shared" si="16"/>
        <v>41455</v>
      </c>
      <c r="B283" s="32">
        <f t="shared" ref="B283:B290" si="17">MONTH(A283)</f>
        <v>6</v>
      </c>
      <c r="C283" s="32">
        <f t="shared" ref="C283" si="18">YEAR(A283)</f>
        <v>2013</v>
      </c>
      <c r="D283" s="33">
        <v>7.4999999999999997E-3</v>
      </c>
      <c r="E283" s="39">
        <v>7.6E-3</v>
      </c>
      <c r="F283" s="34">
        <v>1.9599999999999999E-2</v>
      </c>
      <c r="G283" s="33">
        <v>2.8E-3</v>
      </c>
      <c r="H283" s="34">
        <v>2.5999999999999999E-3</v>
      </c>
      <c r="I283" s="34">
        <v>3.8E-3</v>
      </c>
      <c r="J283" s="34">
        <v>3.2000000000000002E-3</v>
      </c>
      <c r="K283" s="34">
        <v>6.1000000000000004E-3</v>
      </c>
      <c r="L283" s="34">
        <v>4.1669999999999997E-3</v>
      </c>
    </row>
    <row r="284" spans="1:12">
      <c r="A284" s="92">
        <f t="shared" si="16"/>
        <v>41486</v>
      </c>
      <c r="B284" s="32">
        <f t="shared" si="17"/>
        <v>7</v>
      </c>
      <c r="C284" s="32">
        <f t="shared" si="15"/>
        <v>2013</v>
      </c>
      <c r="D284" s="33">
        <v>2.5999999999999999E-3</v>
      </c>
      <c r="E284" s="39">
        <v>1.4E-3</v>
      </c>
      <c r="F284" s="34">
        <v>7.3000000000000001E-3</v>
      </c>
      <c r="G284" s="33">
        <v>-1.2999999999999999E-3</v>
      </c>
      <c r="H284" s="34">
        <v>2.9999999999999997E-4</v>
      </c>
      <c r="I284" s="34">
        <v>6.9999999999999999E-4</v>
      </c>
      <c r="J284" s="34">
        <v>-1.2999999999999999E-3</v>
      </c>
      <c r="K284" s="34">
        <v>7.1999999999999998E-3</v>
      </c>
      <c r="L284" s="34">
        <v>4.1669999999999997E-3</v>
      </c>
    </row>
    <row r="285" spans="1:12">
      <c r="A285" s="92">
        <f t="shared" si="16"/>
        <v>41517</v>
      </c>
      <c r="B285" s="32">
        <f t="shared" si="17"/>
        <v>8</v>
      </c>
      <c r="C285" s="32">
        <f t="shared" si="15"/>
        <v>2013</v>
      </c>
      <c r="D285" s="33">
        <v>1.5E-3</v>
      </c>
      <c r="E285" s="39">
        <v>4.5999999999999999E-3</v>
      </c>
      <c r="F285" s="34">
        <v>3.0999999999999999E-3</v>
      </c>
      <c r="G285" s="33">
        <v>1.6000000000000001E-3</v>
      </c>
      <c r="H285" s="34">
        <v>2.3999999999999998E-3</v>
      </c>
      <c r="I285" s="34">
        <v>1.6000000000000001E-3</v>
      </c>
      <c r="J285" s="34">
        <v>2.2000000000000001E-3</v>
      </c>
      <c r="K285" s="34">
        <v>7.1000000000000004E-3</v>
      </c>
      <c r="L285" s="34">
        <v>4.1669999999999997E-3</v>
      </c>
    </row>
    <row r="286" spans="1:12">
      <c r="A286" s="92">
        <f t="shared" si="16"/>
        <v>41547</v>
      </c>
      <c r="B286" s="32">
        <f t="shared" si="17"/>
        <v>9</v>
      </c>
      <c r="C286" s="32">
        <f t="shared" si="15"/>
        <v>2013</v>
      </c>
      <c r="D286" s="33">
        <v>1.4999999999999999E-2</v>
      </c>
      <c r="E286" s="39">
        <v>1.3599999999999999E-2</v>
      </c>
      <c r="F286" s="34">
        <v>4.3E-3</v>
      </c>
      <c r="G286" s="33">
        <v>2.7000000000000001E-3</v>
      </c>
      <c r="H286" s="34">
        <v>3.5000000000000001E-3</v>
      </c>
      <c r="I286" s="34">
        <v>2.7000000000000001E-3</v>
      </c>
      <c r="J286" s="34">
        <v>2.5000000000000001E-3</v>
      </c>
      <c r="K286" s="34">
        <v>7.1000000000000004E-3</v>
      </c>
      <c r="L286" s="34">
        <v>4.1669999999999997E-3</v>
      </c>
    </row>
    <row r="287" spans="1:12">
      <c r="A287" s="92">
        <f t="shared" si="16"/>
        <v>41578</v>
      </c>
      <c r="B287" s="32">
        <f t="shared" si="17"/>
        <v>10</v>
      </c>
      <c r="C287" s="32">
        <f t="shared" si="15"/>
        <v>2013</v>
      </c>
      <c r="D287" s="33">
        <v>8.6E-3</v>
      </c>
      <c r="E287" s="39">
        <v>6.3E-3</v>
      </c>
      <c r="F287" s="34">
        <v>2.5999999999999999E-3</v>
      </c>
      <c r="G287" s="33">
        <v>6.1000000000000004E-3</v>
      </c>
      <c r="H287" s="34">
        <v>5.7000000000000002E-3</v>
      </c>
      <c r="I287" s="34">
        <v>4.7999999999999996E-3</v>
      </c>
      <c r="J287" s="34">
        <v>4.7999999999999996E-3</v>
      </c>
      <c r="K287" s="34">
        <v>8.0999999999999996E-3</v>
      </c>
      <c r="L287" s="34">
        <v>4.1669999999999997E-3</v>
      </c>
    </row>
    <row r="288" spans="1:12">
      <c r="A288" s="92">
        <f t="shared" si="16"/>
        <v>41608</v>
      </c>
      <c r="B288" s="32">
        <f t="shared" si="17"/>
        <v>11</v>
      </c>
      <c r="C288" s="32">
        <f t="shared" si="15"/>
        <v>2013</v>
      </c>
      <c r="D288" s="33">
        <v>2.8999999999999998E-3</v>
      </c>
      <c r="E288" s="39">
        <v>2.8E-3</v>
      </c>
      <c r="F288" s="34">
        <v>3.5000000000000001E-3</v>
      </c>
      <c r="G288" s="33">
        <v>5.4000000000000003E-3</v>
      </c>
      <c r="H288" s="34">
        <v>5.4000000000000003E-3</v>
      </c>
      <c r="I288" s="34">
        <v>5.7000000000000002E-3</v>
      </c>
      <c r="J288" s="34">
        <v>4.5999999999999999E-3</v>
      </c>
      <c r="K288" s="34">
        <v>7.1999999999999998E-3</v>
      </c>
      <c r="L288" s="34">
        <v>4.1669999999999997E-3</v>
      </c>
    </row>
    <row r="289" spans="1:12">
      <c r="A289" s="92">
        <f t="shared" si="16"/>
        <v>41639</v>
      </c>
      <c r="B289" s="32">
        <f t="shared" si="17"/>
        <v>12</v>
      </c>
      <c r="C289" s="32">
        <f t="shared" si="15"/>
        <v>2013</v>
      </c>
      <c r="D289" s="33">
        <v>6.0000000000000001E-3</v>
      </c>
      <c r="E289" s="39">
        <v>6.8999999999999999E-3</v>
      </c>
      <c r="F289" s="34">
        <v>1E-3</v>
      </c>
      <c r="G289" s="33">
        <v>7.1999999999999998E-3</v>
      </c>
      <c r="H289" s="34">
        <v>9.1999999999999998E-3</v>
      </c>
      <c r="I289" s="34">
        <v>7.4999999999999997E-3</v>
      </c>
      <c r="J289" s="34">
        <v>6.4999999999999997E-3</v>
      </c>
      <c r="K289" s="34">
        <v>7.9000000000000008E-3</v>
      </c>
      <c r="L289" s="34">
        <v>4.1669999999999997E-3</v>
      </c>
    </row>
    <row r="290" spans="1:12">
      <c r="A290" s="92">
        <f t="shared" si="16"/>
        <v>41670</v>
      </c>
      <c r="B290" s="32">
        <f t="shared" si="17"/>
        <v>1</v>
      </c>
      <c r="C290" s="32">
        <f t="shared" si="15"/>
        <v>2014</v>
      </c>
      <c r="D290" s="33">
        <v>4.7999999999999996E-3</v>
      </c>
      <c r="E290" s="39">
        <v>4.0000000000000001E-3</v>
      </c>
      <c r="F290" s="34">
        <v>8.8000000000000005E-3</v>
      </c>
      <c r="G290" s="33">
        <v>6.3E-3</v>
      </c>
      <c r="H290" s="34">
        <v>5.4999999999999997E-3</v>
      </c>
      <c r="I290" s="34">
        <v>6.7000000000000002E-3</v>
      </c>
      <c r="J290" s="34">
        <v>9.4000000000000004E-3</v>
      </c>
      <c r="K290" s="34">
        <v>8.5000000000000006E-3</v>
      </c>
      <c r="L290" s="34">
        <v>4.1669999999999997E-3</v>
      </c>
    </row>
    <row r="291" spans="1:12">
      <c r="A291" s="92">
        <f t="shared" si="16"/>
        <v>41698</v>
      </c>
      <c r="B291" s="32">
        <f t="shared" ref="B291:B292" si="19">MONTH(A291)</f>
        <v>2</v>
      </c>
      <c r="C291" s="32">
        <f t="shared" ref="C291:C292" si="20">YEAR(A291)</f>
        <v>2014</v>
      </c>
      <c r="D291" s="33">
        <v>3.8E-3</v>
      </c>
      <c r="E291" s="39">
        <v>8.5000000000000006E-3</v>
      </c>
      <c r="F291" s="34">
        <v>4.4000000000000003E-3</v>
      </c>
      <c r="G291" s="33">
        <v>6.4000000000000003E-3</v>
      </c>
      <c r="H291" s="34">
        <v>6.8999999999999999E-3</v>
      </c>
      <c r="I291" s="34">
        <v>7.0000000000000001E-3</v>
      </c>
      <c r="J291" s="34">
        <v>5.1999999999999998E-3</v>
      </c>
      <c r="K291" s="34">
        <v>7.9000000000000008E-3</v>
      </c>
      <c r="L291" s="34">
        <v>4.1669999999999997E-3</v>
      </c>
    </row>
    <row r="292" spans="1:12">
      <c r="A292" s="92">
        <f t="shared" si="16"/>
        <v>41729</v>
      </c>
      <c r="B292" s="32">
        <f t="shared" si="19"/>
        <v>3</v>
      </c>
      <c r="C292" s="32">
        <f t="shared" si="20"/>
        <v>2014</v>
      </c>
      <c r="D292" s="33">
        <v>1.67E-2</v>
      </c>
      <c r="E292" s="39">
        <v>1.4800000000000001E-2</v>
      </c>
      <c r="F292" s="34">
        <v>2.2000000000000001E-3</v>
      </c>
      <c r="G292" s="33">
        <v>8.2000000000000007E-3</v>
      </c>
      <c r="H292" s="34">
        <v>9.1999999999999998E-3</v>
      </c>
      <c r="I292" s="34">
        <v>7.3000000000000001E-3</v>
      </c>
      <c r="J292" s="34">
        <v>7.4000000000000003E-3</v>
      </c>
      <c r="K292" s="34">
        <v>7.7000000000000002E-3</v>
      </c>
      <c r="L292" s="34">
        <v>4.1669999999999997E-3</v>
      </c>
    </row>
    <row r="293" spans="1:12">
      <c r="A293" s="92">
        <f t="shared" si="16"/>
        <v>41759</v>
      </c>
      <c r="B293" s="32">
        <f>IF(A293="","",MONTH(A293))</f>
        <v>4</v>
      </c>
      <c r="C293" s="32">
        <f>IF(A293="","",YEAR(A293))</f>
        <v>2014</v>
      </c>
      <c r="D293" s="33">
        <v>7.7999999999999996E-3</v>
      </c>
      <c r="E293" s="39">
        <v>4.4999999999999997E-3</v>
      </c>
      <c r="F293" s="33">
        <v>6.7000000000000002E-3</v>
      </c>
      <c r="G293" s="33">
        <v>7.7999999999999996E-3</v>
      </c>
      <c r="H293" s="34">
        <v>6.7000000000000002E-3</v>
      </c>
      <c r="I293" s="34">
        <v>7.7999999999999996E-3</v>
      </c>
      <c r="J293" s="34">
        <v>5.3E-3</v>
      </c>
      <c r="K293" s="34">
        <v>8.2000000000000007E-3</v>
      </c>
      <c r="L293" s="34">
        <v>4.1669999999999997E-3</v>
      </c>
    </row>
    <row r="294" spans="1:12">
      <c r="A294" s="92">
        <f t="shared" si="16"/>
        <v>41790</v>
      </c>
      <c r="B294" s="32">
        <f t="shared" ref="B294:B297" si="21">IF(A294="","",MONTH(A294))</f>
        <v>5</v>
      </c>
      <c r="C294" s="32">
        <f t="shared" ref="C294:C297" si="22">IF(A294="","",YEAR(A294))</f>
        <v>2014</v>
      </c>
      <c r="D294" s="33">
        <v>-1.2999999999999999E-3</v>
      </c>
      <c r="E294" s="39">
        <v>-4.4999999999999997E-3</v>
      </c>
      <c r="F294" s="34">
        <v>1.37E-2</v>
      </c>
      <c r="G294" s="33">
        <v>6.0000000000000001E-3</v>
      </c>
      <c r="H294" s="34">
        <v>4.5999999999999999E-3</v>
      </c>
      <c r="I294" s="34">
        <v>5.7999999999999996E-3</v>
      </c>
      <c r="J294" s="34">
        <v>2.5000000000000001E-3</v>
      </c>
      <c r="K294" s="34">
        <v>8.6999999999999994E-3</v>
      </c>
      <c r="L294" s="34">
        <v>4.1669999999999997E-3</v>
      </c>
    </row>
    <row r="295" spans="1:12">
      <c r="A295" s="92">
        <f t="shared" si="16"/>
        <v>41820</v>
      </c>
      <c r="B295" s="32">
        <f t="shared" si="21"/>
        <v>6</v>
      </c>
      <c r="C295" s="32">
        <f t="shared" si="22"/>
        <v>2014</v>
      </c>
      <c r="D295" s="33">
        <v>-7.4000000000000003E-3</v>
      </c>
      <c r="E295" s="39">
        <v>-6.3E-3</v>
      </c>
      <c r="F295" s="34">
        <v>1.2500000000000001E-2</v>
      </c>
      <c r="G295" s="33">
        <v>2.5999999999999999E-3</v>
      </c>
      <c r="H295" s="34">
        <v>4.0000000000000001E-3</v>
      </c>
      <c r="I295" s="34">
        <v>4.7000000000000002E-3</v>
      </c>
      <c r="J295" s="34">
        <v>4.0000000000000002E-4</v>
      </c>
      <c r="K295" s="34">
        <v>8.2000000000000007E-3</v>
      </c>
      <c r="L295" s="34">
        <v>4.1669999999999997E-3</v>
      </c>
    </row>
    <row r="296" spans="1:12">
      <c r="A296" s="92">
        <f t="shared" si="16"/>
        <v>41851</v>
      </c>
      <c r="B296" s="32">
        <f t="shared" si="21"/>
        <v>7</v>
      </c>
      <c r="C296" s="32">
        <f t="shared" si="22"/>
        <v>2014</v>
      </c>
      <c r="D296" s="33">
        <v>-6.1000000000000004E-3</v>
      </c>
      <c r="E296" s="39">
        <v>-5.4999999999999997E-3</v>
      </c>
      <c r="F296" s="34">
        <v>8.0000000000000002E-3</v>
      </c>
      <c r="G296" s="33">
        <v>1.2999999999999999E-3</v>
      </c>
      <c r="H296" s="34">
        <v>1E-4</v>
      </c>
      <c r="I296" s="34">
        <v>1.6999999999999999E-3</v>
      </c>
      <c r="J296" s="34">
        <v>1.6000000000000001E-3</v>
      </c>
      <c r="K296" s="34">
        <v>9.4999999999999998E-3</v>
      </c>
      <c r="L296" s="34">
        <v>4.1669999999999997E-3</v>
      </c>
    </row>
    <row r="297" spans="1:12">
      <c r="A297" s="92">
        <f t="shared" si="16"/>
        <v>41882</v>
      </c>
      <c r="B297" s="32">
        <f t="shared" si="21"/>
        <v>8</v>
      </c>
      <c r="C297" s="32">
        <f t="shared" si="22"/>
        <v>2014</v>
      </c>
      <c r="D297" s="33">
        <v>-2.7000000000000001E-3</v>
      </c>
      <c r="E297" s="39">
        <v>5.9999999999999995E-4</v>
      </c>
      <c r="F297" s="34">
        <v>1.9E-3</v>
      </c>
      <c r="G297" s="33">
        <v>1.8E-3</v>
      </c>
      <c r="H297" s="34">
        <v>2.5000000000000001E-3</v>
      </c>
      <c r="I297" s="34">
        <v>1.4E-3</v>
      </c>
      <c r="J297" s="34">
        <v>3.3999999999999998E-3</v>
      </c>
      <c r="K297" s="34">
        <v>8.6999999999999994E-3</v>
      </c>
      <c r="L297" s="34">
        <v>4.1669999999999997E-3</v>
      </c>
    </row>
    <row r="298" spans="1:12">
      <c r="A298" s="92">
        <f t="shared" si="16"/>
        <v>41912</v>
      </c>
      <c r="B298" s="32">
        <f t="shared" ref="B298:B366" si="23">IF(A298="","",MONTH(A298))</f>
        <v>9</v>
      </c>
      <c r="C298" s="32">
        <f t="shared" ref="C298:C366" si="24">IF(A298="","",YEAR(A298))</f>
        <v>2014</v>
      </c>
      <c r="D298" s="33">
        <v>2E-3</v>
      </c>
      <c r="E298" s="39">
        <v>2.0000000000000001E-4</v>
      </c>
      <c r="F298" s="34">
        <v>1.6000000000000001E-3</v>
      </c>
      <c r="G298" s="33">
        <v>4.8999999999999998E-3</v>
      </c>
      <c r="H298" s="34">
        <v>5.7000000000000002E-3</v>
      </c>
      <c r="I298" s="34">
        <v>3.8999999999999998E-3</v>
      </c>
      <c r="J298" s="34">
        <v>2.0999999999999999E-3</v>
      </c>
      <c r="K298" s="34">
        <v>9.1000000000000004E-3</v>
      </c>
      <c r="L298" s="34">
        <v>4.1669999999999997E-3</v>
      </c>
    </row>
    <row r="299" spans="1:12">
      <c r="A299" s="92">
        <f t="shared" si="16"/>
        <v>41943</v>
      </c>
      <c r="B299" s="32">
        <f t="shared" si="23"/>
        <v>10</v>
      </c>
      <c r="C299" s="32">
        <f t="shared" si="24"/>
        <v>2014</v>
      </c>
      <c r="D299" s="33">
        <v>2.8E-3</v>
      </c>
      <c r="E299" s="39">
        <v>5.8999999999999999E-3</v>
      </c>
      <c r="F299" s="34">
        <v>2E-3</v>
      </c>
      <c r="G299" s="33">
        <v>3.8E-3</v>
      </c>
      <c r="H299" s="34">
        <v>4.1999999999999997E-3</v>
      </c>
      <c r="I299" s="34">
        <v>4.7999999999999996E-3</v>
      </c>
      <c r="J299" s="34">
        <v>3.7000000000000002E-3</v>
      </c>
      <c r="K299" s="34">
        <v>9.4999999999999998E-3</v>
      </c>
      <c r="L299" s="34">
        <v>4.1669999999999997E-3</v>
      </c>
    </row>
    <row r="300" spans="1:12">
      <c r="A300" s="92">
        <f t="shared" si="16"/>
        <v>41973</v>
      </c>
      <c r="B300" s="32">
        <f t="shared" si="23"/>
        <v>11</v>
      </c>
      <c r="C300" s="32">
        <f t="shared" si="24"/>
        <v>2014</v>
      </c>
      <c r="D300" s="33">
        <v>9.7999999999999997E-3</v>
      </c>
      <c r="E300" s="39">
        <v>1.14E-2</v>
      </c>
      <c r="F300" s="34">
        <v>3.0000000000000001E-3</v>
      </c>
      <c r="G300" s="33">
        <v>5.3E-3</v>
      </c>
      <c r="H300" s="34">
        <v>5.1000000000000004E-3</v>
      </c>
      <c r="I300" s="34">
        <v>3.8E-3</v>
      </c>
      <c r="J300" s="34">
        <v>6.8999999999999999E-3</v>
      </c>
      <c r="K300" s="34">
        <v>8.3999999999999995E-3</v>
      </c>
      <c r="L300" s="34">
        <v>4.1669999999999997E-3</v>
      </c>
    </row>
    <row r="301" spans="1:12">
      <c r="A301" s="92">
        <f t="shared" si="16"/>
        <v>42004</v>
      </c>
      <c r="B301" s="32">
        <f t="shared" si="23"/>
        <v>12</v>
      </c>
      <c r="C301" s="32">
        <f t="shared" si="24"/>
        <v>2014</v>
      </c>
      <c r="D301" s="33">
        <v>6.1999999999999998E-3</v>
      </c>
      <c r="E301" s="39">
        <v>3.8E-3</v>
      </c>
      <c r="F301" s="34">
        <v>2.5000000000000001E-3</v>
      </c>
      <c r="G301" s="33">
        <v>6.1999999999999998E-3</v>
      </c>
      <c r="H301" s="34">
        <v>7.7999999999999996E-3</v>
      </c>
      <c r="I301" s="34">
        <v>7.9000000000000008E-3</v>
      </c>
      <c r="J301" s="34">
        <v>3.0000000000000001E-3</v>
      </c>
      <c r="K301" s="34">
        <v>9.5999999999999992E-3</v>
      </c>
      <c r="L301" s="34">
        <v>4.1669999999999997E-3</v>
      </c>
    </row>
    <row r="302" spans="1:12">
      <c r="A302" s="92">
        <f t="shared" si="16"/>
        <v>42035</v>
      </c>
      <c r="B302" s="32">
        <f t="shared" si="23"/>
        <v>1</v>
      </c>
      <c r="C302" s="32">
        <f t="shared" si="24"/>
        <v>2015</v>
      </c>
      <c r="D302" s="33">
        <v>7.6E-3</v>
      </c>
      <c r="E302" s="39">
        <v>6.7000000000000002E-3</v>
      </c>
      <c r="F302" s="34">
        <v>7.0000000000000001E-3</v>
      </c>
      <c r="G302" s="33">
        <v>1.4800000000000001E-2</v>
      </c>
      <c r="H302" s="34">
        <v>1.24E-2</v>
      </c>
      <c r="I302" s="34">
        <v>8.8999999999999999E-3</v>
      </c>
      <c r="J302" s="34">
        <v>1.6199999999999999E-2</v>
      </c>
      <c r="K302" s="34">
        <v>9.4000000000000004E-3</v>
      </c>
      <c r="L302" s="34">
        <v>4.5830000000000003E-3</v>
      </c>
    </row>
    <row r="303" spans="1:12">
      <c r="A303" s="92">
        <f t="shared" si="16"/>
        <v>42063</v>
      </c>
      <c r="B303" s="32">
        <f t="shared" si="23"/>
        <v>2</v>
      </c>
      <c r="C303" s="32">
        <f t="shared" si="24"/>
        <v>2015</v>
      </c>
      <c r="D303" s="33">
        <v>2.7000000000000001E-3</v>
      </c>
      <c r="E303" s="39">
        <v>5.3E-3</v>
      </c>
      <c r="F303" s="34">
        <v>5.0000000000000001E-3</v>
      </c>
      <c r="G303" s="33">
        <v>1.1599999999999999E-2</v>
      </c>
      <c r="H303" s="34">
        <v>1.2200000000000001E-2</v>
      </c>
      <c r="I303" s="34">
        <v>1.3299999999999999E-2</v>
      </c>
      <c r="J303" s="34">
        <v>1.2200000000000001E-2</v>
      </c>
      <c r="K303" s="34">
        <v>8.2000000000000007E-3</v>
      </c>
      <c r="L303" s="34">
        <v>4.5830000000000003E-3</v>
      </c>
    </row>
    <row r="304" spans="1:12">
      <c r="A304" s="92">
        <f t="shared" si="16"/>
        <v>42094</v>
      </c>
      <c r="B304" s="32">
        <f t="shared" si="23"/>
        <v>3</v>
      </c>
      <c r="C304" s="32">
        <f t="shared" si="24"/>
        <v>2015</v>
      </c>
      <c r="D304" s="33">
        <v>9.7999999999999997E-3</v>
      </c>
      <c r="E304" s="39">
        <v>1.21E-2</v>
      </c>
      <c r="F304" s="34">
        <v>3.5999999999999999E-3</v>
      </c>
      <c r="G304" s="33">
        <v>1.5100000000000001E-2</v>
      </c>
      <c r="H304" s="34">
        <v>1.32E-2</v>
      </c>
      <c r="I304" s="34">
        <v>1.24E-2</v>
      </c>
      <c r="J304" s="34">
        <v>7.0000000000000001E-3</v>
      </c>
      <c r="K304" s="34">
        <v>1.04E-2</v>
      </c>
      <c r="L304" s="34">
        <v>4.5830000000000003E-3</v>
      </c>
    </row>
    <row r="305" spans="1:12">
      <c r="A305" s="92">
        <f t="shared" si="16"/>
        <v>42124</v>
      </c>
      <c r="B305" s="32">
        <f t="shared" si="23"/>
        <v>4</v>
      </c>
      <c r="C305" s="32">
        <f t="shared" si="24"/>
        <v>2015</v>
      </c>
      <c r="D305" s="33">
        <v>1.17E-2</v>
      </c>
      <c r="E305" s="39">
        <v>9.1999999999999998E-3</v>
      </c>
      <c r="F305" s="34">
        <v>6.4999999999999997E-3</v>
      </c>
      <c r="G305" s="33">
        <v>7.1000000000000004E-3</v>
      </c>
      <c r="H305" s="34">
        <v>7.1000000000000004E-3</v>
      </c>
      <c r="I305" s="34">
        <v>1.0699999999999999E-2</v>
      </c>
      <c r="J305" s="34">
        <v>1.0999999999999999E-2</v>
      </c>
      <c r="K305" s="34">
        <v>9.4999999999999998E-3</v>
      </c>
      <c r="L305" s="34">
        <v>5.0000000000000001E-3</v>
      </c>
    </row>
    <row r="306" spans="1:12">
      <c r="A306" s="92">
        <f t="shared" si="16"/>
        <v>42155</v>
      </c>
      <c r="B306" s="32">
        <f t="shared" si="23"/>
        <v>5</v>
      </c>
      <c r="C306" s="32">
        <f t="shared" si="24"/>
        <v>2015</v>
      </c>
      <c r="D306" s="33">
        <v>4.1000000000000003E-3</v>
      </c>
      <c r="E306" s="39">
        <v>4.0000000000000001E-3</v>
      </c>
      <c r="F306" s="34">
        <v>4.4999999999999997E-3</v>
      </c>
      <c r="G306" s="33">
        <v>9.9000000000000008E-3</v>
      </c>
      <c r="H306" s="34">
        <v>7.4000000000000003E-3</v>
      </c>
      <c r="I306" s="34">
        <v>6.0000000000000001E-3</v>
      </c>
      <c r="J306" s="34">
        <v>6.1999999999999998E-3</v>
      </c>
      <c r="K306" s="34">
        <v>9.9000000000000008E-3</v>
      </c>
      <c r="L306" s="34">
        <v>5.0000000000000001E-3</v>
      </c>
    </row>
    <row r="307" spans="1:12">
      <c r="A307" s="92">
        <f t="shared" si="16"/>
        <v>42185</v>
      </c>
      <c r="B307" s="32">
        <f t="shared" si="23"/>
        <v>6</v>
      </c>
      <c r="C307" s="32">
        <f t="shared" si="24"/>
        <v>2015</v>
      </c>
      <c r="D307" s="33">
        <v>6.7000000000000002E-3</v>
      </c>
      <c r="E307" s="39">
        <v>6.7999999999999996E-3</v>
      </c>
      <c r="F307" s="34">
        <v>1.8700000000000001E-2</v>
      </c>
      <c r="G307" s="33">
        <v>7.7000000000000002E-3</v>
      </c>
      <c r="H307" s="34">
        <v>7.9000000000000008E-3</v>
      </c>
      <c r="I307" s="34">
        <v>9.9000000000000008E-3</v>
      </c>
      <c r="J307" s="34">
        <v>4.7000000000000002E-3</v>
      </c>
      <c r="K307" s="34">
        <v>1.0699999999999999E-2</v>
      </c>
      <c r="L307" s="34">
        <v>5.0000000000000001E-3</v>
      </c>
    </row>
    <row r="308" spans="1:12">
      <c r="A308" s="92">
        <f t="shared" si="16"/>
        <v>42216</v>
      </c>
      <c r="B308" s="32">
        <f t="shared" si="23"/>
        <v>7</v>
      </c>
      <c r="C308" s="32">
        <f t="shared" si="24"/>
        <v>2015</v>
      </c>
      <c r="D308" s="46">
        <v>6.8999999999999999E-3</v>
      </c>
      <c r="E308" s="39">
        <v>5.7999999999999996E-3</v>
      </c>
      <c r="F308" s="34">
        <v>6.6E-3</v>
      </c>
      <c r="G308" s="46">
        <v>5.7999999999999996E-3</v>
      </c>
      <c r="H308" s="34">
        <v>6.1999999999999998E-3</v>
      </c>
      <c r="I308" s="34">
        <v>5.8999999999999999E-3</v>
      </c>
      <c r="J308" s="34">
        <v>8.5000000000000006E-3</v>
      </c>
      <c r="K308" s="34">
        <v>1.18E-2</v>
      </c>
      <c r="L308" s="34">
        <v>5.4169999999999999E-3</v>
      </c>
    </row>
    <row r="309" spans="1:12">
      <c r="A309" s="92">
        <f t="shared" si="16"/>
        <v>42247</v>
      </c>
      <c r="B309" s="32">
        <f t="shared" si="23"/>
        <v>8</v>
      </c>
      <c r="C309" s="32">
        <f t="shared" si="24"/>
        <v>2015</v>
      </c>
      <c r="D309" s="46">
        <v>2.8E-3</v>
      </c>
      <c r="E309" s="46">
        <v>4.0000000000000001E-3</v>
      </c>
      <c r="F309" s="34">
        <v>8.0000000000000002E-3</v>
      </c>
      <c r="G309" s="46">
        <v>2.5000000000000001E-3</v>
      </c>
      <c r="H309" s="34">
        <v>2.2000000000000001E-3</v>
      </c>
      <c r="I309" s="34">
        <v>4.3E-3</v>
      </c>
      <c r="J309" s="34">
        <v>5.5999999999999999E-3</v>
      </c>
      <c r="K309" s="34">
        <v>1.11E-2</v>
      </c>
      <c r="L309" s="34">
        <v>5.4169999999999999E-3</v>
      </c>
    </row>
    <row r="310" spans="1:12">
      <c r="A310" s="92">
        <f t="shared" si="16"/>
        <v>42277</v>
      </c>
      <c r="B310" s="32">
        <f t="shared" si="23"/>
        <v>9</v>
      </c>
      <c r="C310" s="32">
        <f t="shared" si="24"/>
        <v>2015</v>
      </c>
      <c r="D310" s="46">
        <v>9.4999999999999998E-3</v>
      </c>
      <c r="E310" s="46">
        <v>1.4200000000000001E-2</v>
      </c>
      <c r="F310" s="34">
        <v>2.2000000000000001E-3</v>
      </c>
      <c r="G310" s="46">
        <v>5.1000000000000004E-3</v>
      </c>
      <c r="H310" s="34">
        <v>5.4000000000000003E-3</v>
      </c>
      <c r="I310" s="34">
        <v>3.8999999999999998E-3</v>
      </c>
      <c r="J310" s="34">
        <v>6.6E-3</v>
      </c>
      <c r="K310" s="34">
        <v>1.11E-2</v>
      </c>
      <c r="L310" s="34">
        <v>5.4169999999999999E-3</v>
      </c>
    </row>
    <row r="311" spans="1:12">
      <c r="A311" s="92">
        <f t="shared" si="16"/>
        <v>42308</v>
      </c>
      <c r="B311" s="32">
        <f t="shared" si="23"/>
        <v>10</v>
      </c>
      <c r="C311" s="32">
        <f t="shared" si="24"/>
        <v>2015</v>
      </c>
      <c r="D311" s="46">
        <v>1.89E-2</v>
      </c>
      <c r="E311" s="46">
        <v>1.7600000000000001E-2</v>
      </c>
      <c r="F311" s="34">
        <v>2.7000000000000001E-3</v>
      </c>
      <c r="G311" s="46">
        <v>7.7000000000000002E-3</v>
      </c>
      <c r="H311" s="34">
        <v>8.2000000000000007E-3</v>
      </c>
      <c r="I311" s="34">
        <v>6.6E-3</v>
      </c>
      <c r="J311" s="34">
        <v>8.8000000000000005E-3</v>
      </c>
      <c r="K311" s="34">
        <v>1.11E-2</v>
      </c>
      <c r="L311" s="34">
        <v>5.8329999999999996E-3</v>
      </c>
    </row>
    <row r="312" spans="1:12">
      <c r="A312" s="92">
        <f t="shared" si="16"/>
        <v>42338</v>
      </c>
      <c r="B312" s="32">
        <f t="shared" si="23"/>
        <v>11</v>
      </c>
      <c r="C312" s="32">
        <f t="shared" si="24"/>
        <v>2015</v>
      </c>
      <c r="D312" s="46">
        <v>1.52E-2</v>
      </c>
      <c r="E312" s="46">
        <v>1.1900000000000001E-2</v>
      </c>
      <c r="F312" s="34">
        <v>4.0000000000000001E-3</v>
      </c>
      <c r="G312" s="46">
        <v>1.11E-2</v>
      </c>
      <c r="H312" s="34">
        <v>1.01E-2</v>
      </c>
      <c r="I312" s="34">
        <v>8.5000000000000006E-3</v>
      </c>
      <c r="J312" s="34">
        <v>1.06E-2</v>
      </c>
      <c r="K312" s="34">
        <v>1.06E-2</v>
      </c>
      <c r="L312" s="34">
        <v>5.8329999999999996E-3</v>
      </c>
    </row>
    <row r="313" spans="1:12">
      <c r="A313" s="92">
        <f t="shared" si="16"/>
        <v>42369</v>
      </c>
      <c r="B313" s="32">
        <f t="shared" si="23"/>
        <v>12</v>
      </c>
      <c r="C313" s="32">
        <f t="shared" si="24"/>
        <v>2015</v>
      </c>
      <c r="D313" s="33">
        <v>4.8999999999999998E-3</v>
      </c>
      <c r="E313" s="46">
        <v>4.4000000000000003E-3</v>
      </c>
      <c r="F313" s="34">
        <v>1.1999999999999999E-3</v>
      </c>
      <c r="G313" s="46">
        <v>8.9999999999999993E-3</v>
      </c>
      <c r="H313" s="34">
        <v>9.5999999999999992E-3</v>
      </c>
      <c r="I313" s="34">
        <v>1.18E-2</v>
      </c>
      <c r="J313" s="34">
        <v>8.2000000000000007E-3</v>
      </c>
      <c r="K313" s="34">
        <v>1.1599999999999999E-2</v>
      </c>
      <c r="L313" s="34">
        <v>5.8329999999999996E-3</v>
      </c>
    </row>
    <row r="314" spans="1:12">
      <c r="A314" s="92">
        <f t="shared" si="16"/>
        <v>42400</v>
      </c>
      <c r="B314" s="32">
        <f t="shared" si="23"/>
        <v>1</v>
      </c>
      <c r="C314" s="32">
        <f t="shared" si="24"/>
        <v>2016</v>
      </c>
      <c r="D314" s="33">
        <v>1.14E-2</v>
      </c>
      <c r="E314" s="39">
        <v>1.5299999999999999E-2</v>
      </c>
      <c r="F314" s="34">
        <v>3.2000000000000002E-3</v>
      </c>
      <c r="G314" s="46">
        <v>1.5100000000000001E-2</v>
      </c>
      <c r="H314" s="34">
        <v>1.2699999999999999E-2</v>
      </c>
      <c r="I314" s="34">
        <v>9.1999999999999998E-3</v>
      </c>
      <c r="J314" s="34">
        <v>1.37E-2</v>
      </c>
      <c r="K314" s="34">
        <v>1.0629E-2</v>
      </c>
      <c r="L314" s="34">
        <v>6.2500000000000003E-3</v>
      </c>
    </row>
    <row r="315" spans="1:12">
      <c r="A315" s="92">
        <f t="shared" si="16"/>
        <v>42429</v>
      </c>
      <c r="B315" s="32">
        <f t="shared" si="23"/>
        <v>2</v>
      </c>
      <c r="C315" s="32">
        <f t="shared" si="24"/>
        <v>2016</v>
      </c>
      <c r="D315" s="33">
        <v>1.29E-2</v>
      </c>
      <c r="E315" s="39">
        <v>7.9000000000000008E-3</v>
      </c>
      <c r="F315" s="34">
        <v>5.1999999999999998E-3</v>
      </c>
      <c r="G315" s="46">
        <v>9.4999999999999998E-3</v>
      </c>
      <c r="H315" s="34">
        <v>8.9999999999999993E-3</v>
      </c>
      <c r="I315" s="34">
        <v>1.4200000000000001E-2</v>
      </c>
      <c r="J315" s="34">
        <v>8.8999999999999999E-3</v>
      </c>
      <c r="K315" s="34">
        <v>1.0095E-2</v>
      </c>
      <c r="L315" s="34">
        <v>6.2500000000000003E-3</v>
      </c>
    </row>
    <row r="316" spans="1:12">
      <c r="A316" s="92">
        <f t="shared" si="16"/>
        <v>42460</v>
      </c>
      <c r="B316" s="32">
        <f t="shared" si="23"/>
        <v>3</v>
      </c>
      <c r="C316" s="32">
        <f t="shared" si="24"/>
        <v>2016</v>
      </c>
      <c r="D316" s="33">
        <v>5.1000000000000004E-3</v>
      </c>
      <c r="E316" s="33">
        <v>4.3E-3</v>
      </c>
      <c r="F316" s="34">
        <v>7.9000000000000008E-3</v>
      </c>
      <c r="G316" s="46">
        <v>4.4000000000000003E-3</v>
      </c>
      <c r="H316" s="34">
        <v>4.3E-3</v>
      </c>
      <c r="I316" s="34">
        <v>4.3E-3</v>
      </c>
      <c r="J316" s="34">
        <v>9.7000000000000003E-3</v>
      </c>
      <c r="K316" s="34">
        <v>1.1698E-2</v>
      </c>
      <c r="L316" s="34">
        <v>6.2500000000000003E-3</v>
      </c>
    </row>
    <row r="317" spans="1:12">
      <c r="A317" s="92">
        <f t="shared" si="16"/>
        <v>42490</v>
      </c>
      <c r="B317" s="32">
        <f t="shared" si="23"/>
        <v>4</v>
      </c>
      <c r="C317" s="32">
        <f t="shared" si="24"/>
        <v>2016</v>
      </c>
      <c r="D317" s="33">
        <v>3.3E-3</v>
      </c>
      <c r="E317" s="33">
        <v>3.5999999999999999E-3</v>
      </c>
      <c r="F317" s="34">
        <v>4.1000000000000003E-3</v>
      </c>
      <c r="G317" s="46">
        <v>6.4000000000000003E-3</v>
      </c>
      <c r="H317" s="34">
        <v>6.1000000000000004E-3</v>
      </c>
      <c r="I317" s="34">
        <v>5.1000000000000004E-3</v>
      </c>
      <c r="J317" s="34">
        <v>4.5999999999999999E-3</v>
      </c>
      <c r="K317" s="34">
        <v>1.0629E-2</v>
      </c>
      <c r="L317" s="34">
        <v>6.2500000000000003E-3</v>
      </c>
    </row>
    <row r="318" spans="1:12">
      <c r="A318" s="92">
        <f t="shared" si="16"/>
        <v>42521</v>
      </c>
      <c r="B318" s="32">
        <f t="shared" si="23"/>
        <v>5</v>
      </c>
      <c r="C318" s="32">
        <f t="shared" si="24"/>
        <v>2016</v>
      </c>
      <c r="D318" s="33">
        <v>8.2000000000000007E-3</v>
      </c>
      <c r="E318" s="33">
        <v>1.1299999999999999E-2</v>
      </c>
      <c r="F318" s="34">
        <v>1.9E-3</v>
      </c>
      <c r="G318" s="46">
        <v>9.7999999999999997E-3</v>
      </c>
      <c r="H318" s="34">
        <v>7.7999999999999996E-3</v>
      </c>
      <c r="I318" s="34">
        <v>8.6E-3</v>
      </c>
      <c r="J318" s="34">
        <v>5.7000000000000002E-3</v>
      </c>
      <c r="K318" s="34">
        <v>1.1162999999999999E-2</v>
      </c>
      <c r="L318" s="34">
        <v>6.2500000000000003E-3</v>
      </c>
    </row>
    <row r="319" spans="1:12">
      <c r="A319" s="92">
        <f t="shared" si="16"/>
        <v>42551</v>
      </c>
      <c r="B319" s="32">
        <f t="shared" si="23"/>
        <v>6</v>
      </c>
      <c r="C319" s="32">
        <f t="shared" si="24"/>
        <v>2016</v>
      </c>
      <c r="D319" s="33">
        <v>1.6899999999999998E-2</v>
      </c>
      <c r="E319" s="33">
        <v>1.6299999999999999E-2</v>
      </c>
      <c r="F319" s="34">
        <v>1.52E-2</v>
      </c>
      <c r="G319" s="46">
        <v>4.7000000000000002E-3</v>
      </c>
      <c r="H319" s="34">
        <v>3.5000000000000001E-3</v>
      </c>
      <c r="I319" s="34">
        <v>4.0000000000000001E-3</v>
      </c>
      <c r="J319" s="34">
        <v>6.4999999999999997E-3</v>
      </c>
      <c r="K319" s="34">
        <v>1.1698E-2</v>
      </c>
      <c r="L319" s="34">
        <v>6.2500000000000003E-3</v>
      </c>
    </row>
    <row r="320" spans="1:12">
      <c r="A320" s="92">
        <f t="shared" si="16"/>
        <v>42582</v>
      </c>
      <c r="B320" s="32">
        <f t="shared" ref="B320" si="25">IF(A320="","",MONTH(A320))</f>
        <v>7</v>
      </c>
      <c r="C320" s="32">
        <f t="shared" ref="C320" si="26">IF(A320="","",YEAR(A320))</f>
        <v>2016</v>
      </c>
      <c r="D320" s="33">
        <v>1.8E-3</v>
      </c>
      <c r="E320" s="33">
        <v>-3.8999999999999998E-3</v>
      </c>
      <c r="F320" s="34">
        <v>1.09E-2</v>
      </c>
      <c r="G320" s="46">
        <v>6.4000000000000003E-3</v>
      </c>
      <c r="H320" s="34">
        <v>5.1999999999999998E-3</v>
      </c>
      <c r="I320" s="34">
        <v>5.4000000000000003E-3</v>
      </c>
      <c r="J320" s="34">
        <v>3.5000000000000001E-3</v>
      </c>
      <c r="K320" s="34">
        <v>1.1162999999999999E-2</v>
      </c>
      <c r="L320" s="34">
        <v>6.2500000000000003E-3</v>
      </c>
    </row>
    <row r="321" spans="1:12">
      <c r="A321" s="92">
        <f t="shared" si="16"/>
        <v>42613</v>
      </c>
      <c r="B321" s="32">
        <f t="shared" si="23"/>
        <v>8</v>
      </c>
      <c r="C321" s="32">
        <f t="shared" si="24"/>
        <v>2016</v>
      </c>
      <c r="D321" s="33">
        <v>1.5E-3</v>
      </c>
      <c r="E321" s="33">
        <v>4.3E-3</v>
      </c>
      <c r="F321" s="34">
        <v>2.5999999999999999E-3</v>
      </c>
      <c r="G321" s="33">
        <v>3.0999999999999999E-3</v>
      </c>
      <c r="H321" s="34">
        <v>4.4000000000000003E-3</v>
      </c>
      <c r="I321" s="34">
        <v>4.4999999999999997E-3</v>
      </c>
      <c r="J321" s="34">
        <v>1.1000000000000001E-3</v>
      </c>
      <c r="K321" s="34">
        <v>1.2233000000000001E-2</v>
      </c>
      <c r="L321" s="34">
        <v>6.2500000000000003E-3</v>
      </c>
    </row>
    <row r="322" spans="1:12">
      <c r="A322" s="92">
        <f t="shared" si="16"/>
        <v>42643</v>
      </c>
      <c r="B322" s="32">
        <f t="shared" si="23"/>
        <v>9</v>
      </c>
      <c r="C322" s="32">
        <f t="shared" si="24"/>
        <v>2016</v>
      </c>
      <c r="D322" s="33">
        <v>2E-3</v>
      </c>
      <c r="E322" s="33">
        <v>2.9999999999999997E-4</v>
      </c>
      <c r="F322" s="34">
        <v>3.7000000000000002E-3</v>
      </c>
      <c r="G322" s="33">
        <v>8.0000000000000004E-4</v>
      </c>
      <c r="H322" s="34">
        <v>8.0000000000000004E-4</v>
      </c>
      <c r="I322" s="34">
        <v>2.3E-3</v>
      </c>
      <c r="J322" s="34">
        <v>-1.4E-3</v>
      </c>
      <c r="K322" s="34">
        <v>1.1162999999999999E-2</v>
      </c>
      <c r="L322" s="34">
        <v>6.2500000000000003E-3</v>
      </c>
    </row>
    <row r="323" spans="1:12">
      <c r="A323" s="92">
        <f t="shared" si="16"/>
        <v>42674</v>
      </c>
      <c r="B323" s="32">
        <f t="shared" ref="B323" si="27">IF(A323="","",MONTH(A323))</f>
        <v>10</v>
      </c>
      <c r="C323" s="32">
        <f t="shared" ref="C323" si="28">IF(A323="","",YEAR(A323))</f>
        <v>2016</v>
      </c>
      <c r="D323" s="33">
        <v>1.6000000000000001E-3</v>
      </c>
      <c r="E323" s="33">
        <v>1.2999999999999999E-3</v>
      </c>
      <c r="F323" s="34">
        <v>1.6999999999999999E-3</v>
      </c>
      <c r="G323" s="33">
        <v>1.6999999999999999E-3</v>
      </c>
      <c r="H323" s="34">
        <v>2.5999999999999999E-3</v>
      </c>
      <c r="I323" s="34">
        <v>1.9E-3</v>
      </c>
      <c r="J323" s="34">
        <v>2.7000000000000001E-3</v>
      </c>
      <c r="K323" s="34">
        <v>1.1275E-2</v>
      </c>
      <c r="L323" s="34">
        <v>6.2500000000000003E-3</v>
      </c>
    </row>
    <row r="324" spans="1:12">
      <c r="A324" s="92">
        <f t="shared" ref="A324:A329" si="29">EOMONTH(A323,1)</f>
        <v>42704</v>
      </c>
      <c r="B324" s="32">
        <f t="shared" ref="B324" si="30">IF(A324="","",MONTH(A324))</f>
        <v>11</v>
      </c>
      <c r="C324" s="32">
        <f t="shared" ref="C324" si="31">IF(A324="","",YEAR(A324))</f>
        <v>2016</v>
      </c>
      <c r="D324" s="33">
        <v>-2.9999999999999997E-4</v>
      </c>
      <c r="E324" s="33">
        <v>5.0000000000000001E-4</v>
      </c>
      <c r="F324" s="34">
        <v>1.6999999999999999E-3</v>
      </c>
      <c r="G324" s="33">
        <v>6.9999999999999999E-4</v>
      </c>
      <c r="H324" s="34">
        <v>1.8E-3</v>
      </c>
      <c r="I324" s="34">
        <v>2.5999999999999999E-3</v>
      </c>
      <c r="J324" s="34">
        <v>1.5E-3</v>
      </c>
      <c r="K324" s="34">
        <v>1.0798E-2</v>
      </c>
      <c r="L324" s="34">
        <v>6.2500000000000003E-3</v>
      </c>
    </row>
    <row r="325" spans="1:12">
      <c r="A325" s="92">
        <f t="shared" si="29"/>
        <v>42735</v>
      </c>
      <c r="B325" s="32">
        <f t="shared" ref="B325:B326" si="32">IF(A325="","",MONTH(A325))</f>
        <v>12</v>
      </c>
      <c r="C325" s="32">
        <f t="shared" ref="C325:C326" si="33">IF(A325="","",YEAR(A325))</f>
        <v>2016</v>
      </c>
      <c r="D325" s="33">
        <v>5.4000000000000003E-3</v>
      </c>
      <c r="E325" s="33">
        <v>8.3000000000000001E-3</v>
      </c>
      <c r="F325" s="34">
        <v>3.5999999999999999E-3</v>
      </c>
      <c r="G325" s="33">
        <v>1.4E-3</v>
      </c>
      <c r="H325" s="34">
        <v>3.0000000000000001E-3</v>
      </c>
      <c r="I325" s="34">
        <v>1.9E-3</v>
      </c>
      <c r="J325" s="34">
        <v>7.1999999999999998E-3</v>
      </c>
      <c r="K325" s="34">
        <v>1.0972000000000001E-2</v>
      </c>
      <c r="L325" s="34">
        <v>6.2500000000000003E-3</v>
      </c>
    </row>
    <row r="326" spans="1:12">
      <c r="A326" s="92">
        <f t="shared" si="29"/>
        <v>42766</v>
      </c>
      <c r="B326" s="32">
        <f t="shared" si="32"/>
        <v>1</v>
      </c>
      <c r="C326" s="32">
        <f t="shared" si="33"/>
        <v>2017</v>
      </c>
      <c r="D326" s="33">
        <v>6.4000000000000003E-3</v>
      </c>
      <c r="E326" s="33">
        <v>4.3E-3</v>
      </c>
      <c r="F326" s="34">
        <v>2.8999999999999998E-3</v>
      </c>
      <c r="G326" s="33">
        <v>4.1999999999999997E-3</v>
      </c>
      <c r="H326" s="34">
        <v>3.8E-3</v>
      </c>
      <c r="I326" s="34">
        <v>3.0999999999999999E-3</v>
      </c>
      <c r="J326" s="34">
        <v>3.2000000000000002E-3</v>
      </c>
      <c r="K326" s="34">
        <v>1.0636E-2</v>
      </c>
      <c r="L326" s="34">
        <v>6.2500000000000003E-3</v>
      </c>
    </row>
    <row r="327" spans="1:12">
      <c r="A327" s="92">
        <f t="shared" si="29"/>
        <v>42794</v>
      </c>
      <c r="B327" s="32">
        <f t="shared" si="23"/>
        <v>2</v>
      </c>
      <c r="C327" s="32">
        <f t="shared" si="24"/>
        <v>2017</v>
      </c>
      <c r="D327" s="33">
        <v>8.0000000000000004E-4</v>
      </c>
      <c r="E327" s="33">
        <v>5.9999999999999995E-4</v>
      </c>
      <c r="F327" s="34">
        <v>5.3E-3</v>
      </c>
      <c r="G327" s="33">
        <v>2.3999999999999998E-3</v>
      </c>
      <c r="H327" s="34">
        <v>3.3E-3</v>
      </c>
      <c r="I327" s="34">
        <v>5.4000000000000003E-3</v>
      </c>
      <c r="J327" s="34">
        <v>-8.0000000000000004E-4</v>
      </c>
      <c r="K327" s="34">
        <v>9.3089999999999996E-3</v>
      </c>
      <c r="L327" s="34">
        <v>6.2500000000000003E-3</v>
      </c>
    </row>
    <row r="328" spans="1:12" s="50" customFormat="1">
      <c r="A328" s="93">
        <f t="shared" si="29"/>
        <v>42825</v>
      </c>
      <c r="B328" s="47">
        <f t="shared" si="23"/>
        <v>3</v>
      </c>
      <c r="C328" s="47">
        <f t="shared" si="24"/>
        <v>2017</v>
      </c>
      <c r="D328" s="48">
        <v>1E-4</v>
      </c>
      <c r="E328" s="48">
        <v>-3.8E-3</v>
      </c>
      <c r="F328" s="49">
        <v>3.5999999999999999E-3</v>
      </c>
      <c r="G328" s="48">
        <v>3.2000000000000002E-3</v>
      </c>
      <c r="H328" s="49">
        <v>2.5000000000000001E-3</v>
      </c>
      <c r="I328" s="49">
        <v>1.5E-3</v>
      </c>
      <c r="J328" s="49">
        <v>1.4E-3</v>
      </c>
      <c r="K328" s="49">
        <v>9.8630000000000002E-3</v>
      </c>
      <c r="L328" s="49">
        <v>6.2500000000000003E-3</v>
      </c>
    </row>
    <row r="329" spans="1:12">
      <c r="A329" s="92">
        <f t="shared" si="29"/>
        <v>42855</v>
      </c>
      <c r="B329" s="32">
        <f t="shared" si="23"/>
        <v>4</v>
      </c>
      <c r="C329" s="32">
        <f t="shared" si="24"/>
        <v>2017</v>
      </c>
      <c r="D329" s="33">
        <v>-1.0999999999999999E-2</v>
      </c>
      <c r="E329" s="33">
        <v>-1.24E-2</v>
      </c>
      <c r="F329" s="34">
        <v>-8.0000000000000004E-4</v>
      </c>
      <c r="G329" s="33">
        <v>8.0000000000000004E-4</v>
      </c>
      <c r="H329" s="34">
        <v>1.4E-3</v>
      </c>
      <c r="I329" s="34">
        <v>2.0999999999999999E-3</v>
      </c>
      <c r="J329" s="34">
        <v>6.1000000000000004E-3</v>
      </c>
      <c r="K329" s="34">
        <v>9.0980000000000002E-3</v>
      </c>
      <c r="L329" s="34">
        <v>5.8329999999999996E-3</v>
      </c>
    </row>
    <row r="330" spans="1:12" s="50" customFormat="1">
      <c r="A330" s="93">
        <v>42886</v>
      </c>
      <c r="B330" s="47">
        <f t="shared" si="23"/>
        <v>5</v>
      </c>
      <c r="C330" s="47">
        <f t="shared" si="24"/>
        <v>2017</v>
      </c>
      <c r="D330" s="48">
        <v>-9.2999999999999992E-3</v>
      </c>
      <c r="E330" s="48">
        <v>-5.1000000000000004E-3</v>
      </c>
      <c r="F330" s="49">
        <v>1.2999999999999999E-3</v>
      </c>
      <c r="G330" s="48">
        <v>3.5999999999999999E-3</v>
      </c>
      <c r="H330" s="49">
        <v>3.0999999999999999E-3</v>
      </c>
      <c r="I330" s="49">
        <v>2.3999999999999998E-3</v>
      </c>
      <c r="J330" s="49">
        <v>-5.0000000000000001E-4</v>
      </c>
      <c r="K330" s="49">
        <v>9.0959999999999999E-3</v>
      </c>
      <c r="L330" s="49">
        <v>5.8329999999999996E-3</v>
      </c>
    </row>
    <row r="331" spans="1:12" s="50" customFormat="1">
      <c r="A331" s="93">
        <v>42916</v>
      </c>
      <c r="B331" s="47">
        <f t="shared" ref="B331" si="34">IF(A331="","",MONTH(A331))</f>
        <v>6</v>
      </c>
      <c r="C331" s="47">
        <f t="shared" ref="C331" si="35">IF(A331="","",YEAR(A331))</f>
        <v>2017</v>
      </c>
      <c r="D331" s="48">
        <v>-6.7000000000000002E-3</v>
      </c>
      <c r="E331" s="48">
        <v>-9.5999999999999992E-3</v>
      </c>
      <c r="F331" s="49">
        <v>1.3599999999999999E-2</v>
      </c>
      <c r="G331" s="48">
        <v>-3.0000000000000001E-3</v>
      </c>
      <c r="H331" s="49">
        <v>-2.3E-3</v>
      </c>
      <c r="I331" s="49">
        <v>1.6000000000000001E-3</v>
      </c>
      <c r="J331" s="49">
        <v>5.0000000000000001E-4</v>
      </c>
      <c r="K331" s="49">
        <v>8.0529999999999994E-3</v>
      </c>
      <c r="L331" s="49">
        <v>5.8329999999999996E-3</v>
      </c>
    </row>
    <row r="332" spans="1:12" s="54" customFormat="1">
      <c r="A332" s="94">
        <v>42947</v>
      </c>
      <c r="B332" s="51">
        <f t="shared" ref="B332:B333" si="36">IF(A332="","",MONTH(A332))</f>
        <v>7</v>
      </c>
      <c r="C332" s="51">
        <f t="shared" ref="C332:C333" si="37">IF(A332="","",YEAR(A332))</f>
        <v>2017</v>
      </c>
      <c r="D332" s="52">
        <v>-7.1999999999999998E-3</v>
      </c>
      <c r="E332" s="52">
        <v>-3.0000000000000001E-3</v>
      </c>
      <c r="F332" s="53">
        <v>2.2000000000000001E-3</v>
      </c>
      <c r="G332" s="48">
        <v>1.6999999999999999E-3</v>
      </c>
      <c r="H332" s="49">
        <v>2.3999999999999998E-3</v>
      </c>
      <c r="I332" s="53">
        <v>-1.8E-3</v>
      </c>
      <c r="J332" s="53">
        <v>-1E-4</v>
      </c>
      <c r="K332" s="53">
        <v>8.1960000000000002E-3</v>
      </c>
      <c r="L332" s="53">
        <v>5.8329999999999996E-3</v>
      </c>
    </row>
    <row r="333" spans="1:12" s="54" customFormat="1">
      <c r="A333" s="94">
        <v>42978</v>
      </c>
      <c r="B333" s="51">
        <f t="shared" si="36"/>
        <v>8</v>
      </c>
      <c r="C333" s="51">
        <f t="shared" si="37"/>
        <v>2017</v>
      </c>
      <c r="D333" s="52">
        <v>1E-3</v>
      </c>
      <c r="E333" s="52">
        <v>2.3999999999999998E-3</v>
      </c>
      <c r="F333" s="53">
        <v>4.0000000000000001E-3</v>
      </c>
      <c r="G333" s="52">
        <v>-2.9999999999999997E-4</v>
      </c>
      <c r="H333" s="53">
        <v>1.9E-3</v>
      </c>
      <c r="I333" s="53">
        <v>3.5000000000000001E-3</v>
      </c>
      <c r="J333" s="53">
        <v>1E-3</v>
      </c>
      <c r="K333" s="53">
        <v>7.5420000000000001E-3</v>
      </c>
      <c r="L333" s="53">
        <v>5.8329999999999996E-3</v>
      </c>
    </row>
    <row r="334" spans="1:12" s="54" customFormat="1">
      <c r="A334" s="94">
        <v>43008</v>
      </c>
      <c r="B334" s="51">
        <f t="shared" ref="B334" si="38">IF(A334="","",MONTH(A334))</f>
        <v>9</v>
      </c>
      <c r="C334" s="51">
        <f t="shared" ref="C334" si="39">IF(A334="","",YEAR(A334))</f>
        <v>2017</v>
      </c>
      <c r="D334" s="52">
        <v>4.7000000000000002E-3</v>
      </c>
      <c r="E334" s="52">
        <v>6.1999999999999998E-3</v>
      </c>
      <c r="F334" s="53">
        <v>1.4E-3</v>
      </c>
      <c r="G334" s="52">
        <v>-2.0000000000000001E-4</v>
      </c>
      <c r="H334" s="53">
        <v>1.6000000000000001E-3</v>
      </c>
      <c r="I334" s="53">
        <v>1.1000000000000001E-3</v>
      </c>
      <c r="J334" s="53">
        <v>2.0000000000000001E-4</v>
      </c>
      <c r="K334" s="53">
        <v>6.4700000000000001E-3</v>
      </c>
      <c r="L334" s="53">
        <v>5.8329999999999996E-3</v>
      </c>
    </row>
    <row r="335" spans="1:12">
      <c r="A335" s="92">
        <v>43039</v>
      </c>
      <c r="B335" s="32">
        <f t="shared" si="23"/>
        <v>10</v>
      </c>
      <c r="C335" s="32">
        <f t="shared" si="24"/>
        <v>2017</v>
      </c>
      <c r="D335" s="33">
        <v>2E-3</v>
      </c>
      <c r="E335" s="33">
        <v>1E-3</v>
      </c>
      <c r="F335" s="34">
        <v>1.9E-3</v>
      </c>
      <c r="G335" s="33">
        <v>3.7000000000000002E-3</v>
      </c>
      <c r="H335" s="34">
        <v>4.1999999999999997E-3</v>
      </c>
      <c r="I335" s="34">
        <v>3.3999999999999998E-3</v>
      </c>
      <c r="J335" s="34">
        <v>3.2000000000000002E-3</v>
      </c>
      <c r="K335" s="34">
        <v>6.6400000000000001E-3</v>
      </c>
      <c r="L335" s="53">
        <v>5.8329999999999996E-3</v>
      </c>
    </row>
    <row r="336" spans="1:12">
      <c r="A336" s="92">
        <v>43069</v>
      </c>
      <c r="B336" s="32">
        <f t="shared" si="23"/>
        <v>11</v>
      </c>
      <c r="C336" s="32">
        <f t="shared" si="24"/>
        <v>2017</v>
      </c>
      <c r="D336" s="33">
        <v>5.1999999999999998E-3</v>
      </c>
      <c r="E336" s="33">
        <v>8.0000000000000002E-3</v>
      </c>
      <c r="F336" s="34">
        <v>2.8E-3</v>
      </c>
      <c r="G336" s="33">
        <v>1.8E-3</v>
      </c>
      <c r="H336" s="34">
        <v>2.8E-3</v>
      </c>
      <c r="I336" s="34">
        <v>3.2000000000000002E-3</v>
      </c>
      <c r="J336" s="34">
        <v>2.8999999999999998E-3</v>
      </c>
      <c r="K336" s="34">
        <v>5.9620000000000003E-3</v>
      </c>
      <c r="L336" s="53">
        <v>5.8329999999999996E-3</v>
      </c>
    </row>
    <row r="337" spans="1:12">
      <c r="A337" s="92">
        <v>43100</v>
      </c>
      <c r="B337" s="32">
        <f t="shared" si="23"/>
        <v>12</v>
      </c>
      <c r="C337" s="32">
        <f t="shared" si="24"/>
        <v>2017</v>
      </c>
      <c r="D337" s="33">
        <v>8.8999999999999999E-3</v>
      </c>
      <c r="E337" s="33">
        <v>7.4000000000000003E-3</v>
      </c>
      <c r="F337" s="34">
        <v>1.4E-3</v>
      </c>
      <c r="G337" s="33">
        <v>2.5999999999999999E-3</v>
      </c>
      <c r="H337" s="34">
        <v>4.4000000000000003E-3</v>
      </c>
      <c r="I337" s="34">
        <v>3.5000000000000001E-3</v>
      </c>
      <c r="J337" s="34">
        <v>5.4999999999999997E-3</v>
      </c>
      <c r="K337" s="34">
        <v>5.8399999999999997E-3</v>
      </c>
      <c r="L337" s="53">
        <v>5.8329999999999996E-3</v>
      </c>
    </row>
    <row r="338" spans="1:12">
      <c r="A338" s="92">
        <v>43131</v>
      </c>
      <c r="B338" s="32">
        <f t="shared" si="23"/>
        <v>1</v>
      </c>
      <c r="C338" s="32">
        <f t="shared" si="24"/>
        <v>2018</v>
      </c>
      <c r="D338" s="33">
        <v>7.6E-3</v>
      </c>
      <c r="E338" s="33">
        <v>5.7999999999999996E-3</v>
      </c>
      <c r="F338" s="34">
        <v>2.8E-3</v>
      </c>
      <c r="G338" s="33">
        <v>2.3E-3</v>
      </c>
      <c r="H338" s="34">
        <v>2.8999999999999998E-3</v>
      </c>
      <c r="I338" s="34">
        <v>3.8999999999999998E-3</v>
      </c>
      <c r="J338" s="34">
        <v>4.5999999999999999E-3</v>
      </c>
      <c r="K338" s="34">
        <v>5.7629999999999999E-3</v>
      </c>
      <c r="L338" s="34">
        <v>5.6249999999999998E-3</v>
      </c>
    </row>
    <row r="339" spans="1:12">
      <c r="A339" s="92">
        <v>43159</v>
      </c>
      <c r="B339" s="32">
        <f t="shared" si="23"/>
        <v>2</v>
      </c>
      <c r="C339" s="32">
        <f t="shared" si="24"/>
        <v>2018</v>
      </c>
      <c r="D339" s="33">
        <v>6.9999999999999999E-4</v>
      </c>
      <c r="E339" s="33">
        <v>1.5E-3</v>
      </c>
      <c r="F339" s="34">
        <v>1.4E-3</v>
      </c>
      <c r="G339" s="33">
        <v>1.8E-3</v>
      </c>
      <c r="H339" s="34">
        <v>3.2000000000000002E-3</v>
      </c>
      <c r="I339" s="34">
        <v>0.01</v>
      </c>
      <c r="J339" s="34">
        <v>-4.1999999999999997E-3</v>
      </c>
      <c r="K339" s="34">
        <v>5.0679999999999996E-3</v>
      </c>
      <c r="L339" s="34">
        <v>5.6249999999999998E-3</v>
      </c>
    </row>
    <row r="340" spans="1:12">
      <c r="A340" s="92">
        <v>43190</v>
      </c>
      <c r="B340" s="32">
        <f t="shared" si="23"/>
        <v>3</v>
      </c>
      <c r="C340" s="32">
        <f t="shared" si="24"/>
        <v>2018</v>
      </c>
      <c r="D340" s="33">
        <v>6.4000000000000003E-3</v>
      </c>
      <c r="E340" s="33">
        <v>5.5999999999999999E-3</v>
      </c>
      <c r="F340" s="34">
        <v>2.3E-3</v>
      </c>
      <c r="G340" s="33">
        <v>6.9999999999999999E-4</v>
      </c>
      <c r="H340" s="34">
        <v>8.9999999999999998E-4</v>
      </c>
      <c r="I340" s="34">
        <v>2.0999999999999999E-3</v>
      </c>
      <c r="J340" s="34">
        <v>0</v>
      </c>
      <c r="K340" s="34">
        <v>5.4990000000000004E-3</v>
      </c>
      <c r="L340" s="34">
        <v>5.6249999999999998E-3</v>
      </c>
    </row>
    <row r="341" spans="1:12">
      <c r="A341" s="92">
        <v>43220</v>
      </c>
      <c r="B341" s="32">
        <f t="shared" si="23"/>
        <v>4</v>
      </c>
      <c r="C341" s="32">
        <f t="shared" si="24"/>
        <v>2018</v>
      </c>
      <c r="D341" s="33">
        <v>5.7000000000000002E-3</v>
      </c>
      <c r="E341" s="33">
        <v>9.2999999999999992E-3</v>
      </c>
      <c r="F341" s="34">
        <v>2.8E-3</v>
      </c>
      <c r="G341" s="33">
        <v>2.0999999999999999E-3</v>
      </c>
      <c r="H341" s="34">
        <v>2.2000000000000001E-3</v>
      </c>
      <c r="I341" s="34">
        <v>1.4E-3</v>
      </c>
      <c r="J341" s="34">
        <v>-2.9999999999999997E-4</v>
      </c>
      <c r="K341" s="34">
        <v>5.189E-3</v>
      </c>
      <c r="L341" s="34">
        <v>5.4999999999999997E-3</v>
      </c>
    </row>
    <row r="342" spans="1:12">
      <c r="A342" s="92">
        <v>43251</v>
      </c>
      <c r="B342" s="32">
        <f t="shared" si="23"/>
        <v>5</v>
      </c>
      <c r="C342" s="32">
        <f t="shared" si="24"/>
        <v>2018</v>
      </c>
      <c r="D342" s="33">
        <v>1.38E-2</v>
      </c>
      <c r="E342" s="33">
        <v>1.6400000000000001E-2</v>
      </c>
      <c r="F342" s="34">
        <v>3.0000000000000001E-3</v>
      </c>
      <c r="G342" s="33">
        <v>4.3E-3</v>
      </c>
      <c r="H342" s="34">
        <v>4.0000000000000001E-3</v>
      </c>
      <c r="I342" s="34">
        <v>1.11E-2</v>
      </c>
      <c r="J342" s="34">
        <v>1.9E-3</v>
      </c>
      <c r="K342" s="34">
        <v>5.3629999999999997E-3</v>
      </c>
      <c r="L342" s="34">
        <v>5.4999999999999997E-3</v>
      </c>
    </row>
    <row r="343" spans="1:12">
      <c r="A343" s="92">
        <v>43281</v>
      </c>
      <c r="B343" s="32">
        <f t="shared" si="23"/>
        <v>6</v>
      </c>
      <c r="C343" s="32">
        <f t="shared" si="24"/>
        <v>2018</v>
      </c>
      <c r="D343" s="33">
        <v>1.8700000000000001E-2</v>
      </c>
      <c r="E343" s="33">
        <v>1.4800000000000001E-2</v>
      </c>
      <c r="F343" s="34">
        <v>7.6E-3</v>
      </c>
      <c r="G343" s="33">
        <v>1.43E-2</v>
      </c>
      <c r="H343" s="34">
        <v>1.26E-2</v>
      </c>
      <c r="I343" s="34">
        <v>6.4000000000000003E-3</v>
      </c>
      <c r="J343" s="34">
        <v>1.01E-2</v>
      </c>
      <c r="K343" s="34">
        <v>5.189E-3</v>
      </c>
      <c r="L343" s="34">
        <v>5.4999999999999997E-3</v>
      </c>
    </row>
    <row r="344" spans="1:12">
      <c r="A344" s="92">
        <v>43312</v>
      </c>
      <c r="B344" s="32">
        <f t="shared" si="23"/>
        <v>7</v>
      </c>
      <c r="C344" s="32">
        <f t="shared" si="24"/>
        <v>2018</v>
      </c>
      <c r="D344" s="33">
        <v>5.1000000000000004E-3</v>
      </c>
      <c r="E344" s="33">
        <v>4.4000000000000003E-3</v>
      </c>
      <c r="F344" s="34">
        <v>7.1999999999999998E-3</v>
      </c>
      <c r="G344" s="33">
        <v>2.5000000000000001E-3</v>
      </c>
      <c r="H344" s="34">
        <v>3.3E-3</v>
      </c>
      <c r="J344" s="34">
        <v>2.3E-3</v>
      </c>
      <c r="K344" s="34">
        <v>5.3629999999999997E-3</v>
      </c>
      <c r="L344" s="34">
        <v>5.4669999999999996E-3</v>
      </c>
    </row>
    <row r="345" spans="1:12">
      <c r="A345" s="92">
        <v>43343</v>
      </c>
      <c r="B345" s="32">
        <f t="shared" si="23"/>
        <v>8</v>
      </c>
      <c r="C345" s="32">
        <f t="shared" si="24"/>
        <v>2018</v>
      </c>
      <c r="D345" s="33">
        <v>7.0000000000000001E-3</v>
      </c>
      <c r="E345" s="33"/>
      <c r="G345" s="33"/>
      <c r="J345" s="34">
        <v>4.1000000000000003E-3</v>
      </c>
      <c r="K345" s="34">
        <v>5.3629999999999997E-3</v>
      </c>
      <c r="L345" s="34">
        <v>5.4669999999999996E-3</v>
      </c>
    </row>
    <row r="346" spans="1:12">
      <c r="B346" s="32" t="str">
        <f t="shared" si="23"/>
        <v/>
      </c>
      <c r="C346" s="32" t="str">
        <f t="shared" si="24"/>
        <v/>
      </c>
      <c r="D346" s="33"/>
      <c r="E346" s="33"/>
      <c r="G346" s="33"/>
    </row>
    <row r="347" spans="1:12">
      <c r="B347" s="32" t="str">
        <f t="shared" si="23"/>
        <v/>
      </c>
      <c r="C347" s="32" t="str">
        <f t="shared" si="24"/>
        <v/>
      </c>
      <c r="D347" s="33"/>
      <c r="E347" s="33"/>
      <c r="G347" s="33"/>
    </row>
    <row r="348" spans="1:12">
      <c r="B348" s="32" t="str">
        <f t="shared" si="23"/>
        <v/>
      </c>
      <c r="C348" s="32" t="str">
        <f t="shared" si="24"/>
        <v/>
      </c>
      <c r="D348" s="33"/>
      <c r="E348" s="33"/>
      <c r="G348" s="33"/>
    </row>
    <row r="349" spans="1:12">
      <c r="B349" s="32" t="str">
        <f t="shared" si="23"/>
        <v/>
      </c>
      <c r="C349" s="32" t="str">
        <f t="shared" si="24"/>
        <v/>
      </c>
      <c r="D349" s="33"/>
      <c r="E349" s="33"/>
      <c r="G349" s="33"/>
    </row>
    <row r="350" spans="1:12">
      <c r="B350" s="32" t="str">
        <f t="shared" si="23"/>
        <v/>
      </c>
      <c r="C350" s="32" t="str">
        <f t="shared" si="24"/>
        <v/>
      </c>
      <c r="D350" s="33"/>
      <c r="E350" s="33"/>
      <c r="G350" s="33"/>
    </row>
    <row r="351" spans="1:12">
      <c r="B351" s="32" t="str">
        <f t="shared" si="23"/>
        <v/>
      </c>
      <c r="C351" s="32" t="str">
        <f t="shared" si="24"/>
        <v/>
      </c>
      <c r="D351" s="33"/>
      <c r="E351" s="33"/>
      <c r="G351" s="33"/>
    </row>
    <row r="352" spans="1:12">
      <c r="B352" s="32" t="str">
        <f t="shared" si="23"/>
        <v/>
      </c>
      <c r="C352" s="32" t="str">
        <f t="shared" si="24"/>
        <v/>
      </c>
      <c r="D352" s="33"/>
      <c r="E352" s="33"/>
      <c r="G352" s="33"/>
    </row>
    <row r="353" spans="2:7">
      <c r="B353" s="32" t="str">
        <f t="shared" si="23"/>
        <v/>
      </c>
      <c r="C353" s="32" t="str">
        <f t="shared" si="24"/>
        <v/>
      </c>
      <c r="D353" s="33"/>
      <c r="E353" s="33"/>
      <c r="G353" s="33"/>
    </row>
    <row r="354" spans="2:7">
      <c r="B354" s="32" t="str">
        <f t="shared" si="23"/>
        <v/>
      </c>
      <c r="C354" s="32" t="str">
        <f t="shared" si="24"/>
        <v/>
      </c>
      <c r="D354" s="33"/>
      <c r="E354" s="33"/>
      <c r="G354" s="33"/>
    </row>
    <row r="355" spans="2:7">
      <c r="B355" s="32" t="str">
        <f t="shared" si="23"/>
        <v/>
      </c>
      <c r="C355" s="32" t="str">
        <f t="shared" si="24"/>
        <v/>
      </c>
      <c r="D355" s="33"/>
      <c r="E355" s="33"/>
      <c r="G355" s="33"/>
    </row>
    <row r="356" spans="2:7">
      <c r="B356" s="32" t="str">
        <f t="shared" si="23"/>
        <v/>
      </c>
      <c r="C356" s="32" t="str">
        <f t="shared" si="24"/>
        <v/>
      </c>
      <c r="D356" s="33"/>
      <c r="E356" s="33"/>
      <c r="G356" s="33"/>
    </row>
    <row r="357" spans="2:7">
      <c r="B357" s="32" t="str">
        <f t="shared" si="23"/>
        <v/>
      </c>
      <c r="C357" s="32" t="str">
        <f t="shared" si="24"/>
        <v/>
      </c>
      <c r="D357" s="33"/>
      <c r="E357" s="33"/>
      <c r="G357" s="33"/>
    </row>
    <row r="358" spans="2:7">
      <c r="B358" s="32" t="str">
        <f t="shared" si="23"/>
        <v/>
      </c>
      <c r="C358" s="32" t="str">
        <f t="shared" si="24"/>
        <v/>
      </c>
      <c r="D358" s="33"/>
      <c r="E358" s="33"/>
      <c r="G358" s="33"/>
    </row>
    <row r="359" spans="2:7">
      <c r="B359" s="32" t="str">
        <f t="shared" si="23"/>
        <v/>
      </c>
      <c r="C359" s="32" t="str">
        <f t="shared" si="24"/>
        <v/>
      </c>
      <c r="D359" s="33"/>
      <c r="E359" s="33"/>
      <c r="G359" s="33"/>
    </row>
    <row r="360" spans="2:7">
      <c r="B360" s="32" t="str">
        <f t="shared" si="23"/>
        <v/>
      </c>
      <c r="C360" s="32" t="str">
        <f t="shared" si="24"/>
        <v/>
      </c>
      <c r="D360" s="33"/>
      <c r="E360" s="33"/>
      <c r="G360" s="33"/>
    </row>
    <row r="361" spans="2:7">
      <c r="B361" s="32" t="str">
        <f t="shared" si="23"/>
        <v/>
      </c>
      <c r="C361" s="32" t="str">
        <f t="shared" si="24"/>
        <v/>
      </c>
      <c r="D361" s="33"/>
      <c r="E361" s="33"/>
      <c r="G361" s="33"/>
    </row>
    <row r="362" spans="2:7">
      <c r="B362" s="32" t="str">
        <f t="shared" si="23"/>
        <v/>
      </c>
      <c r="C362" s="32" t="str">
        <f t="shared" si="24"/>
        <v/>
      </c>
      <c r="D362" s="33"/>
      <c r="E362" s="33"/>
      <c r="G362" s="33"/>
    </row>
    <row r="363" spans="2:7">
      <c r="B363" s="32" t="str">
        <f t="shared" si="23"/>
        <v/>
      </c>
      <c r="C363" s="32" t="str">
        <f t="shared" si="24"/>
        <v/>
      </c>
      <c r="D363" s="33"/>
      <c r="E363" s="33"/>
      <c r="G363" s="33"/>
    </row>
    <row r="364" spans="2:7">
      <c r="B364" s="32" t="str">
        <f t="shared" si="23"/>
        <v/>
      </c>
      <c r="C364" s="32" t="str">
        <f t="shared" si="24"/>
        <v/>
      </c>
      <c r="D364" s="33"/>
      <c r="E364" s="33"/>
      <c r="G364" s="33"/>
    </row>
    <row r="365" spans="2:7">
      <c r="B365" s="32" t="str">
        <f t="shared" si="23"/>
        <v/>
      </c>
      <c r="C365" s="32" t="str">
        <f t="shared" si="24"/>
        <v/>
      </c>
      <c r="D365" s="33"/>
      <c r="E365" s="33"/>
      <c r="G365" s="33"/>
    </row>
    <row r="366" spans="2:7">
      <c r="B366" s="32" t="str">
        <f t="shared" si="23"/>
        <v/>
      </c>
      <c r="C366" s="32" t="str">
        <f t="shared" si="24"/>
        <v/>
      </c>
      <c r="D366" s="33"/>
      <c r="E366" s="33"/>
      <c r="G366" s="33"/>
    </row>
    <row r="367" spans="2:7">
      <c r="B367" s="32" t="str">
        <f t="shared" ref="B367:B430" si="40">IF(A367="","",MONTH(A367))</f>
        <v/>
      </c>
      <c r="C367" s="32" t="str">
        <f t="shared" ref="C367:C430" si="41">IF(A367="","",YEAR(A367))</f>
        <v/>
      </c>
      <c r="D367" s="33"/>
      <c r="E367" s="33"/>
      <c r="G367" s="33"/>
    </row>
    <row r="368" spans="2:7">
      <c r="B368" s="32" t="str">
        <f t="shared" si="40"/>
        <v/>
      </c>
      <c r="C368" s="32" t="str">
        <f t="shared" si="41"/>
        <v/>
      </c>
      <c r="D368" s="33"/>
      <c r="E368" s="33"/>
      <c r="G368" s="33"/>
    </row>
    <row r="369" spans="2:7">
      <c r="B369" s="32" t="str">
        <f t="shared" si="40"/>
        <v/>
      </c>
      <c r="C369" s="32" t="str">
        <f t="shared" si="41"/>
        <v/>
      </c>
      <c r="D369" s="33"/>
      <c r="E369" s="33"/>
      <c r="G369" s="33"/>
    </row>
    <row r="370" spans="2:7">
      <c r="B370" s="32" t="str">
        <f t="shared" si="40"/>
        <v/>
      </c>
      <c r="C370" s="32" t="str">
        <f t="shared" si="41"/>
        <v/>
      </c>
      <c r="D370" s="33"/>
      <c r="E370" s="33"/>
      <c r="G370" s="33"/>
    </row>
    <row r="371" spans="2:7">
      <c r="B371" s="32" t="str">
        <f t="shared" si="40"/>
        <v/>
      </c>
      <c r="C371" s="32" t="str">
        <f t="shared" si="41"/>
        <v/>
      </c>
      <c r="D371" s="33"/>
      <c r="E371" s="33"/>
      <c r="G371" s="33"/>
    </row>
    <row r="372" spans="2:7">
      <c r="B372" s="32" t="str">
        <f t="shared" si="40"/>
        <v/>
      </c>
      <c r="C372" s="32" t="str">
        <f t="shared" si="41"/>
        <v/>
      </c>
      <c r="D372" s="33"/>
      <c r="E372" s="33"/>
      <c r="G372" s="33"/>
    </row>
    <row r="373" spans="2:7">
      <c r="B373" s="32" t="str">
        <f t="shared" si="40"/>
        <v/>
      </c>
      <c r="C373" s="32" t="str">
        <f t="shared" si="41"/>
        <v/>
      </c>
      <c r="D373" s="33"/>
      <c r="E373" s="33"/>
      <c r="G373" s="33"/>
    </row>
    <row r="374" spans="2:7">
      <c r="B374" s="32" t="str">
        <f t="shared" si="40"/>
        <v/>
      </c>
      <c r="C374" s="32" t="str">
        <f t="shared" si="41"/>
        <v/>
      </c>
      <c r="D374" s="33"/>
      <c r="E374" s="33"/>
      <c r="G374" s="33"/>
    </row>
    <row r="375" spans="2:7">
      <c r="B375" s="32" t="str">
        <f t="shared" si="40"/>
        <v/>
      </c>
      <c r="C375" s="32" t="str">
        <f t="shared" si="41"/>
        <v/>
      </c>
      <c r="D375" s="33"/>
      <c r="E375" s="33"/>
      <c r="G375" s="33"/>
    </row>
    <row r="376" spans="2:7">
      <c r="B376" s="32" t="str">
        <f t="shared" si="40"/>
        <v/>
      </c>
      <c r="C376" s="32" t="str">
        <f t="shared" si="41"/>
        <v/>
      </c>
      <c r="D376" s="33"/>
      <c r="E376" s="33"/>
      <c r="G376" s="33"/>
    </row>
    <row r="377" spans="2:7">
      <c r="B377" s="32" t="str">
        <f t="shared" si="40"/>
        <v/>
      </c>
      <c r="C377" s="32" t="str">
        <f t="shared" si="41"/>
        <v/>
      </c>
      <c r="D377" s="33"/>
      <c r="E377" s="33"/>
      <c r="G377" s="33"/>
    </row>
    <row r="378" spans="2:7">
      <c r="B378" s="32" t="str">
        <f t="shared" si="40"/>
        <v/>
      </c>
      <c r="C378" s="32" t="str">
        <f t="shared" si="41"/>
        <v/>
      </c>
      <c r="D378" s="33"/>
      <c r="E378" s="33"/>
      <c r="G378" s="33"/>
    </row>
    <row r="379" spans="2:7">
      <c r="B379" s="32" t="str">
        <f t="shared" si="40"/>
        <v/>
      </c>
      <c r="C379" s="32" t="str">
        <f t="shared" si="41"/>
        <v/>
      </c>
      <c r="D379" s="33"/>
      <c r="E379" s="33"/>
      <c r="G379" s="33"/>
    </row>
    <row r="380" spans="2:7">
      <c r="B380" s="32" t="str">
        <f t="shared" si="40"/>
        <v/>
      </c>
      <c r="C380" s="32" t="str">
        <f t="shared" si="41"/>
        <v/>
      </c>
      <c r="D380" s="33"/>
      <c r="E380" s="33"/>
      <c r="G380" s="33"/>
    </row>
    <row r="381" spans="2:7">
      <c r="B381" s="32" t="str">
        <f t="shared" si="40"/>
        <v/>
      </c>
      <c r="C381" s="32" t="str">
        <f t="shared" si="41"/>
        <v/>
      </c>
      <c r="D381" s="33"/>
      <c r="E381" s="33"/>
      <c r="G381" s="33"/>
    </row>
    <row r="382" spans="2:7">
      <c r="B382" s="32" t="str">
        <f t="shared" si="40"/>
        <v/>
      </c>
      <c r="C382" s="32" t="str">
        <f t="shared" si="41"/>
        <v/>
      </c>
      <c r="D382" s="33"/>
      <c r="E382" s="33"/>
      <c r="G382" s="33"/>
    </row>
    <row r="383" spans="2:7">
      <c r="B383" s="32" t="str">
        <f t="shared" si="40"/>
        <v/>
      </c>
      <c r="C383" s="32" t="str">
        <f t="shared" si="41"/>
        <v/>
      </c>
      <c r="D383" s="33"/>
      <c r="E383" s="33"/>
      <c r="G383" s="33"/>
    </row>
    <row r="384" spans="2:7">
      <c r="B384" s="32" t="str">
        <f t="shared" si="40"/>
        <v/>
      </c>
      <c r="C384" s="32" t="str">
        <f t="shared" si="41"/>
        <v/>
      </c>
      <c r="D384" s="33"/>
      <c r="E384" s="33"/>
      <c r="G384" s="33"/>
    </row>
    <row r="385" spans="2:7">
      <c r="B385" s="32" t="str">
        <f t="shared" si="40"/>
        <v/>
      </c>
      <c r="C385" s="32" t="str">
        <f t="shared" si="41"/>
        <v/>
      </c>
      <c r="D385" s="33"/>
      <c r="E385" s="33"/>
      <c r="G385" s="33"/>
    </row>
    <row r="386" spans="2:7">
      <c r="B386" s="32" t="str">
        <f t="shared" si="40"/>
        <v/>
      </c>
      <c r="C386" s="32" t="str">
        <f t="shared" si="41"/>
        <v/>
      </c>
      <c r="D386" s="33"/>
      <c r="E386" s="33"/>
      <c r="G386" s="33"/>
    </row>
    <row r="387" spans="2:7">
      <c r="B387" s="32" t="str">
        <f t="shared" si="40"/>
        <v/>
      </c>
      <c r="C387" s="32" t="str">
        <f t="shared" si="41"/>
        <v/>
      </c>
      <c r="D387" s="33"/>
      <c r="E387" s="33"/>
      <c r="G387" s="33"/>
    </row>
    <row r="388" spans="2:7">
      <c r="B388" s="32" t="str">
        <f t="shared" si="40"/>
        <v/>
      </c>
      <c r="C388" s="32" t="str">
        <f t="shared" si="41"/>
        <v/>
      </c>
      <c r="D388" s="33"/>
      <c r="E388" s="33"/>
      <c r="G388" s="33"/>
    </row>
    <row r="389" spans="2:7">
      <c r="B389" s="32" t="str">
        <f t="shared" si="40"/>
        <v/>
      </c>
      <c r="C389" s="32" t="str">
        <f t="shared" si="41"/>
        <v/>
      </c>
      <c r="D389" s="33"/>
      <c r="E389" s="33"/>
      <c r="G389" s="33"/>
    </row>
    <row r="390" spans="2:7">
      <c r="B390" s="32" t="str">
        <f t="shared" si="40"/>
        <v/>
      </c>
      <c r="C390" s="32" t="str">
        <f t="shared" si="41"/>
        <v/>
      </c>
      <c r="D390" s="33"/>
      <c r="E390" s="33"/>
      <c r="G390" s="33"/>
    </row>
    <row r="391" spans="2:7">
      <c r="B391" s="32" t="str">
        <f t="shared" si="40"/>
        <v/>
      </c>
      <c r="C391" s="32" t="str">
        <f t="shared" si="41"/>
        <v/>
      </c>
      <c r="D391" s="33"/>
      <c r="E391" s="33"/>
      <c r="G391" s="33"/>
    </row>
    <row r="392" spans="2:7">
      <c r="B392" s="32" t="str">
        <f t="shared" si="40"/>
        <v/>
      </c>
      <c r="C392" s="32" t="str">
        <f t="shared" si="41"/>
        <v/>
      </c>
      <c r="D392" s="33"/>
      <c r="E392" s="33"/>
      <c r="G392" s="33"/>
    </row>
    <row r="393" spans="2:7">
      <c r="B393" s="32" t="str">
        <f t="shared" si="40"/>
        <v/>
      </c>
      <c r="C393" s="32" t="str">
        <f t="shared" si="41"/>
        <v/>
      </c>
      <c r="D393" s="33"/>
      <c r="E393" s="33"/>
      <c r="G393" s="33"/>
    </row>
    <row r="394" spans="2:7">
      <c r="B394" s="32" t="str">
        <f t="shared" si="40"/>
        <v/>
      </c>
      <c r="C394" s="32" t="str">
        <f t="shared" si="41"/>
        <v/>
      </c>
      <c r="D394" s="33"/>
      <c r="E394" s="33"/>
      <c r="G394" s="33"/>
    </row>
    <row r="395" spans="2:7">
      <c r="B395" s="32" t="str">
        <f t="shared" si="40"/>
        <v/>
      </c>
      <c r="C395" s="32" t="str">
        <f t="shared" si="41"/>
        <v/>
      </c>
      <c r="D395" s="33"/>
      <c r="E395" s="33"/>
      <c r="G395" s="33"/>
    </row>
    <row r="396" spans="2:7">
      <c r="B396" s="32" t="str">
        <f t="shared" si="40"/>
        <v/>
      </c>
      <c r="C396" s="32" t="str">
        <f t="shared" si="41"/>
        <v/>
      </c>
      <c r="D396" s="33"/>
      <c r="E396" s="33"/>
      <c r="G396" s="33"/>
    </row>
    <row r="397" spans="2:7">
      <c r="B397" s="32" t="str">
        <f t="shared" si="40"/>
        <v/>
      </c>
      <c r="C397" s="32" t="str">
        <f t="shared" si="41"/>
        <v/>
      </c>
      <c r="D397" s="33"/>
      <c r="E397" s="33"/>
      <c r="G397" s="33"/>
    </row>
    <row r="398" spans="2:7">
      <c r="B398" s="32" t="str">
        <f t="shared" si="40"/>
        <v/>
      </c>
      <c r="C398" s="32" t="str">
        <f t="shared" si="41"/>
        <v/>
      </c>
      <c r="D398" s="33"/>
      <c r="E398" s="33"/>
      <c r="G398" s="33"/>
    </row>
    <row r="399" spans="2:7">
      <c r="B399" s="32" t="str">
        <f t="shared" si="40"/>
        <v/>
      </c>
      <c r="C399" s="32" t="str">
        <f t="shared" si="41"/>
        <v/>
      </c>
      <c r="D399" s="33"/>
      <c r="E399" s="33"/>
      <c r="G399" s="33"/>
    </row>
    <row r="400" spans="2:7">
      <c r="B400" s="32" t="str">
        <f t="shared" si="40"/>
        <v/>
      </c>
      <c r="C400" s="32" t="str">
        <f t="shared" si="41"/>
        <v/>
      </c>
      <c r="D400" s="33"/>
      <c r="E400" s="33"/>
      <c r="G400" s="33"/>
    </row>
    <row r="401" spans="2:7">
      <c r="B401" s="32" t="str">
        <f t="shared" si="40"/>
        <v/>
      </c>
      <c r="C401" s="32" t="str">
        <f t="shared" si="41"/>
        <v/>
      </c>
      <c r="D401" s="33"/>
      <c r="E401" s="33"/>
      <c r="G401" s="33"/>
    </row>
    <row r="402" spans="2:7">
      <c r="B402" s="32" t="str">
        <f t="shared" si="40"/>
        <v/>
      </c>
      <c r="C402" s="32" t="str">
        <f t="shared" si="41"/>
        <v/>
      </c>
      <c r="D402" s="33"/>
      <c r="E402" s="33"/>
      <c r="G402" s="33"/>
    </row>
    <row r="403" spans="2:7">
      <c r="B403" s="32" t="str">
        <f t="shared" si="40"/>
        <v/>
      </c>
      <c r="C403" s="32" t="str">
        <f t="shared" si="41"/>
        <v/>
      </c>
      <c r="D403" s="33"/>
      <c r="E403" s="33"/>
      <c r="G403" s="33"/>
    </row>
    <row r="404" spans="2:7">
      <c r="B404" s="32" t="str">
        <f t="shared" si="40"/>
        <v/>
      </c>
      <c r="C404" s="32" t="str">
        <f t="shared" si="41"/>
        <v/>
      </c>
      <c r="D404" s="33"/>
      <c r="E404" s="33"/>
      <c r="G404" s="33"/>
    </row>
    <row r="405" spans="2:7">
      <c r="B405" s="32" t="str">
        <f t="shared" si="40"/>
        <v/>
      </c>
      <c r="C405" s="32" t="str">
        <f t="shared" si="41"/>
        <v/>
      </c>
      <c r="D405" s="33"/>
      <c r="E405" s="33"/>
      <c r="G405" s="33"/>
    </row>
    <row r="406" spans="2:7">
      <c r="B406" s="32" t="str">
        <f t="shared" si="40"/>
        <v/>
      </c>
      <c r="C406" s="32" t="str">
        <f t="shared" si="41"/>
        <v/>
      </c>
      <c r="D406" s="33"/>
      <c r="E406" s="33"/>
      <c r="G406" s="33"/>
    </row>
    <row r="407" spans="2:7">
      <c r="B407" s="32" t="str">
        <f t="shared" si="40"/>
        <v/>
      </c>
      <c r="C407" s="32" t="str">
        <f t="shared" si="41"/>
        <v/>
      </c>
      <c r="D407" s="33"/>
      <c r="E407" s="33"/>
      <c r="G407" s="33"/>
    </row>
    <row r="408" spans="2:7">
      <c r="B408" s="32" t="str">
        <f t="shared" si="40"/>
        <v/>
      </c>
      <c r="C408" s="32" t="str">
        <f t="shared" si="41"/>
        <v/>
      </c>
      <c r="D408" s="33"/>
      <c r="E408" s="33"/>
      <c r="G408" s="33"/>
    </row>
    <row r="409" spans="2:7">
      <c r="B409" s="32" t="str">
        <f t="shared" si="40"/>
        <v/>
      </c>
      <c r="C409" s="32" t="str">
        <f t="shared" si="41"/>
        <v/>
      </c>
      <c r="D409" s="33"/>
      <c r="E409" s="33"/>
      <c r="G409" s="33"/>
    </row>
    <row r="410" spans="2:7">
      <c r="B410" s="32" t="str">
        <f t="shared" si="40"/>
        <v/>
      </c>
      <c r="C410" s="32" t="str">
        <f t="shared" si="41"/>
        <v/>
      </c>
      <c r="D410" s="33"/>
      <c r="E410" s="33"/>
      <c r="G410" s="33"/>
    </row>
    <row r="411" spans="2:7">
      <c r="B411" s="32" t="str">
        <f t="shared" si="40"/>
        <v/>
      </c>
      <c r="C411" s="32" t="str">
        <f t="shared" si="41"/>
        <v/>
      </c>
      <c r="D411" s="33"/>
      <c r="E411" s="33"/>
      <c r="G411" s="33"/>
    </row>
    <row r="412" spans="2:7">
      <c r="B412" s="32" t="str">
        <f t="shared" si="40"/>
        <v/>
      </c>
      <c r="C412" s="32" t="str">
        <f t="shared" si="41"/>
        <v/>
      </c>
      <c r="D412" s="33"/>
      <c r="E412" s="33"/>
      <c r="G412" s="33"/>
    </row>
    <row r="413" spans="2:7">
      <c r="B413" s="32" t="str">
        <f t="shared" si="40"/>
        <v/>
      </c>
      <c r="C413" s="32" t="str">
        <f t="shared" si="41"/>
        <v/>
      </c>
      <c r="D413" s="33"/>
      <c r="E413" s="33"/>
      <c r="G413" s="33"/>
    </row>
    <row r="414" spans="2:7">
      <c r="B414" s="32" t="str">
        <f t="shared" si="40"/>
        <v/>
      </c>
      <c r="C414" s="32" t="str">
        <f t="shared" si="41"/>
        <v/>
      </c>
      <c r="D414" s="33"/>
      <c r="E414" s="33"/>
      <c r="G414" s="33"/>
    </row>
    <row r="415" spans="2:7">
      <c r="B415" s="32" t="str">
        <f t="shared" si="40"/>
        <v/>
      </c>
      <c r="C415" s="32" t="str">
        <f t="shared" si="41"/>
        <v/>
      </c>
      <c r="D415" s="33"/>
      <c r="E415" s="33"/>
      <c r="G415" s="33"/>
    </row>
    <row r="416" spans="2:7">
      <c r="B416" s="32" t="str">
        <f t="shared" si="40"/>
        <v/>
      </c>
      <c r="C416" s="32" t="str">
        <f t="shared" si="41"/>
        <v/>
      </c>
      <c r="D416" s="33"/>
      <c r="E416" s="33"/>
      <c r="G416" s="33"/>
    </row>
    <row r="417" spans="2:7">
      <c r="B417" s="32" t="str">
        <f t="shared" si="40"/>
        <v/>
      </c>
      <c r="C417" s="32" t="str">
        <f t="shared" si="41"/>
        <v/>
      </c>
      <c r="D417" s="33"/>
      <c r="E417" s="33"/>
      <c r="G417" s="33"/>
    </row>
    <row r="418" spans="2:7">
      <c r="B418" s="32" t="str">
        <f t="shared" si="40"/>
        <v/>
      </c>
      <c r="C418" s="32" t="str">
        <f t="shared" si="41"/>
        <v/>
      </c>
      <c r="D418" s="33"/>
      <c r="E418" s="33"/>
      <c r="G418" s="33"/>
    </row>
    <row r="419" spans="2:7">
      <c r="B419" s="32" t="str">
        <f t="shared" si="40"/>
        <v/>
      </c>
      <c r="C419" s="32" t="str">
        <f t="shared" si="41"/>
        <v/>
      </c>
      <c r="D419" s="33"/>
      <c r="E419" s="33"/>
      <c r="G419" s="33"/>
    </row>
    <row r="420" spans="2:7">
      <c r="B420" s="32" t="str">
        <f t="shared" si="40"/>
        <v/>
      </c>
      <c r="C420" s="32" t="str">
        <f t="shared" si="41"/>
        <v/>
      </c>
      <c r="D420" s="33"/>
      <c r="E420" s="33"/>
      <c r="G420" s="33"/>
    </row>
    <row r="421" spans="2:7">
      <c r="B421" s="32" t="str">
        <f t="shared" si="40"/>
        <v/>
      </c>
      <c r="C421" s="32" t="str">
        <f t="shared" si="41"/>
        <v/>
      </c>
      <c r="D421" s="33"/>
      <c r="E421" s="33"/>
      <c r="G421" s="33"/>
    </row>
    <row r="422" spans="2:7">
      <c r="B422" s="32" t="str">
        <f t="shared" si="40"/>
        <v/>
      </c>
      <c r="C422" s="32" t="str">
        <f t="shared" si="41"/>
        <v/>
      </c>
      <c r="D422" s="33"/>
      <c r="E422" s="33"/>
      <c r="G422" s="33"/>
    </row>
    <row r="423" spans="2:7">
      <c r="B423" s="32" t="str">
        <f t="shared" si="40"/>
        <v/>
      </c>
      <c r="C423" s="32" t="str">
        <f t="shared" si="41"/>
        <v/>
      </c>
      <c r="D423" s="33"/>
      <c r="E423" s="33"/>
      <c r="G423" s="33"/>
    </row>
    <row r="424" spans="2:7">
      <c r="B424" s="32" t="str">
        <f t="shared" si="40"/>
        <v/>
      </c>
      <c r="C424" s="32" t="str">
        <f t="shared" si="41"/>
        <v/>
      </c>
      <c r="D424" s="33"/>
      <c r="E424" s="33"/>
      <c r="G424" s="33"/>
    </row>
    <row r="425" spans="2:7">
      <c r="B425" s="32" t="str">
        <f t="shared" si="40"/>
        <v/>
      </c>
      <c r="C425" s="32" t="str">
        <f t="shared" si="41"/>
        <v/>
      </c>
      <c r="D425" s="33"/>
      <c r="E425" s="33"/>
      <c r="G425" s="33"/>
    </row>
    <row r="426" spans="2:7">
      <c r="B426" s="32" t="str">
        <f t="shared" si="40"/>
        <v/>
      </c>
      <c r="C426" s="32" t="str">
        <f t="shared" si="41"/>
        <v/>
      </c>
      <c r="D426" s="33"/>
      <c r="E426" s="33"/>
      <c r="G426" s="33"/>
    </row>
    <row r="427" spans="2:7">
      <c r="B427" s="32" t="str">
        <f t="shared" si="40"/>
        <v/>
      </c>
      <c r="C427" s="32" t="str">
        <f t="shared" si="41"/>
        <v/>
      </c>
      <c r="D427" s="33"/>
      <c r="E427" s="33"/>
      <c r="G427" s="33"/>
    </row>
    <row r="428" spans="2:7">
      <c r="B428" s="32" t="str">
        <f t="shared" si="40"/>
        <v/>
      </c>
      <c r="C428" s="32" t="str">
        <f t="shared" si="41"/>
        <v/>
      </c>
      <c r="D428" s="33"/>
      <c r="E428" s="33"/>
      <c r="G428" s="33"/>
    </row>
    <row r="429" spans="2:7">
      <c r="B429" s="32" t="str">
        <f t="shared" si="40"/>
        <v/>
      </c>
      <c r="C429" s="32" t="str">
        <f t="shared" si="41"/>
        <v/>
      </c>
      <c r="D429" s="33"/>
      <c r="E429" s="33"/>
      <c r="G429" s="33"/>
    </row>
    <row r="430" spans="2:7">
      <c r="B430" s="32" t="str">
        <f t="shared" si="40"/>
        <v/>
      </c>
      <c r="C430" s="32" t="str">
        <f t="shared" si="41"/>
        <v/>
      </c>
      <c r="D430" s="33"/>
      <c r="E430" s="33"/>
      <c r="G430" s="33"/>
    </row>
    <row r="431" spans="2:7">
      <c r="B431" s="32" t="str">
        <f t="shared" ref="B431:B494" si="42">IF(A431="","",MONTH(A431))</f>
        <v/>
      </c>
      <c r="C431" s="32" t="str">
        <f t="shared" ref="C431:C494" si="43">IF(A431="","",YEAR(A431))</f>
        <v/>
      </c>
      <c r="D431" s="33"/>
      <c r="E431" s="33"/>
      <c r="G431" s="33"/>
    </row>
    <row r="432" spans="2:7">
      <c r="B432" s="32" t="str">
        <f t="shared" si="42"/>
        <v/>
      </c>
      <c r="C432" s="32" t="str">
        <f t="shared" si="43"/>
        <v/>
      </c>
      <c r="D432" s="33"/>
      <c r="E432" s="33"/>
      <c r="G432" s="33"/>
    </row>
    <row r="433" spans="2:7">
      <c r="B433" s="32" t="str">
        <f t="shared" si="42"/>
        <v/>
      </c>
      <c r="C433" s="32" t="str">
        <f t="shared" si="43"/>
        <v/>
      </c>
      <c r="D433" s="33"/>
      <c r="E433" s="33"/>
      <c r="G433" s="33"/>
    </row>
    <row r="434" spans="2:7">
      <c r="B434" s="32" t="str">
        <f t="shared" si="42"/>
        <v/>
      </c>
      <c r="C434" s="32" t="str">
        <f t="shared" si="43"/>
        <v/>
      </c>
      <c r="D434" s="33"/>
      <c r="E434" s="33"/>
      <c r="G434" s="33"/>
    </row>
    <row r="435" spans="2:7">
      <c r="B435" s="32" t="str">
        <f t="shared" si="42"/>
        <v/>
      </c>
      <c r="C435" s="32" t="str">
        <f t="shared" si="43"/>
        <v/>
      </c>
      <c r="D435" s="33"/>
      <c r="E435" s="33"/>
      <c r="G435" s="33"/>
    </row>
    <row r="436" spans="2:7">
      <c r="B436" s="32" t="str">
        <f t="shared" si="42"/>
        <v/>
      </c>
      <c r="C436" s="32" t="str">
        <f t="shared" si="43"/>
        <v/>
      </c>
      <c r="D436" s="33"/>
      <c r="E436" s="33"/>
      <c r="G436" s="33"/>
    </row>
    <row r="437" spans="2:7">
      <c r="B437" s="32" t="str">
        <f t="shared" si="42"/>
        <v/>
      </c>
      <c r="C437" s="32" t="str">
        <f t="shared" si="43"/>
        <v/>
      </c>
      <c r="D437" s="33"/>
      <c r="E437" s="33"/>
      <c r="G437" s="33"/>
    </row>
    <row r="438" spans="2:7">
      <c r="B438" s="32" t="str">
        <f t="shared" si="42"/>
        <v/>
      </c>
      <c r="C438" s="32" t="str">
        <f t="shared" si="43"/>
        <v/>
      </c>
      <c r="D438" s="33"/>
      <c r="E438" s="33"/>
      <c r="G438" s="33"/>
    </row>
    <row r="439" spans="2:7">
      <c r="B439" s="32" t="str">
        <f t="shared" si="42"/>
        <v/>
      </c>
      <c r="C439" s="32" t="str">
        <f t="shared" si="43"/>
        <v/>
      </c>
      <c r="D439" s="33"/>
      <c r="E439" s="33"/>
      <c r="G439" s="33"/>
    </row>
    <row r="440" spans="2:7">
      <c r="B440" s="32" t="str">
        <f t="shared" si="42"/>
        <v/>
      </c>
      <c r="C440" s="32" t="str">
        <f t="shared" si="43"/>
        <v/>
      </c>
      <c r="D440" s="33"/>
      <c r="E440" s="33"/>
      <c r="G440" s="33"/>
    </row>
    <row r="441" spans="2:7">
      <c r="B441" s="32" t="str">
        <f t="shared" si="42"/>
        <v/>
      </c>
      <c r="C441" s="32" t="str">
        <f t="shared" si="43"/>
        <v/>
      </c>
      <c r="D441" s="33"/>
      <c r="E441" s="33"/>
      <c r="G441" s="33"/>
    </row>
    <row r="442" spans="2:7">
      <c r="B442" s="32" t="str">
        <f t="shared" si="42"/>
        <v/>
      </c>
      <c r="C442" s="32" t="str">
        <f t="shared" si="43"/>
        <v/>
      </c>
      <c r="D442" s="33"/>
      <c r="E442" s="33"/>
      <c r="G442" s="33"/>
    </row>
    <row r="443" spans="2:7">
      <c r="B443" s="32" t="str">
        <f t="shared" si="42"/>
        <v/>
      </c>
      <c r="C443" s="32" t="str">
        <f t="shared" si="43"/>
        <v/>
      </c>
      <c r="D443" s="33"/>
      <c r="E443" s="33"/>
      <c r="G443" s="33"/>
    </row>
    <row r="444" spans="2:7">
      <c r="B444" s="32" t="str">
        <f t="shared" si="42"/>
        <v/>
      </c>
      <c r="C444" s="32" t="str">
        <f t="shared" si="43"/>
        <v/>
      </c>
      <c r="D444" s="33"/>
      <c r="E444" s="33"/>
      <c r="G444" s="33"/>
    </row>
    <row r="445" spans="2:7">
      <c r="B445" s="32" t="str">
        <f t="shared" si="42"/>
        <v/>
      </c>
      <c r="C445" s="32" t="str">
        <f t="shared" si="43"/>
        <v/>
      </c>
      <c r="D445" s="33"/>
      <c r="E445" s="33"/>
      <c r="G445" s="33"/>
    </row>
    <row r="446" spans="2:7">
      <c r="B446" s="32" t="str">
        <f t="shared" si="42"/>
        <v/>
      </c>
      <c r="C446" s="32" t="str">
        <f t="shared" si="43"/>
        <v/>
      </c>
      <c r="D446" s="33"/>
      <c r="E446" s="33"/>
      <c r="G446" s="33"/>
    </row>
    <row r="447" spans="2:7">
      <c r="B447" s="32" t="str">
        <f t="shared" si="42"/>
        <v/>
      </c>
      <c r="C447" s="32" t="str">
        <f t="shared" si="43"/>
        <v/>
      </c>
      <c r="D447" s="33"/>
      <c r="E447" s="33"/>
      <c r="G447" s="33"/>
    </row>
    <row r="448" spans="2:7">
      <c r="B448" s="32" t="str">
        <f t="shared" si="42"/>
        <v/>
      </c>
      <c r="C448" s="32" t="str">
        <f t="shared" si="43"/>
        <v/>
      </c>
      <c r="D448" s="33"/>
      <c r="E448" s="33"/>
      <c r="G448" s="33"/>
    </row>
    <row r="449" spans="2:7">
      <c r="B449" s="32" t="str">
        <f t="shared" si="42"/>
        <v/>
      </c>
      <c r="C449" s="32" t="str">
        <f t="shared" si="43"/>
        <v/>
      </c>
      <c r="D449" s="33"/>
      <c r="E449" s="33"/>
      <c r="G449" s="33"/>
    </row>
    <row r="450" spans="2:7">
      <c r="B450" s="32" t="str">
        <f t="shared" si="42"/>
        <v/>
      </c>
      <c r="C450" s="32" t="str">
        <f t="shared" si="43"/>
        <v/>
      </c>
      <c r="D450" s="33"/>
      <c r="E450" s="33"/>
      <c r="G450" s="33"/>
    </row>
    <row r="451" spans="2:7">
      <c r="B451" s="32" t="str">
        <f t="shared" si="42"/>
        <v/>
      </c>
      <c r="C451" s="32" t="str">
        <f t="shared" si="43"/>
        <v/>
      </c>
      <c r="D451" s="33"/>
      <c r="E451" s="33"/>
      <c r="G451" s="33"/>
    </row>
    <row r="452" spans="2:7">
      <c r="B452" s="32" t="str">
        <f t="shared" si="42"/>
        <v/>
      </c>
      <c r="C452" s="32" t="str">
        <f t="shared" si="43"/>
        <v/>
      </c>
      <c r="D452" s="33"/>
      <c r="E452" s="33"/>
      <c r="G452" s="33"/>
    </row>
    <row r="453" spans="2:7">
      <c r="B453" s="32" t="str">
        <f t="shared" si="42"/>
        <v/>
      </c>
      <c r="C453" s="32" t="str">
        <f t="shared" si="43"/>
        <v/>
      </c>
      <c r="D453" s="33"/>
      <c r="E453" s="33"/>
      <c r="G453" s="33"/>
    </row>
    <row r="454" spans="2:7">
      <c r="B454" s="32" t="str">
        <f t="shared" si="42"/>
        <v/>
      </c>
      <c r="C454" s="32" t="str">
        <f t="shared" si="43"/>
        <v/>
      </c>
      <c r="D454" s="33"/>
      <c r="E454" s="33"/>
      <c r="G454" s="33"/>
    </row>
    <row r="455" spans="2:7">
      <c r="B455" s="32" t="str">
        <f t="shared" si="42"/>
        <v/>
      </c>
      <c r="C455" s="32" t="str">
        <f t="shared" si="43"/>
        <v/>
      </c>
      <c r="D455" s="33"/>
      <c r="E455" s="33"/>
      <c r="G455" s="33"/>
    </row>
    <row r="456" spans="2:7">
      <c r="B456" s="32" t="str">
        <f t="shared" si="42"/>
        <v/>
      </c>
      <c r="C456" s="32" t="str">
        <f t="shared" si="43"/>
        <v/>
      </c>
      <c r="D456" s="33"/>
      <c r="E456" s="33"/>
      <c r="G456" s="33"/>
    </row>
    <row r="457" spans="2:7">
      <c r="B457" s="32" t="str">
        <f t="shared" si="42"/>
        <v/>
      </c>
      <c r="C457" s="32" t="str">
        <f t="shared" si="43"/>
        <v/>
      </c>
      <c r="D457" s="33"/>
      <c r="E457" s="33"/>
      <c r="G457" s="33"/>
    </row>
    <row r="458" spans="2:7">
      <c r="B458" s="32" t="str">
        <f t="shared" si="42"/>
        <v/>
      </c>
      <c r="C458" s="32" t="str">
        <f t="shared" si="43"/>
        <v/>
      </c>
      <c r="D458" s="33"/>
      <c r="E458" s="33"/>
      <c r="G458" s="33"/>
    </row>
    <row r="459" spans="2:7">
      <c r="B459" s="32" t="str">
        <f t="shared" si="42"/>
        <v/>
      </c>
      <c r="C459" s="32" t="str">
        <f t="shared" si="43"/>
        <v/>
      </c>
      <c r="D459" s="33"/>
      <c r="E459" s="33"/>
      <c r="G459" s="33"/>
    </row>
    <row r="460" spans="2:7">
      <c r="B460" s="32" t="str">
        <f t="shared" si="42"/>
        <v/>
      </c>
      <c r="C460" s="32" t="str">
        <f t="shared" si="43"/>
        <v/>
      </c>
      <c r="D460" s="33"/>
      <c r="E460" s="33"/>
      <c r="G460" s="33"/>
    </row>
    <row r="461" spans="2:7">
      <c r="B461" s="32" t="str">
        <f t="shared" si="42"/>
        <v/>
      </c>
      <c r="C461" s="32" t="str">
        <f t="shared" si="43"/>
        <v/>
      </c>
      <c r="D461" s="33"/>
      <c r="E461" s="33"/>
      <c r="G461" s="33"/>
    </row>
    <row r="462" spans="2:7">
      <c r="B462" s="32" t="str">
        <f t="shared" si="42"/>
        <v/>
      </c>
      <c r="C462" s="32" t="str">
        <f t="shared" si="43"/>
        <v/>
      </c>
      <c r="D462" s="33"/>
      <c r="E462" s="33"/>
      <c r="G462" s="33"/>
    </row>
    <row r="463" spans="2:7">
      <c r="B463" s="32" t="str">
        <f t="shared" si="42"/>
        <v/>
      </c>
      <c r="C463" s="32" t="str">
        <f t="shared" si="43"/>
        <v/>
      </c>
      <c r="D463" s="33"/>
      <c r="E463" s="33"/>
      <c r="G463" s="33"/>
    </row>
    <row r="464" spans="2:7">
      <c r="B464" s="32" t="str">
        <f t="shared" si="42"/>
        <v/>
      </c>
      <c r="C464" s="32" t="str">
        <f t="shared" si="43"/>
        <v/>
      </c>
      <c r="D464" s="33"/>
      <c r="E464" s="33"/>
      <c r="G464" s="33"/>
    </row>
    <row r="465" spans="2:7">
      <c r="B465" s="32" t="str">
        <f t="shared" si="42"/>
        <v/>
      </c>
      <c r="C465" s="32" t="str">
        <f t="shared" si="43"/>
        <v/>
      </c>
      <c r="D465" s="33"/>
      <c r="E465" s="33"/>
      <c r="G465" s="33"/>
    </row>
    <row r="466" spans="2:7">
      <c r="B466" s="32" t="str">
        <f t="shared" si="42"/>
        <v/>
      </c>
      <c r="C466" s="32" t="str">
        <f t="shared" si="43"/>
        <v/>
      </c>
      <c r="D466" s="33"/>
      <c r="E466" s="33"/>
      <c r="G466" s="33"/>
    </row>
    <row r="467" spans="2:7">
      <c r="B467" s="32" t="str">
        <f t="shared" si="42"/>
        <v/>
      </c>
      <c r="C467" s="32" t="str">
        <f t="shared" si="43"/>
        <v/>
      </c>
      <c r="D467" s="33"/>
      <c r="E467" s="33"/>
      <c r="G467" s="33"/>
    </row>
    <row r="468" spans="2:7">
      <c r="B468" s="32" t="str">
        <f t="shared" si="42"/>
        <v/>
      </c>
      <c r="C468" s="32" t="str">
        <f t="shared" si="43"/>
        <v/>
      </c>
      <c r="D468" s="33"/>
      <c r="E468" s="33"/>
      <c r="G468" s="33"/>
    </row>
    <row r="469" spans="2:7">
      <c r="B469" s="32" t="str">
        <f t="shared" si="42"/>
        <v/>
      </c>
      <c r="C469" s="32" t="str">
        <f t="shared" si="43"/>
        <v/>
      </c>
      <c r="D469" s="33"/>
      <c r="E469" s="33"/>
      <c r="G469" s="33"/>
    </row>
    <row r="470" spans="2:7">
      <c r="B470" s="32" t="str">
        <f t="shared" si="42"/>
        <v/>
      </c>
      <c r="C470" s="32" t="str">
        <f t="shared" si="43"/>
        <v/>
      </c>
      <c r="D470" s="33"/>
      <c r="E470" s="33"/>
      <c r="G470" s="33"/>
    </row>
    <row r="471" spans="2:7">
      <c r="B471" s="32" t="str">
        <f t="shared" si="42"/>
        <v/>
      </c>
      <c r="C471" s="32" t="str">
        <f t="shared" si="43"/>
        <v/>
      </c>
      <c r="D471" s="33"/>
      <c r="E471" s="33"/>
      <c r="G471" s="33"/>
    </row>
    <row r="472" spans="2:7">
      <c r="B472" s="32" t="str">
        <f t="shared" si="42"/>
        <v/>
      </c>
      <c r="C472" s="32" t="str">
        <f t="shared" si="43"/>
        <v/>
      </c>
      <c r="D472" s="33"/>
      <c r="E472" s="33"/>
      <c r="G472" s="33"/>
    </row>
    <row r="473" spans="2:7">
      <c r="B473" s="32" t="str">
        <f t="shared" si="42"/>
        <v/>
      </c>
      <c r="C473" s="32" t="str">
        <f t="shared" si="43"/>
        <v/>
      </c>
      <c r="D473" s="33"/>
      <c r="E473" s="33"/>
      <c r="G473" s="33"/>
    </row>
    <row r="474" spans="2:7">
      <c r="B474" s="32" t="str">
        <f t="shared" si="42"/>
        <v/>
      </c>
      <c r="C474" s="32" t="str">
        <f t="shared" si="43"/>
        <v/>
      </c>
      <c r="D474" s="33"/>
      <c r="E474" s="33"/>
      <c r="G474" s="33"/>
    </row>
    <row r="475" spans="2:7">
      <c r="B475" s="32" t="str">
        <f t="shared" si="42"/>
        <v/>
      </c>
      <c r="C475" s="32" t="str">
        <f t="shared" si="43"/>
        <v/>
      </c>
      <c r="D475" s="33"/>
      <c r="E475" s="33"/>
      <c r="G475" s="33"/>
    </row>
    <row r="476" spans="2:7">
      <c r="B476" s="32" t="str">
        <f t="shared" si="42"/>
        <v/>
      </c>
      <c r="C476" s="32" t="str">
        <f t="shared" si="43"/>
        <v/>
      </c>
      <c r="D476" s="33"/>
      <c r="E476" s="33"/>
      <c r="G476" s="33"/>
    </row>
    <row r="477" spans="2:7">
      <c r="B477" s="32" t="str">
        <f t="shared" si="42"/>
        <v/>
      </c>
      <c r="C477" s="32" t="str">
        <f t="shared" si="43"/>
        <v/>
      </c>
      <c r="D477" s="33"/>
      <c r="E477" s="33"/>
      <c r="G477" s="33"/>
    </row>
    <row r="478" spans="2:7">
      <c r="B478" s="32" t="str">
        <f t="shared" si="42"/>
        <v/>
      </c>
      <c r="C478" s="32" t="str">
        <f t="shared" si="43"/>
        <v/>
      </c>
      <c r="D478" s="33"/>
      <c r="E478" s="33"/>
      <c r="G478" s="33"/>
    </row>
    <row r="479" spans="2:7">
      <c r="B479" s="32" t="str">
        <f t="shared" si="42"/>
        <v/>
      </c>
      <c r="C479" s="32" t="str">
        <f t="shared" si="43"/>
        <v/>
      </c>
      <c r="D479" s="33"/>
      <c r="E479" s="33"/>
      <c r="G479" s="33"/>
    </row>
    <row r="480" spans="2:7">
      <c r="B480" s="32" t="str">
        <f t="shared" si="42"/>
        <v/>
      </c>
      <c r="C480" s="32" t="str">
        <f t="shared" si="43"/>
        <v/>
      </c>
      <c r="D480" s="33"/>
      <c r="E480" s="33"/>
      <c r="G480" s="33"/>
    </row>
    <row r="481" spans="2:7">
      <c r="B481" s="32" t="str">
        <f t="shared" si="42"/>
        <v/>
      </c>
      <c r="C481" s="32" t="str">
        <f t="shared" si="43"/>
        <v/>
      </c>
      <c r="D481" s="33"/>
      <c r="E481" s="33"/>
      <c r="G481" s="33"/>
    </row>
    <row r="482" spans="2:7">
      <c r="B482" s="32" t="str">
        <f t="shared" si="42"/>
        <v/>
      </c>
      <c r="C482" s="32" t="str">
        <f t="shared" si="43"/>
        <v/>
      </c>
      <c r="D482" s="33"/>
      <c r="E482" s="33"/>
      <c r="G482" s="33"/>
    </row>
    <row r="483" spans="2:7">
      <c r="B483" s="32" t="str">
        <f t="shared" si="42"/>
        <v/>
      </c>
      <c r="C483" s="32" t="str">
        <f t="shared" si="43"/>
        <v/>
      </c>
      <c r="D483" s="33"/>
      <c r="E483" s="33"/>
      <c r="G483" s="33"/>
    </row>
    <row r="484" spans="2:7">
      <c r="B484" s="32" t="str">
        <f t="shared" si="42"/>
        <v/>
      </c>
      <c r="C484" s="32" t="str">
        <f t="shared" si="43"/>
        <v/>
      </c>
      <c r="D484" s="33"/>
      <c r="E484" s="33"/>
      <c r="G484" s="33"/>
    </row>
    <row r="485" spans="2:7">
      <c r="B485" s="32" t="str">
        <f t="shared" si="42"/>
        <v/>
      </c>
      <c r="C485" s="32" t="str">
        <f t="shared" si="43"/>
        <v/>
      </c>
      <c r="D485" s="33"/>
      <c r="E485" s="33"/>
      <c r="G485" s="33"/>
    </row>
    <row r="486" spans="2:7">
      <c r="B486" s="32" t="str">
        <f t="shared" si="42"/>
        <v/>
      </c>
      <c r="C486" s="32" t="str">
        <f t="shared" si="43"/>
        <v/>
      </c>
      <c r="D486" s="33"/>
      <c r="E486" s="33"/>
      <c r="G486" s="33"/>
    </row>
    <row r="487" spans="2:7">
      <c r="B487" s="32" t="str">
        <f t="shared" si="42"/>
        <v/>
      </c>
      <c r="C487" s="32" t="str">
        <f t="shared" si="43"/>
        <v/>
      </c>
      <c r="D487" s="33"/>
      <c r="E487" s="33"/>
      <c r="G487" s="33"/>
    </row>
    <row r="488" spans="2:7">
      <c r="B488" s="32" t="str">
        <f t="shared" si="42"/>
        <v/>
      </c>
      <c r="C488" s="32" t="str">
        <f t="shared" si="43"/>
        <v/>
      </c>
      <c r="D488" s="33"/>
      <c r="E488" s="33"/>
      <c r="G488" s="33"/>
    </row>
    <row r="489" spans="2:7">
      <c r="B489" s="32" t="str">
        <f t="shared" si="42"/>
        <v/>
      </c>
      <c r="C489" s="32" t="str">
        <f t="shared" si="43"/>
        <v/>
      </c>
      <c r="D489" s="33"/>
      <c r="E489" s="33"/>
      <c r="G489" s="33"/>
    </row>
    <row r="490" spans="2:7">
      <c r="B490" s="32" t="str">
        <f t="shared" si="42"/>
        <v/>
      </c>
      <c r="C490" s="32" t="str">
        <f t="shared" si="43"/>
        <v/>
      </c>
      <c r="D490" s="33"/>
      <c r="E490" s="33"/>
      <c r="G490" s="33"/>
    </row>
    <row r="491" spans="2:7">
      <c r="B491" s="32" t="str">
        <f t="shared" si="42"/>
        <v/>
      </c>
      <c r="C491" s="32" t="str">
        <f t="shared" si="43"/>
        <v/>
      </c>
      <c r="D491" s="33"/>
      <c r="E491" s="33"/>
      <c r="G491" s="33"/>
    </row>
    <row r="492" spans="2:7">
      <c r="B492" s="32" t="str">
        <f t="shared" si="42"/>
        <v/>
      </c>
      <c r="C492" s="32" t="str">
        <f t="shared" si="43"/>
        <v/>
      </c>
      <c r="D492" s="33"/>
      <c r="E492" s="33"/>
      <c r="G492" s="33"/>
    </row>
    <row r="493" spans="2:7">
      <c r="B493" s="32" t="str">
        <f t="shared" si="42"/>
        <v/>
      </c>
      <c r="C493" s="32" t="str">
        <f t="shared" si="43"/>
        <v/>
      </c>
      <c r="D493" s="33"/>
      <c r="E493" s="33"/>
      <c r="G493" s="33"/>
    </row>
    <row r="494" spans="2:7">
      <c r="B494" s="32" t="str">
        <f t="shared" si="42"/>
        <v/>
      </c>
      <c r="C494" s="32" t="str">
        <f t="shared" si="43"/>
        <v/>
      </c>
      <c r="D494" s="33"/>
      <c r="E494" s="33"/>
      <c r="G494" s="33"/>
    </row>
    <row r="495" spans="2:7">
      <c r="B495" s="32" t="str">
        <f t="shared" ref="B495:B558" si="44">IF(A495="","",MONTH(A495))</f>
        <v/>
      </c>
      <c r="C495" s="32" t="str">
        <f t="shared" ref="C495:C558" si="45">IF(A495="","",YEAR(A495))</f>
        <v/>
      </c>
      <c r="D495" s="33"/>
      <c r="E495" s="33"/>
      <c r="G495" s="33"/>
    </row>
    <row r="496" spans="2:7">
      <c r="B496" s="32" t="str">
        <f t="shared" si="44"/>
        <v/>
      </c>
      <c r="C496" s="32" t="str">
        <f t="shared" si="45"/>
        <v/>
      </c>
      <c r="D496" s="33"/>
      <c r="E496" s="33"/>
      <c r="G496" s="33"/>
    </row>
    <row r="497" spans="2:7">
      <c r="B497" s="32" t="str">
        <f t="shared" si="44"/>
        <v/>
      </c>
      <c r="C497" s="32" t="str">
        <f t="shared" si="45"/>
        <v/>
      </c>
      <c r="D497" s="33"/>
      <c r="E497" s="33"/>
      <c r="G497" s="33"/>
    </row>
    <row r="498" spans="2:7">
      <c r="B498" s="32" t="str">
        <f t="shared" si="44"/>
        <v/>
      </c>
      <c r="C498" s="32" t="str">
        <f t="shared" si="45"/>
        <v/>
      </c>
      <c r="D498" s="33"/>
      <c r="E498" s="33"/>
      <c r="G498" s="33"/>
    </row>
    <row r="499" spans="2:7">
      <c r="B499" s="32" t="str">
        <f t="shared" si="44"/>
        <v/>
      </c>
      <c r="C499" s="32" t="str">
        <f t="shared" si="45"/>
        <v/>
      </c>
      <c r="D499" s="33"/>
      <c r="E499" s="33"/>
      <c r="G499" s="33"/>
    </row>
    <row r="500" spans="2:7">
      <c r="B500" s="32" t="str">
        <f t="shared" si="44"/>
        <v/>
      </c>
      <c r="C500" s="32" t="str">
        <f t="shared" si="45"/>
        <v/>
      </c>
      <c r="D500" s="33"/>
      <c r="E500" s="33"/>
      <c r="G500" s="33"/>
    </row>
    <row r="501" spans="2:7">
      <c r="B501" s="32" t="str">
        <f t="shared" si="44"/>
        <v/>
      </c>
      <c r="C501" s="32" t="str">
        <f t="shared" si="45"/>
        <v/>
      </c>
      <c r="D501" s="33"/>
      <c r="E501" s="33"/>
      <c r="G501" s="33"/>
    </row>
    <row r="502" spans="2:7">
      <c r="B502" s="32" t="str">
        <f t="shared" si="44"/>
        <v/>
      </c>
      <c r="C502" s="32" t="str">
        <f t="shared" si="45"/>
        <v/>
      </c>
      <c r="D502" s="33"/>
      <c r="E502" s="33"/>
      <c r="G502" s="33"/>
    </row>
    <row r="503" spans="2:7">
      <c r="B503" s="32" t="str">
        <f t="shared" si="44"/>
        <v/>
      </c>
      <c r="C503" s="32" t="str">
        <f t="shared" si="45"/>
        <v/>
      </c>
      <c r="D503" s="33"/>
      <c r="E503" s="33"/>
      <c r="G503" s="33"/>
    </row>
    <row r="504" spans="2:7">
      <c r="B504" s="32" t="str">
        <f t="shared" si="44"/>
        <v/>
      </c>
      <c r="C504" s="32" t="str">
        <f t="shared" si="45"/>
        <v/>
      </c>
      <c r="D504" s="33"/>
      <c r="E504" s="33"/>
      <c r="G504" s="33"/>
    </row>
    <row r="505" spans="2:7">
      <c r="B505" s="32" t="str">
        <f t="shared" si="44"/>
        <v/>
      </c>
      <c r="C505" s="32" t="str">
        <f t="shared" si="45"/>
        <v/>
      </c>
      <c r="D505" s="33"/>
      <c r="E505" s="33"/>
      <c r="G505" s="33"/>
    </row>
    <row r="506" spans="2:7">
      <c r="B506" s="32" t="str">
        <f t="shared" si="44"/>
        <v/>
      </c>
      <c r="C506" s="32" t="str">
        <f t="shared" si="45"/>
        <v/>
      </c>
      <c r="D506" s="33"/>
      <c r="E506" s="33"/>
      <c r="G506" s="33"/>
    </row>
    <row r="507" spans="2:7">
      <c r="B507" s="32" t="str">
        <f t="shared" si="44"/>
        <v/>
      </c>
      <c r="C507" s="32" t="str">
        <f t="shared" si="45"/>
        <v/>
      </c>
      <c r="D507" s="33"/>
      <c r="E507" s="33"/>
      <c r="G507" s="33"/>
    </row>
    <row r="508" spans="2:7">
      <c r="B508" s="32" t="str">
        <f t="shared" si="44"/>
        <v/>
      </c>
      <c r="C508" s="32" t="str">
        <f t="shared" si="45"/>
        <v/>
      </c>
      <c r="D508" s="33"/>
      <c r="E508" s="33"/>
      <c r="G508" s="33"/>
    </row>
    <row r="509" spans="2:7">
      <c r="B509" s="32" t="str">
        <f t="shared" si="44"/>
        <v/>
      </c>
      <c r="C509" s="32" t="str">
        <f t="shared" si="45"/>
        <v/>
      </c>
      <c r="D509" s="33"/>
      <c r="E509" s="33"/>
      <c r="G509" s="33"/>
    </row>
    <row r="510" spans="2:7">
      <c r="B510" s="32" t="str">
        <f t="shared" si="44"/>
        <v/>
      </c>
      <c r="C510" s="32" t="str">
        <f t="shared" si="45"/>
        <v/>
      </c>
      <c r="D510" s="33"/>
      <c r="E510" s="33"/>
      <c r="G510" s="33"/>
    </row>
    <row r="511" spans="2:7">
      <c r="B511" s="32" t="str">
        <f t="shared" si="44"/>
        <v/>
      </c>
      <c r="C511" s="32" t="str">
        <f t="shared" si="45"/>
        <v/>
      </c>
      <c r="D511" s="33"/>
      <c r="E511" s="33"/>
      <c r="G511" s="33"/>
    </row>
    <row r="512" spans="2:7">
      <c r="B512" s="32" t="str">
        <f t="shared" si="44"/>
        <v/>
      </c>
      <c r="C512" s="32" t="str">
        <f t="shared" si="45"/>
        <v/>
      </c>
      <c r="D512" s="33"/>
      <c r="E512" s="33"/>
      <c r="G512" s="33"/>
    </row>
    <row r="513" spans="2:7">
      <c r="B513" s="32" t="str">
        <f t="shared" si="44"/>
        <v/>
      </c>
      <c r="C513" s="32" t="str">
        <f t="shared" si="45"/>
        <v/>
      </c>
      <c r="D513" s="33"/>
      <c r="E513" s="33"/>
      <c r="G513" s="33"/>
    </row>
    <row r="514" spans="2:7">
      <c r="B514" s="32" t="str">
        <f t="shared" si="44"/>
        <v/>
      </c>
      <c r="C514" s="32" t="str">
        <f t="shared" si="45"/>
        <v/>
      </c>
      <c r="D514" s="33"/>
      <c r="E514" s="33"/>
      <c r="G514" s="33"/>
    </row>
    <row r="515" spans="2:7">
      <c r="B515" s="32" t="str">
        <f t="shared" si="44"/>
        <v/>
      </c>
      <c r="C515" s="32" t="str">
        <f t="shared" si="45"/>
        <v/>
      </c>
      <c r="D515" s="33"/>
      <c r="E515" s="33"/>
      <c r="G515" s="33"/>
    </row>
    <row r="516" spans="2:7">
      <c r="B516" s="32" t="str">
        <f t="shared" si="44"/>
        <v/>
      </c>
      <c r="C516" s="32" t="str">
        <f t="shared" si="45"/>
        <v/>
      </c>
      <c r="D516" s="33"/>
      <c r="E516" s="33"/>
      <c r="G516" s="33"/>
    </row>
    <row r="517" spans="2:7">
      <c r="B517" s="32" t="str">
        <f t="shared" si="44"/>
        <v/>
      </c>
      <c r="C517" s="32" t="str">
        <f t="shared" si="45"/>
        <v/>
      </c>
      <c r="D517" s="33"/>
      <c r="E517" s="33"/>
      <c r="G517" s="33"/>
    </row>
    <row r="518" spans="2:7">
      <c r="B518" s="32" t="str">
        <f t="shared" si="44"/>
        <v/>
      </c>
      <c r="C518" s="32" t="str">
        <f t="shared" si="45"/>
        <v/>
      </c>
      <c r="D518" s="33"/>
      <c r="E518" s="33"/>
      <c r="G518" s="33"/>
    </row>
    <row r="519" spans="2:7">
      <c r="B519" s="32" t="str">
        <f t="shared" si="44"/>
        <v/>
      </c>
      <c r="C519" s="32" t="str">
        <f t="shared" si="45"/>
        <v/>
      </c>
      <c r="D519" s="33"/>
      <c r="E519" s="33"/>
      <c r="G519" s="33"/>
    </row>
    <row r="520" spans="2:7">
      <c r="B520" s="32" t="str">
        <f t="shared" si="44"/>
        <v/>
      </c>
      <c r="C520" s="32" t="str">
        <f t="shared" si="45"/>
        <v/>
      </c>
      <c r="D520" s="33"/>
      <c r="E520" s="33"/>
      <c r="G520" s="33"/>
    </row>
    <row r="521" spans="2:7">
      <c r="B521" s="32" t="str">
        <f t="shared" si="44"/>
        <v/>
      </c>
      <c r="C521" s="32" t="str">
        <f t="shared" si="45"/>
        <v/>
      </c>
      <c r="D521" s="33"/>
      <c r="E521" s="33"/>
      <c r="G521" s="33"/>
    </row>
    <row r="522" spans="2:7">
      <c r="B522" s="32" t="str">
        <f t="shared" si="44"/>
        <v/>
      </c>
      <c r="C522" s="32" t="str">
        <f t="shared" si="45"/>
        <v/>
      </c>
      <c r="D522" s="33"/>
      <c r="E522" s="33"/>
      <c r="G522" s="33"/>
    </row>
    <row r="523" spans="2:7">
      <c r="B523" s="32" t="str">
        <f t="shared" si="44"/>
        <v/>
      </c>
      <c r="C523" s="32" t="str">
        <f t="shared" si="45"/>
        <v/>
      </c>
      <c r="D523" s="33"/>
      <c r="E523" s="33"/>
      <c r="G523" s="33"/>
    </row>
    <row r="524" spans="2:7">
      <c r="B524" s="32" t="str">
        <f t="shared" si="44"/>
        <v/>
      </c>
      <c r="C524" s="32" t="str">
        <f t="shared" si="45"/>
        <v/>
      </c>
      <c r="D524" s="33"/>
      <c r="E524" s="33"/>
      <c r="G524" s="33"/>
    </row>
    <row r="525" spans="2:7">
      <c r="B525" s="32" t="str">
        <f t="shared" si="44"/>
        <v/>
      </c>
      <c r="C525" s="32" t="str">
        <f t="shared" si="45"/>
        <v/>
      </c>
      <c r="D525" s="33"/>
      <c r="E525" s="33"/>
      <c r="G525" s="33"/>
    </row>
    <row r="526" spans="2:7">
      <c r="B526" s="32" t="str">
        <f t="shared" si="44"/>
        <v/>
      </c>
      <c r="C526" s="32" t="str">
        <f t="shared" si="45"/>
        <v/>
      </c>
      <c r="D526" s="33"/>
      <c r="E526" s="33"/>
      <c r="G526" s="33"/>
    </row>
    <row r="527" spans="2:7">
      <c r="B527" s="32" t="str">
        <f t="shared" si="44"/>
        <v/>
      </c>
      <c r="C527" s="32" t="str">
        <f t="shared" si="45"/>
        <v/>
      </c>
      <c r="D527" s="33"/>
      <c r="E527" s="33"/>
      <c r="G527" s="33"/>
    </row>
    <row r="528" spans="2:7">
      <c r="B528" s="32" t="str">
        <f t="shared" si="44"/>
        <v/>
      </c>
      <c r="C528" s="32" t="str">
        <f t="shared" si="45"/>
        <v/>
      </c>
      <c r="D528" s="33"/>
      <c r="E528" s="33"/>
      <c r="G528" s="33"/>
    </row>
    <row r="529" spans="2:7">
      <c r="B529" s="32" t="str">
        <f t="shared" si="44"/>
        <v/>
      </c>
      <c r="C529" s="32" t="str">
        <f t="shared" si="45"/>
        <v/>
      </c>
      <c r="D529" s="33"/>
      <c r="E529" s="33"/>
      <c r="G529" s="33"/>
    </row>
    <row r="530" spans="2:7">
      <c r="B530" s="32" t="str">
        <f t="shared" si="44"/>
        <v/>
      </c>
      <c r="C530" s="32" t="str">
        <f t="shared" si="45"/>
        <v/>
      </c>
      <c r="D530" s="33"/>
      <c r="E530" s="33"/>
      <c r="G530" s="33"/>
    </row>
    <row r="531" spans="2:7">
      <c r="B531" s="32" t="str">
        <f t="shared" si="44"/>
        <v/>
      </c>
      <c r="C531" s="32" t="str">
        <f t="shared" si="45"/>
        <v/>
      </c>
      <c r="D531" s="33"/>
      <c r="E531" s="33"/>
      <c r="G531" s="33"/>
    </row>
    <row r="532" spans="2:7">
      <c r="B532" s="32" t="str">
        <f t="shared" si="44"/>
        <v/>
      </c>
      <c r="C532" s="32" t="str">
        <f t="shared" si="45"/>
        <v/>
      </c>
      <c r="D532" s="33"/>
      <c r="E532" s="33"/>
      <c r="G532" s="33"/>
    </row>
    <row r="533" spans="2:7">
      <c r="B533" s="32" t="str">
        <f t="shared" si="44"/>
        <v/>
      </c>
      <c r="C533" s="32" t="str">
        <f t="shared" si="45"/>
        <v/>
      </c>
      <c r="D533" s="33"/>
      <c r="E533" s="33"/>
      <c r="G533" s="33"/>
    </row>
    <row r="534" spans="2:7">
      <c r="B534" s="32" t="str">
        <f t="shared" si="44"/>
        <v/>
      </c>
      <c r="C534" s="32" t="str">
        <f t="shared" si="45"/>
        <v/>
      </c>
      <c r="D534" s="33"/>
      <c r="E534" s="33"/>
      <c r="G534" s="33"/>
    </row>
    <row r="535" spans="2:7">
      <c r="B535" s="32" t="str">
        <f t="shared" si="44"/>
        <v/>
      </c>
      <c r="C535" s="32" t="str">
        <f t="shared" si="45"/>
        <v/>
      </c>
      <c r="D535" s="33"/>
      <c r="E535" s="33"/>
      <c r="G535" s="33"/>
    </row>
    <row r="536" spans="2:7">
      <c r="B536" s="32" t="str">
        <f t="shared" si="44"/>
        <v/>
      </c>
      <c r="C536" s="32" t="str">
        <f t="shared" si="45"/>
        <v/>
      </c>
      <c r="D536" s="33"/>
      <c r="E536" s="33"/>
      <c r="G536" s="33"/>
    </row>
    <row r="537" spans="2:7">
      <c r="B537" s="32" t="str">
        <f t="shared" si="44"/>
        <v/>
      </c>
      <c r="C537" s="32" t="str">
        <f t="shared" si="45"/>
        <v/>
      </c>
      <c r="D537" s="33"/>
      <c r="E537" s="33"/>
      <c r="G537" s="33"/>
    </row>
    <row r="538" spans="2:7">
      <c r="B538" s="32" t="str">
        <f t="shared" si="44"/>
        <v/>
      </c>
      <c r="C538" s="32" t="str">
        <f t="shared" si="45"/>
        <v/>
      </c>
      <c r="D538" s="33"/>
      <c r="E538" s="33"/>
      <c r="G538" s="33"/>
    </row>
    <row r="539" spans="2:7">
      <c r="B539" s="32" t="str">
        <f t="shared" si="44"/>
        <v/>
      </c>
      <c r="C539" s="32" t="str">
        <f t="shared" si="45"/>
        <v/>
      </c>
      <c r="D539" s="33"/>
      <c r="E539" s="33"/>
      <c r="G539" s="33"/>
    </row>
    <row r="540" spans="2:7">
      <c r="B540" s="32" t="str">
        <f t="shared" si="44"/>
        <v/>
      </c>
      <c r="C540" s="32" t="str">
        <f t="shared" si="45"/>
        <v/>
      </c>
      <c r="D540" s="33"/>
      <c r="E540" s="33"/>
      <c r="G540" s="33"/>
    </row>
    <row r="541" spans="2:7">
      <c r="B541" s="32" t="str">
        <f t="shared" si="44"/>
        <v/>
      </c>
      <c r="C541" s="32" t="str">
        <f t="shared" si="45"/>
        <v/>
      </c>
      <c r="D541" s="33"/>
      <c r="E541" s="33"/>
      <c r="G541" s="33"/>
    </row>
    <row r="542" spans="2:7">
      <c r="B542" s="32" t="str">
        <f t="shared" si="44"/>
        <v/>
      </c>
      <c r="C542" s="32" t="str">
        <f t="shared" si="45"/>
        <v/>
      </c>
      <c r="D542" s="33"/>
      <c r="E542" s="33"/>
      <c r="G542" s="33"/>
    </row>
    <row r="543" spans="2:7">
      <c r="B543" s="32" t="str">
        <f t="shared" si="44"/>
        <v/>
      </c>
      <c r="C543" s="32" t="str">
        <f t="shared" si="45"/>
        <v/>
      </c>
      <c r="D543" s="33"/>
      <c r="E543" s="33"/>
      <c r="G543" s="33"/>
    </row>
    <row r="544" spans="2:7">
      <c r="B544" s="32" t="str">
        <f t="shared" si="44"/>
        <v/>
      </c>
      <c r="C544" s="32" t="str">
        <f t="shared" si="45"/>
        <v/>
      </c>
      <c r="D544" s="33"/>
      <c r="E544" s="33"/>
      <c r="G544" s="33"/>
    </row>
    <row r="545" spans="2:7">
      <c r="B545" s="32" t="str">
        <f t="shared" si="44"/>
        <v/>
      </c>
      <c r="C545" s="32" t="str">
        <f t="shared" si="45"/>
        <v/>
      </c>
      <c r="D545" s="33"/>
      <c r="E545" s="33"/>
      <c r="G545" s="33"/>
    </row>
    <row r="546" spans="2:7">
      <c r="B546" s="32" t="str">
        <f t="shared" si="44"/>
        <v/>
      </c>
      <c r="C546" s="32" t="str">
        <f t="shared" si="45"/>
        <v/>
      </c>
      <c r="D546" s="33"/>
      <c r="E546" s="33"/>
      <c r="G546" s="33"/>
    </row>
    <row r="547" spans="2:7">
      <c r="B547" s="32" t="str">
        <f t="shared" si="44"/>
        <v/>
      </c>
      <c r="C547" s="32" t="str">
        <f t="shared" si="45"/>
        <v/>
      </c>
      <c r="D547" s="33"/>
      <c r="E547" s="33"/>
      <c r="G547" s="33"/>
    </row>
    <row r="548" spans="2:7">
      <c r="B548" s="32" t="str">
        <f t="shared" si="44"/>
        <v/>
      </c>
      <c r="C548" s="32" t="str">
        <f t="shared" si="45"/>
        <v/>
      </c>
      <c r="D548" s="33"/>
      <c r="E548" s="33"/>
      <c r="G548" s="33"/>
    </row>
    <row r="549" spans="2:7">
      <c r="B549" s="32" t="str">
        <f t="shared" si="44"/>
        <v/>
      </c>
      <c r="C549" s="32" t="str">
        <f t="shared" si="45"/>
        <v/>
      </c>
      <c r="D549" s="33"/>
      <c r="E549" s="33"/>
      <c r="G549" s="33"/>
    </row>
    <row r="550" spans="2:7">
      <c r="B550" s="32" t="str">
        <f t="shared" si="44"/>
        <v/>
      </c>
      <c r="C550" s="32" t="str">
        <f t="shared" si="45"/>
        <v/>
      </c>
      <c r="D550" s="33"/>
      <c r="E550" s="33"/>
      <c r="G550" s="33"/>
    </row>
    <row r="551" spans="2:7">
      <c r="B551" s="32" t="str">
        <f t="shared" si="44"/>
        <v/>
      </c>
      <c r="C551" s="32" t="str">
        <f t="shared" si="45"/>
        <v/>
      </c>
      <c r="D551" s="33"/>
      <c r="E551" s="33"/>
      <c r="G551" s="33"/>
    </row>
    <row r="552" spans="2:7">
      <c r="B552" s="32" t="str">
        <f t="shared" si="44"/>
        <v/>
      </c>
      <c r="C552" s="32" t="str">
        <f t="shared" si="45"/>
        <v/>
      </c>
      <c r="D552" s="33"/>
      <c r="E552" s="33"/>
      <c r="G552" s="33"/>
    </row>
    <row r="553" spans="2:7">
      <c r="B553" s="32" t="str">
        <f t="shared" si="44"/>
        <v/>
      </c>
      <c r="C553" s="32" t="str">
        <f t="shared" si="45"/>
        <v/>
      </c>
      <c r="D553" s="33"/>
      <c r="E553" s="33"/>
      <c r="G553" s="33"/>
    </row>
    <row r="554" spans="2:7">
      <c r="B554" s="32" t="str">
        <f t="shared" si="44"/>
        <v/>
      </c>
      <c r="C554" s="32" t="str">
        <f t="shared" si="45"/>
        <v/>
      </c>
      <c r="D554" s="33"/>
      <c r="E554" s="33"/>
      <c r="G554" s="33"/>
    </row>
    <row r="555" spans="2:7">
      <c r="B555" s="32" t="str">
        <f t="shared" si="44"/>
        <v/>
      </c>
      <c r="C555" s="32" t="str">
        <f t="shared" si="45"/>
        <v/>
      </c>
      <c r="D555" s="33"/>
      <c r="E555" s="33"/>
      <c r="G555" s="33"/>
    </row>
    <row r="556" spans="2:7">
      <c r="B556" s="32" t="str">
        <f t="shared" si="44"/>
        <v/>
      </c>
      <c r="C556" s="32" t="str">
        <f t="shared" si="45"/>
        <v/>
      </c>
      <c r="D556" s="33"/>
      <c r="E556" s="33"/>
      <c r="G556" s="33"/>
    </row>
    <row r="557" spans="2:7">
      <c r="B557" s="32" t="str">
        <f t="shared" si="44"/>
        <v/>
      </c>
      <c r="C557" s="32" t="str">
        <f t="shared" si="45"/>
        <v/>
      </c>
      <c r="D557" s="33"/>
      <c r="E557" s="33"/>
      <c r="G557" s="33"/>
    </row>
    <row r="558" spans="2:7">
      <c r="B558" s="32" t="str">
        <f t="shared" si="44"/>
        <v/>
      </c>
      <c r="C558" s="32" t="str">
        <f t="shared" si="45"/>
        <v/>
      </c>
      <c r="D558" s="33"/>
      <c r="E558" s="33"/>
      <c r="G558" s="33"/>
    </row>
    <row r="559" spans="2:7">
      <c r="B559" s="32" t="str">
        <f t="shared" ref="B559:B622" si="46">IF(A559="","",MONTH(A559))</f>
        <v/>
      </c>
      <c r="C559" s="32" t="str">
        <f t="shared" ref="C559:C622" si="47">IF(A559="","",YEAR(A559))</f>
        <v/>
      </c>
      <c r="D559" s="33"/>
      <c r="E559" s="33"/>
      <c r="G559" s="33"/>
    </row>
    <row r="560" spans="2:7">
      <c r="B560" s="32" t="str">
        <f t="shared" si="46"/>
        <v/>
      </c>
      <c r="C560" s="32" t="str">
        <f t="shared" si="47"/>
        <v/>
      </c>
      <c r="D560" s="33"/>
      <c r="E560" s="33"/>
      <c r="G560" s="33"/>
    </row>
    <row r="561" spans="2:7">
      <c r="B561" s="32" t="str">
        <f t="shared" si="46"/>
        <v/>
      </c>
      <c r="C561" s="32" t="str">
        <f t="shared" si="47"/>
        <v/>
      </c>
      <c r="D561" s="33"/>
      <c r="E561" s="33"/>
      <c r="G561" s="33"/>
    </row>
    <row r="562" spans="2:7">
      <c r="B562" s="32" t="str">
        <f t="shared" si="46"/>
        <v/>
      </c>
      <c r="C562" s="32" t="str">
        <f t="shared" si="47"/>
        <v/>
      </c>
      <c r="D562" s="33"/>
      <c r="E562" s="33"/>
      <c r="G562" s="33"/>
    </row>
    <row r="563" spans="2:7">
      <c r="B563" s="32" t="str">
        <f t="shared" si="46"/>
        <v/>
      </c>
      <c r="C563" s="32" t="str">
        <f t="shared" si="47"/>
        <v/>
      </c>
      <c r="D563" s="33"/>
      <c r="E563" s="33"/>
      <c r="G563" s="33"/>
    </row>
    <row r="564" spans="2:7">
      <c r="B564" s="32" t="str">
        <f t="shared" si="46"/>
        <v/>
      </c>
      <c r="C564" s="32" t="str">
        <f t="shared" si="47"/>
        <v/>
      </c>
      <c r="D564" s="33"/>
      <c r="E564" s="33"/>
      <c r="G564" s="33"/>
    </row>
    <row r="565" spans="2:7">
      <c r="B565" s="32" t="str">
        <f t="shared" si="46"/>
        <v/>
      </c>
      <c r="C565" s="32" t="str">
        <f t="shared" si="47"/>
        <v/>
      </c>
      <c r="D565" s="33"/>
      <c r="E565" s="33"/>
      <c r="G565" s="33"/>
    </row>
    <row r="566" spans="2:7">
      <c r="B566" s="32" t="str">
        <f t="shared" si="46"/>
        <v/>
      </c>
      <c r="C566" s="32" t="str">
        <f t="shared" si="47"/>
        <v/>
      </c>
      <c r="D566" s="33"/>
      <c r="E566" s="33"/>
      <c r="G566" s="33"/>
    </row>
    <row r="567" spans="2:7">
      <c r="B567" s="32" t="str">
        <f t="shared" si="46"/>
        <v/>
      </c>
      <c r="C567" s="32" t="str">
        <f t="shared" si="47"/>
        <v/>
      </c>
      <c r="D567" s="33"/>
      <c r="E567" s="33"/>
      <c r="G567" s="33"/>
    </row>
    <row r="568" spans="2:7">
      <c r="B568" s="32" t="str">
        <f t="shared" si="46"/>
        <v/>
      </c>
      <c r="C568" s="32" t="str">
        <f t="shared" si="47"/>
        <v/>
      </c>
      <c r="D568" s="33"/>
      <c r="E568" s="33"/>
      <c r="G568" s="33"/>
    </row>
    <row r="569" spans="2:7">
      <c r="B569" s="32" t="str">
        <f t="shared" si="46"/>
        <v/>
      </c>
      <c r="C569" s="32" t="str">
        <f t="shared" si="47"/>
        <v/>
      </c>
      <c r="D569" s="33"/>
      <c r="E569" s="33"/>
      <c r="G569" s="33"/>
    </row>
    <row r="570" spans="2:7">
      <c r="B570" s="32" t="str">
        <f t="shared" si="46"/>
        <v/>
      </c>
      <c r="C570" s="32" t="str">
        <f t="shared" si="47"/>
        <v/>
      </c>
      <c r="D570" s="33"/>
      <c r="E570" s="33"/>
      <c r="G570" s="33"/>
    </row>
    <row r="571" spans="2:7">
      <c r="B571" s="32" t="str">
        <f t="shared" si="46"/>
        <v/>
      </c>
      <c r="C571" s="32" t="str">
        <f t="shared" si="47"/>
        <v/>
      </c>
      <c r="D571" s="33"/>
      <c r="E571" s="33"/>
      <c r="G571" s="33"/>
    </row>
    <row r="572" spans="2:7">
      <c r="B572" s="32" t="str">
        <f t="shared" si="46"/>
        <v/>
      </c>
      <c r="C572" s="32" t="str">
        <f t="shared" si="47"/>
        <v/>
      </c>
      <c r="D572" s="33"/>
      <c r="E572" s="33"/>
      <c r="G572" s="33"/>
    </row>
    <row r="573" spans="2:7">
      <c r="B573" s="32" t="str">
        <f t="shared" si="46"/>
        <v/>
      </c>
      <c r="C573" s="32" t="str">
        <f t="shared" si="47"/>
        <v/>
      </c>
      <c r="D573" s="33"/>
      <c r="E573" s="33"/>
      <c r="G573" s="33"/>
    </row>
    <row r="574" spans="2:7">
      <c r="B574" s="32" t="str">
        <f t="shared" si="46"/>
        <v/>
      </c>
      <c r="C574" s="32" t="str">
        <f t="shared" si="47"/>
        <v/>
      </c>
      <c r="D574" s="33"/>
      <c r="E574" s="33"/>
      <c r="G574" s="33"/>
    </row>
    <row r="575" spans="2:7">
      <c r="B575" s="32" t="str">
        <f t="shared" si="46"/>
        <v/>
      </c>
      <c r="C575" s="32" t="str">
        <f t="shared" si="47"/>
        <v/>
      </c>
      <c r="D575" s="33"/>
      <c r="E575" s="33"/>
      <c r="G575" s="33"/>
    </row>
    <row r="576" spans="2:7">
      <c r="B576" s="32" t="str">
        <f t="shared" si="46"/>
        <v/>
      </c>
      <c r="C576" s="32" t="str">
        <f t="shared" si="47"/>
        <v/>
      </c>
      <c r="D576" s="33"/>
      <c r="E576" s="33"/>
      <c r="G576" s="33"/>
    </row>
    <row r="577" spans="2:7">
      <c r="B577" s="32" t="str">
        <f t="shared" si="46"/>
        <v/>
      </c>
      <c r="C577" s="32" t="str">
        <f t="shared" si="47"/>
        <v/>
      </c>
      <c r="D577" s="33"/>
      <c r="E577" s="33"/>
      <c r="G577" s="33"/>
    </row>
    <row r="578" spans="2:7">
      <c r="B578" s="32" t="str">
        <f t="shared" si="46"/>
        <v/>
      </c>
      <c r="C578" s="32" t="str">
        <f t="shared" si="47"/>
        <v/>
      </c>
      <c r="D578" s="33"/>
      <c r="E578" s="33"/>
      <c r="G578" s="33"/>
    </row>
    <row r="579" spans="2:7">
      <c r="B579" s="32" t="str">
        <f t="shared" si="46"/>
        <v/>
      </c>
      <c r="C579" s="32" t="str">
        <f t="shared" si="47"/>
        <v/>
      </c>
      <c r="D579" s="33"/>
      <c r="E579" s="33"/>
      <c r="G579" s="33"/>
    </row>
    <row r="580" spans="2:7">
      <c r="B580" s="32" t="str">
        <f t="shared" si="46"/>
        <v/>
      </c>
      <c r="C580" s="32" t="str">
        <f t="shared" si="47"/>
        <v/>
      </c>
      <c r="D580" s="33"/>
      <c r="E580" s="33"/>
      <c r="G580" s="33"/>
    </row>
    <row r="581" spans="2:7">
      <c r="B581" s="32" t="str">
        <f t="shared" si="46"/>
        <v/>
      </c>
      <c r="C581" s="32" t="str">
        <f t="shared" si="47"/>
        <v/>
      </c>
      <c r="D581" s="33"/>
      <c r="E581" s="33"/>
      <c r="G581" s="33"/>
    </row>
    <row r="582" spans="2:7">
      <c r="B582" s="32" t="str">
        <f t="shared" si="46"/>
        <v/>
      </c>
      <c r="C582" s="32" t="str">
        <f t="shared" si="47"/>
        <v/>
      </c>
      <c r="D582" s="33"/>
      <c r="E582" s="33"/>
      <c r="G582" s="33"/>
    </row>
    <row r="583" spans="2:7">
      <c r="B583" s="32" t="str">
        <f t="shared" si="46"/>
        <v/>
      </c>
      <c r="C583" s="32" t="str">
        <f t="shared" si="47"/>
        <v/>
      </c>
      <c r="D583" s="33"/>
      <c r="E583" s="33"/>
      <c r="G583" s="33"/>
    </row>
    <row r="584" spans="2:7">
      <c r="B584" s="32" t="str">
        <f t="shared" si="46"/>
        <v/>
      </c>
      <c r="C584" s="32" t="str">
        <f t="shared" si="47"/>
        <v/>
      </c>
      <c r="D584" s="33"/>
      <c r="E584" s="33"/>
      <c r="G584" s="33"/>
    </row>
    <row r="585" spans="2:7">
      <c r="B585" s="32" t="str">
        <f t="shared" si="46"/>
        <v/>
      </c>
      <c r="C585" s="32" t="str">
        <f t="shared" si="47"/>
        <v/>
      </c>
      <c r="D585" s="33"/>
      <c r="E585" s="33"/>
      <c r="G585" s="33"/>
    </row>
    <row r="586" spans="2:7">
      <c r="B586" s="32" t="str">
        <f t="shared" si="46"/>
        <v/>
      </c>
      <c r="C586" s="32" t="str">
        <f t="shared" si="47"/>
        <v/>
      </c>
      <c r="D586" s="33"/>
      <c r="E586" s="33"/>
      <c r="G586" s="33"/>
    </row>
    <row r="587" spans="2:7">
      <c r="B587" s="32" t="str">
        <f t="shared" si="46"/>
        <v/>
      </c>
      <c r="C587" s="32" t="str">
        <f t="shared" si="47"/>
        <v/>
      </c>
      <c r="D587" s="33"/>
      <c r="E587" s="33"/>
      <c r="G587" s="33"/>
    </row>
    <row r="588" spans="2:7">
      <c r="B588" s="32" t="str">
        <f t="shared" si="46"/>
        <v/>
      </c>
      <c r="C588" s="32" t="str">
        <f t="shared" si="47"/>
        <v/>
      </c>
      <c r="D588" s="33"/>
      <c r="E588" s="33"/>
      <c r="G588" s="33"/>
    </row>
    <row r="589" spans="2:7">
      <c r="B589" s="32" t="str">
        <f t="shared" si="46"/>
        <v/>
      </c>
      <c r="C589" s="32" t="str">
        <f t="shared" si="47"/>
        <v/>
      </c>
      <c r="D589" s="33"/>
      <c r="E589" s="33"/>
      <c r="G589" s="33"/>
    </row>
    <row r="590" spans="2:7">
      <c r="B590" s="32" t="str">
        <f t="shared" si="46"/>
        <v/>
      </c>
      <c r="C590" s="32" t="str">
        <f t="shared" si="47"/>
        <v/>
      </c>
      <c r="D590" s="33"/>
      <c r="E590" s="33"/>
      <c r="G590" s="33"/>
    </row>
    <row r="591" spans="2:7">
      <c r="B591" s="32" t="str">
        <f t="shared" si="46"/>
        <v/>
      </c>
      <c r="C591" s="32" t="str">
        <f t="shared" si="47"/>
        <v/>
      </c>
      <c r="D591" s="33"/>
      <c r="E591" s="33"/>
      <c r="G591" s="33"/>
    </row>
    <row r="592" spans="2:7">
      <c r="B592" s="32" t="str">
        <f t="shared" si="46"/>
        <v/>
      </c>
      <c r="C592" s="32" t="str">
        <f t="shared" si="47"/>
        <v/>
      </c>
      <c r="D592" s="33"/>
      <c r="E592" s="33"/>
      <c r="G592" s="33"/>
    </row>
    <row r="593" spans="2:7">
      <c r="B593" s="32" t="str">
        <f t="shared" si="46"/>
        <v/>
      </c>
      <c r="C593" s="32" t="str">
        <f t="shared" si="47"/>
        <v/>
      </c>
      <c r="D593" s="33"/>
      <c r="E593" s="33"/>
      <c r="G593" s="33"/>
    </row>
    <row r="594" spans="2:7">
      <c r="B594" s="32" t="str">
        <f t="shared" si="46"/>
        <v/>
      </c>
      <c r="C594" s="32" t="str">
        <f t="shared" si="47"/>
        <v/>
      </c>
      <c r="D594" s="33"/>
      <c r="E594" s="33"/>
      <c r="G594" s="33"/>
    </row>
    <row r="595" spans="2:7">
      <c r="B595" s="32" t="str">
        <f t="shared" si="46"/>
        <v/>
      </c>
      <c r="C595" s="32" t="str">
        <f t="shared" si="47"/>
        <v/>
      </c>
      <c r="D595" s="33"/>
      <c r="E595" s="33"/>
      <c r="G595" s="33"/>
    </row>
    <row r="596" spans="2:7">
      <c r="B596" s="32" t="str">
        <f t="shared" si="46"/>
        <v/>
      </c>
      <c r="C596" s="32" t="str">
        <f t="shared" si="47"/>
        <v/>
      </c>
      <c r="D596" s="33"/>
      <c r="E596" s="33"/>
      <c r="G596" s="33"/>
    </row>
    <row r="597" spans="2:7">
      <c r="B597" s="32" t="str">
        <f t="shared" si="46"/>
        <v/>
      </c>
      <c r="C597" s="32" t="str">
        <f t="shared" si="47"/>
        <v/>
      </c>
      <c r="D597" s="33"/>
      <c r="E597" s="33"/>
      <c r="G597" s="33"/>
    </row>
    <row r="598" spans="2:7">
      <c r="B598" s="32" t="str">
        <f t="shared" si="46"/>
        <v/>
      </c>
      <c r="C598" s="32" t="str">
        <f t="shared" si="47"/>
        <v/>
      </c>
      <c r="D598" s="33"/>
      <c r="E598" s="33"/>
      <c r="G598" s="33"/>
    </row>
    <row r="599" spans="2:7">
      <c r="B599" s="32" t="str">
        <f t="shared" si="46"/>
        <v/>
      </c>
      <c r="C599" s="32" t="str">
        <f t="shared" si="47"/>
        <v/>
      </c>
      <c r="D599" s="33"/>
      <c r="E599" s="33"/>
      <c r="G599" s="33"/>
    </row>
    <row r="600" spans="2:7">
      <c r="B600" s="32" t="str">
        <f t="shared" si="46"/>
        <v/>
      </c>
      <c r="C600" s="32" t="str">
        <f t="shared" si="47"/>
        <v/>
      </c>
      <c r="D600" s="33"/>
      <c r="E600" s="33"/>
      <c r="G600" s="33"/>
    </row>
    <row r="601" spans="2:7">
      <c r="B601" s="32" t="str">
        <f t="shared" si="46"/>
        <v/>
      </c>
      <c r="C601" s="32" t="str">
        <f t="shared" si="47"/>
        <v/>
      </c>
      <c r="D601" s="33"/>
      <c r="E601" s="33"/>
      <c r="G601" s="33"/>
    </row>
    <row r="602" spans="2:7">
      <c r="B602" s="32" t="str">
        <f t="shared" si="46"/>
        <v/>
      </c>
      <c r="C602" s="32" t="str">
        <f t="shared" si="47"/>
        <v/>
      </c>
      <c r="D602" s="33"/>
      <c r="E602" s="33"/>
      <c r="G602" s="33"/>
    </row>
    <row r="603" spans="2:7">
      <c r="B603" s="32" t="str">
        <f t="shared" si="46"/>
        <v/>
      </c>
      <c r="C603" s="32" t="str">
        <f t="shared" si="47"/>
        <v/>
      </c>
      <c r="D603" s="33"/>
      <c r="E603" s="33"/>
      <c r="G603" s="33"/>
    </row>
    <row r="604" spans="2:7">
      <c r="B604" s="32" t="str">
        <f t="shared" si="46"/>
        <v/>
      </c>
      <c r="C604" s="32" t="str">
        <f t="shared" si="47"/>
        <v/>
      </c>
      <c r="D604" s="33"/>
      <c r="E604" s="33"/>
      <c r="G604" s="33"/>
    </row>
    <row r="605" spans="2:7">
      <c r="B605" s="32" t="str">
        <f t="shared" si="46"/>
        <v/>
      </c>
      <c r="C605" s="32" t="str">
        <f t="shared" si="47"/>
        <v/>
      </c>
      <c r="D605" s="33"/>
      <c r="E605" s="33"/>
      <c r="G605" s="33"/>
    </row>
    <row r="606" spans="2:7">
      <c r="B606" s="32" t="str">
        <f t="shared" si="46"/>
        <v/>
      </c>
      <c r="C606" s="32" t="str">
        <f t="shared" si="47"/>
        <v/>
      </c>
      <c r="D606" s="33"/>
      <c r="E606" s="33"/>
      <c r="G606" s="33"/>
    </row>
    <row r="607" spans="2:7">
      <c r="B607" s="32" t="str">
        <f t="shared" si="46"/>
        <v/>
      </c>
      <c r="C607" s="32" t="str">
        <f t="shared" si="47"/>
        <v/>
      </c>
      <c r="D607" s="33"/>
      <c r="E607" s="33"/>
      <c r="G607" s="33"/>
    </row>
    <row r="608" spans="2:7">
      <c r="B608" s="32" t="str">
        <f t="shared" si="46"/>
        <v/>
      </c>
      <c r="C608" s="32" t="str">
        <f t="shared" si="47"/>
        <v/>
      </c>
      <c r="D608" s="33"/>
      <c r="E608" s="33"/>
      <c r="G608" s="33"/>
    </row>
    <row r="609" spans="2:7">
      <c r="B609" s="32" t="str">
        <f t="shared" si="46"/>
        <v/>
      </c>
      <c r="C609" s="32" t="str">
        <f t="shared" si="47"/>
        <v/>
      </c>
      <c r="D609" s="33"/>
      <c r="E609" s="33"/>
      <c r="G609" s="33"/>
    </row>
    <row r="610" spans="2:7">
      <c r="B610" s="32" t="str">
        <f t="shared" si="46"/>
        <v/>
      </c>
      <c r="C610" s="32" t="str">
        <f t="shared" si="47"/>
        <v/>
      </c>
      <c r="D610" s="33"/>
      <c r="E610" s="33"/>
      <c r="G610" s="33"/>
    </row>
    <row r="611" spans="2:7">
      <c r="B611" s="32" t="str">
        <f t="shared" si="46"/>
        <v/>
      </c>
      <c r="C611" s="32" t="str">
        <f t="shared" si="47"/>
        <v/>
      </c>
      <c r="D611" s="33"/>
      <c r="E611" s="33"/>
      <c r="G611" s="33"/>
    </row>
    <row r="612" spans="2:7">
      <c r="B612" s="32" t="str">
        <f t="shared" si="46"/>
        <v/>
      </c>
      <c r="C612" s="32" t="str">
        <f t="shared" si="47"/>
        <v/>
      </c>
      <c r="D612" s="33"/>
      <c r="E612" s="33"/>
      <c r="G612" s="33"/>
    </row>
    <row r="613" spans="2:7">
      <c r="B613" s="32" t="str">
        <f t="shared" si="46"/>
        <v/>
      </c>
      <c r="C613" s="32" t="str">
        <f t="shared" si="47"/>
        <v/>
      </c>
      <c r="D613" s="33"/>
      <c r="E613" s="33"/>
      <c r="G613" s="33"/>
    </row>
    <row r="614" spans="2:7">
      <c r="B614" s="32" t="str">
        <f t="shared" si="46"/>
        <v/>
      </c>
      <c r="C614" s="32" t="str">
        <f t="shared" si="47"/>
        <v/>
      </c>
      <c r="D614" s="33"/>
      <c r="E614" s="33"/>
      <c r="G614" s="33"/>
    </row>
    <row r="615" spans="2:7">
      <c r="B615" s="32" t="str">
        <f t="shared" si="46"/>
        <v/>
      </c>
      <c r="C615" s="32" t="str">
        <f t="shared" si="47"/>
        <v/>
      </c>
      <c r="D615" s="33"/>
      <c r="E615" s="33"/>
      <c r="G615" s="33"/>
    </row>
    <row r="616" spans="2:7">
      <c r="B616" s="32" t="str">
        <f t="shared" si="46"/>
        <v/>
      </c>
      <c r="C616" s="32" t="str">
        <f t="shared" si="47"/>
        <v/>
      </c>
      <c r="D616" s="33"/>
      <c r="E616" s="33"/>
      <c r="G616" s="33"/>
    </row>
    <row r="617" spans="2:7">
      <c r="B617" s="32" t="str">
        <f t="shared" si="46"/>
        <v/>
      </c>
      <c r="C617" s="32" t="str">
        <f t="shared" si="47"/>
        <v/>
      </c>
      <c r="D617" s="33"/>
      <c r="E617" s="33"/>
      <c r="G617" s="33"/>
    </row>
    <row r="618" spans="2:7">
      <c r="B618" s="32" t="str">
        <f t="shared" si="46"/>
        <v/>
      </c>
      <c r="C618" s="32" t="str">
        <f t="shared" si="47"/>
        <v/>
      </c>
      <c r="D618" s="33"/>
      <c r="E618" s="33"/>
      <c r="G618" s="33"/>
    </row>
    <row r="619" spans="2:7">
      <c r="B619" s="32" t="str">
        <f t="shared" si="46"/>
        <v/>
      </c>
      <c r="C619" s="32" t="str">
        <f t="shared" si="47"/>
        <v/>
      </c>
      <c r="D619" s="33"/>
      <c r="E619" s="33"/>
      <c r="G619" s="33"/>
    </row>
    <row r="620" spans="2:7">
      <c r="B620" s="32" t="str">
        <f t="shared" si="46"/>
        <v/>
      </c>
      <c r="C620" s="32" t="str">
        <f t="shared" si="47"/>
        <v/>
      </c>
      <c r="D620" s="33"/>
      <c r="E620" s="33"/>
      <c r="G620" s="33"/>
    </row>
    <row r="621" spans="2:7">
      <c r="B621" s="32" t="str">
        <f t="shared" si="46"/>
        <v/>
      </c>
      <c r="C621" s="32" t="str">
        <f t="shared" si="47"/>
        <v/>
      </c>
      <c r="D621" s="33"/>
      <c r="E621" s="33"/>
      <c r="G621" s="33"/>
    </row>
    <row r="622" spans="2:7">
      <c r="B622" s="32" t="str">
        <f t="shared" si="46"/>
        <v/>
      </c>
      <c r="C622" s="32" t="str">
        <f t="shared" si="47"/>
        <v/>
      </c>
      <c r="D622" s="33"/>
      <c r="E622" s="33"/>
      <c r="G622" s="33"/>
    </row>
    <row r="623" spans="2:7">
      <c r="B623" s="32" t="str">
        <f t="shared" ref="B623:B686" si="48">IF(A623="","",MONTH(A623))</f>
        <v/>
      </c>
      <c r="C623" s="32" t="str">
        <f t="shared" ref="C623:C686" si="49">IF(A623="","",YEAR(A623))</f>
        <v/>
      </c>
      <c r="D623" s="33"/>
      <c r="E623" s="33"/>
      <c r="G623" s="33"/>
    </row>
    <row r="624" spans="2:7">
      <c r="B624" s="32" t="str">
        <f t="shared" si="48"/>
        <v/>
      </c>
      <c r="C624" s="32" t="str">
        <f t="shared" si="49"/>
        <v/>
      </c>
      <c r="D624" s="33"/>
      <c r="E624" s="33"/>
      <c r="G624" s="33"/>
    </row>
    <row r="625" spans="2:7">
      <c r="B625" s="32" t="str">
        <f t="shared" si="48"/>
        <v/>
      </c>
      <c r="C625" s="32" t="str">
        <f t="shared" si="49"/>
        <v/>
      </c>
      <c r="D625" s="33"/>
      <c r="E625" s="33"/>
      <c r="G625" s="33"/>
    </row>
    <row r="626" spans="2:7">
      <c r="B626" s="32" t="str">
        <f t="shared" si="48"/>
        <v/>
      </c>
      <c r="C626" s="32" t="str">
        <f t="shared" si="49"/>
        <v/>
      </c>
      <c r="D626" s="33"/>
      <c r="E626" s="33"/>
      <c r="G626" s="33"/>
    </row>
    <row r="627" spans="2:7">
      <c r="B627" s="32" t="str">
        <f t="shared" si="48"/>
        <v/>
      </c>
      <c r="C627" s="32" t="str">
        <f t="shared" si="49"/>
        <v/>
      </c>
      <c r="D627" s="33"/>
      <c r="E627" s="33"/>
      <c r="G627" s="33"/>
    </row>
    <row r="628" spans="2:7">
      <c r="B628" s="32" t="str">
        <f t="shared" si="48"/>
        <v/>
      </c>
      <c r="C628" s="32" t="str">
        <f t="shared" si="49"/>
        <v/>
      </c>
      <c r="D628" s="33"/>
      <c r="E628" s="33"/>
      <c r="G628" s="33"/>
    </row>
    <row r="629" spans="2:7">
      <c r="B629" s="32" t="str">
        <f t="shared" si="48"/>
        <v/>
      </c>
      <c r="C629" s="32" t="str">
        <f t="shared" si="49"/>
        <v/>
      </c>
      <c r="D629" s="33"/>
      <c r="E629" s="33"/>
      <c r="G629" s="33"/>
    </row>
    <row r="630" spans="2:7">
      <c r="B630" s="32" t="str">
        <f t="shared" si="48"/>
        <v/>
      </c>
      <c r="C630" s="32" t="str">
        <f t="shared" si="49"/>
        <v/>
      </c>
      <c r="D630" s="33"/>
      <c r="E630" s="33"/>
      <c r="G630" s="33"/>
    </row>
    <row r="631" spans="2:7">
      <c r="B631" s="32" t="str">
        <f t="shared" si="48"/>
        <v/>
      </c>
      <c r="C631" s="32" t="str">
        <f t="shared" si="49"/>
        <v/>
      </c>
      <c r="D631" s="33"/>
      <c r="E631" s="33"/>
      <c r="G631" s="33"/>
    </row>
    <row r="632" spans="2:7">
      <c r="B632" s="32" t="str">
        <f t="shared" si="48"/>
        <v/>
      </c>
      <c r="C632" s="32" t="str">
        <f t="shared" si="49"/>
        <v/>
      </c>
      <c r="D632" s="33"/>
      <c r="E632" s="33"/>
      <c r="G632" s="33"/>
    </row>
    <row r="633" spans="2:7">
      <c r="B633" s="32" t="str">
        <f t="shared" si="48"/>
        <v/>
      </c>
      <c r="C633" s="32" t="str">
        <f t="shared" si="49"/>
        <v/>
      </c>
      <c r="D633" s="33"/>
      <c r="E633" s="33"/>
      <c r="G633" s="33"/>
    </row>
    <row r="634" spans="2:7">
      <c r="B634" s="32" t="str">
        <f t="shared" si="48"/>
        <v/>
      </c>
      <c r="C634" s="32" t="str">
        <f t="shared" si="49"/>
        <v/>
      </c>
      <c r="D634" s="33"/>
      <c r="E634" s="33"/>
      <c r="G634" s="33"/>
    </row>
    <row r="635" spans="2:7">
      <c r="B635" s="32" t="str">
        <f t="shared" si="48"/>
        <v/>
      </c>
      <c r="C635" s="32" t="str">
        <f t="shared" si="49"/>
        <v/>
      </c>
      <c r="D635" s="33"/>
      <c r="E635" s="33"/>
      <c r="G635" s="33"/>
    </row>
    <row r="636" spans="2:7">
      <c r="B636" s="32" t="str">
        <f t="shared" si="48"/>
        <v/>
      </c>
      <c r="C636" s="32" t="str">
        <f t="shared" si="49"/>
        <v/>
      </c>
      <c r="D636" s="33"/>
      <c r="E636" s="33"/>
      <c r="G636" s="33"/>
    </row>
    <row r="637" spans="2:7">
      <c r="B637" s="32" t="str">
        <f t="shared" si="48"/>
        <v/>
      </c>
      <c r="C637" s="32" t="str">
        <f t="shared" si="49"/>
        <v/>
      </c>
      <c r="D637" s="33"/>
      <c r="E637" s="33"/>
      <c r="G637" s="33"/>
    </row>
    <row r="638" spans="2:7">
      <c r="B638" s="32" t="str">
        <f t="shared" si="48"/>
        <v/>
      </c>
      <c r="C638" s="32" t="str">
        <f t="shared" si="49"/>
        <v/>
      </c>
      <c r="D638" s="33"/>
      <c r="E638" s="33"/>
      <c r="G638" s="33"/>
    </row>
    <row r="639" spans="2:7">
      <c r="B639" s="32" t="str">
        <f t="shared" si="48"/>
        <v/>
      </c>
      <c r="C639" s="32" t="str">
        <f t="shared" si="49"/>
        <v/>
      </c>
      <c r="D639" s="33"/>
      <c r="E639" s="33"/>
      <c r="G639" s="33"/>
    </row>
    <row r="640" spans="2:7">
      <c r="B640" s="32" t="str">
        <f t="shared" si="48"/>
        <v/>
      </c>
      <c r="C640" s="32" t="str">
        <f t="shared" si="49"/>
        <v/>
      </c>
      <c r="D640" s="33"/>
      <c r="E640" s="33"/>
      <c r="G640" s="33"/>
    </row>
    <row r="641" spans="2:7">
      <c r="B641" s="32" t="str">
        <f t="shared" si="48"/>
        <v/>
      </c>
      <c r="C641" s="32" t="str">
        <f t="shared" si="49"/>
        <v/>
      </c>
      <c r="D641" s="33"/>
      <c r="E641" s="33"/>
      <c r="G641" s="33"/>
    </row>
    <row r="642" spans="2:7">
      <c r="B642" s="32" t="str">
        <f t="shared" si="48"/>
        <v/>
      </c>
      <c r="C642" s="32" t="str">
        <f t="shared" si="49"/>
        <v/>
      </c>
      <c r="D642" s="33"/>
      <c r="E642" s="33"/>
      <c r="G642" s="33"/>
    </row>
    <row r="643" spans="2:7">
      <c r="B643" s="32" t="str">
        <f t="shared" si="48"/>
        <v/>
      </c>
      <c r="C643" s="32" t="str">
        <f t="shared" si="49"/>
        <v/>
      </c>
      <c r="D643" s="33"/>
      <c r="E643" s="33"/>
      <c r="G643" s="33"/>
    </row>
    <row r="644" spans="2:7">
      <c r="B644" s="32" t="str">
        <f t="shared" si="48"/>
        <v/>
      </c>
      <c r="C644" s="32" t="str">
        <f t="shared" si="49"/>
        <v/>
      </c>
      <c r="D644" s="33"/>
      <c r="E644" s="33"/>
      <c r="G644" s="33"/>
    </row>
    <row r="645" spans="2:7">
      <c r="B645" s="32" t="str">
        <f t="shared" si="48"/>
        <v/>
      </c>
      <c r="C645" s="32" t="str">
        <f t="shared" si="49"/>
        <v/>
      </c>
      <c r="D645" s="33"/>
      <c r="E645" s="33"/>
      <c r="G645" s="33"/>
    </row>
    <row r="646" spans="2:7">
      <c r="B646" s="32" t="str">
        <f t="shared" si="48"/>
        <v/>
      </c>
      <c r="C646" s="32" t="str">
        <f t="shared" si="49"/>
        <v/>
      </c>
      <c r="D646" s="33"/>
      <c r="E646" s="33"/>
      <c r="G646" s="33"/>
    </row>
    <row r="647" spans="2:7">
      <c r="B647" s="32" t="str">
        <f t="shared" si="48"/>
        <v/>
      </c>
      <c r="C647" s="32" t="str">
        <f t="shared" si="49"/>
        <v/>
      </c>
      <c r="D647" s="33"/>
      <c r="E647" s="33"/>
      <c r="G647" s="33"/>
    </row>
    <row r="648" spans="2:7">
      <c r="B648" s="32" t="str">
        <f t="shared" si="48"/>
        <v/>
      </c>
      <c r="C648" s="32" t="str">
        <f t="shared" si="49"/>
        <v/>
      </c>
      <c r="D648" s="33"/>
      <c r="E648" s="33"/>
      <c r="G648" s="33"/>
    </row>
    <row r="649" spans="2:7">
      <c r="B649" s="32" t="str">
        <f t="shared" si="48"/>
        <v/>
      </c>
      <c r="C649" s="32" t="str">
        <f t="shared" si="49"/>
        <v/>
      </c>
      <c r="D649" s="33"/>
      <c r="E649" s="33"/>
      <c r="G649" s="33"/>
    </row>
    <row r="650" spans="2:7">
      <c r="B650" s="32" t="str">
        <f t="shared" si="48"/>
        <v/>
      </c>
      <c r="C650" s="32" t="str">
        <f t="shared" si="49"/>
        <v/>
      </c>
      <c r="D650" s="33"/>
      <c r="E650" s="33"/>
      <c r="G650" s="33"/>
    </row>
    <row r="651" spans="2:7">
      <c r="B651" s="32" t="str">
        <f t="shared" si="48"/>
        <v/>
      </c>
      <c r="C651" s="32" t="str">
        <f t="shared" si="49"/>
        <v/>
      </c>
      <c r="D651" s="33"/>
      <c r="E651" s="33"/>
      <c r="G651" s="33"/>
    </row>
    <row r="652" spans="2:7">
      <c r="B652" s="32" t="str">
        <f t="shared" si="48"/>
        <v/>
      </c>
      <c r="C652" s="32" t="str">
        <f t="shared" si="49"/>
        <v/>
      </c>
      <c r="D652" s="33"/>
      <c r="E652" s="33"/>
      <c r="G652" s="33"/>
    </row>
    <row r="653" spans="2:7">
      <c r="B653" s="32" t="str">
        <f t="shared" si="48"/>
        <v/>
      </c>
      <c r="C653" s="32" t="str">
        <f t="shared" si="49"/>
        <v/>
      </c>
      <c r="D653" s="33"/>
      <c r="E653" s="33"/>
      <c r="G653" s="33"/>
    </row>
    <row r="654" spans="2:7">
      <c r="B654" s="32" t="str">
        <f t="shared" si="48"/>
        <v/>
      </c>
      <c r="C654" s="32" t="str">
        <f t="shared" si="49"/>
        <v/>
      </c>
      <c r="D654" s="33"/>
      <c r="E654" s="33"/>
      <c r="G654" s="33"/>
    </row>
    <row r="655" spans="2:7">
      <c r="B655" s="32" t="str">
        <f t="shared" si="48"/>
        <v/>
      </c>
      <c r="C655" s="32" t="str">
        <f t="shared" si="49"/>
        <v/>
      </c>
      <c r="D655" s="33"/>
      <c r="E655" s="33"/>
      <c r="G655" s="33"/>
    </row>
    <row r="656" spans="2:7">
      <c r="B656" s="32" t="str">
        <f t="shared" si="48"/>
        <v/>
      </c>
      <c r="C656" s="32" t="str">
        <f t="shared" si="49"/>
        <v/>
      </c>
      <c r="D656" s="33"/>
      <c r="E656" s="33"/>
      <c r="G656" s="33"/>
    </row>
    <row r="657" spans="2:7">
      <c r="B657" s="32" t="str">
        <f t="shared" si="48"/>
        <v/>
      </c>
      <c r="C657" s="32" t="str">
        <f t="shared" si="49"/>
        <v/>
      </c>
      <c r="D657" s="33"/>
      <c r="E657" s="33"/>
      <c r="G657" s="33"/>
    </row>
    <row r="658" spans="2:7">
      <c r="B658" s="32" t="str">
        <f t="shared" si="48"/>
        <v/>
      </c>
      <c r="C658" s="32" t="str">
        <f t="shared" si="49"/>
        <v/>
      </c>
      <c r="D658" s="33"/>
      <c r="E658" s="33"/>
      <c r="G658" s="33"/>
    </row>
    <row r="659" spans="2:7">
      <c r="B659" s="32" t="str">
        <f t="shared" si="48"/>
        <v/>
      </c>
      <c r="C659" s="32" t="str">
        <f t="shared" si="49"/>
        <v/>
      </c>
      <c r="D659" s="33"/>
      <c r="E659" s="33"/>
      <c r="G659" s="33"/>
    </row>
    <row r="660" spans="2:7">
      <c r="B660" s="32" t="str">
        <f t="shared" si="48"/>
        <v/>
      </c>
      <c r="C660" s="32" t="str">
        <f t="shared" si="49"/>
        <v/>
      </c>
      <c r="D660" s="33"/>
      <c r="E660" s="33"/>
      <c r="G660" s="33"/>
    </row>
    <row r="661" spans="2:7">
      <c r="B661" s="32" t="str">
        <f t="shared" si="48"/>
        <v/>
      </c>
      <c r="C661" s="32" t="str">
        <f t="shared" si="49"/>
        <v/>
      </c>
      <c r="D661" s="33"/>
      <c r="E661" s="33"/>
      <c r="G661" s="33"/>
    </row>
    <row r="662" spans="2:7">
      <c r="B662" s="32" t="str">
        <f t="shared" si="48"/>
        <v/>
      </c>
      <c r="C662" s="32" t="str">
        <f t="shared" si="49"/>
        <v/>
      </c>
      <c r="D662" s="33"/>
      <c r="E662" s="33"/>
      <c r="G662" s="33"/>
    </row>
    <row r="663" spans="2:7">
      <c r="B663" s="32" t="str">
        <f t="shared" si="48"/>
        <v/>
      </c>
      <c r="C663" s="32" t="str">
        <f t="shared" si="49"/>
        <v/>
      </c>
      <c r="D663" s="33"/>
      <c r="E663" s="33"/>
      <c r="G663" s="33"/>
    </row>
    <row r="664" spans="2:7">
      <c r="B664" s="32" t="str">
        <f t="shared" si="48"/>
        <v/>
      </c>
      <c r="C664" s="32" t="str">
        <f t="shared" si="49"/>
        <v/>
      </c>
      <c r="D664" s="33"/>
      <c r="E664" s="33"/>
      <c r="G664" s="33"/>
    </row>
    <row r="665" spans="2:7">
      <c r="B665" s="32" t="str">
        <f t="shared" si="48"/>
        <v/>
      </c>
      <c r="C665" s="32" t="str">
        <f t="shared" si="49"/>
        <v/>
      </c>
      <c r="D665" s="33"/>
      <c r="E665" s="33"/>
      <c r="G665" s="33"/>
    </row>
    <row r="666" spans="2:7">
      <c r="B666" s="32" t="str">
        <f t="shared" si="48"/>
        <v/>
      </c>
      <c r="C666" s="32" t="str">
        <f t="shared" si="49"/>
        <v/>
      </c>
      <c r="D666" s="33"/>
      <c r="E666" s="33"/>
      <c r="G666" s="33"/>
    </row>
    <row r="667" spans="2:7">
      <c r="B667" s="32" t="str">
        <f t="shared" si="48"/>
        <v/>
      </c>
      <c r="C667" s="32" t="str">
        <f t="shared" si="49"/>
        <v/>
      </c>
      <c r="D667" s="33"/>
      <c r="E667" s="33"/>
      <c r="G667" s="33"/>
    </row>
    <row r="668" spans="2:7">
      <c r="B668" s="32" t="str">
        <f t="shared" si="48"/>
        <v/>
      </c>
      <c r="C668" s="32" t="str">
        <f t="shared" si="49"/>
        <v/>
      </c>
      <c r="D668" s="33"/>
      <c r="E668" s="33"/>
      <c r="G668" s="33"/>
    </row>
    <row r="669" spans="2:7">
      <c r="B669" s="32" t="str">
        <f t="shared" si="48"/>
        <v/>
      </c>
      <c r="C669" s="32" t="str">
        <f t="shared" si="49"/>
        <v/>
      </c>
      <c r="D669" s="33"/>
      <c r="E669" s="33"/>
      <c r="G669" s="33"/>
    </row>
    <row r="670" spans="2:7">
      <c r="B670" s="32" t="str">
        <f t="shared" si="48"/>
        <v/>
      </c>
      <c r="C670" s="32" t="str">
        <f t="shared" si="49"/>
        <v/>
      </c>
      <c r="D670" s="33"/>
      <c r="E670" s="33"/>
      <c r="G670" s="33"/>
    </row>
    <row r="671" spans="2:7">
      <c r="B671" s="32" t="str">
        <f t="shared" si="48"/>
        <v/>
      </c>
      <c r="C671" s="32" t="str">
        <f t="shared" si="49"/>
        <v/>
      </c>
      <c r="D671" s="33"/>
      <c r="E671" s="33"/>
      <c r="G671" s="33"/>
    </row>
    <row r="672" spans="2:7">
      <c r="B672" s="32" t="str">
        <f t="shared" si="48"/>
        <v/>
      </c>
      <c r="C672" s="32" t="str">
        <f t="shared" si="49"/>
        <v/>
      </c>
      <c r="D672" s="33"/>
      <c r="E672" s="33"/>
      <c r="G672" s="33"/>
    </row>
    <row r="673" spans="2:7">
      <c r="B673" s="32" t="str">
        <f t="shared" si="48"/>
        <v/>
      </c>
      <c r="C673" s="32" t="str">
        <f t="shared" si="49"/>
        <v/>
      </c>
      <c r="D673" s="33"/>
      <c r="E673" s="33"/>
      <c r="G673" s="33"/>
    </row>
    <row r="674" spans="2:7">
      <c r="B674" s="32" t="str">
        <f t="shared" si="48"/>
        <v/>
      </c>
      <c r="C674" s="32" t="str">
        <f t="shared" si="49"/>
        <v/>
      </c>
      <c r="D674" s="33"/>
      <c r="E674" s="33"/>
      <c r="G674" s="33"/>
    </row>
    <row r="675" spans="2:7">
      <c r="B675" s="32" t="str">
        <f t="shared" si="48"/>
        <v/>
      </c>
      <c r="C675" s="32" t="str">
        <f t="shared" si="49"/>
        <v/>
      </c>
      <c r="D675" s="33"/>
      <c r="E675" s="33"/>
      <c r="G675" s="33"/>
    </row>
    <row r="676" spans="2:7">
      <c r="B676" s="32" t="str">
        <f t="shared" si="48"/>
        <v/>
      </c>
      <c r="C676" s="32" t="str">
        <f t="shared" si="49"/>
        <v/>
      </c>
      <c r="D676" s="33"/>
      <c r="E676" s="33"/>
      <c r="G676" s="33"/>
    </row>
    <row r="677" spans="2:7">
      <c r="B677" s="32" t="str">
        <f t="shared" si="48"/>
        <v/>
      </c>
      <c r="C677" s="32" t="str">
        <f t="shared" si="49"/>
        <v/>
      </c>
      <c r="D677" s="33"/>
      <c r="E677" s="33"/>
      <c r="G677" s="33"/>
    </row>
    <row r="678" spans="2:7">
      <c r="B678" s="32" t="str">
        <f t="shared" si="48"/>
        <v/>
      </c>
      <c r="C678" s="32" t="str">
        <f t="shared" si="49"/>
        <v/>
      </c>
      <c r="D678" s="33"/>
      <c r="E678" s="33"/>
      <c r="G678" s="33"/>
    </row>
    <row r="679" spans="2:7">
      <c r="B679" s="32" t="str">
        <f t="shared" si="48"/>
        <v/>
      </c>
      <c r="C679" s="32" t="str">
        <f t="shared" si="49"/>
        <v/>
      </c>
      <c r="D679" s="33"/>
      <c r="E679" s="33"/>
      <c r="G679" s="33"/>
    </row>
    <row r="680" spans="2:7">
      <c r="B680" s="32" t="str">
        <f t="shared" si="48"/>
        <v/>
      </c>
      <c r="C680" s="32" t="str">
        <f t="shared" si="49"/>
        <v/>
      </c>
      <c r="D680" s="33"/>
      <c r="E680" s="33"/>
      <c r="G680" s="33"/>
    </row>
    <row r="681" spans="2:7">
      <c r="B681" s="32" t="str">
        <f t="shared" si="48"/>
        <v/>
      </c>
      <c r="C681" s="32" t="str">
        <f t="shared" si="49"/>
        <v/>
      </c>
      <c r="D681" s="33"/>
      <c r="E681" s="33"/>
      <c r="G681" s="33"/>
    </row>
    <row r="682" spans="2:7">
      <c r="B682" s="32" t="str">
        <f t="shared" si="48"/>
        <v/>
      </c>
      <c r="C682" s="32" t="str">
        <f t="shared" si="49"/>
        <v/>
      </c>
      <c r="D682" s="33"/>
      <c r="E682" s="33"/>
      <c r="G682" s="33"/>
    </row>
    <row r="683" spans="2:7">
      <c r="B683" s="32" t="str">
        <f t="shared" si="48"/>
        <v/>
      </c>
      <c r="C683" s="32" t="str">
        <f t="shared" si="49"/>
        <v/>
      </c>
      <c r="D683" s="33"/>
      <c r="E683" s="33"/>
      <c r="G683" s="33"/>
    </row>
    <row r="684" spans="2:7">
      <c r="B684" s="32" t="str">
        <f t="shared" si="48"/>
        <v/>
      </c>
      <c r="C684" s="32" t="str">
        <f t="shared" si="49"/>
        <v/>
      </c>
      <c r="D684" s="33"/>
      <c r="E684" s="33"/>
      <c r="G684" s="33"/>
    </row>
    <row r="685" spans="2:7">
      <c r="B685" s="32" t="str">
        <f t="shared" si="48"/>
        <v/>
      </c>
      <c r="C685" s="32" t="str">
        <f t="shared" si="49"/>
        <v/>
      </c>
      <c r="D685" s="33"/>
      <c r="E685" s="33"/>
      <c r="G685" s="33"/>
    </row>
    <row r="686" spans="2:7">
      <c r="B686" s="32" t="str">
        <f t="shared" si="48"/>
        <v/>
      </c>
      <c r="C686" s="32" t="str">
        <f t="shared" si="49"/>
        <v/>
      </c>
      <c r="D686" s="33"/>
      <c r="E686" s="33"/>
      <c r="G686" s="33"/>
    </row>
    <row r="687" spans="2:7">
      <c r="B687" s="32" t="str">
        <f t="shared" ref="B687:B726" si="50">IF(A687="","",MONTH(A687))</f>
        <v/>
      </c>
      <c r="C687" s="32" t="str">
        <f t="shared" ref="C687:C726" si="51">IF(A687="","",YEAR(A687))</f>
        <v/>
      </c>
      <c r="D687" s="33"/>
      <c r="E687" s="33"/>
      <c r="G687" s="33"/>
    </row>
    <row r="688" spans="2:7">
      <c r="B688" s="32" t="str">
        <f t="shared" si="50"/>
        <v/>
      </c>
      <c r="C688" s="32" t="str">
        <f t="shared" si="51"/>
        <v/>
      </c>
      <c r="D688" s="33"/>
      <c r="E688" s="33"/>
      <c r="G688" s="33"/>
    </row>
    <row r="689" spans="2:7">
      <c r="B689" s="32" t="str">
        <f t="shared" si="50"/>
        <v/>
      </c>
      <c r="C689" s="32" t="str">
        <f t="shared" si="51"/>
        <v/>
      </c>
      <c r="D689" s="33"/>
      <c r="E689" s="33"/>
      <c r="G689" s="33"/>
    </row>
    <row r="690" spans="2:7">
      <c r="B690" s="32" t="str">
        <f t="shared" si="50"/>
        <v/>
      </c>
      <c r="C690" s="32" t="str">
        <f t="shared" si="51"/>
        <v/>
      </c>
      <c r="D690" s="33"/>
      <c r="E690" s="33"/>
      <c r="G690" s="33"/>
    </row>
    <row r="691" spans="2:7">
      <c r="B691" s="32" t="str">
        <f t="shared" si="50"/>
        <v/>
      </c>
      <c r="C691" s="32" t="str">
        <f t="shared" si="51"/>
        <v/>
      </c>
      <c r="D691" s="33"/>
      <c r="E691" s="33"/>
      <c r="G691" s="33"/>
    </row>
    <row r="692" spans="2:7">
      <c r="B692" s="32" t="str">
        <f t="shared" si="50"/>
        <v/>
      </c>
      <c r="C692" s="32" t="str">
        <f t="shared" si="51"/>
        <v/>
      </c>
      <c r="D692" s="33"/>
      <c r="E692" s="33"/>
      <c r="G692" s="33"/>
    </row>
    <row r="693" spans="2:7">
      <c r="B693" s="32" t="str">
        <f t="shared" si="50"/>
        <v/>
      </c>
      <c r="C693" s="32" t="str">
        <f t="shared" si="51"/>
        <v/>
      </c>
      <c r="D693" s="33"/>
      <c r="E693" s="33"/>
      <c r="G693" s="33"/>
    </row>
    <row r="694" spans="2:7">
      <c r="B694" s="32" t="str">
        <f t="shared" si="50"/>
        <v/>
      </c>
      <c r="C694" s="32" t="str">
        <f t="shared" si="51"/>
        <v/>
      </c>
      <c r="D694" s="33"/>
      <c r="E694" s="33"/>
      <c r="G694" s="33"/>
    </row>
    <row r="695" spans="2:7">
      <c r="B695" s="32" t="str">
        <f t="shared" si="50"/>
        <v/>
      </c>
      <c r="C695" s="32" t="str">
        <f t="shared" si="51"/>
        <v/>
      </c>
      <c r="D695" s="33"/>
      <c r="E695" s="33"/>
      <c r="G695" s="33"/>
    </row>
    <row r="696" spans="2:7">
      <c r="B696" s="32" t="str">
        <f t="shared" si="50"/>
        <v/>
      </c>
      <c r="C696" s="32" t="str">
        <f t="shared" si="51"/>
        <v/>
      </c>
      <c r="D696" s="33"/>
      <c r="E696" s="33"/>
      <c r="G696" s="33"/>
    </row>
    <row r="697" spans="2:7">
      <c r="B697" s="32" t="str">
        <f t="shared" si="50"/>
        <v/>
      </c>
      <c r="C697" s="32" t="str">
        <f t="shared" si="51"/>
        <v/>
      </c>
      <c r="D697" s="33"/>
      <c r="E697" s="33"/>
      <c r="G697" s="33"/>
    </row>
    <row r="698" spans="2:7">
      <c r="B698" s="32" t="str">
        <f t="shared" si="50"/>
        <v/>
      </c>
      <c r="C698" s="32" t="str">
        <f t="shared" si="51"/>
        <v/>
      </c>
      <c r="D698" s="33"/>
      <c r="E698" s="33"/>
      <c r="G698" s="33"/>
    </row>
    <row r="699" spans="2:7">
      <c r="B699" s="32" t="str">
        <f t="shared" si="50"/>
        <v/>
      </c>
      <c r="C699" s="32" t="str">
        <f t="shared" si="51"/>
        <v/>
      </c>
      <c r="D699" s="33"/>
      <c r="E699" s="33"/>
      <c r="G699" s="33"/>
    </row>
    <row r="700" spans="2:7">
      <c r="B700" s="32" t="str">
        <f t="shared" si="50"/>
        <v/>
      </c>
      <c r="C700" s="32" t="str">
        <f t="shared" si="51"/>
        <v/>
      </c>
      <c r="D700" s="33"/>
      <c r="E700" s="33"/>
      <c r="G700" s="33"/>
    </row>
    <row r="701" spans="2:7">
      <c r="B701" s="32" t="str">
        <f t="shared" si="50"/>
        <v/>
      </c>
      <c r="C701" s="32" t="str">
        <f t="shared" si="51"/>
        <v/>
      </c>
      <c r="D701" s="33"/>
      <c r="E701" s="33"/>
      <c r="G701" s="33"/>
    </row>
    <row r="702" spans="2:7">
      <c r="B702" s="32" t="str">
        <f t="shared" si="50"/>
        <v/>
      </c>
      <c r="C702" s="32" t="str">
        <f t="shared" si="51"/>
        <v/>
      </c>
      <c r="D702" s="33"/>
      <c r="E702" s="33"/>
      <c r="G702" s="33"/>
    </row>
    <row r="703" spans="2:7">
      <c r="B703" s="32" t="str">
        <f t="shared" si="50"/>
        <v/>
      </c>
      <c r="C703" s="32" t="str">
        <f t="shared" si="51"/>
        <v/>
      </c>
      <c r="D703" s="33"/>
      <c r="E703" s="33"/>
      <c r="G703" s="33"/>
    </row>
    <row r="704" spans="2:7">
      <c r="B704" s="32" t="str">
        <f t="shared" si="50"/>
        <v/>
      </c>
      <c r="C704" s="32" t="str">
        <f t="shared" si="51"/>
        <v/>
      </c>
      <c r="D704" s="33"/>
      <c r="E704" s="33"/>
      <c r="G704" s="33"/>
    </row>
    <row r="705" spans="2:7">
      <c r="B705" s="32" t="str">
        <f t="shared" si="50"/>
        <v/>
      </c>
      <c r="C705" s="32" t="str">
        <f t="shared" si="51"/>
        <v/>
      </c>
      <c r="D705" s="33"/>
      <c r="E705" s="33"/>
      <c r="G705" s="33"/>
    </row>
    <row r="706" spans="2:7">
      <c r="B706" s="32" t="str">
        <f t="shared" si="50"/>
        <v/>
      </c>
      <c r="C706" s="32" t="str">
        <f t="shared" si="51"/>
        <v/>
      </c>
      <c r="D706" s="33"/>
      <c r="E706" s="33"/>
      <c r="G706" s="33"/>
    </row>
    <row r="707" spans="2:7">
      <c r="B707" s="32" t="str">
        <f t="shared" si="50"/>
        <v/>
      </c>
      <c r="C707" s="32" t="str">
        <f t="shared" si="51"/>
        <v/>
      </c>
      <c r="D707" s="33"/>
      <c r="E707" s="33"/>
      <c r="G707" s="33"/>
    </row>
    <row r="708" spans="2:7">
      <c r="B708" s="32" t="str">
        <f t="shared" si="50"/>
        <v/>
      </c>
      <c r="C708" s="32" t="str">
        <f t="shared" si="51"/>
        <v/>
      </c>
      <c r="D708" s="33"/>
      <c r="E708" s="33"/>
      <c r="G708" s="33"/>
    </row>
    <row r="709" spans="2:7">
      <c r="B709" s="32" t="str">
        <f t="shared" si="50"/>
        <v/>
      </c>
      <c r="C709" s="32" t="str">
        <f t="shared" si="51"/>
        <v/>
      </c>
      <c r="D709" s="33"/>
      <c r="E709" s="33"/>
      <c r="G709" s="33"/>
    </row>
    <row r="710" spans="2:7">
      <c r="B710" s="32" t="str">
        <f t="shared" si="50"/>
        <v/>
      </c>
      <c r="C710" s="32" t="str">
        <f t="shared" si="51"/>
        <v/>
      </c>
      <c r="D710" s="33"/>
      <c r="E710" s="33"/>
      <c r="G710" s="33"/>
    </row>
    <row r="711" spans="2:7">
      <c r="B711" s="32" t="str">
        <f t="shared" si="50"/>
        <v/>
      </c>
      <c r="C711" s="32" t="str">
        <f t="shared" si="51"/>
        <v/>
      </c>
      <c r="D711" s="33"/>
      <c r="E711" s="33"/>
      <c r="G711" s="33"/>
    </row>
    <row r="712" spans="2:7">
      <c r="B712" s="32" t="str">
        <f t="shared" si="50"/>
        <v/>
      </c>
      <c r="C712" s="32" t="str">
        <f t="shared" si="51"/>
        <v/>
      </c>
      <c r="D712" s="33"/>
      <c r="E712" s="33"/>
      <c r="G712" s="33"/>
    </row>
    <row r="713" spans="2:7">
      <c r="B713" s="32" t="str">
        <f t="shared" si="50"/>
        <v/>
      </c>
      <c r="C713" s="32" t="str">
        <f t="shared" si="51"/>
        <v/>
      </c>
      <c r="D713" s="33"/>
      <c r="E713" s="33"/>
      <c r="G713" s="33"/>
    </row>
    <row r="714" spans="2:7">
      <c r="B714" s="32" t="str">
        <f t="shared" si="50"/>
        <v/>
      </c>
      <c r="C714" s="32" t="str">
        <f t="shared" si="51"/>
        <v/>
      </c>
      <c r="D714" s="33"/>
      <c r="E714" s="33"/>
      <c r="G714" s="33"/>
    </row>
    <row r="715" spans="2:7">
      <c r="B715" s="32" t="str">
        <f t="shared" si="50"/>
        <v/>
      </c>
      <c r="C715" s="32" t="str">
        <f t="shared" si="51"/>
        <v/>
      </c>
      <c r="D715" s="33"/>
      <c r="E715" s="33"/>
      <c r="G715" s="33"/>
    </row>
    <row r="716" spans="2:7">
      <c r="B716" s="32" t="str">
        <f t="shared" si="50"/>
        <v/>
      </c>
      <c r="C716" s="32" t="str">
        <f t="shared" si="51"/>
        <v/>
      </c>
      <c r="D716" s="33"/>
      <c r="E716" s="33"/>
      <c r="G716" s="33"/>
    </row>
    <row r="717" spans="2:7">
      <c r="B717" s="32" t="str">
        <f t="shared" si="50"/>
        <v/>
      </c>
      <c r="C717" s="32" t="str">
        <f t="shared" si="51"/>
        <v/>
      </c>
      <c r="D717" s="33"/>
      <c r="E717" s="33"/>
      <c r="G717" s="33"/>
    </row>
    <row r="718" spans="2:7">
      <c r="B718" s="32" t="str">
        <f t="shared" si="50"/>
        <v/>
      </c>
      <c r="C718" s="32" t="str">
        <f t="shared" si="51"/>
        <v/>
      </c>
      <c r="D718" s="33"/>
      <c r="E718" s="33"/>
      <c r="G718" s="33"/>
    </row>
    <row r="719" spans="2:7">
      <c r="B719" s="32" t="str">
        <f t="shared" si="50"/>
        <v/>
      </c>
      <c r="C719" s="32" t="str">
        <f t="shared" si="51"/>
        <v/>
      </c>
      <c r="D719" s="33"/>
      <c r="E719" s="33"/>
      <c r="G719" s="33"/>
    </row>
    <row r="720" spans="2:7">
      <c r="B720" s="32" t="str">
        <f t="shared" si="50"/>
        <v/>
      </c>
      <c r="C720" s="32" t="str">
        <f t="shared" si="51"/>
        <v/>
      </c>
      <c r="D720" s="33"/>
      <c r="E720" s="33"/>
      <c r="G720" s="33"/>
    </row>
    <row r="721" spans="2:7">
      <c r="B721" s="32" t="str">
        <f t="shared" si="50"/>
        <v/>
      </c>
      <c r="C721" s="32" t="str">
        <f t="shared" si="51"/>
        <v/>
      </c>
      <c r="D721" s="33"/>
      <c r="E721" s="33"/>
      <c r="G721" s="33"/>
    </row>
    <row r="722" spans="2:7">
      <c r="B722" s="32" t="str">
        <f t="shared" si="50"/>
        <v/>
      </c>
      <c r="C722" s="32" t="str">
        <f t="shared" si="51"/>
        <v/>
      </c>
      <c r="D722" s="33"/>
      <c r="E722" s="33"/>
      <c r="G722" s="33"/>
    </row>
    <row r="723" spans="2:7">
      <c r="B723" s="32" t="str">
        <f t="shared" si="50"/>
        <v/>
      </c>
      <c r="C723" s="32" t="str">
        <f t="shared" si="51"/>
        <v/>
      </c>
      <c r="D723" s="33"/>
      <c r="E723" s="33"/>
      <c r="G723" s="33"/>
    </row>
    <row r="724" spans="2:7">
      <c r="B724" s="32" t="str">
        <f t="shared" si="50"/>
        <v/>
      </c>
      <c r="C724" s="32" t="str">
        <f t="shared" si="51"/>
        <v/>
      </c>
      <c r="D724" s="33"/>
      <c r="E724" s="33"/>
      <c r="G724" s="33"/>
    </row>
    <row r="725" spans="2:7">
      <c r="B725" s="32" t="str">
        <f t="shared" si="50"/>
        <v/>
      </c>
      <c r="C725" s="32" t="str">
        <f t="shared" si="51"/>
        <v/>
      </c>
      <c r="D725" s="33"/>
      <c r="E725" s="33"/>
      <c r="G725" s="33"/>
    </row>
    <row r="726" spans="2:7">
      <c r="B726" s="32" t="str">
        <f t="shared" si="50"/>
        <v/>
      </c>
      <c r="C726" s="32" t="str">
        <f t="shared" si="51"/>
        <v/>
      </c>
      <c r="D726" s="33"/>
      <c r="E726" s="33"/>
      <c r="G726" s="33"/>
    </row>
  </sheetData>
  <sheetProtection formatColumns="0"/>
  <autoFilter ref="A1:D726" xr:uid="{00000000-0009-0000-0000-000000000000}"/>
  <pageMargins left="0.51181102362204722" right="0.51181102362204722" top="0.78740157480314965" bottom="0.78740157480314965" header="0.31496062992125984" footer="0.31496062992125984"/>
  <pageSetup paperSize="9" scale="10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>
    <tabColor theme="3" tint="-0.249977111117893"/>
    <pageSetUpPr fitToPage="1"/>
  </sheetPr>
  <dimension ref="B1:V200"/>
  <sheetViews>
    <sheetView showGridLines="0" tabSelected="1" workbookViewId="0">
      <pane xSplit="2" ySplit="14" topLeftCell="C15" activePane="bottomRight" state="frozen"/>
      <selection activeCell="C2" sqref="C2:W2"/>
      <selection pane="topRight" activeCell="C2" sqref="C2:W2"/>
      <selection pane="bottomLeft" activeCell="C2" sqref="C2:W2"/>
      <selection pane="bottomRight" activeCell="D2" sqref="D2:F2"/>
    </sheetView>
  </sheetViews>
  <sheetFormatPr defaultColWidth="9.140625" defaultRowHeight="15"/>
  <cols>
    <col min="1" max="1" width="0.85546875" style="60" customWidth="1"/>
    <col min="2" max="2" width="26.140625" style="60" bestFit="1" customWidth="1"/>
    <col min="3" max="3" width="4" style="61" customWidth="1"/>
    <col min="4" max="4" width="10.7109375" style="60" bestFit="1" customWidth="1"/>
    <col min="5" max="5" width="10.140625" style="60" bestFit="1" customWidth="1"/>
    <col min="6" max="6" width="8.28515625" style="60" bestFit="1" customWidth="1"/>
    <col min="7" max="7" width="9" style="62" bestFit="1" customWidth="1"/>
    <col min="8" max="8" width="2.85546875" style="60" customWidth="1"/>
    <col min="9" max="9" width="7.140625" style="60" bestFit="1" customWidth="1"/>
    <col min="10" max="10" width="9.7109375" style="60" customWidth="1"/>
    <col min="11" max="11" width="8.28515625" style="60" bestFit="1" customWidth="1"/>
    <col min="12" max="12" width="9" style="62" bestFit="1" customWidth="1"/>
    <col min="13" max="13" width="2.85546875" style="60" customWidth="1"/>
    <col min="14" max="14" width="7.140625" style="60" bestFit="1" customWidth="1"/>
    <col min="15" max="15" width="8" style="60" customWidth="1"/>
    <col min="16" max="16" width="8" style="60" bestFit="1" customWidth="1"/>
    <col min="17" max="17" width="9" style="62" bestFit="1" customWidth="1"/>
    <col min="18" max="18" width="2.85546875" style="60" customWidth="1"/>
    <col min="19" max="19" width="7.140625" style="60" bestFit="1" customWidth="1"/>
    <col min="20" max="20" width="8.85546875" style="60" customWidth="1"/>
    <col min="21" max="21" width="8" style="60" bestFit="1" customWidth="1"/>
    <col min="22" max="22" width="9" style="62" bestFit="1" customWidth="1"/>
    <col min="23" max="23" width="5.42578125" style="60" customWidth="1"/>
    <col min="24" max="16384" width="9.140625" style="60"/>
  </cols>
  <sheetData>
    <row r="1" spans="2:22" ht="5.25" customHeight="1"/>
    <row r="2" spans="2:22" ht="15.75">
      <c r="B2" s="63" t="s">
        <v>44</v>
      </c>
      <c r="C2" s="64"/>
      <c r="D2" s="102" t="s">
        <v>6</v>
      </c>
      <c r="E2" s="103"/>
      <c r="F2" s="104"/>
      <c r="H2" s="61"/>
      <c r="I2" s="102" t="s">
        <v>13</v>
      </c>
      <c r="J2" s="103"/>
      <c r="K2" s="104"/>
      <c r="M2" s="61"/>
      <c r="N2" s="102" t="s">
        <v>8</v>
      </c>
      <c r="O2" s="103"/>
      <c r="P2" s="104"/>
      <c r="R2" s="61"/>
      <c r="S2" s="102" t="s">
        <v>7</v>
      </c>
      <c r="T2" s="103"/>
      <c r="U2" s="104"/>
    </row>
    <row r="3" spans="2:22">
      <c r="B3" s="63" t="s">
        <v>45</v>
      </c>
      <c r="C3" s="65"/>
      <c r="D3" s="117">
        <v>42978</v>
      </c>
      <c r="E3" s="118"/>
      <c r="F3" s="119"/>
      <c r="G3" s="86"/>
      <c r="H3" s="88"/>
      <c r="I3" s="105">
        <f>IF(D3="","",D3)</f>
        <v>42978</v>
      </c>
      <c r="J3" s="106"/>
      <c r="K3" s="107"/>
      <c r="L3" s="86"/>
      <c r="M3" s="88"/>
      <c r="N3" s="105">
        <f>IF(I3="","",I3)</f>
        <v>42978</v>
      </c>
      <c r="O3" s="106"/>
      <c r="P3" s="107"/>
      <c r="Q3" s="86"/>
      <c r="R3" s="88"/>
      <c r="S3" s="105">
        <f>IF(N3="","",N3)</f>
        <v>42978</v>
      </c>
      <c r="T3" s="106"/>
      <c r="U3" s="107"/>
    </row>
    <row r="4" spans="2:22">
      <c r="B4" s="63" t="s">
        <v>46</v>
      </c>
      <c r="C4" s="65"/>
      <c r="D4" s="117">
        <v>43312</v>
      </c>
      <c r="E4" s="118"/>
      <c r="F4" s="119"/>
      <c r="G4" s="87">
        <f>IF(D4="","",EOMONTH(D4,0))</f>
        <v>43312</v>
      </c>
      <c r="H4" s="88"/>
      <c r="I4" s="105">
        <f>IF(D4="","",D4)</f>
        <v>43312</v>
      </c>
      <c r="J4" s="106"/>
      <c r="K4" s="107"/>
      <c r="L4" s="87">
        <f>IF(I4="","",EOMONTH(I4,0))</f>
        <v>43312</v>
      </c>
      <c r="M4" s="88"/>
      <c r="N4" s="105">
        <f>IF(I4="","",I4)</f>
        <v>43312</v>
      </c>
      <c r="O4" s="106"/>
      <c r="P4" s="107"/>
      <c r="Q4" s="87">
        <f>IF(N4="","",EOMONTH(N4,0))</f>
        <v>43312</v>
      </c>
      <c r="R4" s="88"/>
      <c r="S4" s="105">
        <f>IF(N4="","",N4)</f>
        <v>43312</v>
      </c>
      <c r="T4" s="106"/>
      <c r="U4" s="107"/>
      <c r="V4" s="87">
        <f>IF(S4="","",EOMONTH(S4,0))</f>
        <v>43312</v>
      </c>
    </row>
    <row r="5" spans="2:22">
      <c r="B5" s="63" t="s">
        <v>47</v>
      </c>
      <c r="C5" s="65"/>
      <c r="D5" s="114">
        <v>1000</v>
      </c>
      <c r="E5" s="115"/>
      <c r="F5" s="116"/>
      <c r="H5" s="61"/>
      <c r="I5" s="108">
        <f>IF(D5="","",D5)</f>
        <v>1000</v>
      </c>
      <c r="J5" s="109"/>
      <c r="K5" s="110"/>
      <c r="M5" s="61"/>
      <c r="N5" s="108">
        <f>IF(I5="","",I5)</f>
        <v>1000</v>
      </c>
      <c r="O5" s="109"/>
      <c r="P5" s="110"/>
      <c r="R5" s="61"/>
      <c r="S5" s="108">
        <f>IF(N5="","",N5)</f>
        <v>1000</v>
      </c>
      <c r="T5" s="109"/>
      <c r="U5" s="110"/>
    </row>
    <row r="6" spans="2:22">
      <c r="B6" s="66" t="s">
        <v>48</v>
      </c>
      <c r="C6" s="67"/>
      <c r="D6" s="111">
        <f>IF(D4="","",(VLOOKUP(G4,Tbl_Fator1,3)-1))</f>
        <v>8.2624387985541503E-2</v>
      </c>
      <c r="E6" s="112"/>
      <c r="F6" s="113"/>
      <c r="H6" s="68"/>
      <c r="I6" s="111">
        <f>IF(I4="","",(VLOOKUP(L4,Tbl_Fator2,3)-1))</f>
        <v>3.9265153749300952E-2</v>
      </c>
      <c r="J6" s="112"/>
      <c r="K6" s="113"/>
      <c r="M6" s="68"/>
      <c r="N6" s="111">
        <f>IF(N4="","",(VLOOKUP(Q4,Tbl_Fator3,3)-1))</f>
        <v>4.4846829921629805E-2</v>
      </c>
      <c r="O6" s="112"/>
      <c r="P6" s="113"/>
      <c r="R6" s="68"/>
      <c r="S6" s="111">
        <f>IF(S4="","",(VLOOKUP(V4,Tbl_Fator4,3)-1))</f>
        <v>3.6104274481913112E-2</v>
      </c>
      <c r="T6" s="112"/>
      <c r="U6" s="113"/>
    </row>
    <row r="7" spans="2:22">
      <c r="B7" s="66" t="s">
        <v>49</v>
      </c>
      <c r="C7" s="67"/>
      <c r="D7" s="95">
        <f>IF(D4="","",D5*(1+D6))</f>
        <v>1082.6243879855415</v>
      </c>
      <c r="E7" s="96"/>
      <c r="F7" s="97"/>
      <c r="H7" s="68"/>
      <c r="I7" s="95">
        <f>IF(I4="","",I5*(1+I6))</f>
        <v>1039.2651537493009</v>
      </c>
      <c r="J7" s="96"/>
      <c r="K7" s="97"/>
      <c r="M7" s="68"/>
      <c r="N7" s="95">
        <f>IF(N4="","",N5*(1+N6))</f>
        <v>1044.8468299216297</v>
      </c>
      <c r="O7" s="96"/>
      <c r="P7" s="97"/>
      <c r="R7" s="68"/>
      <c r="S7" s="95">
        <f>IF(S4="","",S5*(1+S6))</f>
        <v>1036.1042744819131</v>
      </c>
      <c r="T7" s="96"/>
      <c r="U7" s="97"/>
    </row>
    <row r="8" spans="2:22" ht="15" hidden="1" customHeight="1">
      <c r="B8" s="69">
        <v>3</v>
      </c>
      <c r="D8" s="70">
        <f>MATCH(E14,Nome_Indices,0)+B8</f>
        <v>4</v>
      </c>
      <c r="E8" s="71"/>
      <c r="F8" s="71"/>
      <c r="G8" s="72"/>
      <c r="H8" s="71"/>
      <c r="I8" s="70">
        <f>MATCH(J14,Nome_Indices,0)+B8</f>
        <v>6</v>
      </c>
      <c r="J8" s="71"/>
      <c r="K8" s="71"/>
      <c r="L8" s="72"/>
      <c r="M8" s="71"/>
      <c r="N8" s="70">
        <f>MATCH(O14,Nome_Indices,0)+B8</f>
        <v>8</v>
      </c>
      <c r="O8" s="71"/>
      <c r="P8" s="71"/>
      <c r="Q8" s="72"/>
      <c r="R8" s="71"/>
      <c r="S8" s="70">
        <f>MATCH(T14,Nome_Indices,0)+B8</f>
        <v>7</v>
      </c>
      <c r="T8" s="71"/>
      <c r="U8" s="71"/>
    </row>
    <row r="9" spans="2:22" ht="4.5" customHeight="1">
      <c r="B9" s="69"/>
    </row>
    <row r="10" spans="2:22">
      <c r="B10" s="63" t="s">
        <v>50</v>
      </c>
      <c r="C10" s="73"/>
      <c r="D10" s="59">
        <v>0</v>
      </c>
      <c r="E10" s="98">
        <f>IF(D5="","",D$5*D10)</f>
        <v>0</v>
      </c>
      <c r="F10" s="98"/>
      <c r="I10" s="59">
        <v>0</v>
      </c>
      <c r="J10" s="98">
        <f>IF(I5="","",I$5*I10)</f>
        <v>0</v>
      </c>
      <c r="K10" s="98"/>
      <c r="N10" s="59">
        <v>0</v>
      </c>
      <c r="O10" s="98">
        <f>IF(N5="","",N$5*N10)</f>
        <v>0</v>
      </c>
      <c r="P10" s="98"/>
      <c r="S10" s="59">
        <v>0</v>
      </c>
      <c r="T10" s="98">
        <f>IF(S5="","",S$5*S10)</f>
        <v>0</v>
      </c>
      <c r="U10" s="98"/>
    </row>
    <row r="11" spans="2:22">
      <c r="B11" s="63" t="s">
        <v>52</v>
      </c>
      <c r="C11" s="73"/>
      <c r="D11" s="59">
        <v>0</v>
      </c>
      <c r="E11" s="98">
        <f>IF(OR(D11=0,D5=""),0,D5*(G11^F13))</f>
        <v>0</v>
      </c>
      <c r="F11" s="98"/>
      <c r="G11" s="89" t="str">
        <f>IF(D11=0,"",(1+D11)^(1/30))</f>
        <v/>
      </c>
      <c r="I11" s="59">
        <v>0</v>
      </c>
      <c r="J11" s="98">
        <f>IF(OR(I11=0,I5=""),0,I5*(L11^K13))</f>
        <v>0</v>
      </c>
      <c r="K11" s="98"/>
      <c r="L11" s="89" t="str">
        <f>IF(I11=0,"",(1+I11)^(1/30))</f>
        <v/>
      </c>
      <c r="N11" s="59">
        <v>0</v>
      </c>
      <c r="O11" s="98">
        <f>IF(OR(N11=0,N5=""),0,N5*(Q11^P13))</f>
        <v>0</v>
      </c>
      <c r="P11" s="98"/>
      <c r="Q11" s="89" t="str">
        <f>IF(N11=0,"",(1+N11)^(1/30))</f>
        <v/>
      </c>
      <c r="S11" s="59">
        <v>0</v>
      </c>
      <c r="T11" s="98">
        <f>IF(OR(S11=0,S5=""),0,S5*(V11^U13))</f>
        <v>0</v>
      </c>
      <c r="U11" s="98"/>
      <c r="V11" s="89" t="str">
        <f>IF(S11=0,"",(1+S11)^(1/30))</f>
        <v/>
      </c>
    </row>
    <row r="12" spans="2:22">
      <c r="B12" s="74" t="s">
        <v>51</v>
      </c>
      <c r="C12" s="75"/>
      <c r="D12" s="99">
        <f>IF(D5="","",D7+E10+E11)</f>
        <v>1082.6243879855415</v>
      </c>
      <c r="E12" s="100"/>
      <c r="F12" s="101"/>
      <c r="I12" s="99">
        <f>IF(I5="","",I7+J10+J11)</f>
        <v>1039.2651537493009</v>
      </c>
      <c r="J12" s="100"/>
      <c r="K12" s="101"/>
      <c r="N12" s="99">
        <f>IF(N5="","",N7+O10+O11)</f>
        <v>1044.8468299216297</v>
      </c>
      <c r="O12" s="100"/>
      <c r="P12" s="101"/>
      <c r="S12" s="99">
        <f>IF(S5="","",S7+T10+T11)</f>
        <v>1036.1042744819131</v>
      </c>
      <c r="T12" s="100"/>
      <c r="U12" s="101"/>
    </row>
    <row r="13" spans="2:22" s="89" customFormat="1">
      <c r="C13" s="90"/>
      <c r="F13" s="89">
        <f>IF(D4="","",D4-D3)</f>
        <v>334</v>
      </c>
      <c r="K13" s="89">
        <f>IF(I4="","",I4-I3)</f>
        <v>334</v>
      </c>
      <c r="P13" s="89">
        <f>IF(N4="","",N4-N3)</f>
        <v>334</v>
      </c>
      <c r="U13" s="89">
        <f>IF(S4="","",S4-S3)</f>
        <v>334</v>
      </c>
    </row>
    <row r="14" spans="2:22" s="76" customFormat="1" ht="17.25">
      <c r="C14" s="77"/>
      <c r="D14" s="78" t="s">
        <v>1</v>
      </c>
      <c r="E14" s="78" t="str">
        <f>D2</f>
        <v>% IGP-M</v>
      </c>
      <c r="F14" s="78" t="s">
        <v>5</v>
      </c>
      <c r="G14" s="79" t="s">
        <v>11</v>
      </c>
      <c r="I14" s="78" t="s">
        <v>1</v>
      </c>
      <c r="J14" s="78" t="str">
        <f>I2</f>
        <v>% INCC-M</v>
      </c>
      <c r="K14" s="78" t="s">
        <v>5</v>
      </c>
      <c r="L14" s="79" t="s">
        <v>11</v>
      </c>
      <c r="N14" s="78" t="s">
        <v>1</v>
      </c>
      <c r="O14" s="78" t="str">
        <f>N2</f>
        <v>% IPCA</v>
      </c>
      <c r="P14" s="78" t="s">
        <v>5</v>
      </c>
      <c r="Q14" s="79" t="s">
        <v>11</v>
      </c>
      <c r="S14" s="78" t="s">
        <v>1</v>
      </c>
      <c r="T14" s="78" t="str">
        <f>S2</f>
        <v>% INPC</v>
      </c>
      <c r="U14" s="78" t="s">
        <v>5</v>
      </c>
      <c r="V14" s="79" t="s">
        <v>11</v>
      </c>
    </row>
    <row r="15" spans="2:22">
      <c r="D15" s="80">
        <f>IF(D$4="","",EOMONTH(D3,0))</f>
        <v>42978</v>
      </c>
      <c r="E15" s="81">
        <f t="shared" ref="E15:E46" si="0">IF(E$14="","",IF($D15="","",VLOOKUP($D15,Tbl_Indices,D$8)))</f>
        <v>1E-3</v>
      </c>
      <c r="F15" s="82">
        <f>IF(E15="","",1+E15)</f>
        <v>1.0009999999999999</v>
      </c>
      <c r="G15" s="83">
        <f>IF(D15="","",F15-1)</f>
        <v>9.9999999999988987E-4</v>
      </c>
      <c r="I15" s="80">
        <f>IF(I$4="","",EOMONTH(I3,0))</f>
        <v>42978</v>
      </c>
      <c r="J15" s="81">
        <f t="shared" ref="J15:J46" si="1">IF(J$14="","",IF($D15="","",VLOOKUP($D15,Tbl_Indices,I$8)))</f>
        <v>4.0000000000000001E-3</v>
      </c>
      <c r="K15" s="82">
        <f>IF(J15="","",1+J15)</f>
        <v>1.004</v>
      </c>
      <c r="L15" s="83">
        <f>IF(I15="","",K15-1)</f>
        <v>4.0000000000000036E-3</v>
      </c>
      <c r="N15" s="80">
        <f>IF(N$4="","",EOMONTH(N3,0))</f>
        <v>42978</v>
      </c>
      <c r="O15" s="81">
        <f t="shared" ref="O15:O46" si="2">IF(O$14="","",IF($D15="","",VLOOKUP($D15,Tbl_Indices,N$8)))</f>
        <v>1.9E-3</v>
      </c>
      <c r="P15" s="82">
        <f>IF(O15="","",1+O15)</f>
        <v>1.0019</v>
      </c>
      <c r="Q15" s="83">
        <f>IF(N15="","",P15-1)</f>
        <v>1.9000000000000128E-3</v>
      </c>
      <c r="S15" s="80">
        <f>IF(S$4="","",EOMONTH(S3,0))</f>
        <v>42978</v>
      </c>
      <c r="T15" s="81">
        <f t="shared" ref="T15:T46" si="3">IF(T$14="","",IF($D15="","",VLOOKUP($D15,Tbl_Indices,S$8)))</f>
        <v>-2.9999999999999997E-4</v>
      </c>
      <c r="U15" s="82">
        <f>IF(T15="","",1+T15)</f>
        <v>0.99970000000000003</v>
      </c>
      <c r="V15" s="83">
        <f>IF(S15="","",U15-1)</f>
        <v>-2.9999999999996696E-4</v>
      </c>
    </row>
    <row r="16" spans="2:22">
      <c r="D16" s="80">
        <f>IF(D15&gt;=$D$4,"",EOMONTH(D15,1))</f>
        <v>43008</v>
      </c>
      <c r="E16" s="81">
        <f t="shared" si="0"/>
        <v>4.7000000000000002E-3</v>
      </c>
      <c r="F16" s="82">
        <f t="shared" ref="F16:F47" si="4">IF(E16="","",F15*(1+E16))</f>
        <v>1.0057046999999999</v>
      </c>
      <c r="G16" s="83">
        <f t="shared" ref="G16:G79" si="5">IF(D16="","",F16-1)</f>
        <v>5.704699999999896E-3</v>
      </c>
      <c r="I16" s="80">
        <f>IF(I15&gt;=$D$4,"",EOMONTH(I15,1))</f>
        <v>43008</v>
      </c>
      <c r="J16" s="81">
        <f t="shared" si="1"/>
        <v>1.4E-3</v>
      </c>
      <c r="K16" s="82">
        <f t="shared" ref="K16:K79" si="6">IF(J16="","",K15*(1+J16))</f>
        <v>1.0054056</v>
      </c>
      <c r="L16" s="83">
        <f t="shared" ref="L16:L79" si="7">IF(I16="","",K16-1)</f>
        <v>5.4056000000000104E-3</v>
      </c>
      <c r="N16" s="80">
        <f>IF(N15&gt;=$D$4,"",EOMONTH(N15,1))</f>
        <v>43008</v>
      </c>
      <c r="O16" s="81">
        <f t="shared" si="2"/>
        <v>1.6000000000000001E-3</v>
      </c>
      <c r="P16" s="82">
        <f t="shared" ref="P16:P47" si="8">IF(O16="","",P15*(1+O16))</f>
        <v>1.00350304</v>
      </c>
      <c r="Q16" s="83">
        <f t="shared" ref="Q16:Q79" si="9">IF(N16="","",P16-1)</f>
        <v>3.5030400000000128E-3</v>
      </c>
      <c r="S16" s="80">
        <f>IF(S15&gt;=$D$4,"",EOMONTH(S15,1))</f>
        <v>43008</v>
      </c>
      <c r="T16" s="81">
        <f t="shared" si="3"/>
        <v>-2.0000000000000001E-4</v>
      </c>
      <c r="U16" s="82">
        <f t="shared" ref="U16:U79" si="10">IF(T16="","",U15*(1+T16))</f>
        <v>0.99950006000000002</v>
      </c>
      <c r="V16" s="83">
        <f t="shared" ref="V16:V79" si="11">IF(S16="","",U16-1)</f>
        <v>-4.9993999999997651E-4</v>
      </c>
    </row>
    <row r="17" spans="2:22">
      <c r="D17" s="80">
        <f t="shared" ref="D17:D80" si="12">IF(D16&gt;=$D$4,"",EOMONTH(D16,1))</f>
        <v>43039</v>
      </c>
      <c r="E17" s="81">
        <f t="shared" si="0"/>
        <v>2E-3</v>
      </c>
      <c r="F17" s="82">
        <f t="shared" si="4"/>
        <v>1.0077161094</v>
      </c>
      <c r="G17" s="83">
        <f t="shared" si="5"/>
        <v>7.7161094000000041E-3</v>
      </c>
      <c r="I17" s="80">
        <f t="shared" ref="I17:I80" si="13">IF(I16&gt;=$D$4,"",EOMONTH(I16,1))</f>
        <v>43039</v>
      </c>
      <c r="J17" s="81">
        <f t="shared" si="1"/>
        <v>1.9E-3</v>
      </c>
      <c r="K17" s="82">
        <f t="shared" si="6"/>
        <v>1.0073158706400001</v>
      </c>
      <c r="L17" s="83">
        <f t="shared" si="7"/>
        <v>7.315870640000055E-3</v>
      </c>
      <c r="N17" s="80">
        <f t="shared" ref="N17:N80" si="14">IF(N16&gt;=$D$4,"",EOMONTH(N16,1))</f>
        <v>43039</v>
      </c>
      <c r="O17" s="81">
        <f t="shared" si="2"/>
        <v>4.1999999999999997E-3</v>
      </c>
      <c r="P17" s="82">
        <f t="shared" si="8"/>
        <v>1.0077177527679999</v>
      </c>
      <c r="Q17" s="83">
        <f t="shared" si="9"/>
        <v>7.7177527679999081E-3</v>
      </c>
      <c r="S17" s="80">
        <f t="shared" ref="S17:S80" si="15">IF(S16&gt;=$D$4,"",EOMONTH(S16,1))</f>
        <v>43039</v>
      </c>
      <c r="T17" s="81">
        <f t="shared" si="3"/>
        <v>3.7000000000000002E-3</v>
      </c>
      <c r="U17" s="82">
        <f t="shared" si="10"/>
        <v>1.0031982102220001</v>
      </c>
      <c r="V17" s="83">
        <f t="shared" si="11"/>
        <v>3.1982102220000641E-3</v>
      </c>
    </row>
    <row r="18" spans="2:22">
      <c r="D18" s="80">
        <f t="shared" si="12"/>
        <v>43069</v>
      </c>
      <c r="E18" s="81">
        <f t="shared" si="0"/>
        <v>5.1999999999999998E-3</v>
      </c>
      <c r="F18" s="82">
        <f t="shared" si="4"/>
        <v>1.0129562331688802</v>
      </c>
      <c r="G18" s="83">
        <f t="shared" si="5"/>
        <v>1.2956233168880171E-2</v>
      </c>
      <c r="I18" s="80">
        <f t="shared" si="13"/>
        <v>43069</v>
      </c>
      <c r="J18" s="81">
        <f t="shared" si="1"/>
        <v>2.8E-3</v>
      </c>
      <c r="K18" s="82">
        <f t="shared" si="6"/>
        <v>1.010136355077792</v>
      </c>
      <c r="L18" s="83">
        <f t="shared" si="7"/>
        <v>1.0136355077791981E-2</v>
      </c>
      <c r="N18" s="80">
        <f t="shared" si="14"/>
        <v>43069</v>
      </c>
      <c r="O18" s="81">
        <f t="shared" si="2"/>
        <v>2.8E-3</v>
      </c>
      <c r="P18" s="82">
        <f t="shared" si="8"/>
        <v>1.0105393624757502</v>
      </c>
      <c r="Q18" s="83">
        <f t="shared" si="9"/>
        <v>1.0539362475750158E-2</v>
      </c>
      <c r="S18" s="80">
        <f t="shared" si="15"/>
        <v>43069</v>
      </c>
      <c r="T18" s="81">
        <f t="shared" si="3"/>
        <v>1.8E-3</v>
      </c>
      <c r="U18" s="82">
        <f t="shared" si="10"/>
        <v>1.0050039670003996</v>
      </c>
      <c r="V18" s="83">
        <f t="shared" si="11"/>
        <v>5.0039670003996228E-3</v>
      </c>
    </row>
    <row r="19" spans="2:22">
      <c r="D19" s="80">
        <f t="shared" si="12"/>
        <v>43100</v>
      </c>
      <c r="E19" s="81">
        <f t="shared" si="0"/>
        <v>8.8999999999999999E-3</v>
      </c>
      <c r="F19" s="82">
        <f t="shared" si="4"/>
        <v>1.021971543644083</v>
      </c>
      <c r="G19" s="83">
        <f t="shared" si="5"/>
        <v>2.1971543644083047E-2</v>
      </c>
      <c r="I19" s="80">
        <f t="shared" si="13"/>
        <v>43100</v>
      </c>
      <c r="J19" s="81">
        <f t="shared" si="1"/>
        <v>1.4E-3</v>
      </c>
      <c r="K19" s="82">
        <f t="shared" si="6"/>
        <v>1.011550545974901</v>
      </c>
      <c r="L19" s="83">
        <f t="shared" si="7"/>
        <v>1.1550545974901016E-2</v>
      </c>
      <c r="N19" s="80">
        <f t="shared" si="14"/>
        <v>43100</v>
      </c>
      <c r="O19" s="81">
        <f t="shared" si="2"/>
        <v>4.4000000000000003E-3</v>
      </c>
      <c r="P19" s="82">
        <f t="shared" si="8"/>
        <v>1.0149857356706433</v>
      </c>
      <c r="Q19" s="83">
        <f t="shared" si="9"/>
        <v>1.4985735670643319E-2</v>
      </c>
      <c r="S19" s="80">
        <f t="shared" si="15"/>
        <v>43100</v>
      </c>
      <c r="T19" s="81">
        <f t="shared" si="3"/>
        <v>2.5999999999999999E-3</v>
      </c>
      <c r="U19" s="82">
        <f t="shared" si="10"/>
        <v>1.0076169773146006</v>
      </c>
      <c r="V19" s="83">
        <f t="shared" si="11"/>
        <v>7.6169773146006481E-3</v>
      </c>
    </row>
    <row r="20" spans="2:22" s="84" customFormat="1">
      <c r="B20" s="60"/>
      <c r="C20" s="61"/>
      <c r="D20" s="80">
        <f t="shared" si="12"/>
        <v>43131</v>
      </c>
      <c r="E20" s="81">
        <f t="shared" si="0"/>
        <v>7.6E-3</v>
      </c>
      <c r="F20" s="82">
        <f t="shared" si="4"/>
        <v>1.0297385273757782</v>
      </c>
      <c r="G20" s="83">
        <f t="shared" si="5"/>
        <v>2.9738527375778201E-2</v>
      </c>
      <c r="H20" s="60"/>
      <c r="I20" s="80">
        <f t="shared" si="13"/>
        <v>43131</v>
      </c>
      <c r="J20" s="81">
        <f t="shared" si="1"/>
        <v>2.8E-3</v>
      </c>
      <c r="K20" s="82">
        <f t="shared" si="6"/>
        <v>1.0143828875036307</v>
      </c>
      <c r="L20" s="83">
        <f t="shared" si="7"/>
        <v>1.4382887503630704E-2</v>
      </c>
      <c r="M20" s="60"/>
      <c r="N20" s="80">
        <f t="shared" si="14"/>
        <v>43131</v>
      </c>
      <c r="O20" s="81">
        <f t="shared" si="2"/>
        <v>2.8999999999999998E-3</v>
      </c>
      <c r="P20" s="82">
        <f t="shared" si="8"/>
        <v>1.017929194304088</v>
      </c>
      <c r="Q20" s="83">
        <f t="shared" si="9"/>
        <v>1.7929194304088014E-2</v>
      </c>
      <c r="R20" s="60"/>
      <c r="S20" s="80">
        <f t="shared" si="15"/>
        <v>43131</v>
      </c>
      <c r="T20" s="81">
        <f t="shared" si="3"/>
        <v>2.3E-3</v>
      </c>
      <c r="U20" s="82">
        <f t="shared" si="10"/>
        <v>1.0099344963624242</v>
      </c>
      <c r="V20" s="83">
        <f t="shared" si="11"/>
        <v>9.9344963624241611E-3</v>
      </c>
    </row>
    <row r="21" spans="2:22" s="84" customFormat="1">
      <c r="B21" s="60"/>
      <c r="C21" s="61"/>
      <c r="D21" s="80">
        <f t="shared" si="12"/>
        <v>43159</v>
      </c>
      <c r="E21" s="81">
        <f t="shared" si="0"/>
        <v>6.9999999999999999E-4</v>
      </c>
      <c r="F21" s="82">
        <f t="shared" si="4"/>
        <v>1.0304593443449412</v>
      </c>
      <c r="G21" s="83">
        <f t="shared" si="5"/>
        <v>3.0459344344941242E-2</v>
      </c>
      <c r="H21" s="60"/>
      <c r="I21" s="80">
        <f t="shared" si="13"/>
        <v>43159</v>
      </c>
      <c r="J21" s="81">
        <f t="shared" si="1"/>
        <v>1.4E-3</v>
      </c>
      <c r="K21" s="82">
        <f t="shared" si="6"/>
        <v>1.0158030235461359</v>
      </c>
      <c r="L21" s="83">
        <f t="shared" si="7"/>
        <v>1.5803023546135941E-2</v>
      </c>
      <c r="M21" s="60"/>
      <c r="N21" s="80">
        <f t="shared" si="14"/>
        <v>43159</v>
      </c>
      <c r="O21" s="81">
        <f t="shared" si="2"/>
        <v>3.2000000000000002E-3</v>
      </c>
      <c r="P21" s="82">
        <f t="shared" si="8"/>
        <v>1.0211865677258611</v>
      </c>
      <c r="Q21" s="83">
        <f t="shared" si="9"/>
        <v>2.1186567725861138E-2</v>
      </c>
      <c r="R21" s="60"/>
      <c r="S21" s="80">
        <f t="shared" si="15"/>
        <v>43159</v>
      </c>
      <c r="T21" s="81">
        <f t="shared" si="3"/>
        <v>1.8E-3</v>
      </c>
      <c r="U21" s="82">
        <f t="shared" si="10"/>
        <v>1.0117523784558766</v>
      </c>
      <c r="V21" s="83">
        <f t="shared" si="11"/>
        <v>1.1752378455876622E-2</v>
      </c>
    </row>
    <row r="22" spans="2:22" s="84" customFormat="1">
      <c r="B22" s="60"/>
      <c r="C22" s="61"/>
      <c r="D22" s="80">
        <f t="shared" si="12"/>
        <v>43190</v>
      </c>
      <c r="E22" s="81">
        <f t="shared" si="0"/>
        <v>6.4000000000000003E-3</v>
      </c>
      <c r="F22" s="82">
        <f t="shared" si="4"/>
        <v>1.0370542841487489</v>
      </c>
      <c r="G22" s="83">
        <f t="shared" si="5"/>
        <v>3.7054284148748895E-2</v>
      </c>
      <c r="H22" s="60"/>
      <c r="I22" s="80">
        <f t="shared" si="13"/>
        <v>43190</v>
      </c>
      <c r="J22" s="81">
        <f t="shared" si="1"/>
        <v>2.3E-3</v>
      </c>
      <c r="K22" s="82">
        <f t="shared" si="6"/>
        <v>1.0181393705002921</v>
      </c>
      <c r="L22" s="83">
        <f t="shared" si="7"/>
        <v>1.8139370500292129E-2</v>
      </c>
      <c r="M22" s="60"/>
      <c r="N22" s="80">
        <f t="shared" si="14"/>
        <v>43190</v>
      </c>
      <c r="O22" s="81">
        <f t="shared" si="2"/>
        <v>8.9999999999999998E-4</v>
      </c>
      <c r="P22" s="82">
        <f t="shared" si="8"/>
        <v>1.0221056356368143</v>
      </c>
      <c r="Q22" s="83">
        <f t="shared" si="9"/>
        <v>2.2105635636814336E-2</v>
      </c>
      <c r="R22" s="60"/>
      <c r="S22" s="80">
        <f t="shared" si="15"/>
        <v>43190</v>
      </c>
      <c r="T22" s="81">
        <f t="shared" si="3"/>
        <v>6.9999999999999999E-4</v>
      </c>
      <c r="U22" s="82">
        <f t="shared" si="10"/>
        <v>1.0124606051207956</v>
      </c>
      <c r="V22" s="83">
        <f t="shared" si="11"/>
        <v>1.2460605120795609E-2</v>
      </c>
    </row>
    <row r="23" spans="2:22" s="84" customFormat="1">
      <c r="B23" s="85"/>
      <c r="C23" s="61"/>
      <c r="D23" s="80">
        <f t="shared" si="12"/>
        <v>43220</v>
      </c>
      <c r="E23" s="81">
        <f t="shared" si="0"/>
        <v>5.7000000000000002E-3</v>
      </c>
      <c r="F23" s="82">
        <f t="shared" si="4"/>
        <v>1.0429654935683967</v>
      </c>
      <c r="G23" s="83">
        <f t="shared" si="5"/>
        <v>4.296549356839674E-2</v>
      </c>
      <c r="H23" s="60"/>
      <c r="I23" s="80">
        <f t="shared" si="13"/>
        <v>43220</v>
      </c>
      <c r="J23" s="81">
        <f t="shared" si="1"/>
        <v>2.8E-3</v>
      </c>
      <c r="K23" s="82">
        <f t="shared" si="6"/>
        <v>1.0209901607376928</v>
      </c>
      <c r="L23" s="83">
        <f t="shared" si="7"/>
        <v>2.0990160737692776E-2</v>
      </c>
      <c r="M23" s="60"/>
      <c r="N23" s="80">
        <f t="shared" si="14"/>
        <v>43220</v>
      </c>
      <c r="O23" s="81">
        <f t="shared" si="2"/>
        <v>2.2000000000000001E-3</v>
      </c>
      <c r="P23" s="82">
        <f t="shared" si="8"/>
        <v>1.0243542680352153</v>
      </c>
      <c r="Q23" s="83">
        <f t="shared" si="9"/>
        <v>2.4354268035215343E-2</v>
      </c>
      <c r="R23" s="60"/>
      <c r="S23" s="80">
        <f t="shared" si="15"/>
        <v>43220</v>
      </c>
      <c r="T23" s="81">
        <f t="shared" si="3"/>
        <v>2.0999999999999999E-3</v>
      </c>
      <c r="U23" s="82">
        <f t="shared" si="10"/>
        <v>1.0145867723915494</v>
      </c>
      <c r="V23" s="83">
        <f t="shared" si="11"/>
        <v>1.4586772391549374E-2</v>
      </c>
    </row>
    <row r="24" spans="2:22" s="84" customFormat="1">
      <c r="B24" s="60"/>
      <c r="C24" s="61"/>
      <c r="D24" s="80">
        <f t="shared" si="12"/>
        <v>43251</v>
      </c>
      <c r="E24" s="81">
        <f t="shared" si="0"/>
        <v>1.38E-2</v>
      </c>
      <c r="F24" s="82">
        <f t="shared" si="4"/>
        <v>1.0573584173796406</v>
      </c>
      <c r="G24" s="83">
        <f t="shared" si="5"/>
        <v>5.7358417379640647E-2</v>
      </c>
      <c r="H24" s="60"/>
      <c r="I24" s="80">
        <f t="shared" si="13"/>
        <v>43251</v>
      </c>
      <c r="J24" s="81">
        <f t="shared" si="1"/>
        <v>3.0000000000000001E-3</v>
      </c>
      <c r="K24" s="82">
        <f t="shared" si="6"/>
        <v>1.0240531312199057</v>
      </c>
      <c r="L24" s="83">
        <f t="shared" si="7"/>
        <v>2.405313121990571E-2</v>
      </c>
      <c r="M24" s="60"/>
      <c r="N24" s="80">
        <f t="shared" si="14"/>
        <v>43251</v>
      </c>
      <c r="O24" s="81">
        <f t="shared" si="2"/>
        <v>4.0000000000000001E-3</v>
      </c>
      <c r="P24" s="82">
        <f t="shared" si="8"/>
        <v>1.0284516851073562</v>
      </c>
      <c r="Q24" s="83">
        <f t="shared" si="9"/>
        <v>2.8451685107356184E-2</v>
      </c>
      <c r="R24" s="60"/>
      <c r="S24" s="80">
        <f t="shared" si="15"/>
        <v>43251</v>
      </c>
      <c r="T24" s="81">
        <f t="shared" si="3"/>
        <v>4.3E-3</v>
      </c>
      <c r="U24" s="82">
        <f t="shared" si="10"/>
        <v>1.0189494955128331</v>
      </c>
      <c r="V24" s="83">
        <f t="shared" si="11"/>
        <v>1.8949495512833092E-2</v>
      </c>
    </row>
    <row r="25" spans="2:22" s="84" customFormat="1">
      <c r="B25" s="60"/>
      <c r="C25" s="61"/>
      <c r="D25" s="80">
        <f t="shared" si="12"/>
        <v>43281</v>
      </c>
      <c r="E25" s="81">
        <f t="shared" si="0"/>
        <v>1.8700000000000001E-2</v>
      </c>
      <c r="F25" s="82">
        <f t="shared" si="4"/>
        <v>1.0771310197846398</v>
      </c>
      <c r="G25" s="83">
        <f t="shared" si="5"/>
        <v>7.7131019784639765E-2</v>
      </c>
      <c r="H25" s="60"/>
      <c r="I25" s="80">
        <f t="shared" si="13"/>
        <v>43281</v>
      </c>
      <c r="J25" s="81">
        <f t="shared" si="1"/>
        <v>7.6E-3</v>
      </c>
      <c r="K25" s="82">
        <f t="shared" si="6"/>
        <v>1.0318359350171771</v>
      </c>
      <c r="L25" s="83">
        <f t="shared" si="7"/>
        <v>3.1835935017177075E-2</v>
      </c>
      <c r="M25" s="60"/>
      <c r="N25" s="80">
        <f t="shared" si="14"/>
        <v>43281</v>
      </c>
      <c r="O25" s="81">
        <f t="shared" si="2"/>
        <v>1.26E-2</v>
      </c>
      <c r="P25" s="82">
        <f t="shared" si="8"/>
        <v>1.0414101763397088</v>
      </c>
      <c r="Q25" s="83">
        <f t="shared" si="9"/>
        <v>4.1410176339708782E-2</v>
      </c>
      <c r="R25" s="60"/>
      <c r="S25" s="80">
        <f t="shared" si="15"/>
        <v>43281</v>
      </c>
      <c r="T25" s="81">
        <f t="shared" si="3"/>
        <v>1.43E-2</v>
      </c>
      <c r="U25" s="82">
        <f t="shared" si="10"/>
        <v>1.0335204732986665</v>
      </c>
      <c r="V25" s="83">
        <f t="shared" si="11"/>
        <v>3.3520473298666476E-2</v>
      </c>
    </row>
    <row r="26" spans="2:22" s="84" customFormat="1">
      <c r="B26" s="60"/>
      <c r="C26" s="61"/>
      <c r="D26" s="80">
        <f t="shared" si="12"/>
        <v>43312</v>
      </c>
      <c r="E26" s="81">
        <f t="shared" si="0"/>
        <v>5.1000000000000004E-3</v>
      </c>
      <c r="F26" s="82">
        <f t="shared" si="4"/>
        <v>1.0826243879855415</v>
      </c>
      <c r="G26" s="83">
        <f t="shared" si="5"/>
        <v>8.2624387985541503E-2</v>
      </c>
      <c r="H26" s="60"/>
      <c r="I26" s="80">
        <f t="shared" si="13"/>
        <v>43312</v>
      </c>
      <c r="J26" s="81">
        <f t="shared" si="1"/>
        <v>7.1999999999999998E-3</v>
      </c>
      <c r="K26" s="82">
        <f t="shared" si="6"/>
        <v>1.039265153749301</v>
      </c>
      <c r="L26" s="83">
        <f t="shared" si="7"/>
        <v>3.9265153749300952E-2</v>
      </c>
      <c r="M26" s="60"/>
      <c r="N26" s="80">
        <f t="shared" si="14"/>
        <v>43312</v>
      </c>
      <c r="O26" s="81">
        <f t="shared" si="2"/>
        <v>3.3E-3</v>
      </c>
      <c r="P26" s="82">
        <f t="shared" si="8"/>
        <v>1.0448468299216298</v>
      </c>
      <c r="Q26" s="83">
        <f t="shared" si="9"/>
        <v>4.4846829921629805E-2</v>
      </c>
      <c r="R26" s="60"/>
      <c r="S26" s="80">
        <f t="shared" si="15"/>
        <v>43312</v>
      </c>
      <c r="T26" s="81">
        <f t="shared" si="3"/>
        <v>2.5000000000000001E-3</v>
      </c>
      <c r="U26" s="82">
        <f t="shared" si="10"/>
        <v>1.0361042744819131</v>
      </c>
      <c r="V26" s="83">
        <f t="shared" si="11"/>
        <v>3.6104274481913112E-2</v>
      </c>
    </row>
    <row r="27" spans="2:22" s="84" customFormat="1">
      <c r="B27" s="60"/>
      <c r="C27" s="61"/>
      <c r="D27" s="80" t="str">
        <f t="shared" si="12"/>
        <v/>
      </c>
      <c r="E27" s="81" t="str">
        <f t="shared" si="0"/>
        <v/>
      </c>
      <c r="F27" s="82" t="str">
        <f t="shared" si="4"/>
        <v/>
      </c>
      <c r="G27" s="83" t="str">
        <f t="shared" si="5"/>
        <v/>
      </c>
      <c r="H27" s="60"/>
      <c r="I27" s="80" t="str">
        <f t="shared" si="13"/>
        <v/>
      </c>
      <c r="J27" s="81" t="str">
        <f t="shared" si="1"/>
        <v/>
      </c>
      <c r="K27" s="82" t="str">
        <f t="shared" si="6"/>
        <v/>
      </c>
      <c r="L27" s="83" t="str">
        <f t="shared" si="7"/>
        <v/>
      </c>
      <c r="M27" s="60"/>
      <c r="N27" s="80" t="str">
        <f t="shared" si="14"/>
        <v/>
      </c>
      <c r="O27" s="81" t="str">
        <f t="shared" si="2"/>
        <v/>
      </c>
      <c r="P27" s="82" t="str">
        <f t="shared" si="8"/>
        <v/>
      </c>
      <c r="Q27" s="83" t="str">
        <f t="shared" si="9"/>
        <v/>
      </c>
      <c r="R27" s="60"/>
      <c r="S27" s="80" t="str">
        <f t="shared" si="15"/>
        <v/>
      </c>
      <c r="T27" s="81" t="str">
        <f t="shared" si="3"/>
        <v/>
      </c>
      <c r="U27" s="82" t="str">
        <f t="shared" si="10"/>
        <v/>
      </c>
      <c r="V27" s="83" t="str">
        <f t="shared" si="11"/>
        <v/>
      </c>
    </row>
    <row r="28" spans="2:22" s="84" customFormat="1">
      <c r="B28" s="60"/>
      <c r="C28" s="61"/>
      <c r="D28" s="80" t="str">
        <f t="shared" si="12"/>
        <v/>
      </c>
      <c r="E28" s="81" t="str">
        <f t="shared" si="0"/>
        <v/>
      </c>
      <c r="F28" s="82" t="str">
        <f t="shared" si="4"/>
        <v/>
      </c>
      <c r="G28" s="83" t="str">
        <f t="shared" si="5"/>
        <v/>
      </c>
      <c r="H28" s="60"/>
      <c r="I28" s="80" t="str">
        <f t="shared" si="13"/>
        <v/>
      </c>
      <c r="J28" s="81" t="str">
        <f t="shared" si="1"/>
        <v/>
      </c>
      <c r="K28" s="82" t="str">
        <f t="shared" si="6"/>
        <v/>
      </c>
      <c r="L28" s="83" t="str">
        <f t="shared" si="7"/>
        <v/>
      </c>
      <c r="M28" s="60"/>
      <c r="N28" s="80" t="str">
        <f t="shared" si="14"/>
        <v/>
      </c>
      <c r="O28" s="81" t="str">
        <f t="shared" si="2"/>
        <v/>
      </c>
      <c r="P28" s="82" t="str">
        <f t="shared" si="8"/>
        <v/>
      </c>
      <c r="Q28" s="83" t="str">
        <f t="shared" si="9"/>
        <v/>
      </c>
      <c r="R28" s="60"/>
      <c r="S28" s="80" t="str">
        <f t="shared" si="15"/>
        <v/>
      </c>
      <c r="T28" s="81" t="str">
        <f t="shared" si="3"/>
        <v/>
      </c>
      <c r="U28" s="82" t="str">
        <f t="shared" si="10"/>
        <v/>
      </c>
      <c r="V28" s="83" t="str">
        <f t="shared" si="11"/>
        <v/>
      </c>
    </row>
    <row r="29" spans="2:22" s="84" customFormat="1">
      <c r="B29" s="60"/>
      <c r="C29" s="61"/>
      <c r="D29" s="80" t="str">
        <f t="shared" si="12"/>
        <v/>
      </c>
      <c r="E29" s="81" t="str">
        <f t="shared" si="0"/>
        <v/>
      </c>
      <c r="F29" s="82" t="str">
        <f t="shared" si="4"/>
        <v/>
      </c>
      <c r="G29" s="83" t="str">
        <f t="shared" si="5"/>
        <v/>
      </c>
      <c r="H29" s="60"/>
      <c r="I29" s="80" t="str">
        <f t="shared" si="13"/>
        <v/>
      </c>
      <c r="J29" s="81" t="str">
        <f t="shared" si="1"/>
        <v/>
      </c>
      <c r="K29" s="82" t="str">
        <f t="shared" si="6"/>
        <v/>
      </c>
      <c r="L29" s="83" t="str">
        <f t="shared" si="7"/>
        <v/>
      </c>
      <c r="M29" s="60"/>
      <c r="N29" s="80" t="str">
        <f t="shared" si="14"/>
        <v/>
      </c>
      <c r="O29" s="81" t="str">
        <f t="shared" si="2"/>
        <v/>
      </c>
      <c r="P29" s="82" t="str">
        <f t="shared" si="8"/>
        <v/>
      </c>
      <c r="Q29" s="83" t="str">
        <f t="shared" si="9"/>
        <v/>
      </c>
      <c r="R29" s="60"/>
      <c r="S29" s="80" t="str">
        <f t="shared" si="15"/>
        <v/>
      </c>
      <c r="T29" s="81" t="str">
        <f t="shared" si="3"/>
        <v/>
      </c>
      <c r="U29" s="82" t="str">
        <f t="shared" si="10"/>
        <v/>
      </c>
      <c r="V29" s="83" t="str">
        <f t="shared" si="11"/>
        <v/>
      </c>
    </row>
    <row r="30" spans="2:22" s="84" customFormat="1">
      <c r="B30" s="60"/>
      <c r="C30" s="61"/>
      <c r="D30" s="80" t="str">
        <f t="shared" si="12"/>
        <v/>
      </c>
      <c r="E30" s="81" t="str">
        <f t="shared" si="0"/>
        <v/>
      </c>
      <c r="F30" s="82" t="str">
        <f t="shared" si="4"/>
        <v/>
      </c>
      <c r="G30" s="83" t="str">
        <f t="shared" si="5"/>
        <v/>
      </c>
      <c r="H30" s="60"/>
      <c r="I30" s="80" t="str">
        <f t="shared" si="13"/>
        <v/>
      </c>
      <c r="J30" s="81" t="str">
        <f t="shared" si="1"/>
        <v/>
      </c>
      <c r="K30" s="82" t="str">
        <f t="shared" si="6"/>
        <v/>
      </c>
      <c r="L30" s="83" t="str">
        <f t="shared" si="7"/>
        <v/>
      </c>
      <c r="M30" s="60"/>
      <c r="N30" s="80" t="str">
        <f t="shared" si="14"/>
        <v/>
      </c>
      <c r="O30" s="81" t="str">
        <f t="shared" si="2"/>
        <v/>
      </c>
      <c r="P30" s="82" t="str">
        <f t="shared" si="8"/>
        <v/>
      </c>
      <c r="Q30" s="83" t="str">
        <f t="shared" si="9"/>
        <v/>
      </c>
      <c r="R30" s="60"/>
      <c r="S30" s="80" t="str">
        <f t="shared" si="15"/>
        <v/>
      </c>
      <c r="T30" s="81" t="str">
        <f t="shared" si="3"/>
        <v/>
      </c>
      <c r="U30" s="82" t="str">
        <f t="shared" si="10"/>
        <v/>
      </c>
      <c r="V30" s="83" t="str">
        <f t="shared" si="11"/>
        <v/>
      </c>
    </row>
    <row r="31" spans="2:22" s="84" customFormat="1">
      <c r="B31" s="60"/>
      <c r="C31" s="61"/>
      <c r="D31" s="80" t="str">
        <f t="shared" si="12"/>
        <v/>
      </c>
      <c r="E31" s="81" t="str">
        <f t="shared" si="0"/>
        <v/>
      </c>
      <c r="F31" s="82" t="str">
        <f t="shared" si="4"/>
        <v/>
      </c>
      <c r="G31" s="83" t="str">
        <f t="shared" si="5"/>
        <v/>
      </c>
      <c r="H31" s="60"/>
      <c r="I31" s="80" t="str">
        <f t="shared" si="13"/>
        <v/>
      </c>
      <c r="J31" s="81" t="str">
        <f t="shared" si="1"/>
        <v/>
      </c>
      <c r="K31" s="82" t="str">
        <f t="shared" si="6"/>
        <v/>
      </c>
      <c r="L31" s="83" t="str">
        <f t="shared" si="7"/>
        <v/>
      </c>
      <c r="M31" s="60"/>
      <c r="N31" s="80" t="str">
        <f t="shared" si="14"/>
        <v/>
      </c>
      <c r="O31" s="81" t="str">
        <f t="shared" si="2"/>
        <v/>
      </c>
      <c r="P31" s="82" t="str">
        <f t="shared" si="8"/>
        <v/>
      </c>
      <c r="Q31" s="83" t="str">
        <f t="shared" si="9"/>
        <v/>
      </c>
      <c r="R31" s="60"/>
      <c r="S31" s="80" t="str">
        <f t="shared" si="15"/>
        <v/>
      </c>
      <c r="T31" s="81" t="str">
        <f t="shared" si="3"/>
        <v/>
      </c>
      <c r="U31" s="82" t="str">
        <f t="shared" si="10"/>
        <v/>
      </c>
      <c r="V31" s="83" t="str">
        <f t="shared" si="11"/>
        <v/>
      </c>
    </row>
    <row r="32" spans="2:22" s="84" customFormat="1">
      <c r="B32" s="60"/>
      <c r="C32" s="61"/>
      <c r="D32" s="80" t="str">
        <f t="shared" si="12"/>
        <v/>
      </c>
      <c r="E32" s="81" t="str">
        <f t="shared" si="0"/>
        <v/>
      </c>
      <c r="F32" s="82" t="str">
        <f t="shared" si="4"/>
        <v/>
      </c>
      <c r="G32" s="83" t="str">
        <f t="shared" si="5"/>
        <v/>
      </c>
      <c r="H32" s="60"/>
      <c r="I32" s="80" t="str">
        <f t="shared" si="13"/>
        <v/>
      </c>
      <c r="J32" s="81" t="str">
        <f t="shared" si="1"/>
        <v/>
      </c>
      <c r="K32" s="82" t="str">
        <f t="shared" si="6"/>
        <v/>
      </c>
      <c r="L32" s="83" t="str">
        <f t="shared" si="7"/>
        <v/>
      </c>
      <c r="M32" s="60"/>
      <c r="N32" s="80" t="str">
        <f t="shared" si="14"/>
        <v/>
      </c>
      <c r="O32" s="81" t="str">
        <f t="shared" si="2"/>
        <v/>
      </c>
      <c r="P32" s="82" t="str">
        <f t="shared" si="8"/>
        <v/>
      </c>
      <c r="Q32" s="83" t="str">
        <f t="shared" si="9"/>
        <v/>
      </c>
      <c r="R32" s="60"/>
      <c r="S32" s="80" t="str">
        <f t="shared" si="15"/>
        <v/>
      </c>
      <c r="T32" s="81" t="str">
        <f t="shared" si="3"/>
        <v/>
      </c>
      <c r="U32" s="82" t="str">
        <f t="shared" si="10"/>
        <v/>
      </c>
      <c r="V32" s="83" t="str">
        <f t="shared" si="11"/>
        <v/>
      </c>
    </row>
    <row r="33" spans="2:22" s="84" customFormat="1">
      <c r="B33" s="60"/>
      <c r="C33" s="61"/>
      <c r="D33" s="80" t="str">
        <f t="shared" si="12"/>
        <v/>
      </c>
      <c r="E33" s="81" t="str">
        <f t="shared" si="0"/>
        <v/>
      </c>
      <c r="F33" s="82" t="str">
        <f t="shared" si="4"/>
        <v/>
      </c>
      <c r="G33" s="83" t="str">
        <f t="shared" si="5"/>
        <v/>
      </c>
      <c r="H33" s="60"/>
      <c r="I33" s="80" t="str">
        <f t="shared" si="13"/>
        <v/>
      </c>
      <c r="J33" s="81" t="str">
        <f t="shared" si="1"/>
        <v/>
      </c>
      <c r="K33" s="82" t="str">
        <f t="shared" si="6"/>
        <v/>
      </c>
      <c r="L33" s="83" t="str">
        <f t="shared" si="7"/>
        <v/>
      </c>
      <c r="M33" s="60"/>
      <c r="N33" s="80" t="str">
        <f t="shared" si="14"/>
        <v/>
      </c>
      <c r="O33" s="81" t="str">
        <f t="shared" si="2"/>
        <v/>
      </c>
      <c r="P33" s="82" t="str">
        <f t="shared" si="8"/>
        <v/>
      </c>
      <c r="Q33" s="83" t="str">
        <f t="shared" si="9"/>
        <v/>
      </c>
      <c r="R33" s="60"/>
      <c r="S33" s="80" t="str">
        <f t="shared" si="15"/>
        <v/>
      </c>
      <c r="T33" s="81" t="str">
        <f t="shared" si="3"/>
        <v/>
      </c>
      <c r="U33" s="82" t="str">
        <f t="shared" si="10"/>
        <v/>
      </c>
      <c r="V33" s="83" t="str">
        <f t="shared" si="11"/>
        <v/>
      </c>
    </row>
    <row r="34" spans="2:22" s="84" customFormat="1">
      <c r="B34" s="60"/>
      <c r="C34" s="61"/>
      <c r="D34" s="80" t="str">
        <f t="shared" si="12"/>
        <v/>
      </c>
      <c r="E34" s="81" t="str">
        <f t="shared" si="0"/>
        <v/>
      </c>
      <c r="F34" s="82" t="str">
        <f t="shared" si="4"/>
        <v/>
      </c>
      <c r="G34" s="83" t="str">
        <f t="shared" si="5"/>
        <v/>
      </c>
      <c r="H34" s="60"/>
      <c r="I34" s="80" t="str">
        <f t="shared" si="13"/>
        <v/>
      </c>
      <c r="J34" s="81" t="str">
        <f t="shared" si="1"/>
        <v/>
      </c>
      <c r="K34" s="82" t="str">
        <f t="shared" si="6"/>
        <v/>
      </c>
      <c r="L34" s="83" t="str">
        <f t="shared" si="7"/>
        <v/>
      </c>
      <c r="M34" s="60"/>
      <c r="N34" s="80" t="str">
        <f t="shared" si="14"/>
        <v/>
      </c>
      <c r="O34" s="81" t="str">
        <f t="shared" si="2"/>
        <v/>
      </c>
      <c r="P34" s="82" t="str">
        <f t="shared" si="8"/>
        <v/>
      </c>
      <c r="Q34" s="83" t="str">
        <f t="shared" si="9"/>
        <v/>
      </c>
      <c r="R34" s="60"/>
      <c r="S34" s="80" t="str">
        <f t="shared" si="15"/>
        <v/>
      </c>
      <c r="T34" s="81" t="str">
        <f t="shared" si="3"/>
        <v/>
      </c>
      <c r="U34" s="82" t="str">
        <f t="shared" si="10"/>
        <v/>
      </c>
      <c r="V34" s="83" t="str">
        <f t="shared" si="11"/>
        <v/>
      </c>
    </row>
    <row r="35" spans="2:22" s="84" customFormat="1">
      <c r="B35" s="60"/>
      <c r="C35" s="61"/>
      <c r="D35" s="80" t="str">
        <f t="shared" si="12"/>
        <v/>
      </c>
      <c r="E35" s="81" t="str">
        <f t="shared" si="0"/>
        <v/>
      </c>
      <c r="F35" s="82" t="str">
        <f t="shared" si="4"/>
        <v/>
      </c>
      <c r="G35" s="83" t="str">
        <f t="shared" si="5"/>
        <v/>
      </c>
      <c r="H35" s="60"/>
      <c r="I35" s="80" t="str">
        <f t="shared" si="13"/>
        <v/>
      </c>
      <c r="J35" s="81" t="str">
        <f t="shared" si="1"/>
        <v/>
      </c>
      <c r="K35" s="82" t="str">
        <f t="shared" si="6"/>
        <v/>
      </c>
      <c r="L35" s="83" t="str">
        <f t="shared" si="7"/>
        <v/>
      </c>
      <c r="M35" s="60"/>
      <c r="N35" s="80" t="str">
        <f t="shared" si="14"/>
        <v/>
      </c>
      <c r="O35" s="81" t="str">
        <f t="shared" si="2"/>
        <v/>
      </c>
      <c r="P35" s="82" t="str">
        <f t="shared" si="8"/>
        <v/>
      </c>
      <c r="Q35" s="83" t="str">
        <f t="shared" si="9"/>
        <v/>
      </c>
      <c r="R35" s="60"/>
      <c r="S35" s="80" t="str">
        <f t="shared" si="15"/>
        <v/>
      </c>
      <c r="T35" s="81" t="str">
        <f t="shared" si="3"/>
        <v/>
      </c>
      <c r="U35" s="82" t="str">
        <f t="shared" si="10"/>
        <v/>
      </c>
      <c r="V35" s="83" t="str">
        <f t="shared" si="11"/>
        <v/>
      </c>
    </row>
    <row r="36" spans="2:22" s="84" customFormat="1">
      <c r="B36" s="60"/>
      <c r="C36" s="61"/>
      <c r="D36" s="80" t="str">
        <f t="shared" si="12"/>
        <v/>
      </c>
      <c r="E36" s="81" t="str">
        <f t="shared" si="0"/>
        <v/>
      </c>
      <c r="F36" s="82" t="str">
        <f t="shared" si="4"/>
        <v/>
      </c>
      <c r="G36" s="83" t="str">
        <f t="shared" si="5"/>
        <v/>
      </c>
      <c r="H36" s="60"/>
      <c r="I36" s="80" t="str">
        <f t="shared" si="13"/>
        <v/>
      </c>
      <c r="J36" s="81" t="str">
        <f t="shared" si="1"/>
        <v/>
      </c>
      <c r="K36" s="82" t="str">
        <f t="shared" si="6"/>
        <v/>
      </c>
      <c r="L36" s="83" t="str">
        <f t="shared" si="7"/>
        <v/>
      </c>
      <c r="M36" s="60"/>
      <c r="N36" s="80" t="str">
        <f t="shared" si="14"/>
        <v/>
      </c>
      <c r="O36" s="81" t="str">
        <f t="shared" si="2"/>
        <v/>
      </c>
      <c r="P36" s="82" t="str">
        <f t="shared" si="8"/>
        <v/>
      </c>
      <c r="Q36" s="83" t="str">
        <f t="shared" si="9"/>
        <v/>
      </c>
      <c r="R36" s="60"/>
      <c r="S36" s="80" t="str">
        <f t="shared" si="15"/>
        <v/>
      </c>
      <c r="T36" s="81" t="str">
        <f t="shared" si="3"/>
        <v/>
      </c>
      <c r="U36" s="82" t="str">
        <f t="shared" si="10"/>
        <v/>
      </c>
      <c r="V36" s="83" t="str">
        <f t="shared" si="11"/>
        <v/>
      </c>
    </row>
    <row r="37" spans="2:22" s="84" customFormat="1">
      <c r="B37" s="60"/>
      <c r="C37" s="61"/>
      <c r="D37" s="80" t="str">
        <f t="shared" si="12"/>
        <v/>
      </c>
      <c r="E37" s="81" t="str">
        <f t="shared" si="0"/>
        <v/>
      </c>
      <c r="F37" s="82" t="str">
        <f t="shared" si="4"/>
        <v/>
      </c>
      <c r="G37" s="83" t="str">
        <f t="shared" si="5"/>
        <v/>
      </c>
      <c r="H37" s="60"/>
      <c r="I37" s="80" t="str">
        <f t="shared" si="13"/>
        <v/>
      </c>
      <c r="J37" s="81" t="str">
        <f t="shared" si="1"/>
        <v/>
      </c>
      <c r="K37" s="82" t="str">
        <f t="shared" si="6"/>
        <v/>
      </c>
      <c r="L37" s="83" t="str">
        <f t="shared" si="7"/>
        <v/>
      </c>
      <c r="M37" s="60"/>
      <c r="N37" s="80" t="str">
        <f t="shared" si="14"/>
        <v/>
      </c>
      <c r="O37" s="81" t="str">
        <f t="shared" si="2"/>
        <v/>
      </c>
      <c r="P37" s="82" t="str">
        <f t="shared" si="8"/>
        <v/>
      </c>
      <c r="Q37" s="83" t="str">
        <f t="shared" si="9"/>
        <v/>
      </c>
      <c r="R37" s="60"/>
      <c r="S37" s="80" t="str">
        <f t="shared" si="15"/>
        <v/>
      </c>
      <c r="T37" s="81" t="str">
        <f t="shared" si="3"/>
        <v/>
      </c>
      <c r="U37" s="82" t="str">
        <f t="shared" si="10"/>
        <v/>
      </c>
      <c r="V37" s="83" t="str">
        <f t="shared" si="11"/>
        <v/>
      </c>
    </row>
    <row r="38" spans="2:22" s="84" customFormat="1">
      <c r="B38" s="60"/>
      <c r="C38" s="61"/>
      <c r="D38" s="80" t="str">
        <f t="shared" si="12"/>
        <v/>
      </c>
      <c r="E38" s="81" t="str">
        <f t="shared" si="0"/>
        <v/>
      </c>
      <c r="F38" s="82" t="str">
        <f t="shared" si="4"/>
        <v/>
      </c>
      <c r="G38" s="83" t="str">
        <f t="shared" si="5"/>
        <v/>
      </c>
      <c r="H38" s="60"/>
      <c r="I38" s="80" t="str">
        <f t="shared" si="13"/>
        <v/>
      </c>
      <c r="J38" s="81" t="str">
        <f t="shared" si="1"/>
        <v/>
      </c>
      <c r="K38" s="82" t="str">
        <f t="shared" si="6"/>
        <v/>
      </c>
      <c r="L38" s="83" t="str">
        <f t="shared" si="7"/>
        <v/>
      </c>
      <c r="M38" s="60"/>
      <c r="N38" s="80" t="str">
        <f t="shared" si="14"/>
        <v/>
      </c>
      <c r="O38" s="81" t="str">
        <f t="shared" si="2"/>
        <v/>
      </c>
      <c r="P38" s="82" t="str">
        <f t="shared" si="8"/>
        <v/>
      </c>
      <c r="Q38" s="83" t="str">
        <f t="shared" si="9"/>
        <v/>
      </c>
      <c r="R38" s="60"/>
      <c r="S38" s="80" t="str">
        <f t="shared" si="15"/>
        <v/>
      </c>
      <c r="T38" s="81" t="str">
        <f t="shared" si="3"/>
        <v/>
      </c>
      <c r="U38" s="82" t="str">
        <f t="shared" si="10"/>
        <v/>
      </c>
      <c r="V38" s="83" t="str">
        <f t="shared" si="11"/>
        <v/>
      </c>
    </row>
    <row r="39" spans="2:22" s="84" customFormat="1">
      <c r="B39" s="60"/>
      <c r="C39" s="61"/>
      <c r="D39" s="80" t="str">
        <f t="shared" si="12"/>
        <v/>
      </c>
      <c r="E39" s="81" t="str">
        <f t="shared" si="0"/>
        <v/>
      </c>
      <c r="F39" s="82" t="str">
        <f t="shared" si="4"/>
        <v/>
      </c>
      <c r="G39" s="83" t="str">
        <f t="shared" si="5"/>
        <v/>
      </c>
      <c r="H39" s="60"/>
      <c r="I39" s="80" t="str">
        <f t="shared" si="13"/>
        <v/>
      </c>
      <c r="J39" s="81" t="str">
        <f t="shared" si="1"/>
        <v/>
      </c>
      <c r="K39" s="82" t="str">
        <f t="shared" si="6"/>
        <v/>
      </c>
      <c r="L39" s="83" t="str">
        <f t="shared" si="7"/>
        <v/>
      </c>
      <c r="M39" s="60"/>
      <c r="N39" s="80" t="str">
        <f t="shared" si="14"/>
        <v/>
      </c>
      <c r="O39" s="81" t="str">
        <f t="shared" si="2"/>
        <v/>
      </c>
      <c r="P39" s="82" t="str">
        <f t="shared" si="8"/>
        <v/>
      </c>
      <c r="Q39" s="83" t="str">
        <f t="shared" si="9"/>
        <v/>
      </c>
      <c r="R39" s="60"/>
      <c r="S39" s="80" t="str">
        <f t="shared" si="15"/>
        <v/>
      </c>
      <c r="T39" s="81" t="str">
        <f t="shared" si="3"/>
        <v/>
      </c>
      <c r="U39" s="82" t="str">
        <f t="shared" si="10"/>
        <v/>
      </c>
      <c r="V39" s="83" t="str">
        <f t="shared" si="11"/>
        <v/>
      </c>
    </row>
    <row r="40" spans="2:22" s="84" customFormat="1">
      <c r="B40" s="60"/>
      <c r="C40" s="61"/>
      <c r="D40" s="80" t="str">
        <f t="shared" si="12"/>
        <v/>
      </c>
      <c r="E40" s="81" t="str">
        <f t="shared" si="0"/>
        <v/>
      </c>
      <c r="F40" s="82" t="str">
        <f t="shared" si="4"/>
        <v/>
      </c>
      <c r="G40" s="83" t="str">
        <f t="shared" si="5"/>
        <v/>
      </c>
      <c r="H40" s="60"/>
      <c r="I40" s="80" t="str">
        <f t="shared" si="13"/>
        <v/>
      </c>
      <c r="J40" s="81" t="str">
        <f t="shared" si="1"/>
        <v/>
      </c>
      <c r="K40" s="82" t="str">
        <f t="shared" si="6"/>
        <v/>
      </c>
      <c r="L40" s="83" t="str">
        <f t="shared" si="7"/>
        <v/>
      </c>
      <c r="M40" s="60"/>
      <c r="N40" s="80" t="str">
        <f t="shared" si="14"/>
        <v/>
      </c>
      <c r="O40" s="81" t="str">
        <f t="shared" si="2"/>
        <v/>
      </c>
      <c r="P40" s="82" t="str">
        <f t="shared" si="8"/>
        <v/>
      </c>
      <c r="Q40" s="83" t="str">
        <f t="shared" si="9"/>
        <v/>
      </c>
      <c r="R40" s="60"/>
      <c r="S40" s="80" t="str">
        <f t="shared" si="15"/>
        <v/>
      </c>
      <c r="T40" s="81" t="str">
        <f t="shared" si="3"/>
        <v/>
      </c>
      <c r="U40" s="82" t="str">
        <f t="shared" si="10"/>
        <v/>
      </c>
      <c r="V40" s="83" t="str">
        <f t="shared" si="11"/>
        <v/>
      </c>
    </row>
    <row r="41" spans="2:22" s="84" customFormat="1">
      <c r="B41" s="60"/>
      <c r="C41" s="61"/>
      <c r="D41" s="80" t="str">
        <f t="shared" si="12"/>
        <v/>
      </c>
      <c r="E41" s="81" t="str">
        <f t="shared" si="0"/>
        <v/>
      </c>
      <c r="F41" s="82" t="str">
        <f t="shared" si="4"/>
        <v/>
      </c>
      <c r="G41" s="83" t="str">
        <f t="shared" si="5"/>
        <v/>
      </c>
      <c r="H41" s="60"/>
      <c r="I41" s="80" t="str">
        <f t="shared" si="13"/>
        <v/>
      </c>
      <c r="J41" s="81" t="str">
        <f t="shared" si="1"/>
        <v/>
      </c>
      <c r="K41" s="82" t="str">
        <f t="shared" si="6"/>
        <v/>
      </c>
      <c r="L41" s="83" t="str">
        <f t="shared" si="7"/>
        <v/>
      </c>
      <c r="M41" s="60"/>
      <c r="N41" s="80" t="str">
        <f t="shared" si="14"/>
        <v/>
      </c>
      <c r="O41" s="81" t="str">
        <f t="shared" si="2"/>
        <v/>
      </c>
      <c r="P41" s="82" t="str">
        <f t="shared" si="8"/>
        <v/>
      </c>
      <c r="Q41" s="83" t="str">
        <f t="shared" si="9"/>
        <v/>
      </c>
      <c r="R41" s="60"/>
      <c r="S41" s="80" t="str">
        <f t="shared" si="15"/>
        <v/>
      </c>
      <c r="T41" s="81" t="str">
        <f t="shared" si="3"/>
        <v/>
      </c>
      <c r="U41" s="82" t="str">
        <f t="shared" si="10"/>
        <v/>
      </c>
      <c r="V41" s="83" t="str">
        <f t="shared" si="11"/>
        <v/>
      </c>
    </row>
    <row r="42" spans="2:22" s="84" customFormat="1">
      <c r="B42" s="60"/>
      <c r="C42" s="61"/>
      <c r="D42" s="80" t="str">
        <f t="shared" si="12"/>
        <v/>
      </c>
      <c r="E42" s="81" t="str">
        <f t="shared" si="0"/>
        <v/>
      </c>
      <c r="F42" s="82" t="str">
        <f t="shared" si="4"/>
        <v/>
      </c>
      <c r="G42" s="83" t="str">
        <f t="shared" si="5"/>
        <v/>
      </c>
      <c r="H42" s="60"/>
      <c r="I42" s="80" t="str">
        <f t="shared" si="13"/>
        <v/>
      </c>
      <c r="J42" s="81" t="str">
        <f t="shared" si="1"/>
        <v/>
      </c>
      <c r="K42" s="82" t="str">
        <f t="shared" si="6"/>
        <v/>
      </c>
      <c r="L42" s="83" t="str">
        <f t="shared" si="7"/>
        <v/>
      </c>
      <c r="M42" s="60"/>
      <c r="N42" s="80" t="str">
        <f t="shared" si="14"/>
        <v/>
      </c>
      <c r="O42" s="81" t="str">
        <f t="shared" si="2"/>
        <v/>
      </c>
      <c r="P42" s="82" t="str">
        <f t="shared" si="8"/>
        <v/>
      </c>
      <c r="Q42" s="83" t="str">
        <f t="shared" si="9"/>
        <v/>
      </c>
      <c r="R42" s="60"/>
      <c r="S42" s="80" t="str">
        <f t="shared" si="15"/>
        <v/>
      </c>
      <c r="T42" s="81" t="str">
        <f t="shared" si="3"/>
        <v/>
      </c>
      <c r="U42" s="82" t="str">
        <f t="shared" si="10"/>
        <v/>
      </c>
      <c r="V42" s="83" t="str">
        <f t="shared" si="11"/>
        <v/>
      </c>
    </row>
    <row r="43" spans="2:22" s="84" customFormat="1">
      <c r="B43" s="60"/>
      <c r="C43" s="61"/>
      <c r="D43" s="80" t="str">
        <f t="shared" si="12"/>
        <v/>
      </c>
      <c r="E43" s="81" t="str">
        <f t="shared" si="0"/>
        <v/>
      </c>
      <c r="F43" s="82" t="str">
        <f t="shared" si="4"/>
        <v/>
      </c>
      <c r="G43" s="83" t="str">
        <f t="shared" si="5"/>
        <v/>
      </c>
      <c r="H43" s="60"/>
      <c r="I43" s="80" t="str">
        <f t="shared" si="13"/>
        <v/>
      </c>
      <c r="J43" s="81" t="str">
        <f t="shared" si="1"/>
        <v/>
      </c>
      <c r="K43" s="82" t="str">
        <f t="shared" si="6"/>
        <v/>
      </c>
      <c r="L43" s="83" t="str">
        <f t="shared" si="7"/>
        <v/>
      </c>
      <c r="M43" s="60"/>
      <c r="N43" s="80" t="str">
        <f t="shared" si="14"/>
        <v/>
      </c>
      <c r="O43" s="81" t="str">
        <f t="shared" si="2"/>
        <v/>
      </c>
      <c r="P43" s="82" t="str">
        <f t="shared" si="8"/>
        <v/>
      </c>
      <c r="Q43" s="83" t="str">
        <f t="shared" si="9"/>
        <v/>
      </c>
      <c r="R43" s="60"/>
      <c r="S43" s="80" t="str">
        <f t="shared" si="15"/>
        <v/>
      </c>
      <c r="T43" s="81" t="str">
        <f t="shared" si="3"/>
        <v/>
      </c>
      <c r="U43" s="82" t="str">
        <f t="shared" si="10"/>
        <v/>
      </c>
      <c r="V43" s="83" t="str">
        <f t="shared" si="11"/>
        <v/>
      </c>
    </row>
    <row r="44" spans="2:22" s="84" customFormat="1">
      <c r="B44" s="60"/>
      <c r="C44" s="61"/>
      <c r="D44" s="80" t="str">
        <f t="shared" si="12"/>
        <v/>
      </c>
      <c r="E44" s="81" t="str">
        <f t="shared" si="0"/>
        <v/>
      </c>
      <c r="F44" s="82" t="str">
        <f t="shared" si="4"/>
        <v/>
      </c>
      <c r="G44" s="83" t="str">
        <f t="shared" si="5"/>
        <v/>
      </c>
      <c r="H44" s="60"/>
      <c r="I44" s="80" t="str">
        <f t="shared" si="13"/>
        <v/>
      </c>
      <c r="J44" s="81" t="str">
        <f t="shared" si="1"/>
        <v/>
      </c>
      <c r="K44" s="82" t="str">
        <f t="shared" si="6"/>
        <v/>
      </c>
      <c r="L44" s="83" t="str">
        <f t="shared" si="7"/>
        <v/>
      </c>
      <c r="M44" s="60"/>
      <c r="N44" s="80" t="str">
        <f t="shared" si="14"/>
        <v/>
      </c>
      <c r="O44" s="81" t="str">
        <f t="shared" si="2"/>
        <v/>
      </c>
      <c r="P44" s="82" t="str">
        <f t="shared" si="8"/>
        <v/>
      </c>
      <c r="Q44" s="83" t="str">
        <f t="shared" si="9"/>
        <v/>
      </c>
      <c r="R44" s="60"/>
      <c r="S44" s="80" t="str">
        <f t="shared" si="15"/>
        <v/>
      </c>
      <c r="T44" s="81" t="str">
        <f t="shared" si="3"/>
        <v/>
      </c>
      <c r="U44" s="82" t="str">
        <f t="shared" si="10"/>
        <v/>
      </c>
      <c r="V44" s="83" t="str">
        <f t="shared" si="11"/>
        <v/>
      </c>
    </row>
    <row r="45" spans="2:22" s="84" customFormat="1">
      <c r="B45" s="60"/>
      <c r="C45" s="61"/>
      <c r="D45" s="80" t="str">
        <f t="shared" si="12"/>
        <v/>
      </c>
      <c r="E45" s="81" t="str">
        <f t="shared" si="0"/>
        <v/>
      </c>
      <c r="F45" s="82" t="str">
        <f t="shared" si="4"/>
        <v/>
      </c>
      <c r="G45" s="83" t="str">
        <f t="shared" si="5"/>
        <v/>
      </c>
      <c r="H45" s="60"/>
      <c r="I45" s="80" t="str">
        <f t="shared" si="13"/>
        <v/>
      </c>
      <c r="J45" s="81" t="str">
        <f t="shared" si="1"/>
        <v/>
      </c>
      <c r="K45" s="82" t="str">
        <f t="shared" si="6"/>
        <v/>
      </c>
      <c r="L45" s="83" t="str">
        <f t="shared" si="7"/>
        <v/>
      </c>
      <c r="M45" s="60"/>
      <c r="N45" s="80" t="str">
        <f t="shared" si="14"/>
        <v/>
      </c>
      <c r="O45" s="81" t="str">
        <f t="shared" si="2"/>
        <v/>
      </c>
      <c r="P45" s="82" t="str">
        <f t="shared" si="8"/>
        <v/>
      </c>
      <c r="Q45" s="83" t="str">
        <f t="shared" si="9"/>
        <v/>
      </c>
      <c r="R45" s="60"/>
      <c r="S45" s="80" t="str">
        <f t="shared" si="15"/>
        <v/>
      </c>
      <c r="T45" s="81" t="str">
        <f t="shared" si="3"/>
        <v/>
      </c>
      <c r="U45" s="82" t="str">
        <f t="shared" si="10"/>
        <v/>
      </c>
      <c r="V45" s="83" t="str">
        <f t="shared" si="11"/>
        <v/>
      </c>
    </row>
    <row r="46" spans="2:22" s="84" customFormat="1">
      <c r="B46" s="60"/>
      <c r="C46" s="61"/>
      <c r="D46" s="80" t="str">
        <f t="shared" si="12"/>
        <v/>
      </c>
      <c r="E46" s="81" t="str">
        <f t="shared" si="0"/>
        <v/>
      </c>
      <c r="F46" s="82" t="str">
        <f t="shared" si="4"/>
        <v/>
      </c>
      <c r="G46" s="83" t="str">
        <f t="shared" si="5"/>
        <v/>
      </c>
      <c r="H46" s="60"/>
      <c r="I46" s="80" t="str">
        <f t="shared" si="13"/>
        <v/>
      </c>
      <c r="J46" s="81" t="str">
        <f t="shared" si="1"/>
        <v/>
      </c>
      <c r="K46" s="82" t="str">
        <f t="shared" si="6"/>
        <v/>
      </c>
      <c r="L46" s="83" t="str">
        <f t="shared" si="7"/>
        <v/>
      </c>
      <c r="M46" s="60"/>
      <c r="N46" s="80" t="str">
        <f t="shared" si="14"/>
        <v/>
      </c>
      <c r="O46" s="81" t="str">
        <f t="shared" si="2"/>
        <v/>
      </c>
      <c r="P46" s="82" t="str">
        <f t="shared" si="8"/>
        <v/>
      </c>
      <c r="Q46" s="83" t="str">
        <f t="shared" si="9"/>
        <v/>
      </c>
      <c r="R46" s="60"/>
      <c r="S46" s="80" t="str">
        <f t="shared" si="15"/>
        <v/>
      </c>
      <c r="T46" s="81" t="str">
        <f t="shared" si="3"/>
        <v/>
      </c>
      <c r="U46" s="82" t="str">
        <f t="shared" si="10"/>
        <v/>
      </c>
      <c r="V46" s="83" t="str">
        <f t="shared" si="11"/>
        <v/>
      </c>
    </row>
    <row r="47" spans="2:22" s="84" customFormat="1">
      <c r="B47" s="60"/>
      <c r="C47" s="61"/>
      <c r="D47" s="80" t="str">
        <f t="shared" si="12"/>
        <v/>
      </c>
      <c r="E47" s="81" t="str">
        <f t="shared" ref="E47:E78" si="16">IF(E$14="","",IF($D47="","",VLOOKUP($D47,Tbl_Indices,D$8)))</f>
        <v/>
      </c>
      <c r="F47" s="82" t="str">
        <f t="shared" si="4"/>
        <v/>
      </c>
      <c r="G47" s="83" t="str">
        <f t="shared" si="5"/>
        <v/>
      </c>
      <c r="H47" s="60"/>
      <c r="I47" s="80" t="str">
        <f t="shared" si="13"/>
        <v/>
      </c>
      <c r="J47" s="81" t="str">
        <f t="shared" ref="J47:J78" si="17">IF(J$14="","",IF($D47="","",VLOOKUP($D47,Tbl_Indices,I$8)))</f>
        <v/>
      </c>
      <c r="K47" s="82" t="str">
        <f t="shared" si="6"/>
        <v/>
      </c>
      <c r="L47" s="83" t="str">
        <f t="shared" si="7"/>
        <v/>
      </c>
      <c r="M47" s="60"/>
      <c r="N47" s="80" t="str">
        <f t="shared" si="14"/>
        <v/>
      </c>
      <c r="O47" s="81" t="str">
        <f t="shared" ref="O47:O78" si="18">IF(O$14="","",IF($D47="","",VLOOKUP($D47,Tbl_Indices,N$8)))</f>
        <v/>
      </c>
      <c r="P47" s="82" t="str">
        <f t="shared" si="8"/>
        <v/>
      </c>
      <c r="Q47" s="83" t="str">
        <f t="shared" si="9"/>
        <v/>
      </c>
      <c r="R47" s="60"/>
      <c r="S47" s="80" t="str">
        <f t="shared" si="15"/>
        <v/>
      </c>
      <c r="T47" s="81" t="str">
        <f t="shared" ref="T47:T78" si="19">IF(T$14="","",IF($D47="","",VLOOKUP($D47,Tbl_Indices,S$8)))</f>
        <v/>
      </c>
      <c r="U47" s="82" t="str">
        <f t="shared" si="10"/>
        <v/>
      </c>
      <c r="V47" s="83" t="str">
        <f t="shared" si="11"/>
        <v/>
      </c>
    </row>
    <row r="48" spans="2:22" s="84" customFormat="1">
      <c r="B48" s="60"/>
      <c r="C48" s="61"/>
      <c r="D48" s="80" t="str">
        <f t="shared" si="12"/>
        <v/>
      </c>
      <c r="E48" s="81" t="str">
        <f t="shared" si="16"/>
        <v/>
      </c>
      <c r="F48" s="82" t="str">
        <f t="shared" ref="F48:F79" si="20">IF(E48="","",F47*(1+E48))</f>
        <v/>
      </c>
      <c r="G48" s="83" t="str">
        <f t="shared" si="5"/>
        <v/>
      </c>
      <c r="H48" s="60"/>
      <c r="I48" s="80" t="str">
        <f t="shared" si="13"/>
        <v/>
      </c>
      <c r="J48" s="81" t="str">
        <f t="shared" si="17"/>
        <v/>
      </c>
      <c r="K48" s="82" t="str">
        <f t="shared" si="6"/>
        <v/>
      </c>
      <c r="L48" s="83" t="str">
        <f t="shared" si="7"/>
        <v/>
      </c>
      <c r="M48" s="60"/>
      <c r="N48" s="80" t="str">
        <f t="shared" si="14"/>
        <v/>
      </c>
      <c r="O48" s="81" t="str">
        <f t="shared" si="18"/>
        <v/>
      </c>
      <c r="P48" s="82" t="str">
        <f t="shared" ref="P48:P79" si="21">IF(O48="","",P47*(1+O48))</f>
        <v/>
      </c>
      <c r="Q48" s="83" t="str">
        <f t="shared" si="9"/>
        <v/>
      </c>
      <c r="R48" s="60"/>
      <c r="S48" s="80" t="str">
        <f t="shared" si="15"/>
        <v/>
      </c>
      <c r="T48" s="81" t="str">
        <f t="shared" si="19"/>
        <v/>
      </c>
      <c r="U48" s="82" t="str">
        <f t="shared" si="10"/>
        <v/>
      </c>
      <c r="V48" s="83" t="str">
        <f t="shared" si="11"/>
        <v/>
      </c>
    </row>
    <row r="49" spans="2:22" s="84" customFormat="1">
      <c r="B49" s="60"/>
      <c r="C49" s="61"/>
      <c r="D49" s="80" t="str">
        <f t="shared" si="12"/>
        <v/>
      </c>
      <c r="E49" s="81" t="str">
        <f t="shared" si="16"/>
        <v/>
      </c>
      <c r="F49" s="82" t="str">
        <f t="shared" si="20"/>
        <v/>
      </c>
      <c r="G49" s="83" t="str">
        <f t="shared" si="5"/>
        <v/>
      </c>
      <c r="H49" s="60"/>
      <c r="I49" s="80" t="str">
        <f t="shared" si="13"/>
        <v/>
      </c>
      <c r="J49" s="81" t="str">
        <f t="shared" si="17"/>
        <v/>
      </c>
      <c r="K49" s="82" t="str">
        <f t="shared" si="6"/>
        <v/>
      </c>
      <c r="L49" s="83" t="str">
        <f t="shared" si="7"/>
        <v/>
      </c>
      <c r="M49" s="60"/>
      <c r="N49" s="80" t="str">
        <f t="shared" si="14"/>
        <v/>
      </c>
      <c r="O49" s="81" t="str">
        <f t="shared" si="18"/>
        <v/>
      </c>
      <c r="P49" s="82" t="str">
        <f t="shared" si="21"/>
        <v/>
      </c>
      <c r="Q49" s="83" t="str">
        <f t="shared" si="9"/>
        <v/>
      </c>
      <c r="R49" s="60"/>
      <c r="S49" s="80" t="str">
        <f t="shared" si="15"/>
        <v/>
      </c>
      <c r="T49" s="81" t="str">
        <f t="shared" si="19"/>
        <v/>
      </c>
      <c r="U49" s="82" t="str">
        <f t="shared" si="10"/>
        <v/>
      </c>
      <c r="V49" s="83" t="str">
        <f t="shared" si="11"/>
        <v/>
      </c>
    </row>
    <row r="50" spans="2:22" s="84" customFormat="1">
      <c r="B50" s="60"/>
      <c r="C50" s="61"/>
      <c r="D50" s="80" t="str">
        <f t="shared" si="12"/>
        <v/>
      </c>
      <c r="E50" s="81" t="str">
        <f t="shared" si="16"/>
        <v/>
      </c>
      <c r="F50" s="82" t="str">
        <f t="shared" si="20"/>
        <v/>
      </c>
      <c r="G50" s="83" t="str">
        <f t="shared" si="5"/>
        <v/>
      </c>
      <c r="H50" s="60"/>
      <c r="I50" s="80" t="str">
        <f t="shared" si="13"/>
        <v/>
      </c>
      <c r="J50" s="81" t="str">
        <f t="shared" si="17"/>
        <v/>
      </c>
      <c r="K50" s="82" t="str">
        <f t="shared" si="6"/>
        <v/>
      </c>
      <c r="L50" s="83" t="str">
        <f t="shared" si="7"/>
        <v/>
      </c>
      <c r="M50" s="60"/>
      <c r="N50" s="80" t="str">
        <f t="shared" si="14"/>
        <v/>
      </c>
      <c r="O50" s="81" t="str">
        <f t="shared" si="18"/>
        <v/>
      </c>
      <c r="P50" s="82" t="str">
        <f t="shared" si="21"/>
        <v/>
      </c>
      <c r="Q50" s="83" t="str">
        <f t="shared" si="9"/>
        <v/>
      </c>
      <c r="R50" s="60"/>
      <c r="S50" s="80" t="str">
        <f t="shared" si="15"/>
        <v/>
      </c>
      <c r="T50" s="81" t="str">
        <f t="shared" si="19"/>
        <v/>
      </c>
      <c r="U50" s="82" t="str">
        <f t="shared" si="10"/>
        <v/>
      </c>
      <c r="V50" s="83" t="str">
        <f t="shared" si="11"/>
        <v/>
      </c>
    </row>
    <row r="51" spans="2:22" s="84" customFormat="1">
      <c r="B51" s="60"/>
      <c r="C51" s="61"/>
      <c r="D51" s="80" t="str">
        <f t="shared" si="12"/>
        <v/>
      </c>
      <c r="E51" s="81" t="str">
        <f t="shared" si="16"/>
        <v/>
      </c>
      <c r="F51" s="82" t="str">
        <f t="shared" si="20"/>
        <v/>
      </c>
      <c r="G51" s="83" t="str">
        <f t="shared" si="5"/>
        <v/>
      </c>
      <c r="H51" s="60"/>
      <c r="I51" s="80" t="str">
        <f t="shared" si="13"/>
        <v/>
      </c>
      <c r="J51" s="81" t="str">
        <f t="shared" si="17"/>
        <v/>
      </c>
      <c r="K51" s="82" t="str">
        <f t="shared" si="6"/>
        <v/>
      </c>
      <c r="L51" s="83" t="str">
        <f t="shared" si="7"/>
        <v/>
      </c>
      <c r="M51" s="60"/>
      <c r="N51" s="80" t="str">
        <f t="shared" si="14"/>
        <v/>
      </c>
      <c r="O51" s="81" t="str">
        <f t="shared" si="18"/>
        <v/>
      </c>
      <c r="P51" s="82" t="str">
        <f t="shared" si="21"/>
        <v/>
      </c>
      <c r="Q51" s="83" t="str">
        <f t="shared" si="9"/>
        <v/>
      </c>
      <c r="R51" s="60"/>
      <c r="S51" s="80" t="str">
        <f t="shared" si="15"/>
        <v/>
      </c>
      <c r="T51" s="81" t="str">
        <f t="shared" si="19"/>
        <v/>
      </c>
      <c r="U51" s="82" t="str">
        <f t="shared" si="10"/>
        <v/>
      </c>
      <c r="V51" s="83" t="str">
        <f t="shared" si="11"/>
        <v/>
      </c>
    </row>
    <row r="52" spans="2:22">
      <c r="D52" s="80" t="str">
        <f t="shared" si="12"/>
        <v/>
      </c>
      <c r="E52" s="81" t="str">
        <f t="shared" si="16"/>
        <v/>
      </c>
      <c r="F52" s="82" t="str">
        <f t="shared" si="20"/>
        <v/>
      </c>
      <c r="G52" s="83" t="str">
        <f t="shared" si="5"/>
        <v/>
      </c>
      <c r="I52" s="80" t="str">
        <f t="shared" si="13"/>
        <v/>
      </c>
      <c r="J52" s="81" t="str">
        <f t="shared" si="17"/>
        <v/>
      </c>
      <c r="K52" s="82" t="str">
        <f t="shared" si="6"/>
        <v/>
      </c>
      <c r="L52" s="83" t="str">
        <f t="shared" si="7"/>
        <v/>
      </c>
      <c r="N52" s="80" t="str">
        <f t="shared" si="14"/>
        <v/>
      </c>
      <c r="O52" s="81" t="str">
        <f t="shared" si="18"/>
        <v/>
      </c>
      <c r="P52" s="82" t="str">
        <f t="shared" si="21"/>
        <v/>
      </c>
      <c r="Q52" s="83" t="str">
        <f t="shared" si="9"/>
        <v/>
      </c>
      <c r="S52" s="80" t="str">
        <f t="shared" si="15"/>
        <v/>
      </c>
      <c r="T52" s="81" t="str">
        <f t="shared" si="19"/>
        <v/>
      </c>
      <c r="U52" s="82" t="str">
        <f t="shared" si="10"/>
        <v/>
      </c>
      <c r="V52" s="83" t="str">
        <f t="shared" si="11"/>
        <v/>
      </c>
    </row>
    <row r="53" spans="2:22">
      <c r="D53" s="80" t="str">
        <f t="shared" si="12"/>
        <v/>
      </c>
      <c r="E53" s="81" t="str">
        <f t="shared" si="16"/>
        <v/>
      </c>
      <c r="F53" s="82" t="str">
        <f t="shared" si="20"/>
        <v/>
      </c>
      <c r="G53" s="83" t="str">
        <f t="shared" si="5"/>
        <v/>
      </c>
      <c r="I53" s="80" t="str">
        <f t="shared" si="13"/>
        <v/>
      </c>
      <c r="J53" s="81" t="str">
        <f t="shared" si="17"/>
        <v/>
      </c>
      <c r="K53" s="82" t="str">
        <f t="shared" si="6"/>
        <v/>
      </c>
      <c r="L53" s="83" t="str">
        <f t="shared" si="7"/>
        <v/>
      </c>
      <c r="N53" s="80" t="str">
        <f t="shared" si="14"/>
        <v/>
      </c>
      <c r="O53" s="81" t="str">
        <f t="shared" si="18"/>
        <v/>
      </c>
      <c r="P53" s="82" t="str">
        <f t="shared" si="21"/>
        <v/>
      </c>
      <c r="Q53" s="83" t="str">
        <f t="shared" si="9"/>
        <v/>
      </c>
      <c r="S53" s="80" t="str">
        <f t="shared" si="15"/>
        <v/>
      </c>
      <c r="T53" s="81" t="str">
        <f t="shared" si="19"/>
        <v/>
      </c>
      <c r="U53" s="82" t="str">
        <f t="shared" si="10"/>
        <v/>
      </c>
      <c r="V53" s="83" t="str">
        <f t="shared" si="11"/>
        <v/>
      </c>
    </row>
    <row r="54" spans="2:22">
      <c r="D54" s="80" t="str">
        <f t="shared" si="12"/>
        <v/>
      </c>
      <c r="E54" s="81" t="str">
        <f t="shared" si="16"/>
        <v/>
      </c>
      <c r="F54" s="82" t="str">
        <f t="shared" si="20"/>
        <v/>
      </c>
      <c r="G54" s="83" t="str">
        <f t="shared" si="5"/>
        <v/>
      </c>
      <c r="I54" s="80" t="str">
        <f t="shared" si="13"/>
        <v/>
      </c>
      <c r="J54" s="81" t="str">
        <f t="shared" si="17"/>
        <v/>
      </c>
      <c r="K54" s="82" t="str">
        <f t="shared" si="6"/>
        <v/>
      </c>
      <c r="L54" s="83" t="str">
        <f t="shared" si="7"/>
        <v/>
      </c>
      <c r="N54" s="80" t="str">
        <f t="shared" si="14"/>
        <v/>
      </c>
      <c r="O54" s="81" t="str">
        <f t="shared" si="18"/>
        <v/>
      </c>
      <c r="P54" s="82" t="str">
        <f t="shared" si="21"/>
        <v/>
      </c>
      <c r="Q54" s="83" t="str">
        <f t="shared" si="9"/>
        <v/>
      </c>
      <c r="S54" s="80" t="str">
        <f t="shared" si="15"/>
        <v/>
      </c>
      <c r="T54" s="81" t="str">
        <f t="shared" si="19"/>
        <v/>
      </c>
      <c r="U54" s="82" t="str">
        <f t="shared" si="10"/>
        <v/>
      </c>
      <c r="V54" s="83" t="str">
        <f t="shared" si="11"/>
        <v/>
      </c>
    </row>
    <row r="55" spans="2:22">
      <c r="D55" s="80" t="str">
        <f t="shared" si="12"/>
        <v/>
      </c>
      <c r="E55" s="81" t="str">
        <f t="shared" si="16"/>
        <v/>
      </c>
      <c r="F55" s="82" t="str">
        <f t="shared" si="20"/>
        <v/>
      </c>
      <c r="G55" s="83" t="str">
        <f t="shared" si="5"/>
        <v/>
      </c>
      <c r="I55" s="80" t="str">
        <f t="shared" si="13"/>
        <v/>
      </c>
      <c r="J55" s="81" t="str">
        <f t="shared" si="17"/>
        <v/>
      </c>
      <c r="K55" s="82" t="str">
        <f t="shared" si="6"/>
        <v/>
      </c>
      <c r="L55" s="83" t="str">
        <f t="shared" si="7"/>
        <v/>
      </c>
      <c r="N55" s="80" t="str">
        <f t="shared" si="14"/>
        <v/>
      </c>
      <c r="O55" s="81" t="str">
        <f t="shared" si="18"/>
        <v/>
      </c>
      <c r="P55" s="82" t="str">
        <f t="shared" si="21"/>
        <v/>
      </c>
      <c r="Q55" s="83" t="str">
        <f t="shared" si="9"/>
        <v/>
      </c>
      <c r="S55" s="80" t="str">
        <f t="shared" si="15"/>
        <v/>
      </c>
      <c r="T55" s="81" t="str">
        <f t="shared" si="19"/>
        <v/>
      </c>
      <c r="U55" s="82" t="str">
        <f t="shared" si="10"/>
        <v/>
      </c>
      <c r="V55" s="83" t="str">
        <f t="shared" si="11"/>
        <v/>
      </c>
    </row>
    <row r="56" spans="2:22">
      <c r="D56" s="80" t="str">
        <f t="shared" si="12"/>
        <v/>
      </c>
      <c r="E56" s="81" t="str">
        <f t="shared" si="16"/>
        <v/>
      </c>
      <c r="F56" s="82" t="str">
        <f t="shared" si="20"/>
        <v/>
      </c>
      <c r="G56" s="83" t="str">
        <f t="shared" si="5"/>
        <v/>
      </c>
      <c r="I56" s="80" t="str">
        <f t="shared" si="13"/>
        <v/>
      </c>
      <c r="J56" s="81" t="str">
        <f t="shared" si="17"/>
        <v/>
      </c>
      <c r="K56" s="82" t="str">
        <f t="shared" si="6"/>
        <v/>
      </c>
      <c r="L56" s="83" t="str">
        <f t="shared" si="7"/>
        <v/>
      </c>
      <c r="N56" s="80" t="str">
        <f t="shared" si="14"/>
        <v/>
      </c>
      <c r="O56" s="81" t="str">
        <f t="shared" si="18"/>
        <v/>
      </c>
      <c r="P56" s="82" t="str">
        <f t="shared" si="21"/>
        <v/>
      </c>
      <c r="Q56" s="83" t="str">
        <f t="shared" si="9"/>
        <v/>
      </c>
      <c r="S56" s="80" t="str">
        <f t="shared" si="15"/>
        <v/>
      </c>
      <c r="T56" s="81" t="str">
        <f t="shared" si="19"/>
        <v/>
      </c>
      <c r="U56" s="82" t="str">
        <f t="shared" si="10"/>
        <v/>
      </c>
      <c r="V56" s="83" t="str">
        <f t="shared" si="11"/>
        <v/>
      </c>
    </row>
    <row r="57" spans="2:22">
      <c r="D57" s="80" t="str">
        <f t="shared" si="12"/>
        <v/>
      </c>
      <c r="E57" s="81" t="str">
        <f t="shared" si="16"/>
        <v/>
      </c>
      <c r="F57" s="82" t="str">
        <f t="shared" si="20"/>
        <v/>
      </c>
      <c r="G57" s="83" t="str">
        <f t="shared" si="5"/>
        <v/>
      </c>
      <c r="I57" s="80" t="str">
        <f t="shared" si="13"/>
        <v/>
      </c>
      <c r="J57" s="81" t="str">
        <f t="shared" si="17"/>
        <v/>
      </c>
      <c r="K57" s="82" t="str">
        <f t="shared" si="6"/>
        <v/>
      </c>
      <c r="L57" s="83" t="str">
        <f t="shared" si="7"/>
        <v/>
      </c>
      <c r="N57" s="80" t="str">
        <f t="shared" si="14"/>
        <v/>
      </c>
      <c r="O57" s="81" t="str">
        <f t="shared" si="18"/>
        <v/>
      </c>
      <c r="P57" s="82" t="str">
        <f t="shared" si="21"/>
        <v/>
      </c>
      <c r="Q57" s="83" t="str">
        <f t="shared" si="9"/>
        <v/>
      </c>
      <c r="S57" s="80" t="str">
        <f t="shared" si="15"/>
        <v/>
      </c>
      <c r="T57" s="81" t="str">
        <f t="shared" si="19"/>
        <v/>
      </c>
      <c r="U57" s="82" t="str">
        <f t="shared" si="10"/>
        <v/>
      </c>
      <c r="V57" s="83" t="str">
        <f t="shared" si="11"/>
        <v/>
      </c>
    </row>
    <row r="58" spans="2:22">
      <c r="D58" s="80" t="str">
        <f t="shared" si="12"/>
        <v/>
      </c>
      <c r="E58" s="81" t="str">
        <f t="shared" si="16"/>
        <v/>
      </c>
      <c r="F58" s="82" t="str">
        <f t="shared" si="20"/>
        <v/>
      </c>
      <c r="G58" s="83" t="str">
        <f t="shared" si="5"/>
        <v/>
      </c>
      <c r="I58" s="80" t="str">
        <f t="shared" si="13"/>
        <v/>
      </c>
      <c r="J58" s="81" t="str">
        <f t="shared" si="17"/>
        <v/>
      </c>
      <c r="K58" s="82" t="str">
        <f t="shared" si="6"/>
        <v/>
      </c>
      <c r="L58" s="83" t="str">
        <f t="shared" si="7"/>
        <v/>
      </c>
      <c r="N58" s="80" t="str">
        <f t="shared" si="14"/>
        <v/>
      </c>
      <c r="O58" s="81" t="str">
        <f t="shared" si="18"/>
        <v/>
      </c>
      <c r="P58" s="82" t="str">
        <f t="shared" si="21"/>
        <v/>
      </c>
      <c r="Q58" s="83" t="str">
        <f t="shared" si="9"/>
        <v/>
      </c>
      <c r="S58" s="80" t="str">
        <f t="shared" si="15"/>
        <v/>
      </c>
      <c r="T58" s="81" t="str">
        <f t="shared" si="19"/>
        <v/>
      </c>
      <c r="U58" s="82" t="str">
        <f t="shared" si="10"/>
        <v/>
      </c>
      <c r="V58" s="83" t="str">
        <f t="shared" si="11"/>
        <v/>
      </c>
    </row>
    <row r="59" spans="2:22">
      <c r="D59" s="80" t="str">
        <f t="shared" si="12"/>
        <v/>
      </c>
      <c r="E59" s="81" t="str">
        <f t="shared" si="16"/>
        <v/>
      </c>
      <c r="F59" s="82" t="str">
        <f t="shared" si="20"/>
        <v/>
      </c>
      <c r="G59" s="83" t="str">
        <f t="shared" si="5"/>
        <v/>
      </c>
      <c r="I59" s="80" t="str">
        <f t="shared" si="13"/>
        <v/>
      </c>
      <c r="J59" s="81" t="str">
        <f t="shared" si="17"/>
        <v/>
      </c>
      <c r="K59" s="82" t="str">
        <f t="shared" si="6"/>
        <v/>
      </c>
      <c r="L59" s="83" t="str">
        <f t="shared" si="7"/>
        <v/>
      </c>
      <c r="N59" s="80" t="str">
        <f t="shared" si="14"/>
        <v/>
      </c>
      <c r="O59" s="81" t="str">
        <f t="shared" si="18"/>
        <v/>
      </c>
      <c r="P59" s="82" t="str">
        <f t="shared" si="21"/>
        <v/>
      </c>
      <c r="Q59" s="83" t="str">
        <f t="shared" si="9"/>
        <v/>
      </c>
      <c r="S59" s="80" t="str">
        <f t="shared" si="15"/>
        <v/>
      </c>
      <c r="T59" s="81" t="str">
        <f t="shared" si="19"/>
        <v/>
      </c>
      <c r="U59" s="82" t="str">
        <f t="shared" si="10"/>
        <v/>
      </c>
      <c r="V59" s="83" t="str">
        <f t="shared" si="11"/>
        <v/>
      </c>
    </row>
    <row r="60" spans="2:22">
      <c r="D60" s="80" t="str">
        <f t="shared" si="12"/>
        <v/>
      </c>
      <c r="E60" s="81" t="str">
        <f t="shared" si="16"/>
        <v/>
      </c>
      <c r="F60" s="82" t="str">
        <f t="shared" si="20"/>
        <v/>
      </c>
      <c r="G60" s="83" t="str">
        <f t="shared" si="5"/>
        <v/>
      </c>
      <c r="I60" s="80" t="str">
        <f t="shared" si="13"/>
        <v/>
      </c>
      <c r="J60" s="81" t="str">
        <f t="shared" si="17"/>
        <v/>
      </c>
      <c r="K60" s="82" t="str">
        <f t="shared" si="6"/>
        <v/>
      </c>
      <c r="L60" s="83" t="str">
        <f t="shared" si="7"/>
        <v/>
      </c>
      <c r="N60" s="80" t="str">
        <f t="shared" si="14"/>
        <v/>
      </c>
      <c r="O60" s="81" t="str">
        <f t="shared" si="18"/>
        <v/>
      </c>
      <c r="P60" s="82" t="str">
        <f t="shared" si="21"/>
        <v/>
      </c>
      <c r="Q60" s="83" t="str">
        <f t="shared" si="9"/>
        <v/>
      </c>
      <c r="S60" s="80" t="str">
        <f t="shared" si="15"/>
        <v/>
      </c>
      <c r="T60" s="81" t="str">
        <f t="shared" si="19"/>
        <v/>
      </c>
      <c r="U60" s="82" t="str">
        <f t="shared" si="10"/>
        <v/>
      </c>
      <c r="V60" s="83" t="str">
        <f t="shared" si="11"/>
        <v/>
      </c>
    </row>
    <row r="61" spans="2:22">
      <c r="D61" s="80" t="str">
        <f t="shared" si="12"/>
        <v/>
      </c>
      <c r="E61" s="81" t="str">
        <f t="shared" si="16"/>
        <v/>
      </c>
      <c r="F61" s="82" t="str">
        <f t="shared" si="20"/>
        <v/>
      </c>
      <c r="G61" s="83" t="str">
        <f t="shared" si="5"/>
        <v/>
      </c>
      <c r="I61" s="80" t="str">
        <f t="shared" si="13"/>
        <v/>
      </c>
      <c r="J61" s="81" t="str">
        <f t="shared" si="17"/>
        <v/>
      </c>
      <c r="K61" s="82" t="str">
        <f t="shared" si="6"/>
        <v/>
      </c>
      <c r="L61" s="83" t="str">
        <f t="shared" si="7"/>
        <v/>
      </c>
      <c r="N61" s="80" t="str">
        <f t="shared" si="14"/>
        <v/>
      </c>
      <c r="O61" s="81" t="str">
        <f t="shared" si="18"/>
        <v/>
      </c>
      <c r="P61" s="82" t="str">
        <f t="shared" si="21"/>
        <v/>
      </c>
      <c r="Q61" s="83" t="str">
        <f t="shared" si="9"/>
        <v/>
      </c>
      <c r="S61" s="80" t="str">
        <f t="shared" si="15"/>
        <v/>
      </c>
      <c r="T61" s="81" t="str">
        <f t="shared" si="19"/>
        <v/>
      </c>
      <c r="U61" s="82" t="str">
        <f t="shared" si="10"/>
        <v/>
      </c>
      <c r="V61" s="83" t="str">
        <f t="shared" si="11"/>
        <v/>
      </c>
    </row>
    <row r="62" spans="2:22">
      <c r="D62" s="80" t="str">
        <f t="shared" si="12"/>
        <v/>
      </c>
      <c r="E62" s="81" t="str">
        <f t="shared" si="16"/>
        <v/>
      </c>
      <c r="F62" s="82" t="str">
        <f t="shared" si="20"/>
        <v/>
      </c>
      <c r="G62" s="83" t="str">
        <f t="shared" si="5"/>
        <v/>
      </c>
      <c r="I62" s="80" t="str">
        <f t="shared" si="13"/>
        <v/>
      </c>
      <c r="J62" s="81" t="str">
        <f t="shared" si="17"/>
        <v/>
      </c>
      <c r="K62" s="82" t="str">
        <f t="shared" si="6"/>
        <v/>
      </c>
      <c r="L62" s="83" t="str">
        <f t="shared" si="7"/>
        <v/>
      </c>
      <c r="N62" s="80" t="str">
        <f t="shared" si="14"/>
        <v/>
      </c>
      <c r="O62" s="81" t="str">
        <f t="shared" si="18"/>
        <v/>
      </c>
      <c r="P62" s="82" t="str">
        <f t="shared" si="21"/>
        <v/>
      </c>
      <c r="Q62" s="83" t="str">
        <f t="shared" si="9"/>
        <v/>
      </c>
      <c r="S62" s="80" t="str">
        <f t="shared" si="15"/>
        <v/>
      </c>
      <c r="T62" s="81" t="str">
        <f t="shared" si="19"/>
        <v/>
      </c>
      <c r="U62" s="82" t="str">
        <f t="shared" si="10"/>
        <v/>
      </c>
      <c r="V62" s="83" t="str">
        <f t="shared" si="11"/>
        <v/>
      </c>
    </row>
    <row r="63" spans="2:22">
      <c r="D63" s="80" t="str">
        <f t="shared" si="12"/>
        <v/>
      </c>
      <c r="E63" s="81" t="str">
        <f t="shared" si="16"/>
        <v/>
      </c>
      <c r="F63" s="82" t="str">
        <f t="shared" si="20"/>
        <v/>
      </c>
      <c r="G63" s="83" t="str">
        <f t="shared" si="5"/>
        <v/>
      </c>
      <c r="I63" s="80" t="str">
        <f t="shared" si="13"/>
        <v/>
      </c>
      <c r="J63" s="81" t="str">
        <f t="shared" si="17"/>
        <v/>
      </c>
      <c r="K63" s="82" t="str">
        <f t="shared" si="6"/>
        <v/>
      </c>
      <c r="L63" s="83" t="str">
        <f t="shared" si="7"/>
        <v/>
      </c>
      <c r="N63" s="80" t="str">
        <f t="shared" si="14"/>
        <v/>
      </c>
      <c r="O63" s="81" t="str">
        <f t="shared" si="18"/>
        <v/>
      </c>
      <c r="P63" s="82" t="str">
        <f t="shared" si="21"/>
        <v/>
      </c>
      <c r="Q63" s="83" t="str">
        <f t="shared" si="9"/>
        <v/>
      </c>
      <c r="S63" s="80" t="str">
        <f t="shared" si="15"/>
        <v/>
      </c>
      <c r="T63" s="81" t="str">
        <f t="shared" si="19"/>
        <v/>
      </c>
      <c r="U63" s="82" t="str">
        <f t="shared" si="10"/>
        <v/>
      </c>
      <c r="V63" s="83" t="str">
        <f t="shared" si="11"/>
        <v/>
      </c>
    </row>
    <row r="64" spans="2:22">
      <c r="D64" s="80" t="str">
        <f t="shared" si="12"/>
        <v/>
      </c>
      <c r="E64" s="81" t="str">
        <f t="shared" si="16"/>
        <v/>
      </c>
      <c r="F64" s="82" t="str">
        <f t="shared" si="20"/>
        <v/>
      </c>
      <c r="G64" s="83" t="str">
        <f t="shared" si="5"/>
        <v/>
      </c>
      <c r="I64" s="80" t="str">
        <f t="shared" si="13"/>
        <v/>
      </c>
      <c r="J64" s="81" t="str">
        <f t="shared" si="17"/>
        <v/>
      </c>
      <c r="K64" s="82" t="str">
        <f t="shared" si="6"/>
        <v/>
      </c>
      <c r="L64" s="83" t="str">
        <f t="shared" si="7"/>
        <v/>
      </c>
      <c r="N64" s="80" t="str">
        <f t="shared" si="14"/>
        <v/>
      </c>
      <c r="O64" s="81" t="str">
        <f t="shared" si="18"/>
        <v/>
      </c>
      <c r="P64" s="82" t="str">
        <f t="shared" si="21"/>
        <v/>
      </c>
      <c r="Q64" s="83" t="str">
        <f t="shared" si="9"/>
        <v/>
      </c>
      <c r="S64" s="80" t="str">
        <f t="shared" si="15"/>
        <v/>
      </c>
      <c r="T64" s="81" t="str">
        <f t="shared" si="19"/>
        <v/>
      </c>
      <c r="U64" s="82" t="str">
        <f t="shared" si="10"/>
        <v/>
      </c>
      <c r="V64" s="83" t="str">
        <f t="shared" si="11"/>
        <v/>
      </c>
    </row>
    <row r="65" spans="2:22">
      <c r="D65" s="80" t="str">
        <f t="shared" si="12"/>
        <v/>
      </c>
      <c r="E65" s="81" t="str">
        <f t="shared" si="16"/>
        <v/>
      </c>
      <c r="F65" s="82" t="str">
        <f t="shared" si="20"/>
        <v/>
      </c>
      <c r="G65" s="83" t="str">
        <f t="shared" si="5"/>
        <v/>
      </c>
      <c r="I65" s="80" t="str">
        <f t="shared" si="13"/>
        <v/>
      </c>
      <c r="J65" s="81" t="str">
        <f t="shared" si="17"/>
        <v/>
      </c>
      <c r="K65" s="82" t="str">
        <f t="shared" si="6"/>
        <v/>
      </c>
      <c r="L65" s="83" t="str">
        <f t="shared" si="7"/>
        <v/>
      </c>
      <c r="N65" s="80" t="str">
        <f t="shared" si="14"/>
        <v/>
      </c>
      <c r="O65" s="81" t="str">
        <f t="shared" si="18"/>
        <v/>
      </c>
      <c r="P65" s="82" t="str">
        <f t="shared" si="21"/>
        <v/>
      </c>
      <c r="Q65" s="83" t="str">
        <f t="shared" si="9"/>
        <v/>
      </c>
      <c r="S65" s="80" t="str">
        <f t="shared" si="15"/>
        <v/>
      </c>
      <c r="T65" s="81" t="str">
        <f t="shared" si="19"/>
        <v/>
      </c>
      <c r="U65" s="82" t="str">
        <f t="shared" si="10"/>
        <v/>
      </c>
      <c r="V65" s="83" t="str">
        <f t="shared" si="11"/>
        <v/>
      </c>
    </row>
    <row r="66" spans="2:22">
      <c r="D66" s="80" t="str">
        <f t="shared" si="12"/>
        <v/>
      </c>
      <c r="E66" s="81" t="str">
        <f t="shared" si="16"/>
        <v/>
      </c>
      <c r="F66" s="82" t="str">
        <f t="shared" si="20"/>
        <v/>
      </c>
      <c r="G66" s="83" t="str">
        <f t="shared" si="5"/>
        <v/>
      </c>
      <c r="I66" s="80" t="str">
        <f t="shared" si="13"/>
        <v/>
      </c>
      <c r="J66" s="81" t="str">
        <f t="shared" si="17"/>
        <v/>
      </c>
      <c r="K66" s="82" t="str">
        <f t="shared" si="6"/>
        <v/>
      </c>
      <c r="L66" s="83" t="str">
        <f t="shared" si="7"/>
        <v/>
      </c>
      <c r="N66" s="80" t="str">
        <f t="shared" si="14"/>
        <v/>
      </c>
      <c r="O66" s="81" t="str">
        <f t="shared" si="18"/>
        <v/>
      </c>
      <c r="P66" s="82" t="str">
        <f t="shared" si="21"/>
        <v/>
      </c>
      <c r="Q66" s="83" t="str">
        <f t="shared" si="9"/>
        <v/>
      </c>
      <c r="S66" s="80" t="str">
        <f t="shared" si="15"/>
        <v/>
      </c>
      <c r="T66" s="81" t="str">
        <f t="shared" si="19"/>
        <v/>
      </c>
      <c r="U66" s="82" t="str">
        <f t="shared" si="10"/>
        <v/>
      </c>
      <c r="V66" s="83" t="str">
        <f t="shared" si="11"/>
        <v/>
      </c>
    </row>
    <row r="67" spans="2:22">
      <c r="D67" s="80" t="str">
        <f t="shared" si="12"/>
        <v/>
      </c>
      <c r="E67" s="81" t="str">
        <f t="shared" si="16"/>
        <v/>
      </c>
      <c r="F67" s="82" t="str">
        <f t="shared" si="20"/>
        <v/>
      </c>
      <c r="G67" s="83" t="str">
        <f t="shared" si="5"/>
        <v/>
      </c>
      <c r="I67" s="80" t="str">
        <f t="shared" si="13"/>
        <v/>
      </c>
      <c r="J67" s="81" t="str">
        <f t="shared" si="17"/>
        <v/>
      </c>
      <c r="K67" s="82" t="str">
        <f t="shared" si="6"/>
        <v/>
      </c>
      <c r="L67" s="83" t="str">
        <f t="shared" si="7"/>
        <v/>
      </c>
      <c r="N67" s="80" t="str">
        <f t="shared" si="14"/>
        <v/>
      </c>
      <c r="O67" s="81" t="str">
        <f t="shared" si="18"/>
        <v/>
      </c>
      <c r="P67" s="82" t="str">
        <f t="shared" si="21"/>
        <v/>
      </c>
      <c r="Q67" s="83" t="str">
        <f t="shared" si="9"/>
        <v/>
      </c>
      <c r="S67" s="80" t="str">
        <f t="shared" si="15"/>
        <v/>
      </c>
      <c r="T67" s="81" t="str">
        <f t="shared" si="19"/>
        <v/>
      </c>
      <c r="U67" s="82" t="str">
        <f t="shared" si="10"/>
        <v/>
      </c>
      <c r="V67" s="83" t="str">
        <f t="shared" si="11"/>
        <v/>
      </c>
    </row>
    <row r="68" spans="2:22" s="84" customFormat="1">
      <c r="B68" s="60"/>
      <c r="C68" s="61"/>
      <c r="D68" s="80" t="str">
        <f t="shared" si="12"/>
        <v/>
      </c>
      <c r="E68" s="81" t="str">
        <f t="shared" si="16"/>
        <v/>
      </c>
      <c r="F68" s="82" t="str">
        <f t="shared" si="20"/>
        <v/>
      </c>
      <c r="G68" s="83" t="str">
        <f t="shared" si="5"/>
        <v/>
      </c>
      <c r="H68" s="60"/>
      <c r="I68" s="80" t="str">
        <f t="shared" si="13"/>
        <v/>
      </c>
      <c r="J68" s="81" t="str">
        <f t="shared" si="17"/>
        <v/>
      </c>
      <c r="K68" s="82" t="str">
        <f t="shared" si="6"/>
        <v/>
      </c>
      <c r="L68" s="83" t="str">
        <f t="shared" si="7"/>
        <v/>
      </c>
      <c r="M68" s="60"/>
      <c r="N68" s="80" t="str">
        <f t="shared" si="14"/>
        <v/>
      </c>
      <c r="O68" s="81" t="str">
        <f t="shared" si="18"/>
        <v/>
      </c>
      <c r="P68" s="82" t="str">
        <f t="shared" si="21"/>
        <v/>
      </c>
      <c r="Q68" s="83" t="str">
        <f t="shared" si="9"/>
        <v/>
      </c>
      <c r="R68" s="60"/>
      <c r="S68" s="80" t="str">
        <f t="shared" si="15"/>
        <v/>
      </c>
      <c r="T68" s="81" t="str">
        <f t="shared" si="19"/>
        <v/>
      </c>
      <c r="U68" s="82" t="str">
        <f t="shared" si="10"/>
        <v/>
      </c>
      <c r="V68" s="83" t="str">
        <f t="shared" si="11"/>
        <v/>
      </c>
    </row>
    <row r="69" spans="2:22" s="84" customFormat="1">
      <c r="B69" s="60"/>
      <c r="C69" s="61"/>
      <c r="D69" s="80" t="str">
        <f t="shared" si="12"/>
        <v/>
      </c>
      <c r="E69" s="81" t="str">
        <f t="shared" si="16"/>
        <v/>
      </c>
      <c r="F69" s="82" t="str">
        <f t="shared" si="20"/>
        <v/>
      </c>
      <c r="G69" s="83" t="str">
        <f t="shared" si="5"/>
        <v/>
      </c>
      <c r="H69" s="60"/>
      <c r="I69" s="80" t="str">
        <f t="shared" si="13"/>
        <v/>
      </c>
      <c r="J69" s="81" t="str">
        <f t="shared" si="17"/>
        <v/>
      </c>
      <c r="K69" s="82" t="str">
        <f t="shared" si="6"/>
        <v/>
      </c>
      <c r="L69" s="83" t="str">
        <f t="shared" si="7"/>
        <v/>
      </c>
      <c r="M69" s="60"/>
      <c r="N69" s="80" t="str">
        <f t="shared" si="14"/>
        <v/>
      </c>
      <c r="O69" s="81" t="str">
        <f t="shared" si="18"/>
        <v/>
      </c>
      <c r="P69" s="82" t="str">
        <f t="shared" si="21"/>
        <v/>
      </c>
      <c r="Q69" s="83" t="str">
        <f t="shared" si="9"/>
        <v/>
      </c>
      <c r="R69" s="60"/>
      <c r="S69" s="80" t="str">
        <f t="shared" si="15"/>
        <v/>
      </c>
      <c r="T69" s="81" t="str">
        <f t="shared" si="19"/>
        <v/>
      </c>
      <c r="U69" s="82" t="str">
        <f t="shared" si="10"/>
        <v/>
      </c>
      <c r="V69" s="83" t="str">
        <f t="shared" si="11"/>
        <v/>
      </c>
    </row>
    <row r="70" spans="2:22" s="84" customFormat="1">
      <c r="B70" s="60"/>
      <c r="C70" s="61"/>
      <c r="D70" s="80" t="str">
        <f t="shared" si="12"/>
        <v/>
      </c>
      <c r="E70" s="81" t="str">
        <f t="shared" si="16"/>
        <v/>
      </c>
      <c r="F70" s="82" t="str">
        <f t="shared" si="20"/>
        <v/>
      </c>
      <c r="G70" s="83" t="str">
        <f t="shared" si="5"/>
        <v/>
      </c>
      <c r="H70" s="60"/>
      <c r="I70" s="80" t="str">
        <f t="shared" si="13"/>
        <v/>
      </c>
      <c r="J70" s="81" t="str">
        <f t="shared" si="17"/>
        <v/>
      </c>
      <c r="K70" s="82" t="str">
        <f t="shared" si="6"/>
        <v/>
      </c>
      <c r="L70" s="83" t="str">
        <f t="shared" si="7"/>
        <v/>
      </c>
      <c r="M70" s="60"/>
      <c r="N70" s="80" t="str">
        <f t="shared" si="14"/>
        <v/>
      </c>
      <c r="O70" s="81" t="str">
        <f t="shared" si="18"/>
        <v/>
      </c>
      <c r="P70" s="82" t="str">
        <f t="shared" si="21"/>
        <v/>
      </c>
      <c r="Q70" s="83" t="str">
        <f t="shared" si="9"/>
        <v/>
      </c>
      <c r="R70" s="60"/>
      <c r="S70" s="80" t="str">
        <f t="shared" si="15"/>
        <v/>
      </c>
      <c r="T70" s="81" t="str">
        <f t="shared" si="19"/>
        <v/>
      </c>
      <c r="U70" s="82" t="str">
        <f t="shared" si="10"/>
        <v/>
      </c>
      <c r="V70" s="83" t="str">
        <f t="shared" si="11"/>
        <v/>
      </c>
    </row>
    <row r="71" spans="2:22" s="84" customFormat="1">
      <c r="B71" s="60"/>
      <c r="C71" s="61"/>
      <c r="D71" s="80" t="str">
        <f t="shared" si="12"/>
        <v/>
      </c>
      <c r="E71" s="81" t="str">
        <f t="shared" si="16"/>
        <v/>
      </c>
      <c r="F71" s="82" t="str">
        <f t="shared" si="20"/>
        <v/>
      </c>
      <c r="G71" s="83" t="str">
        <f t="shared" si="5"/>
        <v/>
      </c>
      <c r="H71" s="60"/>
      <c r="I71" s="80" t="str">
        <f t="shared" si="13"/>
        <v/>
      </c>
      <c r="J71" s="81" t="str">
        <f t="shared" si="17"/>
        <v/>
      </c>
      <c r="K71" s="82" t="str">
        <f t="shared" si="6"/>
        <v/>
      </c>
      <c r="L71" s="83" t="str">
        <f t="shared" si="7"/>
        <v/>
      </c>
      <c r="M71" s="60"/>
      <c r="N71" s="80" t="str">
        <f t="shared" si="14"/>
        <v/>
      </c>
      <c r="O71" s="81" t="str">
        <f t="shared" si="18"/>
        <v/>
      </c>
      <c r="P71" s="82" t="str">
        <f t="shared" si="21"/>
        <v/>
      </c>
      <c r="Q71" s="83" t="str">
        <f t="shared" si="9"/>
        <v/>
      </c>
      <c r="R71" s="60"/>
      <c r="S71" s="80" t="str">
        <f t="shared" si="15"/>
        <v/>
      </c>
      <c r="T71" s="81" t="str">
        <f t="shared" si="19"/>
        <v/>
      </c>
      <c r="U71" s="82" t="str">
        <f t="shared" si="10"/>
        <v/>
      </c>
      <c r="V71" s="83" t="str">
        <f t="shared" si="11"/>
        <v/>
      </c>
    </row>
    <row r="72" spans="2:22" s="84" customFormat="1">
      <c r="B72" s="60"/>
      <c r="C72" s="61"/>
      <c r="D72" s="80" t="str">
        <f t="shared" si="12"/>
        <v/>
      </c>
      <c r="E72" s="81" t="str">
        <f t="shared" si="16"/>
        <v/>
      </c>
      <c r="F72" s="82" t="str">
        <f t="shared" si="20"/>
        <v/>
      </c>
      <c r="G72" s="83" t="str">
        <f t="shared" si="5"/>
        <v/>
      </c>
      <c r="H72" s="60"/>
      <c r="I72" s="80" t="str">
        <f t="shared" si="13"/>
        <v/>
      </c>
      <c r="J72" s="81" t="str">
        <f t="shared" si="17"/>
        <v/>
      </c>
      <c r="K72" s="82" t="str">
        <f t="shared" si="6"/>
        <v/>
      </c>
      <c r="L72" s="83" t="str">
        <f t="shared" si="7"/>
        <v/>
      </c>
      <c r="M72" s="60"/>
      <c r="N72" s="80" t="str">
        <f t="shared" si="14"/>
        <v/>
      </c>
      <c r="O72" s="81" t="str">
        <f t="shared" si="18"/>
        <v/>
      </c>
      <c r="P72" s="82" t="str">
        <f t="shared" si="21"/>
        <v/>
      </c>
      <c r="Q72" s="83" t="str">
        <f t="shared" si="9"/>
        <v/>
      </c>
      <c r="R72" s="60"/>
      <c r="S72" s="80" t="str">
        <f t="shared" si="15"/>
        <v/>
      </c>
      <c r="T72" s="81" t="str">
        <f t="shared" si="19"/>
        <v/>
      </c>
      <c r="U72" s="82" t="str">
        <f t="shared" si="10"/>
        <v/>
      </c>
      <c r="V72" s="83" t="str">
        <f t="shared" si="11"/>
        <v/>
      </c>
    </row>
    <row r="73" spans="2:22" s="84" customFormat="1">
      <c r="B73" s="60"/>
      <c r="C73" s="61"/>
      <c r="D73" s="80" t="str">
        <f t="shared" si="12"/>
        <v/>
      </c>
      <c r="E73" s="81" t="str">
        <f t="shared" si="16"/>
        <v/>
      </c>
      <c r="F73" s="82" t="str">
        <f t="shared" si="20"/>
        <v/>
      </c>
      <c r="G73" s="83" t="str">
        <f t="shared" si="5"/>
        <v/>
      </c>
      <c r="H73" s="60"/>
      <c r="I73" s="80" t="str">
        <f t="shared" si="13"/>
        <v/>
      </c>
      <c r="J73" s="81" t="str">
        <f t="shared" si="17"/>
        <v/>
      </c>
      <c r="K73" s="82" t="str">
        <f t="shared" si="6"/>
        <v/>
      </c>
      <c r="L73" s="83" t="str">
        <f t="shared" si="7"/>
        <v/>
      </c>
      <c r="M73" s="60"/>
      <c r="N73" s="80" t="str">
        <f t="shared" si="14"/>
        <v/>
      </c>
      <c r="O73" s="81" t="str">
        <f t="shared" si="18"/>
        <v/>
      </c>
      <c r="P73" s="82" t="str">
        <f t="shared" si="21"/>
        <v/>
      </c>
      <c r="Q73" s="83" t="str">
        <f t="shared" si="9"/>
        <v/>
      </c>
      <c r="R73" s="60"/>
      <c r="S73" s="80" t="str">
        <f t="shared" si="15"/>
        <v/>
      </c>
      <c r="T73" s="81" t="str">
        <f t="shared" si="19"/>
        <v/>
      </c>
      <c r="U73" s="82" t="str">
        <f t="shared" si="10"/>
        <v/>
      </c>
      <c r="V73" s="83" t="str">
        <f t="shared" si="11"/>
        <v/>
      </c>
    </row>
    <row r="74" spans="2:22" s="84" customFormat="1">
      <c r="B74" s="60"/>
      <c r="C74" s="61"/>
      <c r="D74" s="80" t="str">
        <f t="shared" si="12"/>
        <v/>
      </c>
      <c r="E74" s="81" t="str">
        <f t="shared" si="16"/>
        <v/>
      </c>
      <c r="F74" s="82" t="str">
        <f t="shared" si="20"/>
        <v/>
      </c>
      <c r="G74" s="83" t="str">
        <f t="shared" si="5"/>
        <v/>
      </c>
      <c r="H74" s="60"/>
      <c r="I74" s="80" t="str">
        <f t="shared" si="13"/>
        <v/>
      </c>
      <c r="J74" s="81" t="str">
        <f t="shared" si="17"/>
        <v/>
      </c>
      <c r="K74" s="82" t="str">
        <f t="shared" si="6"/>
        <v/>
      </c>
      <c r="L74" s="83" t="str">
        <f t="shared" si="7"/>
        <v/>
      </c>
      <c r="M74" s="60"/>
      <c r="N74" s="80" t="str">
        <f t="shared" si="14"/>
        <v/>
      </c>
      <c r="O74" s="81" t="str">
        <f t="shared" si="18"/>
        <v/>
      </c>
      <c r="P74" s="82" t="str">
        <f t="shared" si="21"/>
        <v/>
      </c>
      <c r="Q74" s="83" t="str">
        <f t="shared" si="9"/>
        <v/>
      </c>
      <c r="R74" s="60"/>
      <c r="S74" s="80" t="str">
        <f t="shared" si="15"/>
        <v/>
      </c>
      <c r="T74" s="81" t="str">
        <f t="shared" si="19"/>
        <v/>
      </c>
      <c r="U74" s="82" t="str">
        <f t="shared" si="10"/>
        <v/>
      </c>
      <c r="V74" s="83" t="str">
        <f t="shared" si="11"/>
        <v/>
      </c>
    </row>
    <row r="75" spans="2:22" s="84" customFormat="1">
      <c r="B75" s="60"/>
      <c r="C75" s="61"/>
      <c r="D75" s="80" t="str">
        <f t="shared" si="12"/>
        <v/>
      </c>
      <c r="E75" s="81" t="str">
        <f t="shared" si="16"/>
        <v/>
      </c>
      <c r="F75" s="82" t="str">
        <f t="shared" si="20"/>
        <v/>
      </c>
      <c r="G75" s="83" t="str">
        <f t="shared" si="5"/>
        <v/>
      </c>
      <c r="H75" s="60"/>
      <c r="I75" s="80" t="str">
        <f t="shared" si="13"/>
        <v/>
      </c>
      <c r="J75" s="81" t="str">
        <f t="shared" si="17"/>
        <v/>
      </c>
      <c r="K75" s="82" t="str">
        <f t="shared" si="6"/>
        <v/>
      </c>
      <c r="L75" s="83" t="str">
        <f t="shared" si="7"/>
        <v/>
      </c>
      <c r="M75" s="60"/>
      <c r="N75" s="80" t="str">
        <f t="shared" si="14"/>
        <v/>
      </c>
      <c r="O75" s="81" t="str">
        <f t="shared" si="18"/>
        <v/>
      </c>
      <c r="P75" s="82" t="str">
        <f t="shared" si="21"/>
        <v/>
      </c>
      <c r="Q75" s="83" t="str">
        <f t="shared" si="9"/>
        <v/>
      </c>
      <c r="R75" s="60"/>
      <c r="S75" s="80" t="str">
        <f t="shared" si="15"/>
        <v/>
      </c>
      <c r="T75" s="81" t="str">
        <f t="shared" si="19"/>
        <v/>
      </c>
      <c r="U75" s="82" t="str">
        <f t="shared" si="10"/>
        <v/>
      </c>
      <c r="V75" s="83" t="str">
        <f t="shared" si="11"/>
        <v/>
      </c>
    </row>
    <row r="76" spans="2:22" s="84" customFormat="1">
      <c r="B76" s="60"/>
      <c r="C76" s="61"/>
      <c r="D76" s="80" t="str">
        <f t="shared" si="12"/>
        <v/>
      </c>
      <c r="E76" s="81" t="str">
        <f t="shared" si="16"/>
        <v/>
      </c>
      <c r="F76" s="82" t="str">
        <f t="shared" si="20"/>
        <v/>
      </c>
      <c r="G76" s="83" t="str">
        <f t="shared" si="5"/>
        <v/>
      </c>
      <c r="H76" s="60"/>
      <c r="I76" s="80" t="str">
        <f t="shared" si="13"/>
        <v/>
      </c>
      <c r="J76" s="81" t="str">
        <f t="shared" si="17"/>
        <v/>
      </c>
      <c r="K76" s="82" t="str">
        <f t="shared" si="6"/>
        <v/>
      </c>
      <c r="L76" s="83" t="str">
        <f t="shared" si="7"/>
        <v/>
      </c>
      <c r="M76" s="60"/>
      <c r="N76" s="80" t="str">
        <f t="shared" si="14"/>
        <v/>
      </c>
      <c r="O76" s="81" t="str">
        <f t="shared" si="18"/>
        <v/>
      </c>
      <c r="P76" s="82" t="str">
        <f t="shared" si="21"/>
        <v/>
      </c>
      <c r="Q76" s="83" t="str">
        <f t="shared" si="9"/>
        <v/>
      </c>
      <c r="R76" s="60"/>
      <c r="S76" s="80" t="str">
        <f t="shared" si="15"/>
        <v/>
      </c>
      <c r="T76" s="81" t="str">
        <f t="shared" si="19"/>
        <v/>
      </c>
      <c r="U76" s="82" t="str">
        <f t="shared" si="10"/>
        <v/>
      </c>
      <c r="V76" s="83" t="str">
        <f t="shared" si="11"/>
        <v/>
      </c>
    </row>
    <row r="77" spans="2:22" s="84" customFormat="1">
      <c r="B77" s="60"/>
      <c r="C77" s="61"/>
      <c r="D77" s="80" t="str">
        <f t="shared" si="12"/>
        <v/>
      </c>
      <c r="E77" s="81" t="str">
        <f t="shared" si="16"/>
        <v/>
      </c>
      <c r="F77" s="82" t="str">
        <f t="shared" si="20"/>
        <v/>
      </c>
      <c r="G77" s="83" t="str">
        <f t="shared" si="5"/>
        <v/>
      </c>
      <c r="H77" s="60"/>
      <c r="I77" s="80" t="str">
        <f t="shared" si="13"/>
        <v/>
      </c>
      <c r="J77" s="81" t="str">
        <f t="shared" si="17"/>
        <v/>
      </c>
      <c r="K77" s="82" t="str">
        <f t="shared" si="6"/>
        <v/>
      </c>
      <c r="L77" s="83" t="str">
        <f t="shared" si="7"/>
        <v/>
      </c>
      <c r="M77" s="60"/>
      <c r="N77" s="80" t="str">
        <f t="shared" si="14"/>
        <v/>
      </c>
      <c r="O77" s="81" t="str">
        <f t="shared" si="18"/>
        <v/>
      </c>
      <c r="P77" s="82" t="str">
        <f t="shared" si="21"/>
        <v/>
      </c>
      <c r="Q77" s="83" t="str">
        <f t="shared" si="9"/>
        <v/>
      </c>
      <c r="R77" s="60"/>
      <c r="S77" s="80" t="str">
        <f t="shared" si="15"/>
        <v/>
      </c>
      <c r="T77" s="81" t="str">
        <f t="shared" si="19"/>
        <v/>
      </c>
      <c r="U77" s="82" t="str">
        <f t="shared" si="10"/>
        <v/>
      </c>
      <c r="V77" s="83" t="str">
        <f t="shared" si="11"/>
        <v/>
      </c>
    </row>
    <row r="78" spans="2:22" s="84" customFormat="1">
      <c r="B78" s="60"/>
      <c r="C78" s="61"/>
      <c r="D78" s="80" t="str">
        <f t="shared" si="12"/>
        <v/>
      </c>
      <c r="E78" s="81" t="str">
        <f t="shared" si="16"/>
        <v/>
      </c>
      <c r="F78" s="82" t="str">
        <f t="shared" si="20"/>
        <v/>
      </c>
      <c r="G78" s="83" t="str">
        <f t="shared" si="5"/>
        <v/>
      </c>
      <c r="H78" s="60"/>
      <c r="I78" s="80" t="str">
        <f t="shared" si="13"/>
        <v/>
      </c>
      <c r="J78" s="81" t="str">
        <f t="shared" si="17"/>
        <v/>
      </c>
      <c r="K78" s="82" t="str">
        <f t="shared" si="6"/>
        <v/>
      </c>
      <c r="L78" s="83" t="str">
        <f t="shared" si="7"/>
        <v/>
      </c>
      <c r="M78" s="60"/>
      <c r="N78" s="80" t="str">
        <f t="shared" si="14"/>
        <v/>
      </c>
      <c r="O78" s="81" t="str">
        <f t="shared" si="18"/>
        <v/>
      </c>
      <c r="P78" s="82" t="str">
        <f t="shared" si="21"/>
        <v/>
      </c>
      <c r="Q78" s="83" t="str">
        <f t="shared" si="9"/>
        <v/>
      </c>
      <c r="R78" s="60"/>
      <c r="S78" s="80" t="str">
        <f t="shared" si="15"/>
        <v/>
      </c>
      <c r="T78" s="81" t="str">
        <f t="shared" si="19"/>
        <v/>
      </c>
      <c r="U78" s="82" t="str">
        <f t="shared" si="10"/>
        <v/>
      </c>
      <c r="V78" s="83" t="str">
        <f t="shared" si="11"/>
        <v/>
      </c>
    </row>
    <row r="79" spans="2:22" s="84" customFormat="1">
      <c r="B79" s="60"/>
      <c r="C79" s="61"/>
      <c r="D79" s="80" t="str">
        <f t="shared" si="12"/>
        <v/>
      </c>
      <c r="E79" s="81" t="str">
        <f t="shared" ref="E79:E110" si="22">IF(E$14="","",IF($D79="","",VLOOKUP($D79,Tbl_Indices,D$8)))</f>
        <v/>
      </c>
      <c r="F79" s="82" t="str">
        <f t="shared" si="20"/>
        <v/>
      </c>
      <c r="G79" s="83" t="str">
        <f t="shared" si="5"/>
        <v/>
      </c>
      <c r="H79" s="60"/>
      <c r="I79" s="80" t="str">
        <f t="shared" si="13"/>
        <v/>
      </c>
      <c r="J79" s="81" t="str">
        <f t="shared" ref="J79:J110" si="23">IF(J$14="","",IF($D79="","",VLOOKUP($D79,Tbl_Indices,I$8)))</f>
        <v/>
      </c>
      <c r="K79" s="82" t="str">
        <f t="shared" si="6"/>
        <v/>
      </c>
      <c r="L79" s="83" t="str">
        <f t="shared" si="7"/>
        <v/>
      </c>
      <c r="M79" s="60"/>
      <c r="N79" s="80" t="str">
        <f t="shared" si="14"/>
        <v/>
      </c>
      <c r="O79" s="81" t="str">
        <f t="shared" ref="O79:O110" si="24">IF(O$14="","",IF($D79="","",VLOOKUP($D79,Tbl_Indices,N$8)))</f>
        <v/>
      </c>
      <c r="P79" s="82" t="str">
        <f t="shared" si="21"/>
        <v/>
      </c>
      <c r="Q79" s="83" t="str">
        <f t="shared" si="9"/>
        <v/>
      </c>
      <c r="R79" s="60"/>
      <c r="S79" s="80" t="str">
        <f t="shared" si="15"/>
        <v/>
      </c>
      <c r="T79" s="81" t="str">
        <f t="shared" ref="T79:T110" si="25">IF(T$14="","",IF($D79="","",VLOOKUP($D79,Tbl_Indices,S$8)))</f>
        <v/>
      </c>
      <c r="U79" s="82" t="str">
        <f t="shared" si="10"/>
        <v/>
      </c>
      <c r="V79" s="83" t="str">
        <f t="shared" si="11"/>
        <v/>
      </c>
    </row>
    <row r="80" spans="2:22" s="84" customFormat="1">
      <c r="B80" s="60"/>
      <c r="C80" s="61"/>
      <c r="D80" s="80" t="str">
        <f t="shared" si="12"/>
        <v/>
      </c>
      <c r="E80" s="81" t="str">
        <f t="shared" si="22"/>
        <v/>
      </c>
      <c r="F80" s="82" t="str">
        <f t="shared" ref="F80:F111" si="26">IF(E80="","",F79*(1+E80))</f>
        <v/>
      </c>
      <c r="G80" s="83" t="str">
        <f t="shared" ref="G80:G121" si="27">IF(D80="","",F80-1)</f>
        <v/>
      </c>
      <c r="H80" s="60"/>
      <c r="I80" s="80" t="str">
        <f t="shared" si="13"/>
        <v/>
      </c>
      <c r="J80" s="81" t="str">
        <f t="shared" si="23"/>
        <v/>
      </c>
      <c r="K80" s="82" t="str">
        <f t="shared" ref="K80:K121" si="28">IF(J80="","",K79*(1+J80))</f>
        <v/>
      </c>
      <c r="L80" s="83" t="str">
        <f t="shared" ref="L80:L121" si="29">IF(I80="","",K80-1)</f>
        <v/>
      </c>
      <c r="M80" s="60"/>
      <c r="N80" s="80" t="str">
        <f t="shared" si="14"/>
        <v/>
      </c>
      <c r="O80" s="81" t="str">
        <f t="shared" si="24"/>
        <v/>
      </c>
      <c r="P80" s="82" t="str">
        <f t="shared" ref="P80:P111" si="30">IF(O80="","",P79*(1+O80))</f>
        <v/>
      </c>
      <c r="Q80" s="83" t="str">
        <f t="shared" ref="Q80:Q121" si="31">IF(N80="","",P80-1)</f>
        <v/>
      </c>
      <c r="R80" s="60"/>
      <c r="S80" s="80" t="str">
        <f t="shared" si="15"/>
        <v/>
      </c>
      <c r="T80" s="81" t="str">
        <f t="shared" si="25"/>
        <v/>
      </c>
      <c r="U80" s="82" t="str">
        <f t="shared" ref="U80:U121" si="32">IF(T80="","",U79*(1+T80))</f>
        <v/>
      </c>
      <c r="V80" s="83" t="str">
        <f t="shared" ref="V80:V121" si="33">IF(S80="","",U80-1)</f>
        <v/>
      </c>
    </row>
    <row r="81" spans="2:22" s="84" customFormat="1">
      <c r="B81" s="60"/>
      <c r="C81" s="61"/>
      <c r="D81" s="80" t="str">
        <f t="shared" ref="D81:D144" si="34">IF(D80&gt;=$D$4,"",EOMONTH(D80,1))</f>
        <v/>
      </c>
      <c r="E81" s="81" t="str">
        <f t="shared" si="22"/>
        <v/>
      </c>
      <c r="F81" s="82" t="str">
        <f t="shared" si="26"/>
        <v/>
      </c>
      <c r="G81" s="83" t="str">
        <f t="shared" si="27"/>
        <v/>
      </c>
      <c r="H81" s="60"/>
      <c r="I81" s="80" t="str">
        <f t="shared" ref="I81:I144" si="35">IF(I80&gt;=$D$4,"",EOMONTH(I80,1))</f>
        <v/>
      </c>
      <c r="J81" s="81" t="str">
        <f t="shared" si="23"/>
        <v/>
      </c>
      <c r="K81" s="82" t="str">
        <f t="shared" si="28"/>
        <v/>
      </c>
      <c r="L81" s="83" t="str">
        <f t="shared" si="29"/>
        <v/>
      </c>
      <c r="M81" s="60"/>
      <c r="N81" s="80" t="str">
        <f t="shared" ref="N81:N144" si="36">IF(N80&gt;=$D$4,"",EOMONTH(N80,1))</f>
        <v/>
      </c>
      <c r="O81" s="81" t="str">
        <f t="shared" si="24"/>
        <v/>
      </c>
      <c r="P81" s="82" t="str">
        <f t="shared" si="30"/>
        <v/>
      </c>
      <c r="Q81" s="83" t="str">
        <f t="shared" si="31"/>
        <v/>
      </c>
      <c r="R81" s="60"/>
      <c r="S81" s="80" t="str">
        <f t="shared" ref="S81:S144" si="37">IF(S80&gt;=$D$4,"",EOMONTH(S80,1))</f>
        <v/>
      </c>
      <c r="T81" s="81" t="str">
        <f t="shared" si="25"/>
        <v/>
      </c>
      <c r="U81" s="82" t="str">
        <f t="shared" si="32"/>
        <v/>
      </c>
      <c r="V81" s="83" t="str">
        <f t="shared" si="33"/>
        <v/>
      </c>
    </row>
    <row r="82" spans="2:22" s="84" customFormat="1">
      <c r="B82" s="60"/>
      <c r="C82" s="61"/>
      <c r="D82" s="80" t="str">
        <f t="shared" si="34"/>
        <v/>
      </c>
      <c r="E82" s="81" t="str">
        <f t="shared" si="22"/>
        <v/>
      </c>
      <c r="F82" s="82" t="str">
        <f t="shared" si="26"/>
        <v/>
      </c>
      <c r="G82" s="83" t="str">
        <f t="shared" si="27"/>
        <v/>
      </c>
      <c r="H82" s="60"/>
      <c r="I82" s="80" t="str">
        <f t="shared" si="35"/>
        <v/>
      </c>
      <c r="J82" s="81" t="str">
        <f t="shared" si="23"/>
        <v/>
      </c>
      <c r="K82" s="82" t="str">
        <f t="shared" si="28"/>
        <v/>
      </c>
      <c r="L82" s="83" t="str">
        <f t="shared" si="29"/>
        <v/>
      </c>
      <c r="M82" s="60"/>
      <c r="N82" s="80" t="str">
        <f t="shared" si="36"/>
        <v/>
      </c>
      <c r="O82" s="81" t="str">
        <f t="shared" si="24"/>
        <v/>
      </c>
      <c r="P82" s="82" t="str">
        <f t="shared" si="30"/>
        <v/>
      </c>
      <c r="Q82" s="83" t="str">
        <f t="shared" si="31"/>
        <v/>
      </c>
      <c r="R82" s="60"/>
      <c r="S82" s="80" t="str">
        <f t="shared" si="37"/>
        <v/>
      </c>
      <c r="T82" s="81" t="str">
        <f t="shared" si="25"/>
        <v/>
      </c>
      <c r="U82" s="82" t="str">
        <f t="shared" si="32"/>
        <v/>
      </c>
      <c r="V82" s="83" t="str">
        <f t="shared" si="33"/>
        <v/>
      </c>
    </row>
    <row r="83" spans="2:22" s="84" customFormat="1">
      <c r="B83" s="60"/>
      <c r="C83" s="61"/>
      <c r="D83" s="80" t="str">
        <f t="shared" si="34"/>
        <v/>
      </c>
      <c r="E83" s="81" t="str">
        <f t="shared" si="22"/>
        <v/>
      </c>
      <c r="F83" s="82" t="str">
        <f t="shared" si="26"/>
        <v/>
      </c>
      <c r="G83" s="83" t="str">
        <f t="shared" si="27"/>
        <v/>
      </c>
      <c r="H83" s="60"/>
      <c r="I83" s="80" t="str">
        <f t="shared" si="35"/>
        <v/>
      </c>
      <c r="J83" s="81" t="str">
        <f t="shared" si="23"/>
        <v/>
      </c>
      <c r="K83" s="82" t="str">
        <f t="shared" si="28"/>
        <v/>
      </c>
      <c r="L83" s="83" t="str">
        <f t="shared" si="29"/>
        <v/>
      </c>
      <c r="M83" s="60"/>
      <c r="N83" s="80" t="str">
        <f t="shared" si="36"/>
        <v/>
      </c>
      <c r="O83" s="81" t="str">
        <f t="shared" si="24"/>
        <v/>
      </c>
      <c r="P83" s="82" t="str">
        <f t="shared" si="30"/>
        <v/>
      </c>
      <c r="Q83" s="83" t="str">
        <f t="shared" si="31"/>
        <v/>
      </c>
      <c r="R83" s="60"/>
      <c r="S83" s="80" t="str">
        <f t="shared" si="37"/>
        <v/>
      </c>
      <c r="T83" s="81" t="str">
        <f t="shared" si="25"/>
        <v/>
      </c>
      <c r="U83" s="82" t="str">
        <f t="shared" si="32"/>
        <v/>
      </c>
      <c r="V83" s="83" t="str">
        <f t="shared" si="33"/>
        <v/>
      </c>
    </row>
    <row r="84" spans="2:22" s="84" customFormat="1">
      <c r="B84" s="60"/>
      <c r="C84" s="61"/>
      <c r="D84" s="80" t="str">
        <f t="shared" si="34"/>
        <v/>
      </c>
      <c r="E84" s="81" t="str">
        <f t="shared" si="22"/>
        <v/>
      </c>
      <c r="F84" s="82" t="str">
        <f t="shared" si="26"/>
        <v/>
      </c>
      <c r="G84" s="83" t="str">
        <f t="shared" si="27"/>
        <v/>
      </c>
      <c r="H84" s="60"/>
      <c r="I84" s="80" t="str">
        <f t="shared" si="35"/>
        <v/>
      </c>
      <c r="J84" s="81" t="str">
        <f t="shared" si="23"/>
        <v/>
      </c>
      <c r="K84" s="82" t="str">
        <f t="shared" si="28"/>
        <v/>
      </c>
      <c r="L84" s="83" t="str">
        <f t="shared" si="29"/>
        <v/>
      </c>
      <c r="M84" s="60"/>
      <c r="N84" s="80" t="str">
        <f t="shared" si="36"/>
        <v/>
      </c>
      <c r="O84" s="81" t="str">
        <f t="shared" si="24"/>
        <v/>
      </c>
      <c r="P84" s="82" t="str">
        <f t="shared" si="30"/>
        <v/>
      </c>
      <c r="Q84" s="83" t="str">
        <f t="shared" si="31"/>
        <v/>
      </c>
      <c r="R84" s="60"/>
      <c r="S84" s="80" t="str">
        <f t="shared" si="37"/>
        <v/>
      </c>
      <c r="T84" s="81" t="str">
        <f t="shared" si="25"/>
        <v/>
      </c>
      <c r="U84" s="82" t="str">
        <f t="shared" si="32"/>
        <v/>
      </c>
      <c r="V84" s="83" t="str">
        <f t="shared" si="33"/>
        <v/>
      </c>
    </row>
    <row r="85" spans="2:22" s="84" customFormat="1">
      <c r="B85" s="60"/>
      <c r="C85" s="61"/>
      <c r="D85" s="80" t="str">
        <f t="shared" si="34"/>
        <v/>
      </c>
      <c r="E85" s="81" t="str">
        <f t="shared" si="22"/>
        <v/>
      </c>
      <c r="F85" s="82" t="str">
        <f t="shared" si="26"/>
        <v/>
      </c>
      <c r="G85" s="83" t="str">
        <f t="shared" si="27"/>
        <v/>
      </c>
      <c r="H85" s="60"/>
      <c r="I85" s="80" t="str">
        <f t="shared" si="35"/>
        <v/>
      </c>
      <c r="J85" s="81" t="str">
        <f t="shared" si="23"/>
        <v/>
      </c>
      <c r="K85" s="82" t="str">
        <f t="shared" si="28"/>
        <v/>
      </c>
      <c r="L85" s="83" t="str">
        <f t="shared" si="29"/>
        <v/>
      </c>
      <c r="M85" s="60"/>
      <c r="N85" s="80" t="str">
        <f t="shared" si="36"/>
        <v/>
      </c>
      <c r="O85" s="81" t="str">
        <f t="shared" si="24"/>
        <v/>
      </c>
      <c r="P85" s="82" t="str">
        <f t="shared" si="30"/>
        <v/>
      </c>
      <c r="Q85" s="83" t="str">
        <f t="shared" si="31"/>
        <v/>
      </c>
      <c r="R85" s="60"/>
      <c r="S85" s="80" t="str">
        <f t="shared" si="37"/>
        <v/>
      </c>
      <c r="T85" s="81" t="str">
        <f t="shared" si="25"/>
        <v/>
      </c>
      <c r="U85" s="82" t="str">
        <f t="shared" si="32"/>
        <v/>
      </c>
      <c r="V85" s="83" t="str">
        <f t="shared" si="33"/>
        <v/>
      </c>
    </row>
    <row r="86" spans="2:22" s="84" customFormat="1">
      <c r="B86" s="60"/>
      <c r="C86" s="61"/>
      <c r="D86" s="80" t="str">
        <f t="shared" si="34"/>
        <v/>
      </c>
      <c r="E86" s="81" t="str">
        <f t="shared" si="22"/>
        <v/>
      </c>
      <c r="F86" s="82" t="str">
        <f t="shared" si="26"/>
        <v/>
      </c>
      <c r="G86" s="83" t="str">
        <f t="shared" si="27"/>
        <v/>
      </c>
      <c r="H86" s="60"/>
      <c r="I86" s="80" t="str">
        <f t="shared" si="35"/>
        <v/>
      </c>
      <c r="J86" s="81" t="str">
        <f t="shared" si="23"/>
        <v/>
      </c>
      <c r="K86" s="82" t="str">
        <f t="shared" si="28"/>
        <v/>
      </c>
      <c r="L86" s="83" t="str">
        <f t="shared" si="29"/>
        <v/>
      </c>
      <c r="M86" s="60"/>
      <c r="N86" s="80" t="str">
        <f t="shared" si="36"/>
        <v/>
      </c>
      <c r="O86" s="81" t="str">
        <f t="shared" si="24"/>
        <v/>
      </c>
      <c r="P86" s="82" t="str">
        <f t="shared" si="30"/>
        <v/>
      </c>
      <c r="Q86" s="83" t="str">
        <f t="shared" si="31"/>
        <v/>
      </c>
      <c r="R86" s="60"/>
      <c r="S86" s="80" t="str">
        <f t="shared" si="37"/>
        <v/>
      </c>
      <c r="T86" s="81" t="str">
        <f t="shared" si="25"/>
        <v/>
      </c>
      <c r="U86" s="82" t="str">
        <f t="shared" si="32"/>
        <v/>
      </c>
      <c r="V86" s="83" t="str">
        <f t="shared" si="33"/>
        <v/>
      </c>
    </row>
    <row r="87" spans="2:22" s="84" customFormat="1">
      <c r="B87" s="60"/>
      <c r="C87" s="61"/>
      <c r="D87" s="80" t="str">
        <f t="shared" si="34"/>
        <v/>
      </c>
      <c r="E87" s="81" t="str">
        <f t="shared" si="22"/>
        <v/>
      </c>
      <c r="F87" s="82" t="str">
        <f t="shared" si="26"/>
        <v/>
      </c>
      <c r="G87" s="83" t="str">
        <f t="shared" si="27"/>
        <v/>
      </c>
      <c r="H87" s="60"/>
      <c r="I87" s="80" t="str">
        <f t="shared" si="35"/>
        <v/>
      </c>
      <c r="J87" s="81" t="str">
        <f t="shared" si="23"/>
        <v/>
      </c>
      <c r="K87" s="82" t="str">
        <f t="shared" si="28"/>
        <v/>
      </c>
      <c r="L87" s="83" t="str">
        <f t="shared" si="29"/>
        <v/>
      </c>
      <c r="M87" s="60"/>
      <c r="N87" s="80" t="str">
        <f t="shared" si="36"/>
        <v/>
      </c>
      <c r="O87" s="81" t="str">
        <f t="shared" si="24"/>
        <v/>
      </c>
      <c r="P87" s="82" t="str">
        <f t="shared" si="30"/>
        <v/>
      </c>
      <c r="Q87" s="83" t="str">
        <f t="shared" si="31"/>
        <v/>
      </c>
      <c r="R87" s="60"/>
      <c r="S87" s="80" t="str">
        <f t="shared" si="37"/>
        <v/>
      </c>
      <c r="T87" s="81" t="str">
        <f t="shared" si="25"/>
        <v/>
      </c>
      <c r="U87" s="82" t="str">
        <f t="shared" si="32"/>
        <v/>
      </c>
      <c r="V87" s="83" t="str">
        <f t="shared" si="33"/>
        <v/>
      </c>
    </row>
    <row r="88" spans="2:22" s="84" customFormat="1">
      <c r="B88" s="60"/>
      <c r="C88" s="61"/>
      <c r="D88" s="80" t="str">
        <f t="shared" si="34"/>
        <v/>
      </c>
      <c r="E88" s="81" t="str">
        <f t="shared" si="22"/>
        <v/>
      </c>
      <c r="F88" s="82" t="str">
        <f t="shared" si="26"/>
        <v/>
      </c>
      <c r="G88" s="83" t="str">
        <f t="shared" si="27"/>
        <v/>
      </c>
      <c r="H88" s="60"/>
      <c r="I88" s="80" t="str">
        <f t="shared" si="35"/>
        <v/>
      </c>
      <c r="J88" s="81" t="str">
        <f t="shared" si="23"/>
        <v/>
      </c>
      <c r="K88" s="82" t="str">
        <f t="shared" si="28"/>
        <v/>
      </c>
      <c r="L88" s="83" t="str">
        <f t="shared" si="29"/>
        <v/>
      </c>
      <c r="M88" s="60"/>
      <c r="N88" s="80" t="str">
        <f t="shared" si="36"/>
        <v/>
      </c>
      <c r="O88" s="81" t="str">
        <f t="shared" si="24"/>
        <v/>
      </c>
      <c r="P88" s="82" t="str">
        <f t="shared" si="30"/>
        <v/>
      </c>
      <c r="Q88" s="83" t="str">
        <f t="shared" si="31"/>
        <v/>
      </c>
      <c r="R88" s="60"/>
      <c r="S88" s="80" t="str">
        <f t="shared" si="37"/>
        <v/>
      </c>
      <c r="T88" s="81" t="str">
        <f t="shared" si="25"/>
        <v/>
      </c>
      <c r="U88" s="82" t="str">
        <f t="shared" si="32"/>
        <v/>
      </c>
      <c r="V88" s="83" t="str">
        <f t="shared" si="33"/>
        <v/>
      </c>
    </row>
    <row r="89" spans="2:22" s="84" customFormat="1">
      <c r="B89" s="60"/>
      <c r="C89" s="61"/>
      <c r="D89" s="80" t="str">
        <f t="shared" si="34"/>
        <v/>
      </c>
      <c r="E89" s="81" t="str">
        <f t="shared" si="22"/>
        <v/>
      </c>
      <c r="F89" s="82" t="str">
        <f t="shared" si="26"/>
        <v/>
      </c>
      <c r="G89" s="83" t="str">
        <f t="shared" si="27"/>
        <v/>
      </c>
      <c r="H89" s="60"/>
      <c r="I89" s="80" t="str">
        <f t="shared" si="35"/>
        <v/>
      </c>
      <c r="J89" s="81" t="str">
        <f t="shared" si="23"/>
        <v/>
      </c>
      <c r="K89" s="82" t="str">
        <f t="shared" si="28"/>
        <v/>
      </c>
      <c r="L89" s="83" t="str">
        <f t="shared" si="29"/>
        <v/>
      </c>
      <c r="M89" s="60"/>
      <c r="N89" s="80" t="str">
        <f t="shared" si="36"/>
        <v/>
      </c>
      <c r="O89" s="81" t="str">
        <f t="shared" si="24"/>
        <v/>
      </c>
      <c r="P89" s="82" t="str">
        <f t="shared" si="30"/>
        <v/>
      </c>
      <c r="Q89" s="83" t="str">
        <f t="shared" si="31"/>
        <v/>
      </c>
      <c r="R89" s="60"/>
      <c r="S89" s="80" t="str">
        <f t="shared" si="37"/>
        <v/>
      </c>
      <c r="T89" s="81" t="str">
        <f t="shared" si="25"/>
        <v/>
      </c>
      <c r="U89" s="82" t="str">
        <f t="shared" si="32"/>
        <v/>
      </c>
      <c r="V89" s="83" t="str">
        <f t="shared" si="33"/>
        <v/>
      </c>
    </row>
    <row r="90" spans="2:22" s="84" customFormat="1">
      <c r="B90" s="60"/>
      <c r="C90" s="61"/>
      <c r="D90" s="80" t="str">
        <f t="shared" si="34"/>
        <v/>
      </c>
      <c r="E90" s="81" t="str">
        <f t="shared" si="22"/>
        <v/>
      </c>
      <c r="F90" s="82" t="str">
        <f t="shared" si="26"/>
        <v/>
      </c>
      <c r="G90" s="83" t="str">
        <f t="shared" si="27"/>
        <v/>
      </c>
      <c r="H90" s="60"/>
      <c r="I90" s="80" t="str">
        <f t="shared" si="35"/>
        <v/>
      </c>
      <c r="J90" s="81" t="str">
        <f t="shared" si="23"/>
        <v/>
      </c>
      <c r="K90" s="82" t="str">
        <f t="shared" si="28"/>
        <v/>
      </c>
      <c r="L90" s="83" t="str">
        <f t="shared" si="29"/>
        <v/>
      </c>
      <c r="M90" s="60"/>
      <c r="N90" s="80" t="str">
        <f t="shared" si="36"/>
        <v/>
      </c>
      <c r="O90" s="81" t="str">
        <f t="shared" si="24"/>
        <v/>
      </c>
      <c r="P90" s="82" t="str">
        <f t="shared" si="30"/>
        <v/>
      </c>
      <c r="Q90" s="83" t="str">
        <f t="shared" si="31"/>
        <v/>
      </c>
      <c r="R90" s="60"/>
      <c r="S90" s="80" t="str">
        <f t="shared" si="37"/>
        <v/>
      </c>
      <c r="T90" s="81" t="str">
        <f t="shared" si="25"/>
        <v/>
      </c>
      <c r="U90" s="82" t="str">
        <f t="shared" si="32"/>
        <v/>
      </c>
      <c r="V90" s="83" t="str">
        <f t="shared" si="33"/>
        <v/>
      </c>
    </row>
    <row r="91" spans="2:22" s="84" customFormat="1">
      <c r="B91" s="60"/>
      <c r="C91" s="61"/>
      <c r="D91" s="80" t="str">
        <f t="shared" si="34"/>
        <v/>
      </c>
      <c r="E91" s="81" t="str">
        <f t="shared" si="22"/>
        <v/>
      </c>
      <c r="F91" s="82" t="str">
        <f t="shared" si="26"/>
        <v/>
      </c>
      <c r="G91" s="83" t="str">
        <f t="shared" si="27"/>
        <v/>
      </c>
      <c r="H91" s="60"/>
      <c r="I91" s="80" t="str">
        <f t="shared" si="35"/>
        <v/>
      </c>
      <c r="J91" s="81" t="str">
        <f t="shared" si="23"/>
        <v/>
      </c>
      <c r="K91" s="82" t="str">
        <f t="shared" si="28"/>
        <v/>
      </c>
      <c r="L91" s="83" t="str">
        <f t="shared" si="29"/>
        <v/>
      </c>
      <c r="M91" s="60"/>
      <c r="N91" s="80" t="str">
        <f t="shared" si="36"/>
        <v/>
      </c>
      <c r="O91" s="81" t="str">
        <f t="shared" si="24"/>
        <v/>
      </c>
      <c r="P91" s="82" t="str">
        <f t="shared" si="30"/>
        <v/>
      </c>
      <c r="Q91" s="83" t="str">
        <f t="shared" si="31"/>
        <v/>
      </c>
      <c r="R91" s="60"/>
      <c r="S91" s="80" t="str">
        <f t="shared" si="37"/>
        <v/>
      </c>
      <c r="T91" s="81" t="str">
        <f t="shared" si="25"/>
        <v/>
      </c>
      <c r="U91" s="82" t="str">
        <f t="shared" si="32"/>
        <v/>
      </c>
      <c r="V91" s="83" t="str">
        <f t="shared" si="33"/>
        <v/>
      </c>
    </row>
    <row r="92" spans="2:22" s="84" customFormat="1">
      <c r="B92" s="60"/>
      <c r="C92" s="61"/>
      <c r="D92" s="80" t="str">
        <f t="shared" si="34"/>
        <v/>
      </c>
      <c r="E92" s="81" t="str">
        <f t="shared" si="22"/>
        <v/>
      </c>
      <c r="F92" s="82" t="str">
        <f t="shared" si="26"/>
        <v/>
      </c>
      <c r="G92" s="83" t="str">
        <f t="shared" si="27"/>
        <v/>
      </c>
      <c r="H92" s="60"/>
      <c r="I92" s="80" t="str">
        <f t="shared" si="35"/>
        <v/>
      </c>
      <c r="J92" s="81" t="str">
        <f t="shared" si="23"/>
        <v/>
      </c>
      <c r="K92" s="82" t="str">
        <f t="shared" si="28"/>
        <v/>
      </c>
      <c r="L92" s="83" t="str">
        <f t="shared" si="29"/>
        <v/>
      </c>
      <c r="M92" s="60"/>
      <c r="N92" s="80" t="str">
        <f t="shared" si="36"/>
        <v/>
      </c>
      <c r="O92" s="81" t="str">
        <f t="shared" si="24"/>
        <v/>
      </c>
      <c r="P92" s="82" t="str">
        <f t="shared" si="30"/>
        <v/>
      </c>
      <c r="Q92" s="83" t="str">
        <f t="shared" si="31"/>
        <v/>
      </c>
      <c r="R92" s="60"/>
      <c r="S92" s="80" t="str">
        <f t="shared" si="37"/>
        <v/>
      </c>
      <c r="T92" s="81" t="str">
        <f t="shared" si="25"/>
        <v/>
      </c>
      <c r="U92" s="82" t="str">
        <f t="shared" si="32"/>
        <v/>
      </c>
      <c r="V92" s="83" t="str">
        <f t="shared" si="33"/>
        <v/>
      </c>
    </row>
    <row r="93" spans="2:22" s="84" customFormat="1">
      <c r="B93" s="60"/>
      <c r="C93" s="61"/>
      <c r="D93" s="80" t="str">
        <f t="shared" si="34"/>
        <v/>
      </c>
      <c r="E93" s="81" t="str">
        <f t="shared" si="22"/>
        <v/>
      </c>
      <c r="F93" s="82" t="str">
        <f t="shared" si="26"/>
        <v/>
      </c>
      <c r="G93" s="83" t="str">
        <f t="shared" si="27"/>
        <v/>
      </c>
      <c r="H93" s="60"/>
      <c r="I93" s="80" t="str">
        <f t="shared" si="35"/>
        <v/>
      </c>
      <c r="J93" s="81" t="str">
        <f t="shared" si="23"/>
        <v/>
      </c>
      <c r="K93" s="82" t="str">
        <f t="shared" si="28"/>
        <v/>
      </c>
      <c r="L93" s="83" t="str">
        <f t="shared" si="29"/>
        <v/>
      </c>
      <c r="M93" s="60"/>
      <c r="N93" s="80" t="str">
        <f t="shared" si="36"/>
        <v/>
      </c>
      <c r="O93" s="81" t="str">
        <f t="shared" si="24"/>
        <v/>
      </c>
      <c r="P93" s="82" t="str">
        <f t="shared" si="30"/>
        <v/>
      </c>
      <c r="Q93" s="83" t="str">
        <f t="shared" si="31"/>
        <v/>
      </c>
      <c r="R93" s="60"/>
      <c r="S93" s="80" t="str">
        <f t="shared" si="37"/>
        <v/>
      </c>
      <c r="T93" s="81" t="str">
        <f t="shared" si="25"/>
        <v/>
      </c>
      <c r="U93" s="82" t="str">
        <f t="shared" si="32"/>
        <v/>
      </c>
      <c r="V93" s="83" t="str">
        <f t="shared" si="33"/>
        <v/>
      </c>
    </row>
    <row r="94" spans="2:22" s="84" customFormat="1">
      <c r="B94" s="60"/>
      <c r="C94" s="61"/>
      <c r="D94" s="80" t="str">
        <f t="shared" si="34"/>
        <v/>
      </c>
      <c r="E94" s="81" t="str">
        <f t="shared" si="22"/>
        <v/>
      </c>
      <c r="F94" s="82" t="str">
        <f t="shared" si="26"/>
        <v/>
      </c>
      <c r="G94" s="83" t="str">
        <f t="shared" si="27"/>
        <v/>
      </c>
      <c r="H94" s="60"/>
      <c r="I94" s="80" t="str">
        <f t="shared" si="35"/>
        <v/>
      </c>
      <c r="J94" s="81" t="str">
        <f t="shared" si="23"/>
        <v/>
      </c>
      <c r="K94" s="82" t="str">
        <f t="shared" si="28"/>
        <v/>
      </c>
      <c r="L94" s="83" t="str">
        <f t="shared" si="29"/>
        <v/>
      </c>
      <c r="M94" s="60"/>
      <c r="N94" s="80" t="str">
        <f t="shared" si="36"/>
        <v/>
      </c>
      <c r="O94" s="81" t="str">
        <f t="shared" si="24"/>
        <v/>
      </c>
      <c r="P94" s="82" t="str">
        <f t="shared" si="30"/>
        <v/>
      </c>
      <c r="Q94" s="83" t="str">
        <f t="shared" si="31"/>
        <v/>
      </c>
      <c r="R94" s="60"/>
      <c r="S94" s="80" t="str">
        <f t="shared" si="37"/>
        <v/>
      </c>
      <c r="T94" s="81" t="str">
        <f t="shared" si="25"/>
        <v/>
      </c>
      <c r="U94" s="82" t="str">
        <f t="shared" si="32"/>
        <v/>
      </c>
      <c r="V94" s="83" t="str">
        <f t="shared" si="33"/>
        <v/>
      </c>
    </row>
    <row r="95" spans="2:22" s="84" customFormat="1">
      <c r="B95" s="60"/>
      <c r="C95" s="61"/>
      <c r="D95" s="80" t="str">
        <f t="shared" si="34"/>
        <v/>
      </c>
      <c r="E95" s="81" t="str">
        <f t="shared" si="22"/>
        <v/>
      </c>
      <c r="F95" s="82" t="str">
        <f t="shared" si="26"/>
        <v/>
      </c>
      <c r="G95" s="83" t="str">
        <f t="shared" si="27"/>
        <v/>
      </c>
      <c r="H95" s="60"/>
      <c r="I95" s="80" t="str">
        <f t="shared" si="35"/>
        <v/>
      </c>
      <c r="J95" s="81" t="str">
        <f t="shared" si="23"/>
        <v/>
      </c>
      <c r="K95" s="82" t="str">
        <f t="shared" si="28"/>
        <v/>
      </c>
      <c r="L95" s="83" t="str">
        <f t="shared" si="29"/>
        <v/>
      </c>
      <c r="M95" s="60"/>
      <c r="N95" s="80" t="str">
        <f t="shared" si="36"/>
        <v/>
      </c>
      <c r="O95" s="81" t="str">
        <f t="shared" si="24"/>
        <v/>
      </c>
      <c r="P95" s="82" t="str">
        <f t="shared" si="30"/>
        <v/>
      </c>
      <c r="Q95" s="83" t="str">
        <f t="shared" si="31"/>
        <v/>
      </c>
      <c r="R95" s="60"/>
      <c r="S95" s="80" t="str">
        <f t="shared" si="37"/>
        <v/>
      </c>
      <c r="T95" s="81" t="str">
        <f t="shared" si="25"/>
        <v/>
      </c>
      <c r="U95" s="82" t="str">
        <f t="shared" si="32"/>
        <v/>
      </c>
      <c r="V95" s="83" t="str">
        <f t="shared" si="33"/>
        <v/>
      </c>
    </row>
    <row r="96" spans="2:22" s="84" customFormat="1">
      <c r="B96" s="60"/>
      <c r="C96" s="61"/>
      <c r="D96" s="80" t="str">
        <f t="shared" si="34"/>
        <v/>
      </c>
      <c r="E96" s="81" t="str">
        <f t="shared" si="22"/>
        <v/>
      </c>
      <c r="F96" s="82" t="str">
        <f t="shared" si="26"/>
        <v/>
      </c>
      <c r="G96" s="83" t="str">
        <f t="shared" si="27"/>
        <v/>
      </c>
      <c r="H96" s="60"/>
      <c r="I96" s="80" t="str">
        <f t="shared" si="35"/>
        <v/>
      </c>
      <c r="J96" s="81" t="str">
        <f t="shared" si="23"/>
        <v/>
      </c>
      <c r="K96" s="82" t="str">
        <f t="shared" si="28"/>
        <v/>
      </c>
      <c r="L96" s="83" t="str">
        <f t="shared" si="29"/>
        <v/>
      </c>
      <c r="M96" s="60"/>
      <c r="N96" s="80" t="str">
        <f t="shared" si="36"/>
        <v/>
      </c>
      <c r="O96" s="81" t="str">
        <f t="shared" si="24"/>
        <v/>
      </c>
      <c r="P96" s="82" t="str">
        <f t="shared" si="30"/>
        <v/>
      </c>
      <c r="Q96" s="83" t="str">
        <f t="shared" si="31"/>
        <v/>
      </c>
      <c r="R96" s="60"/>
      <c r="S96" s="80" t="str">
        <f t="shared" si="37"/>
        <v/>
      </c>
      <c r="T96" s="81" t="str">
        <f t="shared" si="25"/>
        <v/>
      </c>
      <c r="U96" s="82" t="str">
        <f t="shared" si="32"/>
        <v/>
      </c>
      <c r="V96" s="83" t="str">
        <f t="shared" si="33"/>
        <v/>
      </c>
    </row>
    <row r="97" spans="2:22" s="84" customFormat="1">
      <c r="B97" s="60"/>
      <c r="C97" s="61"/>
      <c r="D97" s="80" t="str">
        <f t="shared" si="34"/>
        <v/>
      </c>
      <c r="E97" s="81" t="str">
        <f t="shared" si="22"/>
        <v/>
      </c>
      <c r="F97" s="82" t="str">
        <f t="shared" si="26"/>
        <v/>
      </c>
      <c r="G97" s="83" t="str">
        <f t="shared" si="27"/>
        <v/>
      </c>
      <c r="H97" s="60"/>
      <c r="I97" s="80" t="str">
        <f t="shared" si="35"/>
        <v/>
      </c>
      <c r="J97" s="81" t="str">
        <f t="shared" si="23"/>
        <v/>
      </c>
      <c r="K97" s="82" t="str">
        <f t="shared" si="28"/>
        <v/>
      </c>
      <c r="L97" s="83" t="str">
        <f t="shared" si="29"/>
        <v/>
      </c>
      <c r="M97" s="60"/>
      <c r="N97" s="80" t="str">
        <f t="shared" si="36"/>
        <v/>
      </c>
      <c r="O97" s="81" t="str">
        <f t="shared" si="24"/>
        <v/>
      </c>
      <c r="P97" s="82" t="str">
        <f t="shared" si="30"/>
        <v/>
      </c>
      <c r="Q97" s="83" t="str">
        <f t="shared" si="31"/>
        <v/>
      </c>
      <c r="R97" s="60"/>
      <c r="S97" s="80" t="str">
        <f t="shared" si="37"/>
        <v/>
      </c>
      <c r="T97" s="81" t="str">
        <f t="shared" si="25"/>
        <v/>
      </c>
      <c r="U97" s="82" t="str">
        <f t="shared" si="32"/>
        <v/>
      </c>
      <c r="V97" s="83" t="str">
        <f t="shared" si="33"/>
        <v/>
      </c>
    </row>
    <row r="98" spans="2:22" s="84" customFormat="1">
      <c r="B98" s="60"/>
      <c r="C98" s="61"/>
      <c r="D98" s="80" t="str">
        <f t="shared" si="34"/>
        <v/>
      </c>
      <c r="E98" s="81" t="str">
        <f t="shared" si="22"/>
        <v/>
      </c>
      <c r="F98" s="82" t="str">
        <f t="shared" si="26"/>
        <v/>
      </c>
      <c r="G98" s="83" t="str">
        <f t="shared" si="27"/>
        <v/>
      </c>
      <c r="H98" s="60"/>
      <c r="I98" s="80" t="str">
        <f t="shared" si="35"/>
        <v/>
      </c>
      <c r="J98" s="81" t="str">
        <f t="shared" si="23"/>
        <v/>
      </c>
      <c r="K98" s="82" t="str">
        <f t="shared" si="28"/>
        <v/>
      </c>
      <c r="L98" s="83" t="str">
        <f t="shared" si="29"/>
        <v/>
      </c>
      <c r="M98" s="60"/>
      <c r="N98" s="80" t="str">
        <f t="shared" si="36"/>
        <v/>
      </c>
      <c r="O98" s="81" t="str">
        <f t="shared" si="24"/>
        <v/>
      </c>
      <c r="P98" s="82" t="str">
        <f t="shared" si="30"/>
        <v/>
      </c>
      <c r="Q98" s="83" t="str">
        <f t="shared" si="31"/>
        <v/>
      </c>
      <c r="R98" s="60"/>
      <c r="S98" s="80" t="str">
        <f t="shared" si="37"/>
        <v/>
      </c>
      <c r="T98" s="81" t="str">
        <f t="shared" si="25"/>
        <v/>
      </c>
      <c r="U98" s="82" t="str">
        <f t="shared" si="32"/>
        <v/>
      </c>
      <c r="V98" s="83" t="str">
        <f t="shared" si="33"/>
        <v/>
      </c>
    </row>
    <row r="99" spans="2:22" s="84" customFormat="1">
      <c r="B99" s="60"/>
      <c r="C99" s="61"/>
      <c r="D99" s="80" t="str">
        <f t="shared" si="34"/>
        <v/>
      </c>
      <c r="E99" s="81" t="str">
        <f t="shared" si="22"/>
        <v/>
      </c>
      <c r="F99" s="82" t="str">
        <f t="shared" si="26"/>
        <v/>
      </c>
      <c r="G99" s="83" t="str">
        <f t="shared" si="27"/>
        <v/>
      </c>
      <c r="H99" s="60"/>
      <c r="I99" s="80" t="str">
        <f t="shared" si="35"/>
        <v/>
      </c>
      <c r="J99" s="81" t="str">
        <f t="shared" si="23"/>
        <v/>
      </c>
      <c r="K99" s="82" t="str">
        <f t="shared" si="28"/>
        <v/>
      </c>
      <c r="L99" s="83" t="str">
        <f t="shared" si="29"/>
        <v/>
      </c>
      <c r="M99" s="60"/>
      <c r="N99" s="80" t="str">
        <f t="shared" si="36"/>
        <v/>
      </c>
      <c r="O99" s="81" t="str">
        <f t="shared" si="24"/>
        <v/>
      </c>
      <c r="P99" s="82" t="str">
        <f t="shared" si="30"/>
        <v/>
      </c>
      <c r="Q99" s="83" t="str">
        <f t="shared" si="31"/>
        <v/>
      </c>
      <c r="R99" s="60"/>
      <c r="S99" s="80" t="str">
        <f t="shared" si="37"/>
        <v/>
      </c>
      <c r="T99" s="81" t="str">
        <f t="shared" si="25"/>
        <v/>
      </c>
      <c r="U99" s="82" t="str">
        <f t="shared" si="32"/>
        <v/>
      </c>
      <c r="V99" s="83" t="str">
        <f t="shared" si="33"/>
        <v/>
      </c>
    </row>
    <row r="100" spans="2:22" s="84" customFormat="1">
      <c r="B100" s="60"/>
      <c r="C100" s="61"/>
      <c r="D100" s="80" t="str">
        <f t="shared" si="34"/>
        <v/>
      </c>
      <c r="E100" s="81" t="str">
        <f t="shared" si="22"/>
        <v/>
      </c>
      <c r="F100" s="82" t="str">
        <f t="shared" si="26"/>
        <v/>
      </c>
      <c r="G100" s="83" t="str">
        <f t="shared" si="27"/>
        <v/>
      </c>
      <c r="H100" s="60"/>
      <c r="I100" s="80" t="str">
        <f t="shared" si="35"/>
        <v/>
      </c>
      <c r="J100" s="81" t="str">
        <f t="shared" si="23"/>
        <v/>
      </c>
      <c r="K100" s="82" t="str">
        <f t="shared" si="28"/>
        <v/>
      </c>
      <c r="L100" s="83" t="str">
        <f t="shared" si="29"/>
        <v/>
      </c>
      <c r="M100" s="60"/>
      <c r="N100" s="80" t="str">
        <f t="shared" si="36"/>
        <v/>
      </c>
      <c r="O100" s="81" t="str">
        <f t="shared" si="24"/>
        <v/>
      </c>
      <c r="P100" s="82" t="str">
        <f t="shared" si="30"/>
        <v/>
      </c>
      <c r="Q100" s="83" t="str">
        <f t="shared" si="31"/>
        <v/>
      </c>
      <c r="R100" s="60"/>
      <c r="S100" s="80" t="str">
        <f t="shared" si="37"/>
        <v/>
      </c>
      <c r="T100" s="81" t="str">
        <f t="shared" si="25"/>
        <v/>
      </c>
      <c r="U100" s="82" t="str">
        <f t="shared" si="32"/>
        <v/>
      </c>
      <c r="V100" s="83" t="str">
        <f t="shared" si="33"/>
        <v/>
      </c>
    </row>
    <row r="101" spans="2:22" s="84" customFormat="1">
      <c r="B101" s="60"/>
      <c r="C101" s="61"/>
      <c r="D101" s="80" t="str">
        <f t="shared" si="34"/>
        <v/>
      </c>
      <c r="E101" s="81" t="str">
        <f t="shared" si="22"/>
        <v/>
      </c>
      <c r="F101" s="82" t="str">
        <f t="shared" si="26"/>
        <v/>
      </c>
      <c r="G101" s="83" t="str">
        <f t="shared" si="27"/>
        <v/>
      </c>
      <c r="H101" s="60"/>
      <c r="I101" s="80" t="str">
        <f t="shared" si="35"/>
        <v/>
      </c>
      <c r="J101" s="81" t="str">
        <f t="shared" si="23"/>
        <v/>
      </c>
      <c r="K101" s="82" t="str">
        <f t="shared" si="28"/>
        <v/>
      </c>
      <c r="L101" s="83" t="str">
        <f t="shared" si="29"/>
        <v/>
      </c>
      <c r="M101" s="60"/>
      <c r="N101" s="80" t="str">
        <f t="shared" si="36"/>
        <v/>
      </c>
      <c r="O101" s="81" t="str">
        <f t="shared" si="24"/>
        <v/>
      </c>
      <c r="P101" s="82" t="str">
        <f t="shared" si="30"/>
        <v/>
      </c>
      <c r="Q101" s="83" t="str">
        <f t="shared" si="31"/>
        <v/>
      </c>
      <c r="R101" s="60"/>
      <c r="S101" s="80" t="str">
        <f t="shared" si="37"/>
        <v/>
      </c>
      <c r="T101" s="81" t="str">
        <f t="shared" si="25"/>
        <v/>
      </c>
      <c r="U101" s="82" t="str">
        <f t="shared" si="32"/>
        <v/>
      </c>
      <c r="V101" s="83" t="str">
        <f t="shared" si="33"/>
        <v/>
      </c>
    </row>
    <row r="102" spans="2:22" s="84" customFormat="1">
      <c r="B102" s="60"/>
      <c r="C102" s="61"/>
      <c r="D102" s="80" t="str">
        <f t="shared" si="34"/>
        <v/>
      </c>
      <c r="E102" s="81" t="str">
        <f t="shared" si="22"/>
        <v/>
      </c>
      <c r="F102" s="82" t="str">
        <f t="shared" si="26"/>
        <v/>
      </c>
      <c r="G102" s="83" t="str">
        <f t="shared" si="27"/>
        <v/>
      </c>
      <c r="H102" s="60"/>
      <c r="I102" s="80" t="str">
        <f t="shared" si="35"/>
        <v/>
      </c>
      <c r="J102" s="81" t="str">
        <f t="shared" si="23"/>
        <v/>
      </c>
      <c r="K102" s="82" t="str">
        <f t="shared" si="28"/>
        <v/>
      </c>
      <c r="L102" s="83" t="str">
        <f t="shared" si="29"/>
        <v/>
      </c>
      <c r="M102" s="60"/>
      <c r="N102" s="80" t="str">
        <f t="shared" si="36"/>
        <v/>
      </c>
      <c r="O102" s="81" t="str">
        <f t="shared" si="24"/>
        <v/>
      </c>
      <c r="P102" s="82" t="str">
        <f t="shared" si="30"/>
        <v/>
      </c>
      <c r="Q102" s="83" t="str">
        <f t="shared" si="31"/>
        <v/>
      </c>
      <c r="R102" s="60"/>
      <c r="S102" s="80" t="str">
        <f t="shared" si="37"/>
        <v/>
      </c>
      <c r="T102" s="81" t="str">
        <f t="shared" si="25"/>
        <v/>
      </c>
      <c r="U102" s="82" t="str">
        <f t="shared" si="32"/>
        <v/>
      </c>
      <c r="V102" s="83" t="str">
        <f t="shared" si="33"/>
        <v/>
      </c>
    </row>
    <row r="103" spans="2:22" s="84" customFormat="1">
      <c r="B103" s="60"/>
      <c r="C103" s="61"/>
      <c r="D103" s="80" t="str">
        <f t="shared" si="34"/>
        <v/>
      </c>
      <c r="E103" s="81" t="str">
        <f t="shared" si="22"/>
        <v/>
      </c>
      <c r="F103" s="82" t="str">
        <f t="shared" si="26"/>
        <v/>
      </c>
      <c r="G103" s="83" t="str">
        <f t="shared" si="27"/>
        <v/>
      </c>
      <c r="H103" s="60"/>
      <c r="I103" s="80" t="str">
        <f t="shared" si="35"/>
        <v/>
      </c>
      <c r="J103" s="81" t="str">
        <f t="shared" si="23"/>
        <v/>
      </c>
      <c r="K103" s="82" t="str">
        <f t="shared" si="28"/>
        <v/>
      </c>
      <c r="L103" s="83" t="str">
        <f t="shared" si="29"/>
        <v/>
      </c>
      <c r="M103" s="60"/>
      <c r="N103" s="80" t="str">
        <f t="shared" si="36"/>
        <v/>
      </c>
      <c r="O103" s="81" t="str">
        <f t="shared" si="24"/>
        <v/>
      </c>
      <c r="P103" s="82" t="str">
        <f t="shared" si="30"/>
        <v/>
      </c>
      <c r="Q103" s="83" t="str">
        <f t="shared" si="31"/>
        <v/>
      </c>
      <c r="R103" s="60"/>
      <c r="S103" s="80" t="str">
        <f t="shared" si="37"/>
        <v/>
      </c>
      <c r="T103" s="81" t="str">
        <f t="shared" si="25"/>
        <v/>
      </c>
      <c r="U103" s="82" t="str">
        <f t="shared" si="32"/>
        <v/>
      </c>
      <c r="V103" s="83" t="str">
        <f t="shared" si="33"/>
        <v/>
      </c>
    </row>
    <row r="104" spans="2:22" s="84" customFormat="1">
      <c r="B104" s="60"/>
      <c r="C104" s="61"/>
      <c r="D104" s="80" t="str">
        <f t="shared" si="34"/>
        <v/>
      </c>
      <c r="E104" s="81" t="str">
        <f t="shared" si="22"/>
        <v/>
      </c>
      <c r="F104" s="82" t="str">
        <f t="shared" si="26"/>
        <v/>
      </c>
      <c r="G104" s="83" t="str">
        <f t="shared" si="27"/>
        <v/>
      </c>
      <c r="H104" s="60"/>
      <c r="I104" s="80" t="str">
        <f t="shared" si="35"/>
        <v/>
      </c>
      <c r="J104" s="81" t="str">
        <f t="shared" si="23"/>
        <v/>
      </c>
      <c r="K104" s="82" t="str">
        <f t="shared" si="28"/>
        <v/>
      </c>
      <c r="L104" s="83" t="str">
        <f t="shared" si="29"/>
        <v/>
      </c>
      <c r="M104" s="60"/>
      <c r="N104" s="80" t="str">
        <f t="shared" si="36"/>
        <v/>
      </c>
      <c r="O104" s="81" t="str">
        <f t="shared" si="24"/>
        <v/>
      </c>
      <c r="P104" s="82" t="str">
        <f t="shared" si="30"/>
        <v/>
      </c>
      <c r="Q104" s="83" t="str">
        <f t="shared" si="31"/>
        <v/>
      </c>
      <c r="R104" s="60"/>
      <c r="S104" s="80" t="str">
        <f t="shared" si="37"/>
        <v/>
      </c>
      <c r="T104" s="81" t="str">
        <f t="shared" si="25"/>
        <v/>
      </c>
      <c r="U104" s="82" t="str">
        <f t="shared" si="32"/>
        <v/>
      </c>
      <c r="V104" s="83" t="str">
        <f t="shared" si="33"/>
        <v/>
      </c>
    </row>
    <row r="105" spans="2:22" s="84" customFormat="1">
      <c r="B105" s="60"/>
      <c r="C105" s="61"/>
      <c r="D105" s="80" t="str">
        <f t="shared" si="34"/>
        <v/>
      </c>
      <c r="E105" s="81" t="str">
        <f t="shared" si="22"/>
        <v/>
      </c>
      <c r="F105" s="82" t="str">
        <f t="shared" si="26"/>
        <v/>
      </c>
      <c r="G105" s="83" t="str">
        <f t="shared" si="27"/>
        <v/>
      </c>
      <c r="H105" s="60"/>
      <c r="I105" s="80" t="str">
        <f t="shared" si="35"/>
        <v/>
      </c>
      <c r="J105" s="81" t="str">
        <f t="shared" si="23"/>
        <v/>
      </c>
      <c r="K105" s="82" t="str">
        <f t="shared" si="28"/>
        <v/>
      </c>
      <c r="L105" s="83" t="str">
        <f t="shared" si="29"/>
        <v/>
      </c>
      <c r="M105" s="60"/>
      <c r="N105" s="80" t="str">
        <f t="shared" si="36"/>
        <v/>
      </c>
      <c r="O105" s="81" t="str">
        <f t="shared" si="24"/>
        <v/>
      </c>
      <c r="P105" s="82" t="str">
        <f t="shared" si="30"/>
        <v/>
      </c>
      <c r="Q105" s="83" t="str">
        <f t="shared" si="31"/>
        <v/>
      </c>
      <c r="R105" s="60"/>
      <c r="S105" s="80" t="str">
        <f t="shared" si="37"/>
        <v/>
      </c>
      <c r="T105" s="81" t="str">
        <f t="shared" si="25"/>
        <v/>
      </c>
      <c r="U105" s="82" t="str">
        <f t="shared" si="32"/>
        <v/>
      </c>
      <c r="V105" s="83" t="str">
        <f t="shared" si="33"/>
        <v/>
      </c>
    </row>
    <row r="106" spans="2:22" s="84" customFormat="1">
      <c r="B106" s="60"/>
      <c r="C106" s="61"/>
      <c r="D106" s="80" t="str">
        <f t="shared" si="34"/>
        <v/>
      </c>
      <c r="E106" s="81" t="str">
        <f t="shared" si="22"/>
        <v/>
      </c>
      <c r="F106" s="82" t="str">
        <f t="shared" si="26"/>
        <v/>
      </c>
      <c r="G106" s="83" t="str">
        <f t="shared" si="27"/>
        <v/>
      </c>
      <c r="H106" s="60"/>
      <c r="I106" s="80" t="str">
        <f t="shared" si="35"/>
        <v/>
      </c>
      <c r="J106" s="81" t="str">
        <f t="shared" si="23"/>
        <v/>
      </c>
      <c r="K106" s="82" t="str">
        <f t="shared" si="28"/>
        <v/>
      </c>
      <c r="L106" s="83" t="str">
        <f t="shared" si="29"/>
        <v/>
      </c>
      <c r="M106" s="60"/>
      <c r="N106" s="80" t="str">
        <f t="shared" si="36"/>
        <v/>
      </c>
      <c r="O106" s="81" t="str">
        <f t="shared" si="24"/>
        <v/>
      </c>
      <c r="P106" s="82" t="str">
        <f t="shared" si="30"/>
        <v/>
      </c>
      <c r="Q106" s="83" t="str">
        <f t="shared" si="31"/>
        <v/>
      </c>
      <c r="R106" s="60"/>
      <c r="S106" s="80" t="str">
        <f t="shared" si="37"/>
        <v/>
      </c>
      <c r="T106" s="81" t="str">
        <f t="shared" si="25"/>
        <v/>
      </c>
      <c r="U106" s="82" t="str">
        <f t="shared" si="32"/>
        <v/>
      </c>
      <c r="V106" s="83" t="str">
        <f t="shared" si="33"/>
        <v/>
      </c>
    </row>
    <row r="107" spans="2:22" s="84" customFormat="1">
      <c r="B107" s="60"/>
      <c r="C107" s="61"/>
      <c r="D107" s="80" t="str">
        <f t="shared" si="34"/>
        <v/>
      </c>
      <c r="E107" s="81" t="str">
        <f t="shared" si="22"/>
        <v/>
      </c>
      <c r="F107" s="82" t="str">
        <f t="shared" si="26"/>
        <v/>
      </c>
      <c r="G107" s="83" t="str">
        <f t="shared" si="27"/>
        <v/>
      </c>
      <c r="H107" s="60"/>
      <c r="I107" s="80" t="str">
        <f t="shared" si="35"/>
        <v/>
      </c>
      <c r="J107" s="81" t="str">
        <f t="shared" si="23"/>
        <v/>
      </c>
      <c r="K107" s="82" t="str">
        <f t="shared" si="28"/>
        <v/>
      </c>
      <c r="L107" s="83" t="str">
        <f t="shared" si="29"/>
        <v/>
      </c>
      <c r="M107" s="60"/>
      <c r="N107" s="80" t="str">
        <f t="shared" si="36"/>
        <v/>
      </c>
      <c r="O107" s="81" t="str">
        <f t="shared" si="24"/>
        <v/>
      </c>
      <c r="P107" s="82" t="str">
        <f t="shared" si="30"/>
        <v/>
      </c>
      <c r="Q107" s="83" t="str">
        <f t="shared" si="31"/>
        <v/>
      </c>
      <c r="R107" s="60"/>
      <c r="S107" s="80" t="str">
        <f t="shared" si="37"/>
        <v/>
      </c>
      <c r="T107" s="81" t="str">
        <f t="shared" si="25"/>
        <v/>
      </c>
      <c r="U107" s="82" t="str">
        <f t="shared" si="32"/>
        <v/>
      </c>
      <c r="V107" s="83" t="str">
        <f t="shared" si="33"/>
        <v/>
      </c>
    </row>
    <row r="108" spans="2:22" s="84" customFormat="1">
      <c r="B108" s="60"/>
      <c r="C108" s="61"/>
      <c r="D108" s="80" t="str">
        <f t="shared" si="34"/>
        <v/>
      </c>
      <c r="E108" s="81" t="str">
        <f t="shared" si="22"/>
        <v/>
      </c>
      <c r="F108" s="82" t="str">
        <f t="shared" si="26"/>
        <v/>
      </c>
      <c r="G108" s="83" t="str">
        <f t="shared" si="27"/>
        <v/>
      </c>
      <c r="H108" s="60"/>
      <c r="I108" s="80" t="str">
        <f t="shared" si="35"/>
        <v/>
      </c>
      <c r="J108" s="81" t="str">
        <f t="shared" si="23"/>
        <v/>
      </c>
      <c r="K108" s="82" t="str">
        <f t="shared" si="28"/>
        <v/>
      </c>
      <c r="L108" s="83" t="str">
        <f t="shared" si="29"/>
        <v/>
      </c>
      <c r="M108" s="60"/>
      <c r="N108" s="80" t="str">
        <f t="shared" si="36"/>
        <v/>
      </c>
      <c r="O108" s="81" t="str">
        <f t="shared" si="24"/>
        <v/>
      </c>
      <c r="P108" s="82" t="str">
        <f t="shared" si="30"/>
        <v/>
      </c>
      <c r="Q108" s="83" t="str">
        <f t="shared" si="31"/>
        <v/>
      </c>
      <c r="R108" s="60"/>
      <c r="S108" s="80" t="str">
        <f t="shared" si="37"/>
        <v/>
      </c>
      <c r="T108" s="81" t="str">
        <f t="shared" si="25"/>
        <v/>
      </c>
      <c r="U108" s="82" t="str">
        <f t="shared" si="32"/>
        <v/>
      </c>
      <c r="V108" s="83" t="str">
        <f t="shared" si="33"/>
        <v/>
      </c>
    </row>
    <row r="109" spans="2:22" s="84" customFormat="1">
      <c r="B109" s="60"/>
      <c r="C109" s="61"/>
      <c r="D109" s="80" t="str">
        <f t="shared" si="34"/>
        <v/>
      </c>
      <c r="E109" s="81" t="str">
        <f t="shared" si="22"/>
        <v/>
      </c>
      <c r="F109" s="82" t="str">
        <f t="shared" si="26"/>
        <v/>
      </c>
      <c r="G109" s="83" t="str">
        <f t="shared" si="27"/>
        <v/>
      </c>
      <c r="H109" s="60"/>
      <c r="I109" s="80" t="str">
        <f t="shared" si="35"/>
        <v/>
      </c>
      <c r="J109" s="81" t="str">
        <f t="shared" si="23"/>
        <v/>
      </c>
      <c r="K109" s="82" t="str">
        <f t="shared" si="28"/>
        <v/>
      </c>
      <c r="L109" s="83" t="str">
        <f t="shared" si="29"/>
        <v/>
      </c>
      <c r="M109" s="60"/>
      <c r="N109" s="80" t="str">
        <f t="shared" si="36"/>
        <v/>
      </c>
      <c r="O109" s="81" t="str">
        <f t="shared" si="24"/>
        <v/>
      </c>
      <c r="P109" s="82" t="str">
        <f t="shared" si="30"/>
        <v/>
      </c>
      <c r="Q109" s="83" t="str">
        <f t="shared" si="31"/>
        <v/>
      </c>
      <c r="R109" s="60"/>
      <c r="S109" s="80" t="str">
        <f t="shared" si="37"/>
        <v/>
      </c>
      <c r="T109" s="81" t="str">
        <f t="shared" si="25"/>
        <v/>
      </c>
      <c r="U109" s="82" t="str">
        <f t="shared" si="32"/>
        <v/>
      </c>
      <c r="V109" s="83" t="str">
        <f t="shared" si="33"/>
        <v/>
      </c>
    </row>
    <row r="110" spans="2:22" s="84" customFormat="1">
      <c r="B110" s="60"/>
      <c r="C110" s="61"/>
      <c r="D110" s="80" t="str">
        <f t="shared" si="34"/>
        <v/>
      </c>
      <c r="E110" s="81" t="str">
        <f t="shared" si="22"/>
        <v/>
      </c>
      <c r="F110" s="82" t="str">
        <f t="shared" si="26"/>
        <v/>
      </c>
      <c r="G110" s="83" t="str">
        <f t="shared" si="27"/>
        <v/>
      </c>
      <c r="H110" s="60"/>
      <c r="I110" s="80" t="str">
        <f t="shared" si="35"/>
        <v/>
      </c>
      <c r="J110" s="81" t="str">
        <f t="shared" si="23"/>
        <v/>
      </c>
      <c r="K110" s="82" t="str">
        <f t="shared" si="28"/>
        <v/>
      </c>
      <c r="L110" s="83" t="str">
        <f t="shared" si="29"/>
        <v/>
      </c>
      <c r="M110" s="60"/>
      <c r="N110" s="80" t="str">
        <f t="shared" si="36"/>
        <v/>
      </c>
      <c r="O110" s="81" t="str">
        <f t="shared" si="24"/>
        <v/>
      </c>
      <c r="P110" s="82" t="str">
        <f t="shared" si="30"/>
        <v/>
      </c>
      <c r="Q110" s="83" t="str">
        <f t="shared" si="31"/>
        <v/>
      </c>
      <c r="R110" s="60"/>
      <c r="S110" s="80" t="str">
        <f t="shared" si="37"/>
        <v/>
      </c>
      <c r="T110" s="81" t="str">
        <f t="shared" si="25"/>
        <v/>
      </c>
      <c r="U110" s="82" t="str">
        <f t="shared" si="32"/>
        <v/>
      </c>
      <c r="V110" s="83" t="str">
        <f t="shared" si="33"/>
        <v/>
      </c>
    </row>
    <row r="111" spans="2:22" s="84" customFormat="1">
      <c r="B111" s="60"/>
      <c r="C111" s="61"/>
      <c r="D111" s="80" t="str">
        <f t="shared" si="34"/>
        <v/>
      </c>
      <c r="E111" s="81" t="str">
        <f t="shared" ref="E111:E121" si="38">IF(E$14="","",IF($D111="","",VLOOKUP($D111,Tbl_Indices,D$8)))</f>
        <v/>
      </c>
      <c r="F111" s="82" t="str">
        <f t="shared" si="26"/>
        <v/>
      </c>
      <c r="G111" s="83" t="str">
        <f t="shared" si="27"/>
        <v/>
      </c>
      <c r="H111" s="60"/>
      <c r="I111" s="80" t="str">
        <f t="shared" si="35"/>
        <v/>
      </c>
      <c r="J111" s="81" t="str">
        <f t="shared" ref="J111:J121" si="39">IF(J$14="","",IF($D111="","",VLOOKUP($D111,Tbl_Indices,I$8)))</f>
        <v/>
      </c>
      <c r="K111" s="82" t="str">
        <f t="shared" si="28"/>
        <v/>
      </c>
      <c r="L111" s="83" t="str">
        <f t="shared" si="29"/>
        <v/>
      </c>
      <c r="M111" s="60"/>
      <c r="N111" s="80" t="str">
        <f t="shared" si="36"/>
        <v/>
      </c>
      <c r="O111" s="81" t="str">
        <f t="shared" ref="O111:O121" si="40">IF(O$14="","",IF($D111="","",VLOOKUP($D111,Tbl_Indices,N$8)))</f>
        <v/>
      </c>
      <c r="P111" s="82" t="str">
        <f t="shared" si="30"/>
        <v/>
      </c>
      <c r="Q111" s="83" t="str">
        <f t="shared" si="31"/>
        <v/>
      </c>
      <c r="R111" s="60"/>
      <c r="S111" s="80" t="str">
        <f t="shared" si="37"/>
        <v/>
      </c>
      <c r="T111" s="81" t="str">
        <f t="shared" ref="T111:T121" si="41">IF(T$14="","",IF($D111="","",VLOOKUP($D111,Tbl_Indices,S$8)))</f>
        <v/>
      </c>
      <c r="U111" s="82" t="str">
        <f t="shared" si="32"/>
        <v/>
      </c>
      <c r="V111" s="83" t="str">
        <f t="shared" si="33"/>
        <v/>
      </c>
    </row>
    <row r="112" spans="2:22" s="84" customFormat="1">
      <c r="B112" s="60"/>
      <c r="C112" s="61"/>
      <c r="D112" s="80" t="str">
        <f t="shared" si="34"/>
        <v/>
      </c>
      <c r="E112" s="81" t="str">
        <f t="shared" si="38"/>
        <v/>
      </c>
      <c r="F112" s="82" t="str">
        <f t="shared" ref="F112:F121" si="42">IF(E112="","",F111*(1+E112))</f>
        <v/>
      </c>
      <c r="G112" s="83" t="str">
        <f t="shared" si="27"/>
        <v/>
      </c>
      <c r="H112" s="60"/>
      <c r="I112" s="80" t="str">
        <f t="shared" si="35"/>
        <v/>
      </c>
      <c r="J112" s="81" t="str">
        <f t="shared" si="39"/>
        <v/>
      </c>
      <c r="K112" s="82" t="str">
        <f t="shared" si="28"/>
        <v/>
      </c>
      <c r="L112" s="83" t="str">
        <f t="shared" si="29"/>
        <v/>
      </c>
      <c r="M112" s="60"/>
      <c r="N112" s="80" t="str">
        <f t="shared" si="36"/>
        <v/>
      </c>
      <c r="O112" s="81" t="str">
        <f t="shared" si="40"/>
        <v/>
      </c>
      <c r="P112" s="82" t="str">
        <f t="shared" ref="P112:P121" si="43">IF(O112="","",P111*(1+O112))</f>
        <v/>
      </c>
      <c r="Q112" s="83" t="str">
        <f t="shared" si="31"/>
        <v/>
      </c>
      <c r="R112" s="60"/>
      <c r="S112" s="80" t="str">
        <f t="shared" si="37"/>
        <v/>
      </c>
      <c r="T112" s="81" t="str">
        <f t="shared" si="41"/>
        <v/>
      </c>
      <c r="U112" s="82" t="str">
        <f t="shared" si="32"/>
        <v/>
      </c>
      <c r="V112" s="83" t="str">
        <f t="shared" si="33"/>
        <v/>
      </c>
    </row>
    <row r="113" spans="2:22" s="84" customFormat="1">
      <c r="B113" s="60"/>
      <c r="C113" s="61"/>
      <c r="D113" s="80" t="str">
        <f t="shared" si="34"/>
        <v/>
      </c>
      <c r="E113" s="81" t="str">
        <f t="shared" si="38"/>
        <v/>
      </c>
      <c r="F113" s="82" t="str">
        <f t="shared" si="42"/>
        <v/>
      </c>
      <c r="G113" s="83" t="str">
        <f t="shared" si="27"/>
        <v/>
      </c>
      <c r="H113" s="60"/>
      <c r="I113" s="80" t="str">
        <f t="shared" si="35"/>
        <v/>
      </c>
      <c r="J113" s="81" t="str">
        <f t="shared" si="39"/>
        <v/>
      </c>
      <c r="K113" s="82" t="str">
        <f t="shared" si="28"/>
        <v/>
      </c>
      <c r="L113" s="83" t="str">
        <f t="shared" si="29"/>
        <v/>
      </c>
      <c r="M113" s="60"/>
      <c r="N113" s="80" t="str">
        <f t="shared" si="36"/>
        <v/>
      </c>
      <c r="O113" s="81" t="str">
        <f t="shared" si="40"/>
        <v/>
      </c>
      <c r="P113" s="82" t="str">
        <f t="shared" si="43"/>
        <v/>
      </c>
      <c r="Q113" s="83" t="str">
        <f t="shared" si="31"/>
        <v/>
      </c>
      <c r="R113" s="60"/>
      <c r="S113" s="80" t="str">
        <f t="shared" si="37"/>
        <v/>
      </c>
      <c r="T113" s="81" t="str">
        <f t="shared" si="41"/>
        <v/>
      </c>
      <c r="U113" s="82" t="str">
        <f t="shared" si="32"/>
        <v/>
      </c>
      <c r="V113" s="83" t="str">
        <f t="shared" si="33"/>
        <v/>
      </c>
    </row>
    <row r="114" spans="2:22" s="84" customFormat="1">
      <c r="B114" s="60"/>
      <c r="C114" s="61"/>
      <c r="D114" s="80" t="str">
        <f t="shared" si="34"/>
        <v/>
      </c>
      <c r="E114" s="81" t="str">
        <f t="shared" si="38"/>
        <v/>
      </c>
      <c r="F114" s="82" t="str">
        <f t="shared" si="42"/>
        <v/>
      </c>
      <c r="G114" s="83" t="str">
        <f t="shared" si="27"/>
        <v/>
      </c>
      <c r="H114" s="60"/>
      <c r="I114" s="80" t="str">
        <f t="shared" si="35"/>
        <v/>
      </c>
      <c r="J114" s="81" t="str">
        <f t="shared" si="39"/>
        <v/>
      </c>
      <c r="K114" s="82" t="str">
        <f t="shared" si="28"/>
        <v/>
      </c>
      <c r="L114" s="83" t="str">
        <f t="shared" si="29"/>
        <v/>
      </c>
      <c r="M114" s="60"/>
      <c r="N114" s="80" t="str">
        <f t="shared" si="36"/>
        <v/>
      </c>
      <c r="O114" s="81" t="str">
        <f t="shared" si="40"/>
        <v/>
      </c>
      <c r="P114" s="82" t="str">
        <f t="shared" si="43"/>
        <v/>
      </c>
      <c r="Q114" s="83" t="str">
        <f t="shared" si="31"/>
        <v/>
      </c>
      <c r="R114" s="60"/>
      <c r="S114" s="80" t="str">
        <f t="shared" si="37"/>
        <v/>
      </c>
      <c r="T114" s="81" t="str">
        <f t="shared" si="41"/>
        <v/>
      </c>
      <c r="U114" s="82" t="str">
        <f t="shared" si="32"/>
        <v/>
      </c>
      <c r="V114" s="83" t="str">
        <f t="shared" si="33"/>
        <v/>
      </c>
    </row>
    <row r="115" spans="2:22" s="84" customFormat="1">
      <c r="B115" s="60"/>
      <c r="C115" s="61"/>
      <c r="D115" s="80" t="str">
        <f t="shared" si="34"/>
        <v/>
      </c>
      <c r="E115" s="81" t="str">
        <f t="shared" si="38"/>
        <v/>
      </c>
      <c r="F115" s="82" t="str">
        <f t="shared" si="42"/>
        <v/>
      </c>
      <c r="G115" s="83" t="str">
        <f t="shared" si="27"/>
        <v/>
      </c>
      <c r="H115" s="60"/>
      <c r="I115" s="80" t="str">
        <f t="shared" si="35"/>
        <v/>
      </c>
      <c r="J115" s="81" t="str">
        <f t="shared" si="39"/>
        <v/>
      </c>
      <c r="K115" s="82" t="str">
        <f t="shared" si="28"/>
        <v/>
      </c>
      <c r="L115" s="83" t="str">
        <f t="shared" si="29"/>
        <v/>
      </c>
      <c r="M115" s="60"/>
      <c r="N115" s="80" t="str">
        <f t="shared" si="36"/>
        <v/>
      </c>
      <c r="O115" s="81" t="str">
        <f t="shared" si="40"/>
        <v/>
      </c>
      <c r="P115" s="82" t="str">
        <f t="shared" si="43"/>
        <v/>
      </c>
      <c r="Q115" s="83" t="str">
        <f t="shared" si="31"/>
        <v/>
      </c>
      <c r="R115" s="60"/>
      <c r="S115" s="80" t="str">
        <f t="shared" si="37"/>
        <v/>
      </c>
      <c r="T115" s="81" t="str">
        <f t="shared" si="41"/>
        <v/>
      </c>
      <c r="U115" s="82" t="str">
        <f t="shared" si="32"/>
        <v/>
      </c>
      <c r="V115" s="83" t="str">
        <f t="shared" si="33"/>
        <v/>
      </c>
    </row>
    <row r="116" spans="2:22" s="84" customFormat="1">
      <c r="B116" s="60"/>
      <c r="C116" s="61"/>
      <c r="D116" s="80" t="str">
        <f t="shared" si="34"/>
        <v/>
      </c>
      <c r="E116" s="81" t="str">
        <f t="shared" si="38"/>
        <v/>
      </c>
      <c r="F116" s="82" t="str">
        <f t="shared" si="42"/>
        <v/>
      </c>
      <c r="G116" s="83" t="str">
        <f t="shared" si="27"/>
        <v/>
      </c>
      <c r="H116" s="60"/>
      <c r="I116" s="80" t="str">
        <f t="shared" si="35"/>
        <v/>
      </c>
      <c r="J116" s="81" t="str">
        <f t="shared" si="39"/>
        <v/>
      </c>
      <c r="K116" s="82" t="str">
        <f t="shared" si="28"/>
        <v/>
      </c>
      <c r="L116" s="83" t="str">
        <f t="shared" si="29"/>
        <v/>
      </c>
      <c r="M116" s="60"/>
      <c r="N116" s="80" t="str">
        <f t="shared" si="36"/>
        <v/>
      </c>
      <c r="O116" s="81" t="str">
        <f t="shared" si="40"/>
        <v/>
      </c>
      <c r="P116" s="82" t="str">
        <f t="shared" si="43"/>
        <v/>
      </c>
      <c r="Q116" s="83" t="str">
        <f t="shared" si="31"/>
        <v/>
      </c>
      <c r="R116" s="60"/>
      <c r="S116" s="80" t="str">
        <f t="shared" si="37"/>
        <v/>
      </c>
      <c r="T116" s="81" t="str">
        <f t="shared" si="41"/>
        <v/>
      </c>
      <c r="U116" s="82" t="str">
        <f t="shared" si="32"/>
        <v/>
      </c>
      <c r="V116" s="83" t="str">
        <f t="shared" si="33"/>
        <v/>
      </c>
    </row>
    <row r="117" spans="2:22" s="84" customFormat="1">
      <c r="B117" s="60"/>
      <c r="C117" s="61"/>
      <c r="D117" s="80" t="str">
        <f t="shared" si="34"/>
        <v/>
      </c>
      <c r="E117" s="81" t="str">
        <f t="shared" si="38"/>
        <v/>
      </c>
      <c r="F117" s="82" t="str">
        <f t="shared" si="42"/>
        <v/>
      </c>
      <c r="G117" s="83" t="str">
        <f t="shared" si="27"/>
        <v/>
      </c>
      <c r="H117" s="60"/>
      <c r="I117" s="80" t="str">
        <f t="shared" si="35"/>
        <v/>
      </c>
      <c r="J117" s="81" t="str">
        <f t="shared" si="39"/>
        <v/>
      </c>
      <c r="K117" s="82" t="str">
        <f t="shared" si="28"/>
        <v/>
      </c>
      <c r="L117" s="83" t="str">
        <f t="shared" si="29"/>
        <v/>
      </c>
      <c r="M117" s="60"/>
      <c r="N117" s="80" t="str">
        <f t="shared" si="36"/>
        <v/>
      </c>
      <c r="O117" s="81" t="str">
        <f t="shared" si="40"/>
        <v/>
      </c>
      <c r="P117" s="82" t="str">
        <f t="shared" si="43"/>
        <v/>
      </c>
      <c r="Q117" s="83" t="str">
        <f t="shared" si="31"/>
        <v/>
      </c>
      <c r="R117" s="60"/>
      <c r="S117" s="80" t="str">
        <f t="shared" si="37"/>
        <v/>
      </c>
      <c r="T117" s="81" t="str">
        <f t="shared" si="41"/>
        <v/>
      </c>
      <c r="U117" s="82" t="str">
        <f t="shared" si="32"/>
        <v/>
      </c>
      <c r="V117" s="83" t="str">
        <f t="shared" si="33"/>
        <v/>
      </c>
    </row>
    <row r="118" spans="2:22" s="84" customFormat="1">
      <c r="B118" s="60"/>
      <c r="C118" s="61"/>
      <c r="D118" s="80" t="str">
        <f t="shared" si="34"/>
        <v/>
      </c>
      <c r="E118" s="81" t="str">
        <f t="shared" si="38"/>
        <v/>
      </c>
      <c r="F118" s="82" t="str">
        <f t="shared" si="42"/>
        <v/>
      </c>
      <c r="G118" s="83" t="str">
        <f t="shared" si="27"/>
        <v/>
      </c>
      <c r="H118" s="60"/>
      <c r="I118" s="80" t="str">
        <f t="shared" si="35"/>
        <v/>
      </c>
      <c r="J118" s="81" t="str">
        <f t="shared" si="39"/>
        <v/>
      </c>
      <c r="K118" s="82" t="str">
        <f t="shared" si="28"/>
        <v/>
      </c>
      <c r="L118" s="83" t="str">
        <f t="shared" si="29"/>
        <v/>
      </c>
      <c r="M118" s="60"/>
      <c r="N118" s="80" t="str">
        <f t="shared" si="36"/>
        <v/>
      </c>
      <c r="O118" s="81" t="str">
        <f t="shared" si="40"/>
        <v/>
      </c>
      <c r="P118" s="82" t="str">
        <f t="shared" si="43"/>
        <v/>
      </c>
      <c r="Q118" s="83" t="str">
        <f t="shared" si="31"/>
        <v/>
      </c>
      <c r="R118" s="60"/>
      <c r="S118" s="80" t="str">
        <f t="shared" si="37"/>
        <v/>
      </c>
      <c r="T118" s="81" t="str">
        <f t="shared" si="41"/>
        <v/>
      </c>
      <c r="U118" s="82" t="str">
        <f t="shared" si="32"/>
        <v/>
      </c>
      <c r="V118" s="83" t="str">
        <f t="shared" si="33"/>
        <v/>
      </c>
    </row>
    <row r="119" spans="2:22" s="84" customFormat="1">
      <c r="B119" s="60"/>
      <c r="C119" s="61"/>
      <c r="D119" s="80" t="str">
        <f t="shared" si="34"/>
        <v/>
      </c>
      <c r="E119" s="81" t="str">
        <f t="shared" si="38"/>
        <v/>
      </c>
      <c r="F119" s="82" t="str">
        <f t="shared" si="42"/>
        <v/>
      </c>
      <c r="G119" s="83" t="str">
        <f t="shared" si="27"/>
        <v/>
      </c>
      <c r="H119" s="60"/>
      <c r="I119" s="80" t="str">
        <f t="shared" si="35"/>
        <v/>
      </c>
      <c r="J119" s="81" t="str">
        <f t="shared" si="39"/>
        <v/>
      </c>
      <c r="K119" s="82" t="str">
        <f t="shared" si="28"/>
        <v/>
      </c>
      <c r="L119" s="83" t="str">
        <f t="shared" si="29"/>
        <v/>
      </c>
      <c r="M119" s="60"/>
      <c r="N119" s="80" t="str">
        <f t="shared" si="36"/>
        <v/>
      </c>
      <c r="O119" s="81" t="str">
        <f t="shared" si="40"/>
        <v/>
      </c>
      <c r="P119" s="82" t="str">
        <f t="shared" si="43"/>
        <v/>
      </c>
      <c r="Q119" s="83" t="str">
        <f t="shared" si="31"/>
        <v/>
      </c>
      <c r="R119" s="60"/>
      <c r="S119" s="80" t="str">
        <f t="shared" si="37"/>
        <v/>
      </c>
      <c r="T119" s="81" t="str">
        <f t="shared" si="41"/>
        <v/>
      </c>
      <c r="U119" s="82" t="str">
        <f t="shared" si="32"/>
        <v/>
      </c>
      <c r="V119" s="83" t="str">
        <f t="shared" si="33"/>
        <v/>
      </c>
    </row>
    <row r="120" spans="2:22" s="84" customFormat="1">
      <c r="B120" s="60"/>
      <c r="C120" s="61"/>
      <c r="D120" s="80" t="str">
        <f t="shared" si="34"/>
        <v/>
      </c>
      <c r="E120" s="81" t="str">
        <f t="shared" si="38"/>
        <v/>
      </c>
      <c r="F120" s="82" t="str">
        <f t="shared" si="42"/>
        <v/>
      </c>
      <c r="G120" s="83" t="str">
        <f t="shared" si="27"/>
        <v/>
      </c>
      <c r="H120" s="60"/>
      <c r="I120" s="80" t="str">
        <f t="shared" si="35"/>
        <v/>
      </c>
      <c r="J120" s="81" t="str">
        <f t="shared" si="39"/>
        <v/>
      </c>
      <c r="K120" s="82" t="str">
        <f t="shared" si="28"/>
        <v/>
      </c>
      <c r="L120" s="83" t="str">
        <f t="shared" si="29"/>
        <v/>
      </c>
      <c r="M120" s="60"/>
      <c r="N120" s="80" t="str">
        <f t="shared" si="36"/>
        <v/>
      </c>
      <c r="O120" s="81" t="str">
        <f t="shared" si="40"/>
        <v/>
      </c>
      <c r="P120" s="82" t="str">
        <f t="shared" si="43"/>
        <v/>
      </c>
      <c r="Q120" s="83" t="str">
        <f t="shared" si="31"/>
        <v/>
      </c>
      <c r="R120" s="60"/>
      <c r="S120" s="80" t="str">
        <f t="shared" si="37"/>
        <v/>
      </c>
      <c r="T120" s="81" t="str">
        <f t="shared" si="41"/>
        <v/>
      </c>
      <c r="U120" s="82" t="str">
        <f t="shared" si="32"/>
        <v/>
      </c>
      <c r="V120" s="83" t="str">
        <f t="shared" si="33"/>
        <v/>
      </c>
    </row>
    <row r="121" spans="2:22" s="84" customFormat="1">
      <c r="B121" s="60"/>
      <c r="C121" s="61"/>
      <c r="D121" s="80" t="str">
        <f t="shared" si="34"/>
        <v/>
      </c>
      <c r="E121" s="81" t="str">
        <f t="shared" si="38"/>
        <v/>
      </c>
      <c r="F121" s="82" t="str">
        <f t="shared" si="42"/>
        <v/>
      </c>
      <c r="G121" s="83" t="str">
        <f t="shared" si="27"/>
        <v/>
      </c>
      <c r="H121" s="60"/>
      <c r="I121" s="80" t="str">
        <f t="shared" si="35"/>
        <v/>
      </c>
      <c r="J121" s="81" t="str">
        <f t="shared" si="39"/>
        <v/>
      </c>
      <c r="K121" s="82" t="str">
        <f t="shared" si="28"/>
        <v/>
      </c>
      <c r="L121" s="83" t="str">
        <f t="shared" si="29"/>
        <v/>
      </c>
      <c r="M121" s="60"/>
      <c r="N121" s="80" t="str">
        <f t="shared" si="36"/>
        <v/>
      </c>
      <c r="O121" s="81" t="str">
        <f t="shared" si="40"/>
        <v/>
      </c>
      <c r="P121" s="82" t="str">
        <f t="shared" si="43"/>
        <v/>
      </c>
      <c r="Q121" s="83" t="str">
        <f t="shared" si="31"/>
        <v/>
      </c>
      <c r="R121" s="60"/>
      <c r="S121" s="80" t="str">
        <f t="shared" si="37"/>
        <v/>
      </c>
      <c r="T121" s="81" t="str">
        <f t="shared" si="41"/>
        <v/>
      </c>
      <c r="U121" s="82" t="str">
        <f t="shared" si="32"/>
        <v/>
      </c>
      <c r="V121" s="83" t="str">
        <f t="shared" si="33"/>
        <v/>
      </c>
    </row>
    <row r="122" spans="2:22" s="84" customFormat="1">
      <c r="B122" s="60"/>
      <c r="C122" s="61"/>
      <c r="D122" s="80" t="str">
        <f t="shared" si="34"/>
        <v/>
      </c>
      <c r="E122" s="81" t="str">
        <f t="shared" ref="E122:E185" si="44">IF(E$14="","",IF($D122="","",VLOOKUP($D122,Tbl_Indices,D$8)))</f>
        <v/>
      </c>
      <c r="F122" s="82" t="str">
        <f t="shared" ref="F122:F185" si="45">IF(E122="","",F121*(1+E122))</f>
        <v/>
      </c>
      <c r="G122" s="83" t="str">
        <f t="shared" ref="G122:G185" si="46">IF(D122="","",F122-1)</f>
        <v/>
      </c>
      <c r="H122" s="60"/>
      <c r="I122" s="80" t="str">
        <f t="shared" si="35"/>
        <v/>
      </c>
      <c r="J122" s="81" t="str">
        <f t="shared" ref="J122:J185" si="47">IF(J$14="","",IF($D122="","",VLOOKUP($D122,Tbl_Indices,I$8)))</f>
        <v/>
      </c>
      <c r="K122" s="82" t="str">
        <f t="shared" ref="K122:K185" si="48">IF(J122="","",K121*(1+J122))</f>
        <v/>
      </c>
      <c r="L122" s="83" t="str">
        <f t="shared" ref="L122:L185" si="49">IF(I122="","",K122-1)</f>
        <v/>
      </c>
      <c r="M122" s="60"/>
      <c r="N122" s="80" t="str">
        <f t="shared" si="36"/>
        <v/>
      </c>
      <c r="O122" s="81" t="str">
        <f t="shared" ref="O122:O185" si="50">IF(O$14="","",IF($D122="","",VLOOKUP($D122,Tbl_Indices,N$8)))</f>
        <v/>
      </c>
      <c r="P122" s="82" t="str">
        <f t="shared" ref="P122:P185" si="51">IF(O122="","",P121*(1+O122))</f>
        <v/>
      </c>
      <c r="Q122" s="83" t="str">
        <f t="shared" ref="Q122:Q185" si="52">IF(N122="","",P122-1)</f>
        <v/>
      </c>
      <c r="R122" s="60"/>
      <c r="S122" s="80" t="str">
        <f t="shared" si="37"/>
        <v/>
      </c>
      <c r="T122" s="81" t="str">
        <f t="shared" ref="T122:T185" si="53">IF(T$14="","",IF($D122="","",VLOOKUP($D122,Tbl_Indices,S$8)))</f>
        <v/>
      </c>
      <c r="U122" s="82" t="str">
        <f t="shared" ref="U122:U185" si="54">IF(T122="","",U121*(1+T122))</f>
        <v/>
      </c>
      <c r="V122" s="83" t="str">
        <f t="shared" ref="V122:V185" si="55">IF(S122="","",U122-1)</f>
        <v/>
      </c>
    </row>
    <row r="123" spans="2:22" s="84" customFormat="1">
      <c r="B123" s="60"/>
      <c r="C123" s="61"/>
      <c r="D123" s="80" t="str">
        <f t="shared" si="34"/>
        <v/>
      </c>
      <c r="E123" s="81" t="str">
        <f t="shared" si="44"/>
        <v/>
      </c>
      <c r="F123" s="82" t="str">
        <f t="shared" si="45"/>
        <v/>
      </c>
      <c r="G123" s="83" t="str">
        <f t="shared" si="46"/>
        <v/>
      </c>
      <c r="H123" s="60"/>
      <c r="I123" s="80" t="str">
        <f t="shared" si="35"/>
        <v/>
      </c>
      <c r="J123" s="81" t="str">
        <f t="shared" si="47"/>
        <v/>
      </c>
      <c r="K123" s="82" t="str">
        <f t="shared" si="48"/>
        <v/>
      </c>
      <c r="L123" s="83" t="str">
        <f t="shared" si="49"/>
        <v/>
      </c>
      <c r="M123" s="60"/>
      <c r="N123" s="80" t="str">
        <f t="shared" si="36"/>
        <v/>
      </c>
      <c r="O123" s="81" t="str">
        <f t="shared" si="50"/>
        <v/>
      </c>
      <c r="P123" s="82" t="str">
        <f t="shared" si="51"/>
        <v/>
      </c>
      <c r="Q123" s="83" t="str">
        <f t="shared" si="52"/>
        <v/>
      </c>
      <c r="R123" s="60"/>
      <c r="S123" s="80" t="str">
        <f t="shared" si="37"/>
        <v/>
      </c>
      <c r="T123" s="81" t="str">
        <f t="shared" si="53"/>
        <v/>
      </c>
      <c r="U123" s="82" t="str">
        <f t="shared" si="54"/>
        <v/>
      </c>
      <c r="V123" s="83" t="str">
        <f t="shared" si="55"/>
        <v/>
      </c>
    </row>
    <row r="124" spans="2:22" s="84" customFormat="1">
      <c r="B124" s="60"/>
      <c r="C124" s="61"/>
      <c r="D124" s="80" t="str">
        <f t="shared" si="34"/>
        <v/>
      </c>
      <c r="E124" s="81" t="str">
        <f t="shared" si="44"/>
        <v/>
      </c>
      <c r="F124" s="82" t="str">
        <f t="shared" si="45"/>
        <v/>
      </c>
      <c r="G124" s="83" t="str">
        <f t="shared" si="46"/>
        <v/>
      </c>
      <c r="H124" s="60"/>
      <c r="I124" s="80" t="str">
        <f t="shared" si="35"/>
        <v/>
      </c>
      <c r="J124" s="81" t="str">
        <f t="shared" si="47"/>
        <v/>
      </c>
      <c r="K124" s="82" t="str">
        <f t="shared" si="48"/>
        <v/>
      </c>
      <c r="L124" s="83" t="str">
        <f t="shared" si="49"/>
        <v/>
      </c>
      <c r="M124" s="60"/>
      <c r="N124" s="80" t="str">
        <f t="shared" si="36"/>
        <v/>
      </c>
      <c r="O124" s="81" t="str">
        <f t="shared" si="50"/>
        <v/>
      </c>
      <c r="P124" s="82" t="str">
        <f t="shared" si="51"/>
        <v/>
      </c>
      <c r="Q124" s="83" t="str">
        <f t="shared" si="52"/>
        <v/>
      </c>
      <c r="R124" s="60"/>
      <c r="S124" s="80" t="str">
        <f t="shared" si="37"/>
        <v/>
      </c>
      <c r="T124" s="81" t="str">
        <f t="shared" si="53"/>
        <v/>
      </c>
      <c r="U124" s="82" t="str">
        <f t="shared" si="54"/>
        <v/>
      </c>
      <c r="V124" s="83" t="str">
        <f t="shared" si="55"/>
        <v/>
      </c>
    </row>
    <row r="125" spans="2:22" s="84" customFormat="1">
      <c r="B125" s="60"/>
      <c r="C125" s="61"/>
      <c r="D125" s="80" t="str">
        <f t="shared" si="34"/>
        <v/>
      </c>
      <c r="E125" s="81" t="str">
        <f t="shared" si="44"/>
        <v/>
      </c>
      <c r="F125" s="82" t="str">
        <f t="shared" si="45"/>
        <v/>
      </c>
      <c r="G125" s="83" t="str">
        <f t="shared" si="46"/>
        <v/>
      </c>
      <c r="H125" s="60"/>
      <c r="I125" s="80" t="str">
        <f t="shared" si="35"/>
        <v/>
      </c>
      <c r="J125" s="81" t="str">
        <f t="shared" si="47"/>
        <v/>
      </c>
      <c r="K125" s="82" t="str">
        <f t="shared" si="48"/>
        <v/>
      </c>
      <c r="L125" s="83" t="str">
        <f t="shared" si="49"/>
        <v/>
      </c>
      <c r="M125" s="60"/>
      <c r="N125" s="80" t="str">
        <f t="shared" si="36"/>
        <v/>
      </c>
      <c r="O125" s="81" t="str">
        <f t="shared" si="50"/>
        <v/>
      </c>
      <c r="P125" s="82" t="str">
        <f t="shared" si="51"/>
        <v/>
      </c>
      <c r="Q125" s="83" t="str">
        <f t="shared" si="52"/>
        <v/>
      </c>
      <c r="R125" s="60"/>
      <c r="S125" s="80" t="str">
        <f t="shared" si="37"/>
        <v/>
      </c>
      <c r="T125" s="81" t="str">
        <f t="shared" si="53"/>
        <v/>
      </c>
      <c r="U125" s="82" t="str">
        <f t="shared" si="54"/>
        <v/>
      </c>
      <c r="V125" s="83" t="str">
        <f t="shared" si="55"/>
        <v/>
      </c>
    </row>
    <row r="126" spans="2:22" s="84" customFormat="1">
      <c r="B126" s="60"/>
      <c r="C126" s="61"/>
      <c r="D126" s="80" t="str">
        <f t="shared" si="34"/>
        <v/>
      </c>
      <c r="E126" s="81" t="str">
        <f t="shared" si="44"/>
        <v/>
      </c>
      <c r="F126" s="82" t="str">
        <f t="shared" si="45"/>
        <v/>
      </c>
      <c r="G126" s="83" t="str">
        <f t="shared" si="46"/>
        <v/>
      </c>
      <c r="H126" s="60"/>
      <c r="I126" s="80" t="str">
        <f t="shared" si="35"/>
        <v/>
      </c>
      <c r="J126" s="81" t="str">
        <f t="shared" si="47"/>
        <v/>
      </c>
      <c r="K126" s="82" t="str">
        <f t="shared" si="48"/>
        <v/>
      </c>
      <c r="L126" s="83" t="str">
        <f t="shared" si="49"/>
        <v/>
      </c>
      <c r="M126" s="60"/>
      <c r="N126" s="80" t="str">
        <f t="shared" si="36"/>
        <v/>
      </c>
      <c r="O126" s="81" t="str">
        <f t="shared" si="50"/>
        <v/>
      </c>
      <c r="P126" s="82" t="str">
        <f t="shared" si="51"/>
        <v/>
      </c>
      <c r="Q126" s="83" t="str">
        <f t="shared" si="52"/>
        <v/>
      </c>
      <c r="R126" s="60"/>
      <c r="S126" s="80" t="str">
        <f t="shared" si="37"/>
        <v/>
      </c>
      <c r="T126" s="81" t="str">
        <f t="shared" si="53"/>
        <v/>
      </c>
      <c r="U126" s="82" t="str">
        <f t="shared" si="54"/>
        <v/>
      </c>
      <c r="V126" s="83" t="str">
        <f t="shared" si="55"/>
        <v/>
      </c>
    </row>
    <row r="127" spans="2:22" s="84" customFormat="1">
      <c r="B127" s="60"/>
      <c r="C127" s="61"/>
      <c r="D127" s="80" t="str">
        <f t="shared" si="34"/>
        <v/>
      </c>
      <c r="E127" s="81" t="str">
        <f t="shared" si="44"/>
        <v/>
      </c>
      <c r="F127" s="82" t="str">
        <f t="shared" si="45"/>
        <v/>
      </c>
      <c r="G127" s="83" t="str">
        <f t="shared" si="46"/>
        <v/>
      </c>
      <c r="H127" s="60"/>
      <c r="I127" s="80" t="str">
        <f t="shared" si="35"/>
        <v/>
      </c>
      <c r="J127" s="81" t="str">
        <f t="shared" si="47"/>
        <v/>
      </c>
      <c r="K127" s="82" t="str">
        <f t="shared" si="48"/>
        <v/>
      </c>
      <c r="L127" s="83" t="str">
        <f t="shared" si="49"/>
        <v/>
      </c>
      <c r="M127" s="60"/>
      <c r="N127" s="80" t="str">
        <f t="shared" si="36"/>
        <v/>
      </c>
      <c r="O127" s="81" t="str">
        <f t="shared" si="50"/>
        <v/>
      </c>
      <c r="P127" s="82" t="str">
        <f t="shared" si="51"/>
        <v/>
      </c>
      <c r="Q127" s="83" t="str">
        <f t="shared" si="52"/>
        <v/>
      </c>
      <c r="R127" s="60"/>
      <c r="S127" s="80" t="str">
        <f t="shared" si="37"/>
        <v/>
      </c>
      <c r="T127" s="81" t="str">
        <f t="shared" si="53"/>
        <v/>
      </c>
      <c r="U127" s="82" t="str">
        <f t="shared" si="54"/>
        <v/>
      </c>
      <c r="V127" s="83" t="str">
        <f t="shared" si="55"/>
        <v/>
      </c>
    </row>
    <row r="128" spans="2:22" s="84" customFormat="1">
      <c r="B128" s="60"/>
      <c r="C128" s="61"/>
      <c r="D128" s="80" t="str">
        <f t="shared" si="34"/>
        <v/>
      </c>
      <c r="E128" s="81" t="str">
        <f t="shared" si="44"/>
        <v/>
      </c>
      <c r="F128" s="82" t="str">
        <f t="shared" si="45"/>
        <v/>
      </c>
      <c r="G128" s="83" t="str">
        <f t="shared" si="46"/>
        <v/>
      </c>
      <c r="H128" s="60"/>
      <c r="I128" s="80" t="str">
        <f t="shared" si="35"/>
        <v/>
      </c>
      <c r="J128" s="81" t="str">
        <f t="shared" si="47"/>
        <v/>
      </c>
      <c r="K128" s="82" t="str">
        <f t="shared" si="48"/>
        <v/>
      </c>
      <c r="L128" s="83" t="str">
        <f t="shared" si="49"/>
        <v/>
      </c>
      <c r="M128" s="60"/>
      <c r="N128" s="80" t="str">
        <f t="shared" si="36"/>
        <v/>
      </c>
      <c r="O128" s="81" t="str">
        <f t="shared" si="50"/>
        <v/>
      </c>
      <c r="P128" s="82" t="str">
        <f t="shared" si="51"/>
        <v/>
      </c>
      <c r="Q128" s="83" t="str">
        <f t="shared" si="52"/>
        <v/>
      </c>
      <c r="R128" s="60"/>
      <c r="S128" s="80" t="str">
        <f t="shared" si="37"/>
        <v/>
      </c>
      <c r="T128" s="81" t="str">
        <f t="shared" si="53"/>
        <v/>
      </c>
      <c r="U128" s="82" t="str">
        <f t="shared" si="54"/>
        <v/>
      </c>
      <c r="V128" s="83" t="str">
        <f t="shared" si="55"/>
        <v/>
      </c>
    </row>
    <row r="129" spans="2:22" s="84" customFormat="1">
      <c r="B129" s="60"/>
      <c r="C129" s="61"/>
      <c r="D129" s="80" t="str">
        <f t="shared" si="34"/>
        <v/>
      </c>
      <c r="E129" s="81" t="str">
        <f t="shared" si="44"/>
        <v/>
      </c>
      <c r="F129" s="82" t="str">
        <f t="shared" si="45"/>
        <v/>
      </c>
      <c r="G129" s="83" t="str">
        <f t="shared" si="46"/>
        <v/>
      </c>
      <c r="H129" s="60"/>
      <c r="I129" s="80" t="str">
        <f t="shared" si="35"/>
        <v/>
      </c>
      <c r="J129" s="81" t="str">
        <f t="shared" si="47"/>
        <v/>
      </c>
      <c r="K129" s="82" t="str">
        <f t="shared" si="48"/>
        <v/>
      </c>
      <c r="L129" s="83" t="str">
        <f t="shared" si="49"/>
        <v/>
      </c>
      <c r="M129" s="60"/>
      <c r="N129" s="80" t="str">
        <f t="shared" si="36"/>
        <v/>
      </c>
      <c r="O129" s="81" t="str">
        <f t="shared" si="50"/>
        <v/>
      </c>
      <c r="P129" s="82" t="str">
        <f t="shared" si="51"/>
        <v/>
      </c>
      <c r="Q129" s="83" t="str">
        <f t="shared" si="52"/>
        <v/>
      </c>
      <c r="R129" s="60"/>
      <c r="S129" s="80" t="str">
        <f t="shared" si="37"/>
        <v/>
      </c>
      <c r="T129" s="81" t="str">
        <f t="shared" si="53"/>
        <v/>
      </c>
      <c r="U129" s="82" t="str">
        <f t="shared" si="54"/>
        <v/>
      </c>
      <c r="V129" s="83" t="str">
        <f t="shared" si="55"/>
        <v/>
      </c>
    </row>
    <row r="130" spans="2:22" s="84" customFormat="1">
      <c r="B130" s="60"/>
      <c r="C130" s="61"/>
      <c r="D130" s="80" t="str">
        <f t="shared" si="34"/>
        <v/>
      </c>
      <c r="E130" s="81" t="str">
        <f t="shared" si="44"/>
        <v/>
      </c>
      <c r="F130" s="82" t="str">
        <f t="shared" si="45"/>
        <v/>
      </c>
      <c r="G130" s="83" t="str">
        <f t="shared" si="46"/>
        <v/>
      </c>
      <c r="H130" s="60"/>
      <c r="I130" s="80" t="str">
        <f t="shared" si="35"/>
        <v/>
      </c>
      <c r="J130" s="81" t="str">
        <f t="shared" si="47"/>
        <v/>
      </c>
      <c r="K130" s="82" t="str">
        <f t="shared" si="48"/>
        <v/>
      </c>
      <c r="L130" s="83" t="str">
        <f t="shared" si="49"/>
        <v/>
      </c>
      <c r="M130" s="60"/>
      <c r="N130" s="80" t="str">
        <f t="shared" si="36"/>
        <v/>
      </c>
      <c r="O130" s="81" t="str">
        <f t="shared" si="50"/>
        <v/>
      </c>
      <c r="P130" s="82" t="str">
        <f t="shared" si="51"/>
        <v/>
      </c>
      <c r="Q130" s="83" t="str">
        <f t="shared" si="52"/>
        <v/>
      </c>
      <c r="R130" s="60"/>
      <c r="S130" s="80" t="str">
        <f t="shared" si="37"/>
        <v/>
      </c>
      <c r="T130" s="81" t="str">
        <f t="shared" si="53"/>
        <v/>
      </c>
      <c r="U130" s="82" t="str">
        <f t="shared" si="54"/>
        <v/>
      </c>
      <c r="V130" s="83" t="str">
        <f t="shared" si="55"/>
        <v/>
      </c>
    </row>
    <row r="131" spans="2:22" s="84" customFormat="1">
      <c r="B131" s="60"/>
      <c r="C131" s="61"/>
      <c r="D131" s="80" t="str">
        <f t="shared" si="34"/>
        <v/>
      </c>
      <c r="E131" s="81" t="str">
        <f t="shared" si="44"/>
        <v/>
      </c>
      <c r="F131" s="82" t="str">
        <f t="shared" si="45"/>
        <v/>
      </c>
      <c r="G131" s="83" t="str">
        <f t="shared" si="46"/>
        <v/>
      </c>
      <c r="H131" s="60"/>
      <c r="I131" s="80" t="str">
        <f t="shared" si="35"/>
        <v/>
      </c>
      <c r="J131" s="81" t="str">
        <f t="shared" si="47"/>
        <v/>
      </c>
      <c r="K131" s="82" t="str">
        <f t="shared" si="48"/>
        <v/>
      </c>
      <c r="L131" s="83" t="str">
        <f t="shared" si="49"/>
        <v/>
      </c>
      <c r="M131" s="60"/>
      <c r="N131" s="80" t="str">
        <f t="shared" si="36"/>
        <v/>
      </c>
      <c r="O131" s="81" t="str">
        <f t="shared" si="50"/>
        <v/>
      </c>
      <c r="P131" s="82" t="str">
        <f t="shared" si="51"/>
        <v/>
      </c>
      <c r="Q131" s="83" t="str">
        <f t="shared" si="52"/>
        <v/>
      </c>
      <c r="R131" s="60"/>
      <c r="S131" s="80" t="str">
        <f t="shared" si="37"/>
        <v/>
      </c>
      <c r="T131" s="81" t="str">
        <f t="shared" si="53"/>
        <v/>
      </c>
      <c r="U131" s="82" t="str">
        <f t="shared" si="54"/>
        <v/>
      </c>
      <c r="V131" s="83" t="str">
        <f t="shared" si="55"/>
        <v/>
      </c>
    </row>
    <row r="132" spans="2:22" s="84" customFormat="1">
      <c r="B132" s="60"/>
      <c r="C132" s="61"/>
      <c r="D132" s="80" t="str">
        <f t="shared" si="34"/>
        <v/>
      </c>
      <c r="E132" s="81" t="str">
        <f t="shared" si="44"/>
        <v/>
      </c>
      <c r="F132" s="82" t="str">
        <f t="shared" si="45"/>
        <v/>
      </c>
      <c r="G132" s="83" t="str">
        <f t="shared" si="46"/>
        <v/>
      </c>
      <c r="H132" s="60"/>
      <c r="I132" s="80" t="str">
        <f t="shared" si="35"/>
        <v/>
      </c>
      <c r="J132" s="81" t="str">
        <f t="shared" si="47"/>
        <v/>
      </c>
      <c r="K132" s="82" t="str">
        <f t="shared" si="48"/>
        <v/>
      </c>
      <c r="L132" s="83" t="str">
        <f t="shared" si="49"/>
        <v/>
      </c>
      <c r="M132" s="60"/>
      <c r="N132" s="80" t="str">
        <f t="shared" si="36"/>
        <v/>
      </c>
      <c r="O132" s="81" t="str">
        <f t="shared" si="50"/>
        <v/>
      </c>
      <c r="P132" s="82" t="str">
        <f t="shared" si="51"/>
        <v/>
      </c>
      <c r="Q132" s="83" t="str">
        <f t="shared" si="52"/>
        <v/>
      </c>
      <c r="R132" s="60"/>
      <c r="S132" s="80" t="str">
        <f t="shared" si="37"/>
        <v/>
      </c>
      <c r="T132" s="81" t="str">
        <f t="shared" si="53"/>
        <v/>
      </c>
      <c r="U132" s="82" t="str">
        <f t="shared" si="54"/>
        <v/>
      </c>
      <c r="V132" s="83" t="str">
        <f t="shared" si="55"/>
        <v/>
      </c>
    </row>
    <row r="133" spans="2:22" s="84" customFormat="1">
      <c r="B133" s="60"/>
      <c r="C133" s="61"/>
      <c r="D133" s="80" t="str">
        <f t="shared" si="34"/>
        <v/>
      </c>
      <c r="E133" s="81" t="str">
        <f t="shared" si="44"/>
        <v/>
      </c>
      <c r="F133" s="82" t="str">
        <f t="shared" si="45"/>
        <v/>
      </c>
      <c r="G133" s="83" t="str">
        <f t="shared" si="46"/>
        <v/>
      </c>
      <c r="H133" s="60"/>
      <c r="I133" s="80" t="str">
        <f t="shared" si="35"/>
        <v/>
      </c>
      <c r="J133" s="81" t="str">
        <f t="shared" si="47"/>
        <v/>
      </c>
      <c r="K133" s="82" t="str">
        <f t="shared" si="48"/>
        <v/>
      </c>
      <c r="L133" s="83" t="str">
        <f t="shared" si="49"/>
        <v/>
      </c>
      <c r="M133" s="60"/>
      <c r="N133" s="80" t="str">
        <f t="shared" si="36"/>
        <v/>
      </c>
      <c r="O133" s="81" t="str">
        <f t="shared" si="50"/>
        <v/>
      </c>
      <c r="P133" s="82" t="str">
        <f t="shared" si="51"/>
        <v/>
      </c>
      <c r="Q133" s="83" t="str">
        <f t="shared" si="52"/>
        <v/>
      </c>
      <c r="R133" s="60"/>
      <c r="S133" s="80" t="str">
        <f t="shared" si="37"/>
        <v/>
      </c>
      <c r="T133" s="81" t="str">
        <f t="shared" si="53"/>
        <v/>
      </c>
      <c r="U133" s="82" t="str">
        <f t="shared" si="54"/>
        <v/>
      </c>
      <c r="V133" s="83" t="str">
        <f t="shared" si="55"/>
        <v/>
      </c>
    </row>
    <row r="134" spans="2:22" s="84" customFormat="1">
      <c r="B134" s="60"/>
      <c r="C134" s="61"/>
      <c r="D134" s="80" t="str">
        <f t="shared" si="34"/>
        <v/>
      </c>
      <c r="E134" s="81" t="str">
        <f t="shared" si="44"/>
        <v/>
      </c>
      <c r="F134" s="82" t="str">
        <f t="shared" si="45"/>
        <v/>
      </c>
      <c r="G134" s="83" t="str">
        <f t="shared" si="46"/>
        <v/>
      </c>
      <c r="H134" s="60"/>
      <c r="I134" s="80" t="str">
        <f t="shared" si="35"/>
        <v/>
      </c>
      <c r="J134" s="81" t="str">
        <f t="shared" si="47"/>
        <v/>
      </c>
      <c r="K134" s="82" t="str">
        <f t="shared" si="48"/>
        <v/>
      </c>
      <c r="L134" s="83" t="str">
        <f t="shared" si="49"/>
        <v/>
      </c>
      <c r="M134" s="60"/>
      <c r="N134" s="80" t="str">
        <f t="shared" si="36"/>
        <v/>
      </c>
      <c r="O134" s="81" t="str">
        <f t="shared" si="50"/>
        <v/>
      </c>
      <c r="P134" s="82" t="str">
        <f t="shared" si="51"/>
        <v/>
      </c>
      <c r="Q134" s="83" t="str">
        <f t="shared" si="52"/>
        <v/>
      </c>
      <c r="R134" s="60"/>
      <c r="S134" s="80" t="str">
        <f t="shared" si="37"/>
        <v/>
      </c>
      <c r="T134" s="81" t="str">
        <f t="shared" si="53"/>
        <v/>
      </c>
      <c r="U134" s="82" t="str">
        <f t="shared" si="54"/>
        <v/>
      </c>
      <c r="V134" s="83" t="str">
        <f t="shared" si="55"/>
        <v/>
      </c>
    </row>
    <row r="135" spans="2:22" s="84" customFormat="1">
      <c r="B135" s="60"/>
      <c r="C135" s="61"/>
      <c r="D135" s="80" t="str">
        <f t="shared" si="34"/>
        <v/>
      </c>
      <c r="E135" s="81" t="str">
        <f t="shared" si="44"/>
        <v/>
      </c>
      <c r="F135" s="82" t="str">
        <f t="shared" si="45"/>
        <v/>
      </c>
      <c r="G135" s="83" t="str">
        <f t="shared" si="46"/>
        <v/>
      </c>
      <c r="H135" s="60"/>
      <c r="I135" s="80" t="str">
        <f t="shared" si="35"/>
        <v/>
      </c>
      <c r="J135" s="81" t="str">
        <f t="shared" si="47"/>
        <v/>
      </c>
      <c r="K135" s="82" t="str">
        <f t="shared" si="48"/>
        <v/>
      </c>
      <c r="L135" s="83" t="str">
        <f t="shared" si="49"/>
        <v/>
      </c>
      <c r="M135" s="60"/>
      <c r="N135" s="80" t="str">
        <f t="shared" si="36"/>
        <v/>
      </c>
      <c r="O135" s="81" t="str">
        <f t="shared" si="50"/>
        <v/>
      </c>
      <c r="P135" s="82" t="str">
        <f t="shared" si="51"/>
        <v/>
      </c>
      <c r="Q135" s="83" t="str">
        <f t="shared" si="52"/>
        <v/>
      </c>
      <c r="R135" s="60"/>
      <c r="S135" s="80" t="str">
        <f t="shared" si="37"/>
        <v/>
      </c>
      <c r="T135" s="81" t="str">
        <f t="shared" si="53"/>
        <v/>
      </c>
      <c r="U135" s="82" t="str">
        <f t="shared" si="54"/>
        <v/>
      </c>
      <c r="V135" s="83" t="str">
        <f t="shared" si="55"/>
        <v/>
      </c>
    </row>
    <row r="136" spans="2:22" s="84" customFormat="1">
      <c r="B136" s="60"/>
      <c r="C136" s="61"/>
      <c r="D136" s="80" t="str">
        <f t="shared" si="34"/>
        <v/>
      </c>
      <c r="E136" s="81" t="str">
        <f t="shared" si="44"/>
        <v/>
      </c>
      <c r="F136" s="82" t="str">
        <f t="shared" si="45"/>
        <v/>
      </c>
      <c r="G136" s="83" t="str">
        <f t="shared" si="46"/>
        <v/>
      </c>
      <c r="H136" s="60"/>
      <c r="I136" s="80" t="str">
        <f t="shared" si="35"/>
        <v/>
      </c>
      <c r="J136" s="81" t="str">
        <f t="shared" si="47"/>
        <v/>
      </c>
      <c r="K136" s="82" t="str">
        <f t="shared" si="48"/>
        <v/>
      </c>
      <c r="L136" s="83" t="str">
        <f t="shared" si="49"/>
        <v/>
      </c>
      <c r="M136" s="60"/>
      <c r="N136" s="80" t="str">
        <f t="shared" si="36"/>
        <v/>
      </c>
      <c r="O136" s="81" t="str">
        <f t="shared" si="50"/>
        <v/>
      </c>
      <c r="P136" s="82" t="str">
        <f t="shared" si="51"/>
        <v/>
      </c>
      <c r="Q136" s="83" t="str">
        <f t="shared" si="52"/>
        <v/>
      </c>
      <c r="R136" s="60"/>
      <c r="S136" s="80" t="str">
        <f t="shared" si="37"/>
        <v/>
      </c>
      <c r="T136" s="81" t="str">
        <f t="shared" si="53"/>
        <v/>
      </c>
      <c r="U136" s="82" t="str">
        <f t="shared" si="54"/>
        <v/>
      </c>
      <c r="V136" s="83" t="str">
        <f t="shared" si="55"/>
        <v/>
      </c>
    </row>
    <row r="137" spans="2:22" s="84" customFormat="1">
      <c r="B137" s="60"/>
      <c r="C137" s="61"/>
      <c r="D137" s="80" t="str">
        <f t="shared" si="34"/>
        <v/>
      </c>
      <c r="E137" s="81" t="str">
        <f t="shared" si="44"/>
        <v/>
      </c>
      <c r="F137" s="82" t="str">
        <f t="shared" si="45"/>
        <v/>
      </c>
      <c r="G137" s="83" t="str">
        <f t="shared" si="46"/>
        <v/>
      </c>
      <c r="H137" s="60"/>
      <c r="I137" s="80" t="str">
        <f t="shared" si="35"/>
        <v/>
      </c>
      <c r="J137" s="81" t="str">
        <f t="shared" si="47"/>
        <v/>
      </c>
      <c r="K137" s="82" t="str">
        <f t="shared" si="48"/>
        <v/>
      </c>
      <c r="L137" s="83" t="str">
        <f t="shared" si="49"/>
        <v/>
      </c>
      <c r="M137" s="60"/>
      <c r="N137" s="80" t="str">
        <f t="shared" si="36"/>
        <v/>
      </c>
      <c r="O137" s="81" t="str">
        <f t="shared" si="50"/>
        <v/>
      </c>
      <c r="P137" s="82" t="str">
        <f t="shared" si="51"/>
        <v/>
      </c>
      <c r="Q137" s="83" t="str">
        <f t="shared" si="52"/>
        <v/>
      </c>
      <c r="R137" s="60"/>
      <c r="S137" s="80" t="str">
        <f t="shared" si="37"/>
        <v/>
      </c>
      <c r="T137" s="81" t="str">
        <f t="shared" si="53"/>
        <v/>
      </c>
      <c r="U137" s="82" t="str">
        <f t="shared" si="54"/>
        <v/>
      </c>
      <c r="V137" s="83" t="str">
        <f t="shared" si="55"/>
        <v/>
      </c>
    </row>
    <row r="138" spans="2:22" s="84" customFormat="1">
      <c r="B138" s="60"/>
      <c r="C138" s="61"/>
      <c r="D138" s="80" t="str">
        <f t="shared" si="34"/>
        <v/>
      </c>
      <c r="E138" s="81" t="str">
        <f t="shared" si="44"/>
        <v/>
      </c>
      <c r="F138" s="82" t="str">
        <f t="shared" si="45"/>
        <v/>
      </c>
      <c r="G138" s="83" t="str">
        <f t="shared" si="46"/>
        <v/>
      </c>
      <c r="H138" s="60"/>
      <c r="I138" s="80" t="str">
        <f t="shared" si="35"/>
        <v/>
      </c>
      <c r="J138" s="81" t="str">
        <f t="shared" si="47"/>
        <v/>
      </c>
      <c r="K138" s="82" t="str">
        <f t="shared" si="48"/>
        <v/>
      </c>
      <c r="L138" s="83" t="str">
        <f t="shared" si="49"/>
        <v/>
      </c>
      <c r="M138" s="60"/>
      <c r="N138" s="80" t="str">
        <f t="shared" si="36"/>
        <v/>
      </c>
      <c r="O138" s="81" t="str">
        <f t="shared" si="50"/>
        <v/>
      </c>
      <c r="P138" s="82" t="str">
        <f t="shared" si="51"/>
        <v/>
      </c>
      <c r="Q138" s="83" t="str">
        <f t="shared" si="52"/>
        <v/>
      </c>
      <c r="R138" s="60"/>
      <c r="S138" s="80" t="str">
        <f t="shared" si="37"/>
        <v/>
      </c>
      <c r="T138" s="81" t="str">
        <f t="shared" si="53"/>
        <v/>
      </c>
      <c r="U138" s="82" t="str">
        <f t="shared" si="54"/>
        <v/>
      </c>
      <c r="V138" s="83" t="str">
        <f t="shared" si="55"/>
        <v/>
      </c>
    </row>
    <row r="139" spans="2:22" s="84" customFormat="1">
      <c r="B139" s="60"/>
      <c r="C139" s="61"/>
      <c r="D139" s="80" t="str">
        <f t="shared" si="34"/>
        <v/>
      </c>
      <c r="E139" s="81" t="str">
        <f t="shared" si="44"/>
        <v/>
      </c>
      <c r="F139" s="82" t="str">
        <f t="shared" si="45"/>
        <v/>
      </c>
      <c r="G139" s="83" t="str">
        <f t="shared" si="46"/>
        <v/>
      </c>
      <c r="H139" s="60"/>
      <c r="I139" s="80" t="str">
        <f t="shared" si="35"/>
        <v/>
      </c>
      <c r="J139" s="81" t="str">
        <f t="shared" si="47"/>
        <v/>
      </c>
      <c r="K139" s="82" t="str">
        <f t="shared" si="48"/>
        <v/>
      </c>
      <c r="L139" s="83" t="str">
        <f t="shared" si="49"/>
        <v/>
      </c>
      <c r="M139" s="60"/>
      <c r="N139" s="80" t="str">
        <f t="shared" si="36"/>
        <v/>
      </c>
      <c r="O139" s="81" t="str">
        <f t="shared" si="50"/>
        <v/>
      </c>
      <c r="P139" s="82" t="str">
        <f t="shared" si="51"/>
        <v/>
      </c>
      <c r="Q139" s="83" t="str">
        <f t="shared" si="52"/>
        <v/>
      </c>
      <c r="R139" s="60"/>
      <c r="S139" s="80" t="str">
        <f t="shared" si="37"/>
        <v/>
      </c>
      <c r="T139" s="81" t="str">
        <f t="shared" si="53"/>
        <v/>
      </c>
      <c r="U139" s="82" t="str">
        <f t="shared" si="54"/>
        <v/>
      </c>
      <c r="V139" s="83" t="str">
        <f t="shared" si="55"/>
        <v/>
      </c>
    </row>
    <row r="140" spans="2:22" s="84" customFormat="1">
      <c r="B140" s="60"/>
      <c r="C140" s="61"/>
      <c r="D140" s="80" t="str">
        <f t="shared" si="34"/>
        <v/>
      </c>
      <c r="E140" s="81" t="str">
        <f t="shared" si="44"/>
        <v/>
      </c>
      <c r="F140" s="82" t="str">
        <f t="shared" si="45"/>
        <v/>
      </c>
      <c r="G140" s="83" t="str">
        <f t="shared" si="46"/>
        <v/>
      </c>
      <c r="H140" s="60"/>
      <c r="I140" s="80" t="str">
        <f t="shared" si="35"/>
        <v/>
      </c>
      <c r="J140" s="81" t="str">
        <f t="shared" si="47"/>
        <v/>
      </c>
      <c r="K140" s="82" t="str">
        <f t="shared" si="48"/>
        <v/>
      </c>
      <c r="L140" s="83" t="str">
        <f t="shared" si="49"/>
        <v/>
      </c>
      <c r="M140" s="60"/>
      <c r="N140" s="80" t="str">
        <f t="shared" si="36"/>
        <v/>
      </c>
      <c r="O140" s="81" t="str">
        <f t="shared" si="50"/>
        <v/>
      </c>
      <c r="P140" s="82" t="str">
        <f t="shared" si="51"/>
        <v/>
      </c>
      <c r="Q140" s="83" t="str">
        <f t="shared" si="52"/>
        <v/>
      </c>
      <c r="R140" s="60"/>
      <c r="S140" s="80" t="str">
        <f t="shared" si="37"/>
        <v/>
      </c>
      <c r="T140" s="81" t="str">
        <f t="shared" si="53"/>
        <v/>
      </c>
      <c r="U140" s="82" t="str">
        <f t="shared" si="54"/>
        <v/>
      </c>
      <c r="V140" s="83" t="str">
        <f t="shared" si="55"/>
        <v/>
      </c>
    </row>
    <row r="141" spans="2:22" s="84" customFormat="1">
      <c r="B141" s="60"/>
      <c r="C141" s="61"/>
      <c r="D141" s="80" t="str">
        <f t="shared" si="34"/>
        <v/>
      </c>
      <c r="E141" s="81" t="str">
        <f t="shared" si="44"/>
        <v/>
      </c>
      <c r="F141" s="82" t="str">
        <f t="shared" si="45"/>
        <v/>
      </c>
      <c r="G141" s="83" t="str">
        <f t="shared" si="46"/>
        <v/>
      </c>
      <c r="H141" s="60"/>
      <c r="I141" s="80" t="str">
        <f t="shared" si="35"/>
        <v/>
      </c>
      <c r="J141" s="81" t="str">
        <f t="shared" si="47"/>
        <v/>
      </c>
      <c r="K141" s="82" t="str">
        <f t="shared" si="48"/>
        <v/>
      </c>
      <c r="L141" s="83" t="str">
        <f t="shared" si="49"/>
        <v/>
      </c>
      <c r="M141" s="60"/>
      <c r="N141" s="80" t="str">
        <f t="shared" si="36"/>
        <v/>
      </c>
      <c r="O141" s="81" t="str">
        <f t="shared" si="50"/>
        <v/>
      </c>
      <c r="P141" s="82" t="str">
        <f t="shared" si="51"/>
        <v/>
      </c>
      <c r="Q141" s="83" t="str">
        <f t="shared" si="52"/>
        <v/>
      </c>
      <c r="R141" s="60"/>
      <c r="S141" s="80" t="str">
        <f t="shared" si="37"/>
        <v/>
      </c>
      <c r="T141" s="81" t="str">
        <f t="shared" si="53"/>
        <v/>
      </c>
      <c r="U141" s="82" t="str">
        <f t="shared" si="54"/>
        <v/>
      </c>
      <c r="V141" s="83" t="str">
        <f t="shared" si="55"/>
        <v/>
      </c>
    </row>
    <row r="142" spans="2:22" s="84" customFormat="1">
      <c r="B142" s="60"/>
      <c r="C142" s="61"/>
      <c r="D142" s="80" t="str">
        <f t="shared" si="34"/>
        <v/>
      </c>
      <c r="E142" s="81" t="str">
        <f t="shared" si="44"/>
        <v/>
      </c>
      <c r="F142" s="82" t="str">
        <f t="shared" si="45"/>
        <v/>
      </c>
      <c r="G142" s="83" t="str">
        <f t="shared" si="46"/>
        <v/>
      </c>
      <c r="H142" s="60"/>
      <c r="I142" s="80" t="str">
        <f t="shared" si="35"/>
        <v/>
      </c>
      <c r="J142" s="81" t="str">
        <f t="shared" si="47"/>
        <v/>
      </c>
      <c r="K142" s="82" t="str">
        <f t="shared" si="48"/>
        <v/>
      </c>
      <c r="L142" s="83" t="str">
        <f t="shared" si="49"/>
        <v/>
      </c>
      <c r="M142" s="60"/>
      <c r="N142" s="80" t="str">
        <f t="shared" si="36"/>
        <v/>
      </c>
      <c r="O142" s="81" t="str">
        <f t="shared" si="50"/>
        <v/>
      </c>
      <c r="P142" s="82" t="str">
        <f t="shared" si="51"/>
        <v/>
      </c>
      <c r="Q142" s="83" t="str">
        <f t="shared" si="52"/>
        <v/>
      </c>
      <c r="R142" s="60"/>
      <c r="S142" s="80" t="str">
        <f t="shared" si="37"/>
        <v/>
      </c>
      <c r="T142" s="81" t="str">
        <f t="shared" si="53"/>
        <v/>
      </c>
      <c r="U142" s="82" t="str">
        <f t="shared" si="54"/>
        <v/>
      </c>
      <c r="V142" s="83" t="str">
        <f t="shared" si="55"/>
        <v/>
      </c>
    </row>
    <row r="143" spans="2:22" s="84" customFormat="1">
      <c r="B143" s="60"/>
      <c r="C143" s="61"/>
      <c r="D143" s="80" t="str">
        <f t="shared" si="34"/>
        <v/>
      </c>
      <c r="E143" s="81" t="str">
        <f t="shared" si="44"/>
        <v/>
      </c>
      <c r="F143" s="82" t="str">
        <f t="shared" si="45"/>
        <v/>
      </c>
      <c r="G143" s="83" t="str">
        <f t="shared" si="46"/>
        <v/>
      </c>
      <c r="H143" s="60"/>
      <c r="I143" s="80" t="str">
        <f t="shared" si="35"/>
        <v/>
      </c>
      <c r="J143" s="81" t="str">
        <f t="shared" si="47"/>
        <v/>
      </c>
      <c r="K143" s="82" t="str">
        <f t="shared" si="48"/>
        <v/>
      </c>
      <c r="L143" s="83" t="str">
        <f t="shared" si="49"/>
        <v/>
      </c>
      <c r="M143" s="60"/>
      <c r="N143" s="80" t="str">
        <f t="shared" si="36"/>
        <v/>
      </c>
      <c r="O143" s="81" t="str">
        <f t="shared" si="50"/>
        <v/>
      </c>
      <c r="P143" s="82" t="str">
        <f t="shared" si="51"/>
        <v/>
      </c>
      <c r="Q143" s="83" t="str">
        <f t="shared" si="52"/>
        <v/>
      </c>
      <c r="R143" s="60"/>
      <c r="S143" s="80" t="str">
        <f t="shared" si="37"/>
        <v/>
      </c>
      <c r="T143" s="81" t="str">
        <f t="shared" si="53"/>
        <v/>
      </c>
      <c r="U143" s="82" t="str">
        <f t="shared" si="54"/>
        <v/>
      </c>
      <c r="V143" s="83" t="str">
        <f t="shared" si="55"/>
        <v/>
      </c>
    </row>
    <row r="144" spans="2:22" s="84" customFormat="1">
      <c r="B144" s="60"/>
      <c r="C144" s="61"/>
      <c r="D144" s="80" t="str">
        <f t="shared" si="34"/>
        <v/>
      </c>
      <c r="E144" s="81" t="str">
        <f t="shared" si="44"/>
        <v/>
      </c>
      <c r="F144" s="82" t="str">
        <f t="shared" si="45"/>
        <v/>
      </c>
      <c r="G144" s="83" t="str">
        <f t="shared" si="46"/>
        <v/>
      </c>
      <c r="H144" s="60"/>
      <c r="I144" s="80" t="str">
        <f t="shared" si="35"/>
        <v/>
      </c>
      <c r="J144" s="81" t="str">
        <f t="shared" si="47"/>
        <v/>
      </c>
      <c r="K144" s="82" t="str">
        <f t="shared" si="48"/>
        <v/>
      </c>
      <c r="L144" s="83" t="str">
        <f t="shared" si="49"/>
        <v/>
      </c>
      <c r="M144" s="60"/>
      <c r="N144" s="80" t="str">
        <f t="shared" si="36"/>
        <v/>
      </c>
      <c r="O144" s="81" t="str">
        <f t="shared" si="50"/>
        <v/>
      </c>
      <c r="P144" s="82" t="str">
        <f t="shared" si="51"/>
        <v/>
      </c>
      <c r="Q144" s="83" t="str">
        <f t="shared" si="52"/>
        <v/>
      </c>
      <c r="R144" s="60"/>
      <c r="S144" s="80" t="str">
        <f t="shared" si="37"/>
        <v/>
      </c>
      <c r="T144" s="81" t="str">
        <f t="shared" si="53"/>
        <v/>
      </c>
      <c r="U144" s="82" t="str">
        <f t="shared" si="54"/>
        <v/>
      </c>
      <c r="V144" s="83" t="str">
        <f t="shared" si="55"/>
        <v/>
      </c>
    </row>
    <row r="145" spans="2:22" s="84" customFormat="1">
      <c r="B145" s="60"/>
      <c r="C145" s="61"/>
      <c r="D145" s="80" t="str">
        <f t="shared" ref="D145:D200" si="56">IF(D144&gt;=$D$4,"",EOMONTH(D144,1))</f>
        <v/>
      </c>
      <c r="E145" s="81" t="str">
        <f t="shared" si="44"/>
        <v/>
      </c>
      <c r="F145" s="82" t="str">
        <f t="shared" si="45"/>
        <v/>
      </c>
      <c r="G145" s="83" t="str">
        <f t="shared" si="46"/>
        <v/>
      </c>
      <c r="H145" s="60"/>
      <c r="I145" s="80" t="str">
        <f t="shared" ref="I145:I200" si="57">IF(I144&gt;=$D$4,"",EOMONTH(I144,1))</f>
        <v/>
      </c>
      <c r="J145" s="81" t="str">
        <f t="shared" si="47"/>
        <v/>
      </c>
      <c r="K145" s="82" t="str">
        <f t="shared" si="48"/>
        <v/>
      </c>
      <c r="L145" s="83" t="str">
        <f t="shared" si="49"/>
        <v/>
      </c>
      <c r="M145" s="60"/>
      <c r="N145" s="80" t="str">
        <f t="shared" ref="N145:N200" si="58">IF(N144&gt;=$D$4,"",EOMONTH(N144,1))</f>
        <v/>
      </c>
      <c r="O145" s="81" t="str">
        <f t="shared" si="50"/>
        <v/>
      </c>
      <c r="P145" s="82" t="str">
        <f t="shared" si="51"/>
        <v/>
      </c>
      <c r="Q145" s="83" t="str">
        <f t="shared" si="52"/>
        <v/>
      </c>
      <c r="R145" s="60"/>
      <c r="S145" s="80" t="str">
        <f t="shared" ref="S145:S200" si="59">IF(S144&gt;=$D$4,"",EOMONTH(S144,1))</f>
        <v/>
      </c>
      <c r="T145" s="81" t="str">
        <f t="shared" si="53"/>
        <v/>
      </c>
      <c r="U145" s="82" t="str">
        <f t="shared" si="54"/>
        <v/>
      </c>
      <c r="V145" s="83" t="str">
        <f t="shared" si="55"/>
        <v/>
      </c>
    </row>
    <row r="146" spans="2:22" s="84" customFormat="1">
      <c r="B146" s="60"/>
      <c r="C146" s="61"/>
      <c r="D146" s="80" t="str">
        <f t="shared" si="56"/>
        <v/>
      </c>
      <c r="E146" s="81" t="str">
        <f t="shared" si="44"/>
        <v/>
      </c>
      <c r="F146" s="82" t="str">
        <f t="shared" si="45"/>
        <v/>
      </c>
      <c r="G146" s="83" t="str">
        <f t="shared" si="46"/>
        <v/>
      </c>
      <c r="H146" s="60"/>
      <c r="I146" s="80" t="str">
        <f t="shared" si="57"/>
        <v/>
      </c>
      <c r="J146" s="81" t="str">
        <f t="shared" si="47"/>
        <v/>
      </c>
      <c r="K146" s="82" t="str">
        <f t="shared" si="48"/>
        <v/>
      </c>
      <c r="L146" s="83" t="str">
        <f t="shared" si="49"/>
        <v/>
      </c>
      <c r="M146" s="60"/>
      <c r="N146" s="80" t="str">
        <f t="shared" si="58"/>
        <v/>
      </c>
      <c r="O146" s="81" t="str">
        <f t="shared" si="50"/>
        <v/>
      </c>
      <c r="P146" s="82" t="str">
        <f t="shared" si="51"/>
        <v/>
      </c>
      <c r="Q146" s="83" t="str">
        <f t="shared" si="52"/>
        <v/>
      </c>
      <c r="R146" s="60"/>
      <c r="S146" s="80" t="str">
        <f t="shared" si="59"/>
        <v/>
      </c>
      <c r="T146" s="81" t="str">
        <f t="shared" si="53"/>
        <v/>
      </c>
      <c r="U146" s="82" t="str">
        <f t="shared" si="54"/>
        <v/>
      </c>
      <c r="V146" s="83" t="str">
        <f t="shared" si="55"/>
        <v/>
      </c>
    </row>
    <row r="147" spans="2:22" s="84" customFormat="1">
      <c r="B147" s="60"/>
      <c r="C147" s="61"/>
      <c r="D147" s="80" t="str">
        <f t="shared" si="56"/>
        <v/>
      </c>
      <c r="E147" s="81" t="str">
        <f t="shared" si="44"/>
        <v/>
      </c>
      <c r="F147" s="82" t="str">
        <f t="shared" si="45"/>
        <v/>
      </c>
      <c r="G147" s="83" t="str">
        <f t="shared" si="46"/>
        <v/>
      </c>
      <c r="H147" s="60"/>
      <c r="I147" s="80" t="str">
        <f t="shared" si="57"/>
        <v/>
      </c>
      <c r="J147" s="81" t="str">
        <f t="shared" si="47"/>
        <v/>
      </c>
      <c r="K147" s="82" t="str">
        <f t="shared" si="48"/>
        <v/>
      </c>
      <c r="L147" s="83" t="str">
        <f t="shared" si="49"/>
        <v/>
      </c>
      <c r="M147" s="60"/>
      <c r="N147" s="80" t="str">
        <f t="shared" si="58"/>
        <v/>
      </c>
      <c r="O147" s="81" t="str">
        <f t="shared" si="50"/>
        <v/>
      </c>
      <c r="P147" s="82" t="str">
        <f t="shared" si="51"/>
        <v/>
      </c>
      <c r="Q147" s="83" t="str">
        <f t="shared" si="52"/>
        <v/>
      </c>
      <c r="R147" s="60"/>
      <c r="S147" s="80" t="str">
        <f t="shared" si="59"/>
        <v/>
      </c>
      <c r="T147" s="81" t="str">
        <f t="shared" si="53"/>
        <v/>
      </c>
      <c r="U147" s="82" t="str">
        <f t="shared" si="54"/>
        <v/>
      </c>
      <c r="V147" s="83" t="str">
        <f t="shared" si="55"/>
        <v/>
      </c>
    </row>
    <row r="148" spans="2:22" s="84" customFormat="1">
      <c r="B148" s="60"/>
      <c r="C148" s="61"/>
      <c r="D148" s="80" t="str">
        <f t="shared" si="56"/>
        <v/>
      </c>
      <c r="E148" s="81" t="str">
        <f t="shared" si="44"/>
        <v/>
      </c>
      <c r="F148" s="82" t="str">
        <f t="shared" si="45"/>
        <v/>
      </c>
      <c r="G148" s="83" t="str">
        <f t="shared" si="46"/>
        <v/>
      </c>
      <c r="H148" s="60"/>
      <c r="I148" s="80" t="str">
        <f t="shared" si="57"/>
        <v/>
      </c>
      <c r="J148" s="81" t="str">
        <f t="shared" si="47"/>
        <v/>
      </c>
      <c r="K148" s="82" t="str">
        <f t="shared" si="48"/>
        <v/>
      </c>
      <c r="L148" s="83" t="str">
        <f t="shared" si="49"/>
        <v/>
      </c>
      <c r="M148" s="60"/>
      <c r="N148" s="80" t="str">
        <f t="shared" si="58"/>
        <v/>
      </c>
      <c r="O148" s="81" t="str">
        <f t="shared" si="50"/>
        <v/>
      </c>
      <c r="P148" s="82" t="str">
        <f t="shared" si="51"/>
        <v/>
      </c>
      <c r="Q148" s="83" t="str">
        <f t="shared" si="52"/>
        <v/>
      </c>
      <c r="R148" s="60"/>
      <c r="S148" s="80" t="str">
        <f t="shared" si="59"/>
        <v/>
      </c>
      <c r="T148" s="81" t="str">
        <f t="shared" si="53"/>
        <v/>
      </c>
      <c r="U148" s="82" t="str">
        <f t="shared" si="54"/>
        <v/>
      </c>
      <c r="V148" s="83" t="str">
        <f t="shared" si="55"/>
        <v/>
      </c>
    </row>
    <row r="149" spans="2:22" s="84" customFormat="1">
      <c r="B149" s="60"/>
      <c r="C149" s="61"/>
      <c r="D149" s="80" t="str">
        <f t="shared" si="56"/>
        <v/>
      </c>
      <c r="E149" s="81" t="str">
        <f t="shared" si="44"/>
        <v/>
      </c>
      <c r="F149" s="82" t="str">
        <f t="shared" si="45"/>
        <v/>
      </c>
      <c r="G149" s="83" t="str">
        <f t="shared" si="46"/>
        <v/>
      </c>
      <c r="H149" s="60"/>
      <c r="I149" s="80" t="str">
        <f t="shared" si="57"/>
        <v/>
      </c>
      <c r="J149" s="81" t="str">
        <f t="shared" si="47"/>
        <v/>
      </c>
      <c r="K149" s="82" t="str">
        <f t="shared" si="48"/>
        <v/>
      </c>
      <c r="L149" s="83" t="str">
        <f t="shared" si="49"/>
        <v/>
      </c>
      <c r="M149" s="60"/>
      <c r="N149" s="80" t="str">
        <f t="shared" si="58"/>
        <v/>
      </c>
      <c r="O149" s="81" t="str">
        <f t="shared" si="50"/>
        <v/>
      </c>
      <c r="P149" s="82" t="str">
        <f t="shared" si="51"/>
        <v/>
      </c>
      <c r="Q149" s="83" t="str">
        <f t="shared" si="52"/>
        <v/>
      </c>
      <c r="R149" s="60"/>
      <c r="S149" s="80" t="str">
        <f t="shared" si="59"/>
        <v/>
      </c>
      <c r="T149" s="81" t="str">
        <f t="shared" si="53"/>
        <v/>
      </c>
      <c r="U149" s="82" t="str">
        <f t="shared" si="54"/>
        <v/>
      </c>
      <c r="V149" s="83" t="str">
        <f t="shared" si="55"/>
        <v/>
      </c>
    </row>
    <row r="150" spans="2:22" s="84" customFormat="1">
      <c r="B150" s="60"/>
      <c r="C150" s="61"/>
      <c r="D150" s="80" t="str">
        <f t="shared" si="56"/>
        <v/>
      </c>
      <c r="E150" s="81" t="str">
        <f t="shared" si="44"/>
        <v/>
      </c>
      <c r="F150" s="82" t="str">
        <f t="shared" si="45"/>
        <v/>
      </c>
      <c r="G150" s="83" t="str">
        <f t="shared" si="46"/>
        <v/>
      </c>
      <c r="H150" s="60"/>
      <c r="I150" s="80" t="str">
        <f t="shared" si="57"/>
        <v/>
      </c>
      <c r="J150" s="81" t="str">
        <f t="shared" si="47"/>
        <v/>
      </c>
      <c r="K150" s="82" t="str">
        <f t="shared" si="48"/>
        <v/>
      </c>
      <c r="L150" s="83" t="str">
        <f t="shared" si="49"/>
        <v/>
      </c>
      <c r="M150" s="60"/>
      <c r="N150" s="80" t="str">
        <f t="shared" si="58"/>
        <v/>
      </c>
      <c r="O150" s="81" t="str">
        <f t="shared" si="50"/>
        <v/>
      </c>
      <c r="P150" s="82" t="str">
        <f t="shared" si="51"/>
        <v/>
      </c>
      <c r="Q150" s="83" t="str">
        <f t="shared" si="52"/>
        <v/>
      </c>
      <c r="R150" s="60"/>
      <c r="S150" s="80" t="str">
        <f t="shared" si="59"/>
        <v/>
      </c>
      <c r="T150" s="81" t="str">
        <f t="shared" si="53"/>
        <v/>
      </c>
      <c r="U150" s="82" t="str">
        <f t="shared" si="54"/>
        <v/>
      </c>
      <c r="V150" s="83" t="str">
        <f t="shared" si="55"/>
        <v/>
      </c>
    </row>
    <row r="151" spans="2:22" s="84" customFormat="1">
      <c r="B151" s="60"/>
      <c r="C151" s="61"/>
      <c r="D151" s="80" t="str">
        <f t="shared" si="56"/>
        <v/>
      </c>
      <c r="E151" s="81" t="str">
        <f t="shared" si="44"/>
        <v/>
      </c>
      <c r="F151" s="82" t="str">
        <f t="shared" si="45"/>
        <v/>
      </c>
      <c r="G151" s="83" t="str">
        <f t="shared" si="46"/>
        <v/>
      </c>
      <c r="H151" s="60"/>
      <c r="I151" s="80" t="str">
        <f t="shared" si="57"/>
        <v/>
      </c>
      <c r="J151" s="81" t="str">
        <f t="shared" si="47"/>
        <v/>
      </c>
      <c r="K151" s="82" t="str">
        <f t="shared" si="48"/>
        <v/>
      </c>
      <c r="L151" s="83" t="str">
        <f t="shared" si="49"/>
        <v/>
      </c>
      <c r="M151" s="60"/>
      <c r="N151" s="80" t="str">
        <f t="shared" si="58"/>
        <v/>
      </c>
      <c r="O151" s="81" t="str">
        <f t="shared" si="50"/>
        <v/>
      </c>
      <c r="P151" s="82" t="str">
        <f t="shared" si="51"/>
        <v/>
      </c>
      <c r="Q151" s="83" t="str">
        <f t="shared" si="52"/>
        <v/>
      </c>
      <c r="R151" s="60"/>
      <c r="S151" s="80" t="str">
        <f t="shared" si="59"/>
        <v/>
      </c>
      <c r="T151" s="81" t="str">
        <f t="shared" si="53"/>
        <v/>
      </c>
      <c r="U151" s="82" t="str">
        <f t="shared" si="54"/>
        <v/>
      </c>
      <c r="V151" s="83" t="str">
        <f t="shared" si="55"/>
        <v/>
      </c>
    </row>
    <row r="152" spans="2:22" s="84" customFormat="1">
      <c r="B152" s="60"/>
      <c r="C152" s="61"/>
      <c r="D152" s="80" t="str">
        <f t="shared" si="56"/>
        <v/>
      </c>
      <c r="E152" s="81" t="str">
        <f t="shared" si="44"/>
        <v/>
      </c>
      <c r="F152" s="82" t="str">
        <f t="shared" si="45"/>
        <v/>
      </c>
      <c r="G152" s="83" t="str">
        <f t="shared" si="46"/>
        <v/>
      </c>
      <c r="H152" s="60"/>
      <c r="I152" s="80" t="str">
        <f t="shared" si="57"/>
        <v/>
      </c>
      <c r="J152" s="81" t="str">
        <f t="shared" si="47"/>
        <v/>
      </c>
      <c r="K152" s="82" t="str">
        <f t="shared" si="48"/>
        <v/>
      </c>
      <c r="L152" s="83" t="str">
        <f t="shared" si="49"/>
        <v/>
      </c>
      <c r="M152" s="60"/>
      <c r="N152" s="80" t="str">
        <f t="shared" si="58"/>
        <v/>
      </c>
      <c r="O152" s="81" t="str">
        <f t="shared" si="50"/>
        <v/>
      </c>
      <c r="P152" s="82" t="str">
        <f t="shared" si="51"/>
        <v/>
      </c>
      <c r="Q152" s="83" t="str">
        <f t="shared" si="52"/>
        <v/>
      </c>
      <c r="R152" s="60"/>
      <c r="S152" s="80" t="str">
        <f t="shared" si="59"/>
        <v/>
      </c>
      <c r="T152" s="81" t="str">
        <f t="shared" si="53"/>
        <v/>
      </c>
      <c r="U152" s="82" t="str">
        <f t="shared" si="54"/>
        <v/>
      </c>
      <c r="V152" s="83" t="str">
        <f t="shared" si="55"/>
        <v/>
      </c>
    </row>
    <row r="153" spans="2:22" s="84" customFormat="1">
      <c r="B153" s="60"/>
      <c r="C153" s="61"/>
      <c r="D153" s="80" t="str">
        <f t="shared" si="56"/>
        <v/>
      </c>
      <c r="E153" s="81" t="str">
        <f t="shared" si="44"/>
        <v/>
      </c>
      <c r="F153" s="82" t="str">
        <f t="shared" si="45"/>
        <v/>
      </c>
      <c r="G153" s="83" t="str">
        <f t="shared" si="46"/>
        <v/>
      </c>
      <c r="H153" s="60"/>
      <c r="I153" s="80" t="str">
        <f t="shared" si="57"/>
        <v/>
      </c>
      <c r="J153" s="81" t="str">
        <f t="shared" si="47"/>
        <v/>
      </c>
      <c r="K153" s="82" t="str">
        <f t="shared" si="48"/>
        <v/>
      </c>
      <c r="L153" s="83" t="str">
        <f t="shared" si="49"/>
        <v/>
      </c>
      <c r="M153" s="60"/>
      <c r="N153" s="80" t="str">
        <f t="shared" si="58"/>
        <v/>
      </c>
      <c r="O153" s="81" t="str">
        <f t="shared" si="50"/>
        <v/>
      </c>
      <c r="P153" s="82" t="str">
        <f t="shared" si="51"/>
        <v/>
      </c>
      <c r="Q153" s="83" t="str">
        <f t="shared" si="52"/>
        <v/>
      </c>
      <c r="R153" s="60"/>
      <c r="S153" s="80" t="str">
        <f t="shared" si="59"/>
        <v/>
      </c>
      <c r="T153" s="81" t="str">
        <f t="shared" si="53"/>
        <v/>
      </c>
      <c r="U153" s="82" t="str">
        <f t="shared" si="54"/>
        <v/>
      </c>
      <c r="V153" s="83" t="str">
        <f t="shared" si="55"/>
        <v/>
      </c>
    </row>
    <row r="154" spans="2:22" s="84" customFormat="1">
      <c r="B154" s="60"/>
      <c r="C154" s="61"/>
      <c r="D154" s="80" t="str">
        <f t="shared" si="56"/>
        <v/>
      </c>
      <c r="E154" s="81" t="str">
        <f t="shared" si="44"/>
        <v/>
      </c>
      <c r="F154" s="82" t="str">
        <f t="shared" si="45"/>
        <v/>
      </c>
      <c r="G154" s="83" t="str">
        <f t="shared" si="46"/>
        <v/>
      </c>
      <c r="H154" s="60"/>
      <c r="I154" s="80" t="str">
        <f t="shared" si="57"/>
        <v/>
      </c>
      <c r="J154" s="81" t="str">
        <f t="shared" si="47"/>
        <v/>
      </c>
      <c r="K154" s="82" t="str">
        <f t="shared" si="48"/>
        <v/>
      </c>
      <c r="L154" s="83" t="str">
        <f t="shared" si="49"/>
        <v/>
      </c>
      <c r="M154" s="60"/>
      <c r="N154" s="80" t="str">
        <f t="shared" si="58"/>
        <v/>
      </c>
      <c r="O154" s="81" t="str">
        <f t="shared" si="50"/>
        <v/>
      </c>
      <c r="P154" s="82" t="str">
        <f t="shared" si="51"/>
        <v/>
      </c>
      <c r="Q154" s="83" t="str">
        <f t="shared" si="52"/>
        <v/>
      </c>
      <c r="R154" s="60"/>
      <c r="S154" s="80" t="str">
        <f t="shared" si="59"/>
        <v/>
      </c>
      <c r="T154" s="81" t="str">
        <f t="shared" si="53"/>
        <v/>
      </c>
      <c r="U154" s="82" t="str">
        <f t="shared" si="54"/>
        <v/>
      </c>
      <c r="V154" s="83" t="str">
        <f t="shared" si="55"/>
        <v/>
      </c>
    </row>
    <row r="155" spans="2:22" s="84" customFormat="1">
      <c r="B155" s="60"/>
      <c r="C155" s="61"/>
      <c r="D155" s="80" t="str">
        <f t="shared" si="56"/>
        <v/>
      </c>
      <c r="E155" s="81" t="str">
        <f t="shared" si="44"/>
        <v/>
      </c>
      <c r="F155" s="82" t="str">
        <f t="shared" si="45"/>
        <v/>
      </c>
      <c r="G155" s="83" t="str">
        <f t="shared" si="46"/>
        <v/>
      </c>
      <c r="H155" s="60"/>
      <c r="I155" s="80" t="str">
        <f t="shared" si="57"/>
        <v/>
      </c>
      <c r="J155" s="81" t="str">
        <f t="shared" si="47"/>
        <v/>
      </c>
      <c r="K155" s="82" t="str">
        <f t="shared" si="48"/>
        <v/>
      </c>
      <c r="L155" s="83" t="str">
        <f t="shared" si="49"/>
        <v/>
      </c>
      <c r="M155" s="60"/>
      <c r="N155" s="80" t="str">
        <f t="shared" si="58"/>
        <v/>
      </c>
      <c r="O155" s="81" t="str">
        <f t="shared" si="50"/>
        <v/>
      </c>
      <c r="P155" s="82" t="str">
        <f t="shared" si="51"/>
        <v/>
      </c>
      <c r="Q155" s="83" t="str">
        <f t="shared" si="52"/>
        <v/>
      </c>
      <c r="R155" s="60"/>
      <c r="S155" s="80" t="str">
        <f t="shared" si="59"/>
        <v/>
      </c>
      <c r="T155" s="81" t="str">
        <f t="shared" si="53"/>
        <v/>
      </c>
      <c r="U155" s="82" t="str">
        <f t="shared" si="54"/>
        <v/>
      </c>
      <c r="V155" s="83" t="str">
        <f t="shared" si="55"/>
        <v/>
      </c>
    </row>
    <row r="156" spans="2:22" s="84" customFormat="1">
      <c r="B156" s="60"/>
      <c r="C156" s="61"/>
      <c r="D156" s="80" t="str">
        <f t="shared" si="56"/>
        <v/>
      </c>
      <c r="E156" s="81" t="str">
        <f t="shared" si="44"/>
        <v/>
      </c>
      <c r="F156" s="82" t="str">
        <f t="shared" si="45"/>
        <v/>
      </c>
      <c r="G156" s="83" t="str">
        <f t="shared" si="46"/>
        <v/>
      </c>
      <c r="H156" s="60"/>
      <c r="I156" s="80" t="str">
        <f t="shared" si="57"/>
        <v/>
      </c>
      <c r="J156" s="81" t="str">
        <f t="shared" si="47"/>
        <v/>
      </c>
      <c r="K156" s="82" t="str">
        <f t="shared" si="48"/>
        <v/>
      </c>
      <c r="L156" s="83" t="str">
        <f t="shared" si="49"/>
        <v/>
      </c>
      <c r="M156" s="60"/>
      <c r="N156" s="80" t="str">
        <f t="shared" si="58"/>
        <v/>
      </c>
      <c r="O156" s="81" t="str">
        <f t="shared" si="50"/>
        <v/>
      </c>
      <c r="P156" s="82" t="str">
        <f t="shared" si="51"/>
        <v/>
      </c>
      <c r="Q156" s="83" t="str">
        <f t="shared" si="52"/>
        <v/>
      </c>
      <c r="R156" s="60"/>
      <c r="S156" s="80" t="str">
        <f t="shared" si="59"/>
        <v/>
      </c>
      <c r="T156" s="81" t="str">
        <f t="shared" si="53"/>
        <v/>
      </c>
      <c r="U156" s="82" t="str">
        <f t="shared" si="54"/>
        <v/>
      </c>
      <c r="V156" s="83" t="str">
        <f t="shared" si="55"/>
        <v/>
      </c>
    </row>
    <row r="157" spans="2:22" s="84" customFormat="1">
      <c r="B157" s="60"/>
      <c r="C157" s="61"/>
      <c r="D157" s="80" t="str">
        <f t="shared" si="56"/>
        <v/>
      </c>
      <c r="E157" s="81" t="str">
        <f t="shared" si="44"/>
        <v/>
      </c>
      <c r="F157" s="82" t="str">
        <f t="shared" si="45"/>
        <v/>
      </c>
      <c r="G157" s="83" t="str">
        <f t="shared" si="46"/>
        <v/>
      </c>
      <c r="H157" s="60"/>
      <c r="I157" s="80" t="str">
        <f t="shared" si="57"/>
        <v/>
      </c>
      <c r="J157" s="81" t="str">
        <f t="shared" si="47"/>
        <v/>
      </c>
      <c r="K157" s="82" t="str">
        <f t="shared" si="48"/>
        <v/>
      </c>
      <c r="L157" s="83" t="str">
        <f t="shared" si="49"/>
        <v/>
      </c>
      <c r="M157" s="60"/>
      <c r="N157" s="80" t="str">
        <f t="shared" si="58"/>
        <v/>
      </c>
      <c r="O157" s="81" t="str">
        <f t="shared" si="50"/>
        <v/>
      </c>
      <c r="P157" s="82" t="str">
        <f t="shared" si="51"/>
        <v/>
      </c>
      <c r="Q157" s="83" t="str">
        <f t="shared" si="52"/>
        <v/>
      </c>
      <c r="R157" s="60"/>
      <c r="S157" s="80" t="str">
        <f t="shared" si="59"/>
        <v/>
      </c>
      <c r="T157" s="81" t="str">
        <f t="shared" si="53"/>
        <v/>
      </c>
      <c r="U157" s="82" t="str">
        <f t="shared" si="54"/>
        <v/>
      </c>
      <c r="V157" s="83" t="str">
        <f t="shared" si="55"/>
        <v/>
      </c>
    </row>
    <row r="158" spans="2:22" s="84" customFormat="1">
      <c r="B158" s="60"/>
      <c r="C158" s="61"/>
      <c r="D158" s="80" t="str">
        <f t="shared" si="56"/>
        <v/>
      </c>
      <c r="E158" s="81" t="str">
        <f t="shared" si="44"/>
        <v/>
      </c>
      <c r="F158" s="82" t="str">
        <f t="shared" si="45"/>
        <v/>
      </c>
      <c r="G158" s="83" t="str">
        <f t="shared" si="46"/>
        <v/>
      </c>
      <c r="H158" s="60"/>
      <c r="I158" s="80" t="str">
        <f t="shared" si="57"/>
        <v/>
      </c>
      <c r="J158" s="81" t="str">
        <f t="shared" si="47"/>
        <v/>
      </c>
      <c r="K158" s="82" t="str">
        <f t="shared" si="48"/>
        <v/>
      </c>
      <c r="L158" s="83" t="str">
        <f t="shared" si="49"/>
        <v/>
      </c>
      <c r="M158" s="60"/>
      <c r="N158" s="80" t="str">
        <f t="shared" si="58"/>
        <v/>
      </c>
      <c r="O158" s="81" t="str">
        <f t="shared" si="50"/>
        <v/>
      </c>
      <c r="P158" s="82" t="str">
        <f t="shared" si="51"/>
        <v/>
      </c>
      <c r="Q158" s="83" t="str">
        <f t="shared" si="52"/>
        <v/>
      </c>
      <c r="R158" s="60"/>
      <c r="S158" s="80" t="str">
        <f t="shared" si="59"/>
        <v/>
      </c>
      <c r="T158" s="81" t="str">
        <f t="shared" si="53"/>
        <v/>
      </c>
      <c r="U158" s="82" t="str">
        <f t="shared" si="54"/>
        <v/>
      </c>
      <c r="V158" s="83" t="str">
        <f t="shared" si="55"/>
        <v/>
      </c>
    </row>
    <row r="159" spans="2:22" s="84" customFormat="1">
      <c r="B159" s="60"/>
      <c r="C159" s="61"/>
      <c r="D159" s="80" t="str">
        <f t="shared" si="56"/>
        <v/>
      </c>
      <c r="E159" s="81" t="str">
        <f t="shared" si="44"/>
        <v/>
      </c>
      <c r="F159" s="82" t="str">
        <f t="shared" si="45"/>
        <v/>
      </c>
      <c r="G159" s="83" t="str">
        <f t="shared" si="46"/>
        <v/>
      </c>
      <c r="H159" s="60"/>
      <c r="I159" s="80" t="str">
        <f t="shared" si="57"/>
        <v/>
      </c>
      <c r="J159" s="81" t="str">
        <f t="shared" si="47"/>
        <v/>
      </c>
      <c r="K159" s="82" t="str">
        <f t="shared" si="48"/>
        <v/>
      </c>
      <c r="L159" s="83" t="str">
        <f t="shared" si="49"/>
        <v/>
      </c>
      <c r="M159" s="60"/>
      <c r="N159" s="80" t="str">
        <f t="shared" si="58"/>
        <v/>
      </c>
      <c r="O159" s="81" t="str">
        <f t="shared" si="50"/>
        <v/>
      </c>
      <c r="P159" s="82" t="str">
        <f t="shared" si="51"/>
        <v/>
      </c>
      <c r="Q159" s="83" t="str">
        <f t="shared" si="52"/>
        <v/>
      </c>
      <c r="R159" s="60"/>
      <c r="S159" s="80" t="str">
        <f t="shared" si="59"/>
        <v/>
      </c>
      <c r="T159" s="81" t="str">
        <f t="shared" si="53"/>
        <v/>
      </c>
      <c r="U159" s="82" t="str">
        <f t="shared" si="54"/>
        <v/>
      </c>
      <c r="V159" s="83" t="str">
        <f t="shared" si="55"/>
        <v/>
      </c>
    </row>
    <row r="160" spans="2:22" s="84" customFormat="1">
      <c r="B160" s="60"/>
      <c r="C160" s="61"/>
      <c r="D160" s="80" t="str">
        <f t="shared" si="56"/>
        <v/>
      </c>
      <c r="E160" s="81" t="str">
        <f t="shared" si="44"/>
        <v/>
      </c>
      <c r="F160" s="82" t="str">
        <f t="shared" si="45"/>
        <v/>
      </c>
      <c r="G160" s="83" t="str">
        <f t="shared" si="46"/>
        <v/>
      </c>
      <c r="H160" s="60"/>
      <c r="I160" s="80" t="str">
        <f t="shared" si="57"/>
        <v/>
      </c>
      <c r="J160" s="81" t="str">
        <f t="shared" si="47"/>
        <v/>
      </c>
      <c r="K160" s="82" t="str">
        <f t="shared" si="48"/>
        <v/>
      </c>
      <c r="L160" s="83" t="str">
        <f t="shared" si="49"/>
        <v/>
      </c>
      <c r="M160" s="60"/>
      <c r="N160" s="80" t="str">
        <f t="shared" si="58"/>
        <v/>
      </c>
      <c r="O160" s="81" t="str">
        <f t="shared" si="50"/>
        <v/>
      </c>
      <c r="P160" s="82" t="str">
        <f t="shared" si="51"/>
        <v/>
      </c>
      <c r="Q160" s="83" t="str">
        <f t="shared" si="52"/>
        <v/>
      </c>
      <c r="R160" s="60"/>
      <c r="S160" s="80" t="str">
        <f t="shared" si="59"/>
        <v/>
      </c>
      <c r="T160" s="81" t="str">
        <f t="shared" si="53"/>
        <v/>
      </c>
      <c r="U160" s="82" t="str">
        <f t="shared" si="54"/>
        <v/>
      </c>
      <c r="V160" s="83" t="str">
        <f t="shared" si="55"/>
        <v/>
      </c>
    </row>
    <row r="161" spans="2:22" s="84" customFormat="1">
      <c r="B161" s="60"/>
      <c r="C161" s="61"/>
      <c r="D161" s="80" t="str">
        <f t="shared" si="56"/>
        <v/>
      </c>
      <c r="E161" s="81" t="str">
        <f t="shared" si="44"/>
        <v/>
      </c>
      <c r="F161" s="82" t="str">
        <f t="shared" si="45"/>
        <v/>
      </c>
      <c r="G161" s="83" t="str">
        <f t="shared" si="46"/>
        <v/>
      </c>
      <c r="H161" s="60"/>
      <c r="I161" s="80" t="str">
        <f t="shared" si="57"/>
        <v/>
      </c>
      <c r="J161" s="81" t="str">
        <f t="shared" si="47"/>
        <v/>
      </c>
      <c r="K161" s="82" t="str">
        <f t="shared" si="48"/>
        <v/>
      </c>
      <c r="L161" s="83" t="str">
        <f t="shared" si="49"/>
        <v/>
      </c>
      <c r="M161" s="60"/>
      <c r="N161" s="80" t="str">
        <f t="shared" si="58"/>
        <v/>
      </c>
      <c r="O161" s="81" t="str">
        <f t="shared" si="50"/>
        <v/>
      </c>
      <c r="P161" s="82" t="str">
        <f t="shared" si="51"/>
        <v/>
      </c>
      <c r="Q161" s="83" t="str">
        <f t="shared" si="52"/>
        <v/>
      </c>
      <c r="R161" s="60"/>
      <c r="S161" s="80" t="str">
        <f t="shared" si="59"/>
        <v/>
      </c>
      <c r="T161" s="81" t="str">
        <f t="shared" si="53"/>
        <v/>
      </c>
      <c r="U161" s="82" t="str">
        <f t="shared" si="54"/>
        <v/>
      </c>
      <c r="V161" s="83" t="str">
        <f t="shared" si="55"/>
        <v/>
      </c>
    </row>
    <row r="162" spans="2:22" s="84" customFormat="1">
      <c r="B162" s="60"/>
      <c r="C162" s="61"/>
      <c r="D162" s="80" t="str">
        <f t="shared" si="56"/>
        <v/>
      </c>
      <c r="E162" s="81" t="str">
        <f t="shared" si="44"/>
        <v/>
      </c>
      <c r="F162" s="82" t="str">
        <f t="shared" si="45"/>
        <v/>
      </c>
      <c r="G162" s="83" t="str">
        <f t="shared" si="46"/>
        <v/>
      </c>
      <c r="H162" s="60"/>
      <c r="I162" s="80" t="str">
        <f t="shared" si="57"/>
        <v/>
      </c>
      <c r="J162" s="81" t="str">
        <f t="shared" si="47"/>
        <v/>
      </c>
      <c r="K162" s="82" t="str">
        <f t="shared" si="48"/>
        <v/>
      </c>
      <c r="L162" s="83" t="str">
        <f t="shared" si="49"/>
        <v/>
      </c>
      <c r="M162" s="60"/>
      <c r="N162" s="80" t="str">
        <f t="shared" si="58"/>
        <v/>
      </c>
      <c r="O162" s="81" t="str">
        <f t="shared" si="50"/>
        <v/>
      </c>
      <c r="P162" s="82" t="str">
        <f t="shared" si="51"/>
        <v/>
      </c>
      <c r="Q162" s="83" t="str">
        <f t="shared" si="52"/>
        <v/>
      </c>
      <c r="R162" s="60"/>
      <c r="S162" s="80" t="str">
        <f t="shared" si="59"/>
        <v/>
      </c>
      <c r="T162" s="81" t="str">
        <f t="shared" si="53"/>
        <v/>
      </c>
      <c r="U162" s="82" t="str">
        <f t="shared" si="54"/>
        <v/>
      </c>
      <c r="V162" s="83" t="str">
        <f t="shared" si="55"/>
        <v/>
      </c>
    </row>
    <row r="163" spans="2:22" s="84" customFormat="1">
      <c r="B163" s="60"/>
      <c r="C163" s="61"/>
      <c r="D163" s="80" t="str">
        <f t="shared" si="56"/>
        <v/>
      </c>
      <c r="E163" s="81" t="str">
        <f t="shared" si="44"/>
        <v/>
      </c>
      <c r="F163" s="82" t="str">
        <f t="shared" si="45"/>
        <v/>
      </c>
      <c r="G163" s="83" t="str">
        <f t="shared" si="46"/>
        <v/>
      </c>
      <c r="H163" s="60"/>
      <c r="I163" s="80" t="str">
        <f t="shared" si="57"/>
        <v/>
      </c>
      <c r="J163" s="81" t="str">
        <f t="shared" si="47"/>
        <v/>
      </c>
      <c r="K163" s="82" t="str">
        <f t="shared" si="48"/>
        <v/>
      </c>
      <c r="L163" s="83" t="str">
        <f t="shared" si="49"/>
        <v/>
      </c>
      <c r="M163" s="60"/>
      <c r="N163" s="80" t="str">
        <f t="shared" si="58"/>
        <v/>
      </c>
      <c r="O163" s="81" t="str">
        <f t="shared" si="50"/>
        <v/>
      </c>
      <c r="P163" s="82" t="str">
        <f t="shared" si="51"/>
        <v/>
      </c>
      <c r="Q163" s="83" t="str">
        <f t="shared" si="52"/>
        <v/>
      </c>
      <c r="R163" s="60"/>
      <c r="S163" s="80" t="str">
        <f t="shared" si="59"/>
        <v/>
      </c>
      <c r="T163" s="81" t="str">
        <f t="shared" si="53"/>
        <v/>
      </c>
      <c r="U163" s="82" t="str">
        <f t="shared" si="54"/>
        <v/>
      </c>
      <c r="V163" s="83" t="str">
        <f t="shared" si="55"/>
        <v/>
      </c>
    </row>
    <row r="164" spans="2:22" s="84" customFormat="1">
      <c r="B164" s="60"/>
      <c r="C164" s="61"/>
      <c r="D164" s="80" t="str">
        <f t="shared" si="56"/>
        <v/>
      </c>
      <c r="E164" s="81" t="str">
        <f t="shared" si="44"/>
        <v/>
      </c>
      <c r="F164" s="82" t="str">
        <f t="shared" si="45"/>
        <v/>
      </c>
      <c r="G164" s="83" t="str">
        <f t="shared" si="46"/>
        <v/>
      </c>
      <c r="H164" s="60"/>
      <c r="I164" s="80" t="str">
        <f t="shared" si="57"/>
        <v/>
      </c>
      <c r="J164" s="81" t="str">
        <f t="shared" si="47"/>
        <v/>
      </c>
      <c r="K164" s="82" t="str">
        <f t="shared" si="48"/>
        <v/>
      </c>
      <c r="L164" s="83" t="str">
        <f t="shared" si="49"/>
        <v/>
      </c>
      <c r="M164" s="60"/>
      <c r="N164" s="80" t="str">
        <f t="shared" si="58"/>
        <v/>
      </c>
      <c r="O164" s="81" t="str">
        <f t="shared" si="50"/>
        <v/>
      </c>
      <c r="P164" s="82" t="str">
        <f t="shared" si="51"/>
        <v/>
      </c>
      <c r="Q164" s="83" t="str">
        <f t="shared" si="52"/>
        <v/>
      </c>
      <c r="R164" s="60"/>
      <c r="S164" s="80" t="str">
        <f t="shared" si="59"/>
        <v/>
      </c>
      <c r="T164" s="81" t="str">
        <f t="shared" si="53"/>
        <v/>
      </c>
      <c r="U164" s="82" t="str">
        <f t="shared" si="54"/>
        <v/>
      </c>
      <c r="V164" s="83" t="str">
        <f t="shared" si="55"/>
        <v/>
      </c>
    </row>
    <row r="165" spans="2:22" s="84" customFormat="1">
      <c r="B165" s="60"/>
      <c r="C165" s="61"/>
      <c r="D165" s="80" t="str">
        <f t="shared" si="56"/>
        <v/>
      </c>
      <c r="E165" s="81" t="str">
        <f t="shared" si="44"/>
        <v/>
      </c>
      <c r="F165" s="82" t="str">
        <f t="shared" si="45"/>
        <v/>
      </c>
      <c r="G165" s="83" t="str">
        <f t="shared" si="46"/>
        <v/>
      </c>
      <c r="H165" s="60"/>
      <c r="I165" s="80" t="str">
        <f t="shared" si="57"/>
        <v/>
      </c>
      <c r="J165" s="81" t="str">
        <f t="shared" si="47"/>
        <v/>
      </c>
      <c r="K165" s="82" t="str">
        <f t="shared" si="48"/>
        <v/>
      </c>
      <c r="L165" s="83" t="str">
        <f t="shared" si="49"/>
        <v/>
      </c>
      <c r="M165" s="60"/>
      <c r="N165" s="80" t="str">
        <f t="shared" si="58"/>
        <v/>
      </c>
      <c r="O165" s="81" t="str">
        <f t="shared" si="50"/>
        <v/>
      </c>
      <c r="P165" s="82" t="str">
        <f t="shared" si="51"/>
        <v/>
      </c>
      <c r="Q165" s="83" t="str">
        <f t="shared" si="52"/>
        <v/>
      </c>
      <c r="R165" s="60"/>
      <c r="S165" s="80" t="str">
        <f t="shared" si="59"/>
        <v/>
      </c>
      <c r="T165" s="81" t="str">
        <f t="shared" si="53"/>
        <v/>
      </c>
      <c r="U165" s="82" t="str">
        <f t="shared" si="54"/>
        <v/>
      </c>
      <c r="V165" s="83" t="str">
        <f t="shared" si="55"/>
        <v/>
      </c>
    </row>
    <row r="166" spans="2:22" s="84" customFormat="1">
      <c r="B166" s="60"/>
      <c r="C166" s="61"/>
      <c r="D166" s="80" t="str">
        <f t="shared" si="56"/>
        <v/>
      </c>
      <c r="E166" s="81" t="str">
        <f t="shared" si="44"/>
        <v/>
      </c>
      <c r="F166" s="82" t="str">
        <f t="shared" si="45"/>
        <v/>
      </c>
      <c r="G166" s="83" t="str">
        <f t="shared" si="46"/>
        <v/>
      </c>
      <c r="H166" s="60"/>
      <c r="I166" s="80" t="str">
        <f t="shared" si="57"/>
        <v/>
      </c>
      <c r="J166" s="81" t="str">
        <f t="shared" si="47"/>
        <v/>
      </c>
      <c r="K166" s="82" t="str">
        <f t="shared" si="48"/>
        <v/>
      </c>
      <c r="L166" s="83" t="str">
        <f t="shared" si="49"/>
        <v/>
      </c>
      <c r="M166" s="60"/>
      <c r="N166" s="80" t="str">
        <f t="shared" si="58"/>
        <v/>
      </c>
      <c r="O166" s="81" t="str">
        <f t="shared" si="50"/>
        <v/>
      </c>
      <c r="P166" s="82" t="str">
        <f t="shared" si="51"/>
        <v/>
      </c>
      <c r="Q166" s="83" t="str">
        <f t="shared" si="52"/>
        <v/>
      </c>
      <c r="R166" s="60"/>
      <c r="S166" s="80" t="str">
        <f t="shared" si="59"/>
        <v/>
      </c>
      <c r="T166" s="81" t="str">
        <f t="shared" si="53"/>
        <v/>
      </c>
      <c r="U166" s="82" t="str">
        <f t="shared" si="54"/>
        <v/>
      </c>
      <c r="V166" s="83" t="str">
        <f t="shared" si="55"/>
        <v/>
      </c>
    </row>
    <row r="167" spans="2:22" s="84" customFormat="1">
      <c r="B167" s="60"/>
      <c r="C167" s="61"/>
      <c r="D167" s="80" t="str">
        <f t="shared" si="56"/>
        <v/>
      </c>
      <c r="E167" s="81" t="str">
        <f t="shared" si="44"/>
        <v/>
      </c>
      <c r="F167" s="82" t="str">
        <f t="shared" si="45"/>
        <v/>
      </c>
      <c r="G167" s="83" t="str">
        <f t="shared" si="46"/>
        <v/>
      </c>
      <c r="H167" s="60"/>
      <c r="I167" s="80" t="str">
        <f t="shared" si="57"/>
        <v/>
      </c>
      <c r="J167" s="81" t="str">
        <f t="shared" si="47"/>
        <v/>
      </c>
      <c r="K167" s="82" t="str">
        <f t="shared" si="48"/>
        <v/>
      </c>
      <c r="L167" s="83" t="str">
        <f t="shared" si="49"/>
        <v/>
      </c>
      <c r="M167" s="60"/>
      <c r="N167" s="80" t="str">
        <f t="shared" si="58"/>
        <v/>
      </c>
      <c r="O167" s="81" t="str">
        <f t="shared" si="50"/>
        <v/>
      </c>
      <c r="P167" s="82" t="str">
        <f t="shared" si="51"/>
        <v/>
      </c>
      <c r="Q167" s="83" t="str">
        <f t="shared" si="52"/>
        <v/>
      </c>
      <c r="R167" s="60"/>
      <c r="S167" s="80" t="str">
        <f t="shared" si="59"/>
        <v/>
      </c>
      <c r="T167" s="81" t="str">
        <f t="shared" si="53"/>
        <v/>
      </c>
      <c r="U167" s="82" t="str">
        <f t="shared" si="54"/>
        <v/>
      </c>
      <c r="V167" s="83" t="str">
        <f t="shared" si="55"/>
        <v/>
      </c>
    </row>
    <row r="168" spans="2:22" s="84" customFormat="1">
      <c r="B168" s="60"/>
      <c r="C168" s="61"/>
      <c r="D168" s="80" t="str">
        <f t="shared" si="56"/>
        <v/>
      </c>
      <c r="E168" s="81" t="str">
        <f t="shared" si="44"/>
        <v/>
      </c>
      <c r="F168" s="82" t="str">
        <f t="shared" si="45"/>
        <v/>
      </c>
      <c r="G168" s="83" t="str">
        <f t="shared" si="46"/>
        <v/>
      </c>
      <c r="H168" s="60"/>
      <c r="I168" s="80" t="str">
        <f t="shared" si="57"/>
        <v/>
      </c>
      <c r="J168" s="81" t="str">
        <f t="shared" si="47"/>
        <v/>
      </c>
      <c r="K168" s="82" t="str">
        <f t="shared" si="48"/>
        <v/>
      </c>
      <c r="L168" s="83" t="str">
        <f t="shared" si="49"/>
        <v/>
      </c>
      <c r="M168" s="60"/>
      <c r="N168" s="80" t="str">
        <f t="shared" si="58"/>
        <v/>
      </c>
      <c r="O168" s="81" t="str">
        <f t="shared" si="50"/>
        <v/>
      </c>
      <c r="P168" s="82" t="str">
        <f t="shared" si="51"/>
        <v/>
      </c>
      <c r="Q168" s="83" t="str">
        <f t="shared" si="52"/>
        <v/>
      </c>
      <c r="R168" s="60"/>
      <c r="S168" s="80" t="str">
        <f t="shared" si="59"/>
        <v/>
      </c>
      <c r="T168" s="81" t="str">
        <f t="shared" si="53"/>
        <v/>
      </c>
      <c r="U168" s="82" t="str">
        <f t="shared" si="54"/>
        <v/>
      </c>
      <c r="V168" s="83" t="str">
        <f t="shared" si="55"/>
        <v/>
      </c>
    </row>
    <row r="169" spans="2:22" s="84" customFormat="1">
      <c r="B169" s="60"/>
      <c r="C169" s="61"/>
      <c r="D169" s="80" t="str">
        <f t="shared" si="56"/>
        <v/>
      </c>
      <c r="E169" s="81" t="str">
        <f t="shared" si="44"/>
        <v/>
      </c>
      <c r="F169" s="82" t="str">
        <f t="shared" si="45"/>
        <v/>
      </c>
      <c r="G169" s="83" t="str">
        <f t="shared" si="46"/>
        <v/>
      </c>
      <c r="H169" s="60"/>
      <c r="I169" s="80" t="str">
        <f t="shared" si="57"/>
        <v/>
      </c>
      <c r="J169" s="81" t="str">
        <f t="shared" si="47"/>
        <v/>
      </c>
      <c r="K169" s="82" t="str">
        <f t="shared" si="48"/>
        <v/>
      </c>
      <c r="L169" s="83" t="str">
        <f t="shared" si="49"/>
        <v/>
      </c>
      <c r="M169" s="60"/>
      <c r="N169" s="80" t="str">
        <f t="shared" si="58"/>
        <v/>
      </c>
      <c r="O169" s="81" t="str">
        <f t="shared" si="50"/>
        <v/>
      </c>
      <c r="P169" s="82" t="str">
        <f t="shared" si="51"/>
        <v/>
      </c>
      <c r="Q169" s="83" t="str">
        <f t="shared" si="52"/>
        <v/>
      </c>
      <c r="R169" s="60"/>
      <c r="S169" s="80" t="str">
        <f t="shared" si="59"/>
        <v/>
      </c>
      <c r="T169" s="81" t="str">
        <f t="shared" si="53"/>
        <v/>
      </c>
      <c r="U169" s="82" t="str">
        <f t="shared" si="54"/>
        <v/>
      </c>
      <c r="V169" s="83" t="str">
        <f t="shared" si="55"/>
        <v/>
      </c>
    </row>
    <row r="170" spans="2:22" s="84" customFormat="1">
      <c r="B170" s="60"/>
      <c r="C170" s="61"/>
      <c r="D170" s="80" t="str">
        <f t="shared" si="56"/>
        <v/>
      </c>
      <c r="E170" s="81" t="str">
        <f t="shared" si="44"/>
        <v/>
      </c>
      <c r="F170" s="82" t="str">
        <f t="shared" si="45"/>
        <v/>
      </c>
      <c r="G170" s="83" t="str">
        <f t="shared" si="46"/>
        <v/>
      </c>
      <c r="H170" s="60"/>
      <c r="I170" s="80" t="str">
        <f t="shared" si="57"/>
        <v/>
      </c>
      <c r="J170" s="81" t="str">
        <f t="shared" si="47"/>
        <v/>
      </c>
      <c r="K170" s="82" t="str">
        <f t="shared" si="48"/>
        <v/>
      </c>
      <c r="L170" s="83" t="str">
        <f t="shared" si="49"/>
        <v/>
      </c>
      <c r="M170" s="60"/>
      <c r="N170" s="80" t="str">
        <f t="shared" si="58"/>
        <v/>
      </c>
      <c r="O170" s="81" t="str">
        <f t="shared" si="50"/>
        <v/>
      </c>
      <c r="P170" s="82" t="str">
        <f t="shared" si="51"/>
        <v/>
      </c>
      <c r="Q170" s="83" t="str">
        <f t="shared" si="52"/>
        <v/>
      </c>
      <c r="R170" s="60"/>
      <c r="S170" s="80" t="str">
        <f t="shared" si="59"/>
        <v/>
      </c>
      <c r="T170" s="81" t="str">
        <f t="shared" si="53"/>
        <v/>
      </c>
      <c r="U170" s="82" t="str">
        <f t="shared" si="54"/>
        <v/>
      </c>
      <c r="V170" s="83" t="str">
        <f t="shared" si="55"/>
        <v/>
      </c>
    </row>
    <row r="171" spans="2:22" s="84" customFormat="1">
      <c r="B171" s="60"/>
      <c r="C171" s="61"/>
      <c r="D171" s="80" t="str">
        <f t="shared" si="56"/>
        <v/>
      </c>
      <c r="E171" s="81" t="str">
        <f t="shared" si="44"/>
        <v/>
      </c>
      <c r="F171" s="82" t="str">
        <f t="shared" si="45"/>
        <v/>
      </c>
      <c r="G171" s="83" t="str">
        <f t="shared" si="46"/>
        <v/>
      </c>
      <c r="H171" s="60"/>
      <c r="I171" s="80" t="str">
        <f t="shared" si="57"/>
        <v/>
      </c>
      <c r="J171" s="81" t="str">
        <f t="shared" si="47"/>
        <v/>
      </c>
      <c r="K171" s="82" t="str">
        <f t="shared" si="48"/>
        <v/>
      </c>
      <c r="L171" s="83" t="str">
        <f t="shared" si="49"/>
        <v/>
      </c>
      <c r="M171" s="60"/>
      <c r="N171" s="80" t="str">
        <f t="shared" si="58"/>
        <v/>
      </c>
      <c r="O171" s="81" t="str">
        <f t="shared" si="50"/>
        <v/>
      </c>
      <c r="P171" s="82" t="str">
        <f t="shared" si="51"/>
        <v/>
      </c>
      <c r="Q171" s="83" t="str">
        <f t="shared" si="52"/>
        <v/>
      </c>
      <c r="R171" s="60"/>
      <c r="S171" s="80" t="str">
        <f t="shared" si="59"/>
        <v/>
      </c>
      <c r="T171" s="81" t="str">
        <f t="shared" si="53"/>
        <v/>
      </c>
      <c r="U171" s="82" t="str">
        <f t="shared" si="54"/>
        <v/>
      </c>
      <c r="V171" s="83" t="str">
        <f t="shared" si="55"/>
        <v/>
      </c>
    </row>
    <row r="172" spans="2:22" s="84" customFormat="1">
      <c r="B172" s="60"/>
      <c r="C172" s="61"/>
      <c r="D172" s="80" t="str">
        <f t="shared" si="56"/>
        <v/>
      </c>
      <c r="E172" s="81" t="str">
        <f t="shared" si="44"/>
        <v/>
      </c>
      <c r="F172" s="82" t="str">
        <f t="shared" si="45"/>
        <v/>
      </c>
      <c r="G172" s="83" t="str">
        <f t="shared" si="46"/>
        <v/>
      </c>
      <c r="H172" s="60"/>
      <c r="I172" s="80" t="str">
        <f t="shared" si="57"/>
        <v/>
      </c>
      <c r="J172" s="81" t="str">
        <f t="shared" si="47"/>
        <v/>
      </c>
      <c r="K172" s="82" t="str">
        <f t="shared" si="48"/>
        <v/>
      </c>
      <c r="L172" s="83" t="str">
        <f t="shared" si="49"/>
        <v/>
      </c>
      <c r="M172" s="60"/>
      <c r="N172" s="80" t="str">
        <f t="shared" si="58"/>
        <v/>
      </c>
      <c r="O172" s="81" t="str">
        <f t="shared" si="50"/>
        <v/>
      </c>
      <c r="P172" s="82" t="str">
        <f t="shared" si="51"/>
        <v/>
      </c>
      <c r="Q172" s="83" t="str">
        <f t="shared" si="52"/>
        <v/>
      </c>
      <c r="R172" s="60"/>
      <c r="S172" s="80" t="str">
        <f t="shared" si="59"/>
        <v/>
      </c>
      <c r="T172" s="81" t="str">
        <f t="shared" si="53"/>
        <v/>
      </c>
      <c r="U172" s="82" t="str">
        <f t="shared" si="54"/>
        <v/>
      </c>
      <c r="V172" s="83" t="str">
        <f t="shared" si="55"/>
        <v/>
      </c>
    </row>
    <row r="173" spans="2:22" s="84" customFormat="1">
      <c r="B173" s="60"/>
      <c r="C173" s="61"/>
      <c r="D173" s="80" t="str">
        <f t="shared" si="56"/>
        <v/>
      </c>
      <c r="E173" s="81" t="str">
        <f t="shared" si="44"/>
        <v/>
      </c>
      <c r="F173" s="82" t="str">
        <f t="shared" si="45"/>
        <v/>
      </c>
      <c r="G173" s="83" t="str">
        <f t="shared" si="46"/>
        <v/>
      </c>
      <c r="H173" s="60"/>
      <c r="I173" s="80" t="str">
        <f t="shared" si="57"/>
        <v/>
      </c>
      <c r="J173" s="81" t="str">
        <f t="shared" si="47"/>
        <v/>
      </c>
      <c r="K173" s="82" t="str">
        <f t="shared" si="48"/>
        <v/>
      </c>
      <c r="L173" s="83" t="str">
        <f t="shared" si="49"/>
        <v/>
      </c>
      <c r="M173" s="60"/>
      <c r="N173" s="80" t="str">
        <f t="shared" si="58"/>
        <v/>
      </c>
      <c r="O173" s="81" t="str">
        <f t="shared" si="50"/>
        <v/>
      </c>
      <c r="P173" s="82" t="str">
        <f t="shared" si="51"/>
        <v/>
      </c>
      <c r="Q173" s="83" t="str">
        <f t="shared" si="52"/>
        <v/>
      </c>
      <c r="R173" s="60"/>
      <c r="S173" s="80" t="str">
        <f t="shared" si="59"/>
        <v/>
      </c>
      <c r="T173" s="81" t="str">
        <f t="shared" si="53"/>
        <v/>
      </c>
      <c r="U173" s="82" t="str">
        <f t="shared" si="54"/>
        <v/>
      </c>
      <c r="V173" s="83" t="str">
        <f t="shared" si="55"/>
        <v/>
      </c>
    </row>
    <row r="174" spans="2:22" s="84" customFormat="1">
      <c r="B174" s="60"/>
      <c r="C174" s="61"/>
      <c r="D174" s="80" t="str">
        <f t="shared" si="56"/>
        <v/>
      </c>
      <c r="E174" s="81" t="str">
        <f t="shared" si="44"/>
        <v/>
      </c>
      <c r="F174" s="82" t="str">
        <f t="shared" si="45"/>
        <v/>
      </c>
      <c r="G174" s="83" t="str">
        <f t="shared" si="46"/>
        <v/>
      </c>
      <c r="H174" s="60"/>
      <c r="I174" s="80" t="str">
        <f t="shared" si="57"/>
        <v/>
      </c>
      <c r="J174" s="81" t="str">
        <f t="shared" si="47"/>
        <v/>
      </c>
      <c r="K174" s="82" t="str">
        <f t="shared" si="48"/>
        <v/>
      </c>
      <c r="L174" s="83" t="str">
        <f t="shared" si="49"/>
        <v/>
      </c>
      <c r="M174" s="60"/>
      <c r="N174" s="80" t="str">
        <f t="shared" si="58"/>
        <v/>
      </c>
      <c r="O174" s="81" t="str">
        <f t="shared" si="50"/>
        <v/>
      </c>
      <c r="P174" s="82" t="str">
        <f t="shared" si="51"/>
        <v/>
      </c>
      <c r="Q174" s="83" t="str">
        <f t="shared" si="52"/>
        <v/>
      </c>
      <c r="R174" s="60"/>
      <c r="S174" s="80" t="str">
        <f t="shared" si="59"/>
        <v/>
      </c>
      <c r="T174" s="81" t="str">
        <f t="shared" si="53"/>
        <v/>
      </c>
      <c r="U174" s="82" t="str">
        <f t="shared" si="54"/>
        <v/>
      </c>
      <c r="V174" s="83" t="str">
        <f t="shared" si="55"/>
        <v/>
      </c>
    </row>
    <row r="175" spans="2:22" s="84" customFormat="1">
      <c r="B175" s="60"/>
      <c r="C175" s="61"/>
      <c r="D175" s="80" t="str">
        <f t="shared" si="56"/>
        <v/>
      </c>
      <c r="E175" s="81" t="str">
        <f t="shared" si="44"/>
        <v/>
      </c>
      <c r="F175" s="82" t="str">
        <f t="shared" si="45"/>
        <v/>
      </c>
      <c r="G175" s="83" t="str">
        <f t="shared" si="46"/>
        <v/>
      </c>
      <c r="H175" s="60"/>
      <c r="I175" s="80" t="str">
        <f t="shared" si="57"/>
        <v/>
      </c>
      <c r="J175" s="81" t="str">
        <f t="shared" si="47"/>
        <v/>
      </c>
      <c r="K175" s="82" t="str">
        <f t="shared" si="48"/>
        <v/>
      </c>
      <c r="L175" s="83" t="str">
        <f t="shared" si="49"/>
        <v/>
      </c>
      <c r="M175" s="60"/>
      <c r="N175" s="80" t="str">
        <f t="shared" si="58"/>
        <v/>
      </c>
      <c r="O175" s="81" t="str">
        <f t="shared" si="50"/>
        <v/>
      </c>
      <c r="P175" s="82" t="str">
        <f t="shared" si="51"/>
        <v/>
      </c>
      <c r="Q175" s="83" t="str">
        <f t="shared" si="52"/>
        <v/>
      </c>
      <c r="R175" s="60"/>
      <c r="S175" s="80" t="str">
        <f t="shared" si="59"/>
        <v/>
      </c>
      <c r="T175" s="81" t="str">
        <f t="shared" si="53"/>
        <v/>
      </c>
      <c r="U175" s="82" t="str">
        <f t="shared" si="54"/>
        <v/>
      </c>
      <c r="V175" s="83" t="str">
        <f t="shared" si="55"/>
        <v/>
      </c>
    </row>
    <row r="176" spans="2:22" s="84" customFormat="1">
      <c r="B176" s="60"/>
      <c r="C176" s="61"/>
      <c r="D176" s="80" t="str">
        <f t="shared" si="56"/>
        <v/>
      </c>
      <c r="E176" s="81" t="str">
        <f t="shared" si="44"/>
        <v/>
      </c>
      <c r="F176" s="82" t="str">
        <f t="shared" si="45"/>
        <v/>
      </c>
      <c r="G176" s="83" t="str">
        <f t="shared" si="46"/>
        <v/>
      </c>
      <c r="H176" s="60"/>
      <c r="I176" s="80" t="str">
        <f t="shared" si="57"/>
        <v/>
      </c>
      <c r="J176" s="81" t="str">
        <f t="shared" si="47"/>
        <v/>
      </c>
      <c r="K176" s="82" t="str">
        <f t="shared" si="48"/>
        <v/>
      </c>
      <c r="L176" s="83" t="str">
        <f t="shared" si="49"/>
        <v/>
      </c>
      <c r="M176" s="60"/>
      <c r="N176" s="80" t="str">
        <f t="shared" si="58"/>
        <v/>
      </c>
      <c r="O176" s="81" t="str">
        <f t="shared" si="50"/>
        <v/>
      </c>
      <c r="P176" s="82" t="str">
        <f t="shared" si="51"/>
        <v/>
      </c>
      <c r="Q176" s="83" t="str">
        <f t="shared" si="52"/>
        <v/>
      </c>
      <c r="R176" s="60"/>
      <c r="S176" s="80" t="str">
        <f t="shared" si="59"/>
        <v/>
      </c>
      <c r="T176" s="81" t="str">
        <f t="shared" si="53"/>
        <v/>
      </c>
      <c r="U176" s="82" t="str">
        <f t="shared" si="54"/>
        <v/>
      </c>
      <c r="V176" s="83" t="str">
        <f t="shared" si="55"/>
        <v/>
      </c>
    </row>
    <row r="177" spans="2:22" s="84" customFormat="1">
      <c r="B177" s="60"/>
      <c r="C177" s="61"/>
      <c r="D177" s="80" t="str">
        <f t="shared" si="56"/>
        <v/>
      </c>
      <c r="E177" s="81" t="str">
        <f t="shared" si="44"/>
        <v/>
      </c>
      <c r="F177" s="82" t="str">
        <f t="shared" si="45"/>
        <v/>
      </c>
      <c r="G177" s="83" t="str">
        <f t="shared" si="46"/>
        <v/>
      </c>
      <c r="H177" s="60"/>
      <c r="I177" s="80" t="str">
        <f t="shared" si="57"/>
        <v/>
      </c>
      <c r="J177" s="81" t="str">
        <f t="shared" si="47"/>
        <v/>
      </c>
      <c r="K177" s="82" t="str">
        <f t="shared" si="48"/>
        <v/>
      </c>
      <c r="L177" s="83" t="str">
        <f t="shared" si="49"/>
        <v/>
      </c>
      <c r="M177" s="60"/>
      <c r="N177" s="80" t="str">
        <f t="shared" si="58"/>
        <v/>
      </c>
      <c r="O177" s="81" t="str">
        <f t="shared" si="50"/>
        <v/>
      </c>
      <c r="P177" s="82" t="str">
        <f t="shared" si="51"/>
        <v/>
      </c>
      <c r="Q177" s="83" t="str">
        <f t="shared" si="52"/>
        <v/>
      </c>
      <c r="R177" s="60"/>
      <c r="S177" s="80" t="str">
        <f t="shared" si="59"/>
        <v/>
      </c>
      <c r="T177" s="81" t="str">
        <f t="shared" si="53"/>
        <v/>
      </c>
      <c r="U177" s="82" t="str">
        <f t="shared" si="54"/>
        <v/>
      </c>
      <c r="V177" s="83" t="str">
        <f t="shared" si="55"/>
        <v/>
      </c>
    </row>
    <row r="178" spans="2:22" s="84" customFormat="1">
      <c r="B178" s="60"/>
      <c r="C178" s="61"/>
      <c r="D178" s="80" t="str">
        <f t="shared" si="56"/>
        <v/>
      </c>
      <c r="E178" s="81" t="str">
        <f t="shared" si="44"/>
        <v/>
      </c>
      <c r="F178" s="82" t="str">
        <f t="shared" si="45"/>
        <v/>
      </c>
      <c r="G178" s="83" t="str">
        <f t="shared" si="46"/>
        <v/>
      </c>
      <c r="H178" s="60"/>
      <c r="I178" s="80" t="str">
        <f t="shared" si="57"/>
        <v/>
      </c>
      <c r="J178" s="81" t="str">
        <f t="shared" si="47"/>
        <v/>
      </c>
      <c r="K178" s="82" t="str">
        <f t="shared" si="48"/>
        <v/>
      </c>
      <c r="L178" s="83" t="str">
        <f t="shared" si="49"/>
        <v/>
      </c>
      <c r="M178" s="60"/>
      <c r="N178" s="80" t="str">
        <f t="shared" si="58"/>
        <v/>
      </c>
      <c r="O178" s="81" t="str">
        <f t="shared" si="50"/>
        <v/>
      </c>
      <c r="P178" s="82" t="str">
        <f t="shared" si="51"/>
        <v/>
      </c>
      <c r="Q178" s="83" t="str">
        <f t="shared" si="52"/>
        <v/>
      </c>
      <c r="R178" s="60"/>
      <c r="S178" s="80" t="str">
        <f t="shared" si="59"/>
        <v/>
      </c>
      <c r="T178" s="81" t="str">
        <f t="shared" si="53"/>
        <v/>
      </c>
      <c r="U178" s="82" t="str">
        <f t="shared" si="54"/>
        <v/>
      </c>
      <c r="V178" s="83" t="str">
        <f t="shared" si="55"/>
        <v/>
      </c>
    </row>
    <row r="179" spans="2:22" s="84" customFormat="1">
      <c r="B179" s="60"/>
      <c r="C179" s="61"/>
      <c r="D179" s="80" t="str">
        <f t="shared" si="56"/>
        <v/>
      </c>
      <c r="E179" s="81" t="str">
        <f t="shared" si="44"/>
        <v/>
      </c>
      <c r="F179" s="82" t="str">
        <f t="shared" si="45"/>
        <v/>
      </c>
      <c r="G179" s="83" t="str">
        <f t="shared" si="46"/>
        <v/>
      </c>
      <c r="H179" s="60"/>
      <c r="I179" s="80" t="str">
        <f t="shared" si="57"/>
        <v/>
      </c>
      <c r="J179" s="81" t="str">
        <f t="shared" si="47"/>
        <v/>
      </c>
      <c r="K179" s="82" t="str">
        <f t="shared" si="48"/>
        <v/>
      </c>
      <c r="L179" s="83" t="str">
        <f t="shared" si="49"/>
        <v/>
      </c>
      <c r="M179" s="60"/>
      <c r="N179" s="80" t="str">
        <f t="shared" si="58"/>
        <v/>
      </c>
      <c r="O179" s="81" t="str">
        <f t="shared" si="50"/>
        <v/>
      </c>
      <c r="P179" s="82" t="str">
        <f t="shared" si="51"/>
        <v/>
      </c>
      <c r="Q179" s="83" t="str">
        <f t="shared" si="52"/>
        <v/>
      </c>
      <c r="R179" s="60"/>
      <c r="S179" s="80" t="str">
        <f t="shared" si="59"/>
        <v/>
      </c>
      <c r="T179" s="81" t="str">
        <f t="shared" si="53"/>
        <v/>
      </c>
      <c r="U179" s="82" t="str">
        <f t="shared" si="54"/>
        <v/>
      </c>
      <c r="V179" s="83" t="str">
        <f t="shared" si="55"/>
        <v/>
      </c>
    </row>
    <row r="180" spans="2:22" s="84" customFormat="1">
      <c r="B180" s="60"/>
      <c r="C180" s="61"/>
      <c r="D180" s="80" t="str">
        <f t="shared" si="56"/>
        <v/>
      </c>
      <c r="E180" s="81" t="str">
        <f t="shared" si="44"/>
        <v/>
      </c>
      <c r="F180" s="82" t="str">
        <f t="shared" si="45"/>
        <v/>
      </c>
      <c r="G180" s="83" t="str">
        <f t="shared" si="46"/>
        <v/>
      </c>
      <c r="H180" s="60"/>
      <c r="I180" s="80" t="str">
        <f t="shared" si="57"/>
        <v/>
      </c>
      <c r="J180" s="81" t="str">
        <f t="shared" si="47"/>
        <v/>
      </c>
      <c r="K180" s="82" t="str">
        <f t="shared" si="48"/>
        <v/>
      </c>
      <c r="L180" s="83" t="str">
        <f t="shared" si="49"/>
        <v/>
      </c>
      <c r="M180" s="60"/>
      <c r="N180" s="80" t="str">
        <f t="shared" si="58"/>
        <v/>
      </c>
      <c r="O180" s="81" t="str">
        <f t="shared" si="50"/>
        <v/>
      </c>
      <c r="P180" s="82" t="str">
        <f t="shared" si="51"/>
        <v/>
      </c>
      <c r="Q180" s="83" t="str">
        <f t="shared" si="52"/>
        <v/>
      </c>
      <c r="R180" s="60"/>
      <c r="S180" s="80" t="str">
        <f t="shared" si="59"/>
        <v/>
      </c>
      <c r="T180" s="81" t="str">
        <f t="shared" si="53"/>
        <v/>
      </c>
      <c r="U180" s="82" t="str">
        <f t="shared" si="54"/>
        <v/>
      </c>
      <c r="V180" s="83" t="str">
        <f t="shared" si="55"/>
        <v/>
      </c>
    </row>
    <row r="181" spans="2:22" s="84" customFormat="1">
      <c r="B181" s="60"/>
      <c r="C181" s="61"/>
      <c r="D181" s="80" t="str">
        <f t="shared" si="56"/>
        <v/>
      </c>
      <c r="E181" s="81" t="str">
        <f t="shared" si="44"/>
        <v/>
      </c>
      <c r="F181" s="82" t="str">
        <f t="shared" si="45"/>
        <v/>
      </c>
      <c r="G181" s="83" t="str">
        <f t="shared" si="46"/>
        <v/>
      </c>
      <c r="H181" s="60"/>
      <c r="I181" s="80" t="str">
        <f t="shared" si="57"/>
        <v/>
      </c>
      <c r="J181" s="81" t="str">
        <f t="shared" si="47"/>
        <v/>
      </c>
      <c r="K181" s="82" t="str">
        <f t="shared" si="48"/>
        <v/>
      </c>
      <c r="L181" s="83" t="str">
        <f t="shared" si="49"/>
        <v/>
      </c>
      <c r="M181" s="60"/>
      <c r="N181" s="80" t="str">
        <f t="shared" si="58"/>
        <v/>
      </c>
      <c r="O181" s="81" t="str">
        <f t="shared" si="50"/>
        <v/>
      </c>
      <c r="P181" s="82" t="str">
        <f t="shared" si="51"/>
        <v/>
      </c>
      <c r="Q181" s="83" t="str">
        <f t="shared" si="52"/>
        <v/>
      </c>
      <c r="R181" s="60"/>
      <c r="S181" s="80" t="str">
        <f t="shared" si="59"/>
        <v/>
      </c>
      <c r="T181" s="81" t="str">
        <f t="shared" si="53"/>
        <v/>
      </c>
      <c r="U181" s="82" t="str">
        <f t="shared" si="54"/>
        <v/>
      </c>
      <c r="V181" s="83" t="str">
        <f t="shared" si="55"/>
        <v/>
      </c>
    </row>
    <row r="182" spans="2:22" s="84" customFormat="1">
      <c r="B182" s="60"/>
      <c r="C182" s="61"/>
      <c r="D182" s="80" t="str">
        <f t="shared" si="56"/>
        <v/>
      </c>
      <c r="E182" s="81" t="str">
        <f t="shared" si="44"/>
        <v/>
      </c>
      <c r="F182" s="82" t="str">
        <f t="shared" si="45"/>
        <v/>
      </c>
      <c r="G182" s="83" t="str">
        <f t="shared" si="46"/>
        <v/>
      </c>
      <c r="H182" s="60"/>
      <c r="I182" s="80" t="str">
        <f t="shared" si="57"/>
        <v/>
      </c>
      <c r="J182" s="81" t="str">
        <f t="shared" si="47"/>
        <v/>
      </c>
      <c r="K182" s="82" t="str">
        <f t="shared" si="48"/>
        <v/>
      </c>
      <c r="L182" s="83" t="str">
        <f t="shared" si="49"/>
        <v/>
      </c>
      <c r="M182" s="60"/>
      <c r="N182" s="80" t="str">
        <f t="shared" si="58"/>
        <v/>
      </c>
      <c r="O182" s="81" t="str">
        <f t="shared" si="50"/>
        <v/>
      </c>
      <c r="P182" s="82" t="str">
        <f t="shared" si="51"/>
        <v/>
      </c>
      <c r="Q182" s="83" t="str">
        <f t="shared" si="52"/>
        <v/>
      </c>
      <c r="R182" s="60"/>
      <c r="S182" s="80" t="str">
        <f t="shared" si="59"/>
        <v/>
      </c>
      <c r="T182" s="81" t="str">
        <f t="shared" si="53"/>
        <v/>
      </c>
      <c r="U182" s="82" t="str">
        <f t="shared" si="54"/>
        <v/>
      </c>
      <c r="V182" s="83" t="str">
        <f t="shared" si="55"/>
        <v/>
      </c>
    </row>
    <row r="183" spans="2:22" s="84" customFormat="1">
      <c r="B183" s="60"/>
      <c r="C183" s="61"/>
      <c r="D183" s="80" t="str">
        <f t="shared" si="56"/>
        <v/>
      </c>
      <c r="E183" s="81" t="str">
        <f t="shared" si="44"/>
        <v/>
      </c>
      <c r="F183" s="82" t="str">
        <f t="shared" si="45"/>
        <v/>
      </c>
      <c r="G183" s="83" t="str">
        <f t="shared" si="46"/>
        <v/>
      </c>
      <c r="H183" s="60"/>
      <c r="I183" s="80" t="str">
        <f t="shared" si="57"/>
        <v/>
      </c>
      <c r="J183" s="81" t="str">
        <f t="shared" si="47"/>
        <v/>
      </c>
      <c r="K183" s="82" t="str">
        <f t="shared" si="48"/>
        <v/>
      </c>
      <c r="L183" s="83" t="str">
        <f t="shared" si="49"/>
        <v/>
      </c>
      <c r="M183" s="60"/>
      <c r="N183" s="80" t="str">
        <f t="shared" si="58"/>
        <v/>
      </c>
      <c r="O183" s="81" t="str">
        <f t="shared" si="50"/>
        <v/>
      </c>
      <c r="P183" s="82" t="str">
        <f t="shared" si="51"/>
        <v/>
      </c>
      <c r="Q183" s="83" t="str">
        <f t="shared" si="52"/>
        <v/>
      </c>
      <c r="R183" s="60"/>
      <c r="S183" s="80" t="str">
        <f t="shared" si="59"/>
        <v/>
      </c>
      <c r="T183" s="81" t="str">
        <f t="shared" si="53"/>
        <v/>
      </c>
      <c r="U183" s="82" t="str">
        <f t="shared" si="54"/>
        <v/>
      </c>
      <c r="V183" s="83" t="str">
        <f t="shared" si="55"/>
        <v/>
      </c>
    </row>
    <row r="184" spans="2:22" s="84" customFormat="1">
      <c r="B184" s="60"/>
      <c r="C184" s="61"/>
      <c r="D184" s="80" t="str">
        <f t="shared" si="56"/>
        <v/>
      </c>
      <c r="E184" s="81" t="str">
        <f t="shared" si="44"/>
        <v/>
      </c>
      <c r="F184" s="82" t="str">
        <f t="shared" si="45"/>
        <v/>
      </c>
      <c r="G184" s="83" t="str">
        <f t="shared" si="46"/>
        <v/>
      </c>
      <c r="H184" s="60"/>
      <c r="I184" s="80" t="str">
        <f t="shared" si="57"/>
        <v/>
      </c>
      <c r="J184" s="81" t="str">
        <f t="shared" si="47"/>
        <v/>
      </c>
      <c r="K184" s="82" t="str">
        <f t="shared" si="48"/>
        <v/>
      </c>
      <c r="L184" s="83" t="str">
        <f t="shared" si="49"/>
        <v/>
      </c>
      <c r="M184" s="60"/>
      <c r="N184" s="80" t="str">
        <f t="shared" si="58"/>
        <v/>
      </c>
      <c r="O184" s="81" t="str">
        <f t="shared" si="50"/>
        <v/>
      </c>
      <c r="P184" s="82" t="str">
        <f t="shared" si="51"/>
        <v/>
      </c>
      <c r="Q184" s="83" t="str">
        <f t="shared" si="52"/>
        <v/>
      </c>
      <c r="R184" s="60"/>
      <c r="S184" s="80" t="str">
        <f t="shared" si="59"/>
        <v/>
      </c>
      <c r="T184" s="81" t="str">
        <f t="shared" si="53"/>
        <v/>
      </c>
      <c r="U184" s="82" t="str">
        <f t="shared" si="54"/>
        <v/>
      </c>
      <c r="V184" s="83" t="str">
        <f t="shared" si="55"/>
        <v/>
      </c>
    </row>
    <row r="185" spans="2:22" s="84" customFormat="1">
      <c r="B185" s="60"/>
      <c r="C185" s="61"/>
      <c r="D185" s="80" t="str">
        <f t="shared" si="56"/>
        <v/>
      </c>
      <c r="E185" s="81" t="str">
        <f t="shared" si="44"/>
        <v/>
      </c>
      <c r="F185" s="82" t="str">
        <f t="shared" si="45"/>
        <v/>
      </c>
      <c r="G185" s="83" t="str">
        <f t="shared" si="46"/>
        <v/>
      </c>
      <c r="H185" s="60"/>
      <c r="I185" s="80" t="str">
        <f t="shared" si="57"/>
        <v/>
      </c>
      <c r="J185" s="81" t="str">
        <f t="shared" si="47"/>
        <v/>
      </c>
      <c r="K185" s="82" t="str">
        <f t="shared" si="48"/>
        <v/>
      </c>
      <c r="L185" s="83" t="str">
        <f t="shared" si="49"/>
        <v/>
      </c>
      <c r="M185" s="60"/>
      <c r="N185" s="80" t="str">
        <f t="shared" si="58"/>
        <v/>
      </c>
      <c r="O185" s="81" t="str">
        <f t="shared" si="50"/>
        <v/>
      </c>
      <c r="P185" s="82" t="str">
        <f t="shared" si="51"/>
        <v/>
      </c>
      <c r="Q185" s="83" t="str">
        <f t="shared" si="52"/>
        <v/>
      </c>
      <c r="R185" s="60"/>
      <c r="S185" s="80" t="str">
        <f t="shared" si="59"/>
        <v/>
      </c>
      <c r="T185" s="81" t="str">
        <f t="shared" si="53"/>
        <v/>
      </c>
      <c r="U185" s="82" t="str">
        <f t="shared" si="54"/>
        <v/>
      </c>
      <c r="V185" s="83" t="str">
        <f t="shared" si="55"/>
        <v/>
      </c>
    </row>
    <row r="186" spans="2:22" s="84" customFormat="1">
      <c r="B186" s="60"/>
      <c r="C186" s="61"/>
      <c r="D186" s="80" t="str">
        <f t="shared" si="56"/>
        <v/>
      </c>
      <c r="E186" s="81" t="str">
        <f t="shared" ref="E186:E200" si="60">IF(E$14="","",IF($D186="","",VLOOKUP($D186,Tbl_Indices,D$8)))</f>
        <v/>
      </c>
      <c r="F186" s="82" t="str">
        <f t="shared" ref="F186:F200" si="61">IF(E186="","",F185*(1+E186))</f>
        <v/>
      </c>
      <c r="G186" s="83" t="str">
        <f t="shared" ref="G186:G200" si="62">IF(D186="","",F186-1)</f>
        <v/>
      </c>
      <c r="H186" s="60"/>
      <c r="I186" s="80" t="str">
        <f t="shared" si="57"/>
        <v/>
      </c>
      <c r="J186" s="81" t="str">
        <f t="shared" ref="J186:J200" si="63">IF(J$14="","",IF($D186="","",VLOOKUP($D186,Tbl_Indices,I$8)))</f>
        <v/>
      </c>
      <c r="K186" s="82" t="str">
        <f t="shared" ref="K186:K200" si="64">IF(J186="","",K185*(1+J186))</f>
        <v/>
      </c>
      <c r="L186" s="83" t="str">
        <f t="shared" ref="L186:L200" si="65">IF(I186="","",K186-1)</f>
        <v/>
      </c>
      <c r="M186" s="60"/>
      <c r="N186" s="80" t="str">
        <f t="shared" si="58"/>
        <v/>
      </c>
      <c r="O186" s="81" t="str">
        <f t="shared" ref="O186:O200" si="66">IF(O$14="","",IF($D186="","",VLOOKUP($D186,Tbl_Indices,N$8)))</f>
        <v/>
      </c>
      <c r="P186" s="82" t="str">
        <f t="shared" ref="P186:P200" si="67">IF(O186="","",P185*(1+O186))</f>
        <v/>
      </c>
      <c r="Q186" s="83" t="str">
        <f t="shared" ref="Q186:Q200" si="68">IF(N186="","",P186-1)</f>
        <v/>
      </c>
      <c r="R186" s="60"/>
      <c r="S186" s="80" t="str">
        <f t="shared" si="59"/>
        <v/>
      </c>
      <c r="T186" s="81" t="str">
        <f t="shared" ref="T186:T200" si="69">IF(T$14="","",IF($D186="","",VLOOKUP($D186,Tbl_Indices,S$8)))</f>
        <v/>
      </c>
      <c r="U186" s="82" t="str">
        <f t="shared" ref="U186:U200" si="70">IF(T186="","",U185*(1+T186))</f>
        <v/>
      </c>
      <c r="V186" s="83" t="str">
        <f t="shared" ref="V186:V200" si="71">IF(S186="","",U186-1)</f>
        <v/>
      </c>
    </row>
    <row r="187" spans="2:22" s="84" customFormat="1">
      <c r="B187" s="60"/>
      <c r="C187" s="61"/>
      <c r="D187" s="80" t="str">
        <f t="shared" si="56"/>
        <v/>
      </c>
      <c r="E187" s="81" t="str">
        <f t="shared" si="60"/>
        <v/>
      </c>
      <c r="F187" s="82" t="str">
        <f t="shared" si="61"/>
        <v/>
      </c>
      <c r="G187" s="83" t="str">
        <f t="shared" si="62"/>
        <v/>
      </c>
      <c r="H187" s="60"/>
      <c r="I187" s="80" t="str">
        <f t="shared" si="57"/>
        <v/>
      </c>
      <c r="J187" s="81" t="str">
        <f t="shared" si="63"/>
        <v/>
      </c>
      <c r="K187" s="82" t="str">
        <f t="shared" si="64"/>
        <v/>
      </c>
      <c r="L187" s="83" t="str">
        <f t="shared" si="65"/>
        <v/>
      </c>
      <c r="M187" s="60"/>
      <c r="N187" s="80" t="str">
        <f t="shared" si="58"/>
        <v/>
      </c>
      <c r="O187" s="81" t="str">
        <f t="shared" si="66"/>
        <v/>
      </c>
      <c r="P187" s="82" t="str">
        <f t="shared" si="67"/>
        <v/>
      </c>
      <c r="Q187" s="83" t="str">
        <f t="shared" si="68"/>
        <v/>
      </c>
      <c r="R187" s="60"/>
      <c r="S187" s="80" t="str">
        <f t="shared" si="59"/>
        <v/>
      </c>
      <c r="T187" s="81" t="str">
        <f t="shared" si="69"/>
        <v/>
      </c>
      <c r="U187" s="82" t="str">
        <f t="shared" si="70"/>
        <v/>
      </c>
      <c r="V187" s="83" t="str">
        <f t="shared" si="71"/>
        <v/>
      </c>
    </row>
    <row r="188" spans="2:22" s="84" customFormat="1">
      <c r="B188" s="60"/>
      <c r="C188" s="61"/>
      <c r="D188" s="80" t="str">
        <f t="shared" si="56"/>
        <v/>
      </c>
      <c r="E188" s="81" t="str">
        <f t="shared" si="60"/>
        <v/>
      </c>
      <c r="F188" s="82" t="str">
        <f t="shared" si="61"/>
        <v/>
      </c>
      <c r="G188" s="83" t="str">
        <f t="shared" si="62"/>
        <v/>
      </c>
      <c r="H188" s="60"/>
      <c r="I188" s="80" t="str">
        <f t="shared" si="57"/>
        <v/>
      </c>
      <c r="J188" s="81" t="str">
        <f t="shared" si="63"/>
        <v/>
      </c>
      <c r="K188" s="82" t="str">
        <f t="shared" si="64"/>
        <v/>
      </c>
      <c r="L188" s="83" t="str">
        <f t="shared" si="65"/>
        <v/>
      </c>
      <c r="M188" s="60"/>
      <c r="N188" s="80" t="str">
        <f t="shared" si="58"/>
        <v/>
      </c>
      <c r="O188" s="81" t="str">
        <f t="shared" si="66"/>
        <v/>
      </c>
      <c r="P188" s="82" t="str">
        <f t="shared" si="67"/>
        <v/>
      </c>
      <c r="Q188" s="83" t="str">
        <f t="shared" si="68"/>
        <v/>
      </c>
      <c r="R188" s="60"/>
      <c r="S188" s="80" t="str">
        <f t="shared" si="59"/>
        <v/>
      </c>
      <c r="T188" s="81" t="str">
        <f t="shared" si="69"/>
        <v/>
      </c>
      <c r="U188" s="82" t="str">
        <f t="shared" si="70"/>
        <v/>
      </c>
      <c r="V188" s="83" t="str">
        <f t="shared" si="71"/>
        <v/>
      </c>
    </row>
    <row r="189" spans="2:22" s="84" customFormat="1">
      <c r="B189" s="60"/>
      <c r="C189" s="61"/>
      <c r="D189" s="80" t="str">
        <f t="shared" si="56"/>
        <v/>
      </c>
      <c r="E189" s="81" t="str">
        <f t="shared" si="60"/>
        <v/>
      </c>
      <c r="F189" s="82" t="str">
        <f t="shared" si="61"/>
        <v/>
      </c>
      <c r="G189" s="83" t="str">
        <f t="shared" si="62"/>
        <v/>
      </c>
      <c r="H189" s="60"/>
      <c r="I189" s="80" t="str">
        <f t="shared" si="57"/>
        <v/>
      </c>
      <c r="J189" s="81" t="str">
        <f t="shared" si="63"/>
        <v/>
      </c>
      <c r="K189" s="82" t="str">
        <f t="shared" si="64"/>
        <v/>
      </c>
      <c r="L189" s="83" t="str">
        <f t="shared" si="65"/>
        <v/>
      </c>
      <c r="M189" s="60"/>
      <c r="N189" s="80" t="str">
        <f t="shared" si="58"/>
        <v/>
      </c>
      <c r="O189" s="81" t="str">
        <f t="shared" si="66"/>
        <v/>
      </c>
      <c r="P189" s="82" t="str">
        <f t="shared" si="67"/>
        <v/>
      </c>
      <c r="Q189" s="83" t="str">
        <f t="shared" si="68"/>
        <v/>
      </c>
      <c r="R189" s="60"/>
      <c r="S189" s="80" t="str">
        <f t="shared" si="59"/>
        <v/>
      </c>
      <c r="T189" s="81" t="str">
        <f t="shared" si="69"/>
        <v/>
      </c>
      <c r="U189" s="82" t="str">
        <f t="shared" si="70"/>
        <v/>
      </c>
      <c r="V189" s="83" t="str">
        <f t="shared" si="71"/>
        <v/>
      </c>
    </row>
    <row r="190" spans="2:22" s="84" customFormat="1">
      <c r="B190" s="60"/>
      <c r="C190" s="61"/>
      <c r="D190" s="80" t="str">
        <f t="shared" si="56"/>
        <v/>
      </c>
      <c r="E190" s="81" t="str">
        <f t="shared" si="60"/>
        <v/>
      </c>
      <c r="F190" s="82" t="str">
        <f t="shared" si="61"/>
        <v/>
      </c>
      <c r="G190" s="83" t="str">
        <f t="shared" si="62"/>
        <v/>
      </c>
      <c r="H190" s="60"/>
      <c r="I190" s="80" t="str">
        <f t="shared" si="57"/>
        <v/>
      </c>
      <c r="J190" s="81" t="str">
        <f t="shared" si="63"/>
        <v/>
      </c>
      <c r="K190" s="82" t="str">
        <f t="shared" si="64"/>
        <v/>
      </c>
      <c r="L190" s="83" t="str">
        <f t="shared" si="65"/>
        <v/>
      </c>
      <c r="M190" s="60"/>
      <c r="N190" s="80" t="str">
        <f t="shared" si="58"/>
        <v/>
      </c>
      <c r="O190" s="81" t="str">
        <f t="shared" si="66"/>
        <v/>
      </c>
      <c r="P190" s="82" t="str">
        <f t="shared" si="67"/>
        <v/>
      </c>
      <c r="Q190" s="83" t="str">
        <f t="shared" si="68"/>
        <v/>
      </c>
      <c r="R190" s="60"/>
      <c r="S190" s="80" t="str">
        <f t="shared" si="59"/>
        <v/>
      </c>
      <c r="T190" s="81" t="str">
        <f t="shared" si="69"/>
        <v/>
      </c>
      <c r="U190" s="82" t="str">
        <f t="shared" si="70"/>
        <v/>
      </c>
      <c r="V190" s="83" t="str">
        <f t="shared" si="71"/>
        <v/>
      </c>
    </row>
    <row r="191" spans="2:22" s="84" customFormat="1">
      <c r="B191" s="60"/>
      <c r="C191" s="61"/>
      <c r="D191" s="80" t="str">
        <f t="shared" si="56"/>
        <v/>
      </c>
      <c r="E191" s="81" t="str">
        <f t="shared" si="60"/>
        <v/>
      </c>
      <c r="F191" s="82" t="str">
        <f t="shared" si="61"/>
        <v/>
      </c>
      <c r="G191" s="83" t="str">
        <f t="shared" si="62"/>
        <v/>
      </c>
      <c r="H191" s="60"/>
      <c r="I191" s="80" t="str">
        <f t="shared" si="57"/>
        <v/>
      </c>
      <c r="J191" s="81" t="str">
        <f t="shared" si="63"/>
        <v/>
      </c>
      <c r="K191" s="82" t="str">
        <f t="shared" si="64"/>
        <v/>
      </c>
      <c r="L191" s="83" t="str">
        <f t="shared" si="65"/>
        <v/>
      </c>
      <c r="M191" s="60"/>
      <c r="N191" s="80" t="str">
        <f t="shared" si="58"/>
        <v/>
      </c>
      <c r="O191" s="81" t="str">
        <f t="shared" si="66"/>
        <v/>
      </c>
      <c r="P191" s="82" t="str">
        <f t="shared" si="67"/>
        <v/>
      </c>
      <c r="Q191" s="83" t="str">
        <f t="shared" si="68"/>
        <v/>
      </c>
      <c r="R191" s="60"/>
      <c r="S191" s="80" t="str">
        <f t="shared" si="59"/>
        <v/>
      </c>
      <c r="T191" s="81" t="str">
        <f t="shared" si="69"/>
        <v/>
      </c>
      <c r="U191" s="82" t="str">
        <f t="shared" si="70"/>
        <v/>
      </c>
      <c r="V191" s="83" t="str">
        <f t="shared" si="71"/>
        <v/>
      </c>
    </row>
    <row r="192" spans="2:22" s="84" customFormat="1">
      <c r="B192" s="60"/>
      <c r="C192" s="61"/>
      <c r="D192" s="80" t="str">
        <f t="shared" si="56"/>
        <v/>
      </c>
      <c r="E192" s="81" t="str">
        <f t="shared" si="60"/>
        <v/>
      </c>
      <c r="F192" s="82" t="str">
        <f t="shared" si="61"/>
        <v/>
      </c>
      <c r="G192" s="83" t="str">
        <f t="shared" si="62"/>
        <v/>
      </c>
      <c r="H192" s="60"/>
      <c r="I192" s="80" t="str">
        <f t="shared" si="57"/>
        <v/>
      </c>
      <c r="J192" s="81" t="str">
        <f t="shared" si="63"/>
        <v/>
      </c>
      <c r="K192" s="82" t="str">
        <f t="shared" si="64"/>
        <v/>
      </c>
      <c r="L192" s="83" t="str">
        <f t="shared" si="65"/>
        <v/>
      </c>
      <c r="M192" s="60"/>
      <c r="N192" s="80" t="str">
        <f t="shared" si="58"/>
        <v/>
      </c>
      <c r="O192" s="81" t="str">
        <f t="shared" si="66"/>
        <v/>
      </c>
      <c r="P192" s="82" t="str">
        <f t="shared" si="67"/>
        <v/>
      </c>
      <c r="Q192" s="83" t="str">
        <f t="shared" si="68"/>
        <v/>
      </c>
      <c r="R192" s="60"/>
      <c r="S192" s="80" t="str">
        <f t="shared" si="59"/>
        <v/>
      </c>
      <c r="T192" s="81" t="str">
        <f t="shared" si="69"/>
        <v/>
      </c>
      <c r="U192" s="82" t="str">
        <f t="shared" si="70"/>
        <v/>
      </c>
      <c r="V192" s="83" t="str">
        <f t="shared" si="71"/>
        <v/>
      </c>
    </row>
    <row r="193" spans="2:22" s="84" customFormat="1">
      <c r="B193" s="60"/>
      <c r="C193" s="61"/>
      <c r="D193" s="80" t="str">
        <f t="shared" si="56"/>
        <v/>
      </c>
      <c r="E193" s="81" t="str">
        <f t="shared" si="60"/>
        <v/>
      </c>
      <c r="F193" s="82" t="str">
        <f t="shared" si="61"/>
        <v/>
      </c>
      <c r="G193" s="83" t="str">
        <f t="shared" si="62"/>
        <v/>
      </c>
      <c r="H193" s="60"/>
      <c r="I193" s="80" t="str">
        <f t="shared" si="57"/>
        <v/>
      </c>
      <c r="J193" s="81" t="str">
        <f t="shared" si="63"/>
        <v/>
      </c>
      <c r="K193" s="82" t="str">
        <f t="shared" si="64"/>
        <v/>
      </c>
      <c r="L193" s="83" t="str">
        <f t="shared" si="65"/>
        <v/>
      </c>
      <c r="M193" s="60"/>
      <c r="N193" s="80" t="str">
        <f t="shared" si="58"/>
        <v/>
      </c>
      <c r="O193" s="81" t="str">
        <f t="shared" si="66"/>
        <v/>
      </c>
      <c r="P193" s="82" t="str">
        <f t="shared" si="67"/>
        <v/>
      </c>
      <c r="Q193" s="83" t="str">
        <f t="shared" si="68"/>
        <v/>
      </c>
      <c r="R193" s="60"/>
      <c r="S193" s="80" t="str">
        <f t="shared" si="59"/>
        <v/>
      </c>
      <c r="T193" s="81" t="str">
        <f t="shared" si="69"/>
        <v/>
      </c>
      <c r="U193" s="82" t="str">
        <f t="shared" si="70"/>
        <v/>
      </c>
      <c r="V193" s="83" t="str">
        <f t="shared" si="71"/>
        <v/>
      </c>
    </row>
    <row r="194" spans="2:22" s="84" customFormat="1">
      <c r="B194" s="60"/>
      <c r="C194" s="61"/>
      <c r="D194" s="80" t="str">
        <f t="shared" si="56"/>
        <v/>
      </c>
      <c r="E194" s="81" t="str">
        <f t="shared" si="60"/>
        <v/>
      </c>
      <c r="F194" s="82" t="str">
        <f t="shared" si="61"/>
        <v/>
      </c>
      <c r="G194" s="83" t="str">
        <f t="shared" si="62"/>
        <v/>
      </c>
      <c r="H194" s="60"/>
      <c r="I194" s="80" t="str">
        <f t="shared" si="57"/>
        <v/>
      </c>
      <c r="J194" s="81" t="str">
        <f t="shared" si="63"/>
        <v/>
      </c>
      <c r="K194" s="82" t="str">
        <f t="shared" si="64"/>
        <v/>
      </c>
      <c r="L194" s="83" t="str">
        <f t="shared" si="65"/>
        <v/>
      </c>
      <c r="M194" s="60"/>
      <c r="N194" s="80" t="str">
        <f t="shared" si="58"/>
        <v/>
      </c>
      <c r="O194" s="81" t="str">
        <f t="shared" si="66"/>
        <v/>
      </c>
      <c r="P194" s="82" t="str">
        <f t="shared" si="67"/>
        <v/>
      </c>
      <c r="Q194" s="83" t="str">
        <f t="shared" si="68"/>
        <v/>
      </c>
      <c r="R194" s="60"/>
      <c r="S194" s="80" t="str">
        <f t="shared" si="59"/>
        <v/>
      </c>
      <c r="T194" s="81" t="str">
        <f t="shared" si="69"/>
        <v/>
      </c>
      <c r="U194" s="82" t="str">
        <f t="shared" si="70"/>
        <v/>
      </c>
      <c r="V194" s="83" t="str">
        <f t="shared" si="71"/>
        <v/>
      </c>
    </row>
    <row r="195" spans="2:22" s="84" customFormat="1">
      <c r="B195" s="60"/>
      <c r="C195" s="61"/>
      <c r="D195" s="80" t="str">
        <f t="shared" si="56"/>
        <v/>
      </c>
      <c r="E195" s="81" t="str">
        <f t="shared" si="60"/>
        <v/>
      </c>
      <c r="F195" s="82" t="str">
        <f t="shared" si="61"/>
        <v/>
      </c>
      <c r="G195" s="83" t="str">
        <f t="shared" si="62"/>
        <v/>
      </c>
      <c r="H195" s="60"/>
      <c r="I195" s="80" t="str">
        <f t="shared" si="57"/>
        <v/>
      </c>
      <c r="J195" s="81" t="str">
        <f t="shared" si="63"/>
        <v/>
      </c>
      <c r="K195" s="82" t="str">
        <f t="shared" si="64"/>
        <v/>
      </c>
      <c r="L195" s="83" t="str">
        <f t="shared" si="65"/>
        <v/>
      </c>
      <c r="M195" s="60"/>
      <c r="N195" s="80" t="str">
        <f t="shared" si="58"/>
        <v/>
      </c>
      <c r="O195" s="81" t="str">
        <f t="shared" si="66"/>
        <v/>
      </c>
      <c r="P195" s="82" t="str">
        <f t="shared" si="67"/>
        <v/>
      </c>
      <c r="Q195" s="83" t="str">
        <f t="shared" si="68"/>
        <v/>
      </c>
      <c r="R195" s="60"/>
      <c r="S195" s="80" t="str">
        <f t="shared" si="59"/>
        <v/>
      </c>
      <c r="T195" s="81" t="str">
        <f t="shared" si="69"/>
        <v/>
      </c>
      <c r="U195" s="82" t="str">
        <f t="shared" si="70"/>
        <v/>
      </c>
      <c r="V195" s="83" t="str">
        <f t="shared" si="71"/>
        <v/>
      </c>
    </row>
    <row r="196" spans="2:22" s="84" customFormat="1">
      <c r="B196" s="60"/>
      <c r="C196" s="61"/>
      <c r="D196" s="80" t="str">
        <f t="shared" si="56"/>
        <v/>
      </c>
      <c r="E196" s="81" t="str">
        <f t="shared" si="60"/>
        <v/>
      </c>
      <c r="F196" s="82" t="str">
        <f t="shared" si="61"/>
        <v/>
      </c>
      <c r="G196" s="83" t="str">
        <f t="shared" si="62"/>
        <v/>
      </c>
      <c r="H196" s="60"/>
      <c r="I196" s="80" t="str">
        <f t="shared" si="57"/>
        <v/>
      </c>
      <c r="J196" s="81" t="str">
        <f t="shared" si="63"/>
        <v/>
      </c>
      <c r="K196" s="82" t="str">
        <f t="shared" si="64"/>
        <v/>
      </c>
      <c r="L196" s="83" t="str">
        <f t="shared" si="65"/>
        <v/>
      </c>
      <c r="M196" s="60"/>
      <c r="N196" s="80" t="str">
        <f t="shared" si="58"/>
        <v/>
      </c>
      <c r="O196" s="81" t="str">
        <f t="shared" si="66"/>
        <v/>
      </c>
      <c r="P196" s="82" t="str">
        <f t="shared" si="67"/>
        <v/>
      </c>
      <c r="Q196" s="83" t="str">
        <f t="shared" si="68"/>
        <v/>
      </c>
      <c r="R196" s="60"/>
      <c r="S196" s="80" t="str">
        <f t="shared" si="59"/>
        <v/>
      </c>
      <c r="T196" s="81" t="str">
        <f t="shared" si="69"/>
        <v/>
      </c>
      <c r="U196" s="82" t="str">
        <f t="shared" si="70"/>
        <v/>
      </c>
      <c r="V196" s="83" t="str">
        <f t="shared" si="71"/>
        <v/>
      </c>
    </row>
    <row r="197" spans="2:22" s="84" customFormat="1">
      <c r="B197" s="60"/>
      <c r="C197" s="61"/>
      <c r="D197" s="80" t="str">
        <f t="shared" si="56"/>
        <v/>
      </c>
      <c r="E197" s="81" t="str">
        <f t="shared" si="60"/>
        <v/>
      </c>
      <c r="F197" s="82" t="str">
        <f t="shared" si="61"/>
        <v/>
      </c>
      <c r="G197" s="83" t="str">
        <f t="shared" si="62"/>
        <v/>
      </c>
      <c r="H197" s="60"/>
      <c r="I197" s="80" t="str">
        <f t="shared" si="57"/>
        <v/>
      </c>
      <c r="J197" s="81" t="str">
        <f t="shared" si="63"/>
        <v/>
      </c>
      <c r="K197" s="82" t="str">
        <f t="shared" si="64"/>
        <v/>
      </c>
      <c r="L197" s="83" t="str">
        <f t="shared" si="65"/>
        <v/>
      </c>
      <c r="M197" s="60"/>
      <c r="N197" s="80" t="str">
        <f t="shared" si="58"/>
        <v/>
      </c>
      <c r="O197" s="81" t="str">
        <f t="shared" si="66"/>
        <v/>
      </c>
      <c r="P197" s="82" t="str">
        <f t="shared" si="67"/>
        <v/>
      </c>
      <c r="Q197" s="83" t="str">
        <f t="shared" si="68"/>
        <v/>
      </c>
      <c r="R197" s="60"/>
      <c r="S197" s="80" t="str">
        <f t="shared" si="59"/>
        <v/>
      </c>
      <c r="T197" s="81" t="str">
        <f t="shared" si="69"/>
        <v/>
      </c>
      <c r="U197" s="82" t="str">
        <f t="shared" si="70"/>
        <v/>
      </c>
      <c r="V197" s="83" t="str">
        <f t="shared" si="71"/>
        <v/>
      </c>
    </row>
    <row r="198" spans="2:22" s="84" customFormat="1">
      <c r="B198" s="60"/>
      <c r="C198" s="61"/>
      <c r="D198" s="80" t="str">
        <f t="shared" si="56"/>
        <v/>
      </c>
      <c r="E198" s="81" t="str">
        <f t="shared" si="60"/>
        <v/>
      </c>
      <c r="F198" s="82" t="str">
        <f t="shared" si="61"/>
        <v/>
      </c>
      <c r="G198" s="83" t="str">
        <f t="shared" si="62"/>
        <v/>
      </c>
      <c r="H198" s="60"/>
      <c r="I198" s="80" t="str">
        <f t="shared" si="57"/>
        <v/>
      </c>
      <c r="J198" s="81" t="str">
        <f t="shared" si="63"/>
        <v/>
      </c>
      <c r="K198" s="82" t="str">
        <f t="shared" si="64"/>
        <v/>
      </c>
      <c r="L198" s="83" t="str">
        <f t="shared" si="65"/>
        <v/>
      </c>
      <c r="M198" s="60"/>
      <c r="N198" s="80" t="str">
        <f t="shared" si="58"/>
        <v/>
      </c>
      <c r="O198" s="81" t="str">
        <f t="shared" si="66"/>
        <v/>
      </c>
      <c r="P198" s="82" t="str">
        <f t="shared" si="67"/>
        <v/>
      </c>
      <c r="Q198" s="83" t="str">
        <f t="shared" si="68"/>
        <v/>
      </c>
      <c r="R198" s="60"/>
      <c r="S198" s="80" t="str">
        <f t="shared" si="59"/>
        <v/>
      </c>
      <c r="T198" s="81" t="str">
        <f t="shared" si="69"/>
        <v/>
      </c>
      <c r="U198" s="82" t="str">
        <f t="shared" si="70"/>
        <v/>
      </c>
      <c r="V198" s="83" t="str">
        <f t="shared" si="71"/>
        <v/>
      </c>
    </row>
    <row r="199" spans="2:22" s="84" customFormat="1">
      <c r="B199" s="60"/>
      <c r="C199" s="61"/>
      <c r="D199" s="80" t="str">
        <f t="shared" si="56"/>
        <v/>
      </c>
      <c r="E199" s="81" t="str">
        <f t="shared" si="60"/>
        <v/>
      </c>
      <c r="F199" s="82" t="str">
        <f t="shared" si="61"/>
        <v/>
      </c>
      <c r="G199" s="83" t="str">
        <f t="shared" si="62"/>
        <v/>
      </c>
      <c r="H199" s="60"/>
      <c r="I199" s="80" t="str">
        <f t="shared" si="57"/>
        <v/>
      </c>
      <c r="J199" s="81" t="str">
        <f t="shared" si="63"/>
        <v/>
      </c>
      <c r="K199" s="82" t="str">
        <f t="shared" si="64"/>
        <v/>
      </c>
      <c r="L199" s="83" t="str">
        <f t="shared" si="65"/>
        <v/>
      </c>
      <c r="M199" s="60"/>
      <c r="N199" s="80" t="str">
        <f t="shared" si="58"/>
        <v/>
      </c>
      <c r="O199" s="81" t="str">
        <f t="shared" si="66"/>
        <v/>
      </c>
      <c r="P199" s="82" t="str">
        <f t="shared" si="67"/>
        <v/>
      </c>
      <c r="Q199" s="83" t="str">
        <f t="shared" si="68"/>
        <v/>
      </c>
      <c r="R199" s="60"/>
      <c r="S199" s="80" t="str">
        <f t="shared" si="59"/>
        <v/>
      </c>
      <c r="T199" s="81" t="str">
        <f t="shared" si="69"/>
        <v/>
      </c>
      <c r="U199" s="82" t="str">
        <f t="shared" si="70"/>
        <v/>
      </c>
      <c r="V199" s="83" t="str">
        <f t="shared" si="71"/>
        <v/>
      </c>
    </row>
    <row r="200" spans="2:22" s="84" customFormat="1">
      <c r="B200" s="60"/>
      <c r="C200" s="61"/>
      <c r="D200" s="80" t="str">
        <f t="shared" si="56"/>
        <v/>
      </c>
      <c r="E200" s="81" t="str">
        <f t="shared" si="60"/>
        <v/>
      </c>
      <c r="F200" s="82" t="str">
        <f t="shared" si="61"/>
        <v/>
      </c>
      <c r="G200" s="83" t="str">
        <f t="shared" si="62"/>
        <v/>
      </c>
      <c r="H200" s="60"/>
      <c r="I200" s="80" t="str">
        <f t="shared" si="57"/>
        <v/>
      </c>
      <c r="J200" s="81" t="str">
        <f t="shared" si="63"/>
        <v/>
      </c>
      <c r="K200" s="82" t="str">
        <f t="shared" si="64"/>
        <v/>
      </c>
      <c r="L200" s="83" t="str">
        <f t="shared" si="65"/>
        <v/>
      </c>
      <c r="M200" s="60"/>
      <c r="N200" s="80" t="str">
        <f t="shared" si="58"/>
        <v/>
      </c>
      <c r="O200" s="81" t="str">
        <f t="shared" si="66"/>
        <v/>
      </c>
      <c r="P200" s="82" t="str">
        <f t="shared" si="67"/>
        <v/>
      </c>
      <c r="Q200" s="83" t="str">
        <f t="shared" si="68"/>
        <v/>
      </c>
      <c r="R200" s="60"/>
      <c r="S200" s="80" t="str">
        <f t="shared" si="59"/>
        <v/>
      </c>
      <c r="T200" s="81" t="str">
        <f t="shared" si="69"/>
        <v/>
      </c>
      <c r="U200" s="82" t="str">
        <f t="shared" si="70"/>
        <v/>
      </c>
      <c r="V200" s="83" t="str">
        <f t="shared" si="71"/>
        <v/>
      </c>
    </row>
  </sheetData>
  <sheetProtection formatColumns="0"/>
  <mergeCells count="36">
    <mergeCell ref="D2:F2"/>
    <mergeCell ref="D7:F7"/>
    <mergeCell ref="D6:F6"/>
    <mergeCell ref="D5:F5"/>
    <mergeCell ref="D4:F4"/>
    <mergeCell ref="D3:F3"/>
    <mergeCell ref="N7:P7"/>
    <mergeCell ref="I2:K2"/>
    <mergeCell ref="I3:K3"/>
    <mergeCell ref="I4:K4"/>
    <mergeCell ref="I5:K5"/>
    <mergeCell ref="I6:K6"/>
    <mergeCell ref="I7:K7"/>
    <mergeCell ref="N2:P2"/>
    <mergeCell ref="N3:P3"/>
    <mergeCell ref="N4:P4"/>
    <mergeCell ref="N5:P5"/>
    <mergeCell ref="N6:P6"/>
    <mergeCell ref="O10:P10"/>
    <mergeCell ref="O11:P11"/>
    <mergeCell ref="N12:P12"/>
    <mergeCell ref="E11:F11"/>
    <mergeCell ref="E10:F10"/>
    <mergeCell ref="D12:F12"/>
    <mergeCell ref="J10:K10"/>
    <mergeCell ref="J11:K11"/>
    <mergeCell ref="I12:K12"/>
    <mergeCell ref="S7:U7"/>
    <mergeCell ref="T10:U10"/>
    <mergeCell ref="T11:U11"/>
    <mergeCell ref="S12:U12"/>
    <mergeCell ref="S2:U2"/>
    <mergeCell ref="S3:U3"/>
    <mergeCell ref="S4:U4"/>
    <mergeCell ref="S5:U5"/>
    <mergeCell ref="S6:U6"/>
  </mergeCells>
  <conditionalFormatting sqref="J15:J200">
    <cfRule type="cellIs" dxfId="2" priority="3" operator="equal">
      <formula>0</formula>
    </cfRule>
  </conditionalFormatting>
  <conditionalFormatting sqref="O15:O200">
    <cfRule type="cellIs" dxfId="1" priority="2" operator="equal">
      <formula>0</formula>
    </cfRule>
  </conditionalFormatting>
  <conditionalFormatting sqref="T15:T200">
    <cfRule type="cellIs" dxfId="0" priority="1" operator="equal">
      <formula>0</formula>
    </cfRule>
  </conditionalFormatting>
  <dataValidations count="1">
    <dataValidation type="list" allowBlank="1" showInputMessage="1" showErrorMessage="1" sqref="D2 I2 N2 S2" xr:uid="{00000000-0002-0000-0100-000000000000}">
      <formula1>Nome_Indices</formula1>
    </dataValidation>
  </dataValidations>
  <pageMargins left="0.28000000000000003" right="0.25" top="0.78740157480314965" bottom="0.78740157480314965" header="0.31496062992125984" footer="0.31496062992125984"/>
  <pageSetup scale="36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B1:K837"/>
  <sheetViews>
    <sheetView workbookViewId="0">
      <pane ySplit="1" topLeftCell="A2" activePane="bottomLeft" state="frozen"/>
      <selection activeCell="C2" sqref="C2:W2"/>
      <selection pane="bottomLeft" activeCell="C2" sqref="C2:W2"/>
    </sheetView>
  </sheetViews>
  <sheetFormatPr defaultRowHeight="15"/>
  <cols>
    <col min="1" max="1" width="0.7109375" customWidth="1"/>
    <col min="2" max="2" width="10.7109375" bestFit="1" customWidth="1"/>
    <col min="4" max="4" width="11.7109375" style="9" bestFit="1" customWidth="1"/>
    <col min="5" max="5" width="13.85546875" style="14" bestFit="1" customWidth="1"/>
    <col min="6" max="6" width="10.140625" style="9" bestFit="1" customWidth="1"/>
    <col min="7" max="7" width="15" style="14" bestFit="1" customWidth="1"/>
  </cols>
  <sheetData>
    <row r="1" spans="2:11">
      <c r="B1" s="7" t="s">
        <v>15</v>
      </c>
      <c r="C1" s="7" t="s">
        <v>14</v>
      </c>
      <c r="D1" s="8" t="s">
        <v>16</v>
      </c>
      <c r="E1" s="12" t="s">
        <v>17</v>
      </c>
      <c r="F1" s="8" t="s">
        <v>3</v>
      </c>
      <c r="G1" s="12" t="s">
        <v>18</v>
      </c>
      <c r="H1" s="10" t="s">
        <v>19</v>
      </c>
      <c r="J1" t="s">
        <v>14</v>
      </c>
      <c r="K1" t="s">
        <v>3</v>
      </c>
    </row>
    <row r="2" spans="2:11">
      <c r="B2" s="7"/>
      <c r="C2" s="7"/>
      <c r="D2" s="8"/>
      <c r="E2" s="12"/>
      <c r="F2" s="8"/>
      <c r="G2" s="12"/>
      <c r="H2" s="10"/>
      <c r="J2" s="15" t="e">
        <f>C3</f>
        <v>#REF!</v>
      </c>
      <c r="K2" s="15" t="e">
        <f>C3</f>
        <v>#REF!</v>
      </c>
    </row>
    <row r="3" spans="2:11">
      <c r="B3" s="6">
        <v>34515</v>
      </c>
      <c r="C3" s="2" t="e">
        <f>VLOOKUP(B3,#REF!,2,FALSE)</f>
        <v>#REF!</v>
      </c>
      <c r="D3" s="9">
        <v>0.01</v>
      </c>
      <c r="E3" s="13">
        <f>1+D3</f>
        <v>1.01</v>
      </c>
      <c r="F3" s="9">
        <f>VLOOKUP(B3,Índices!$A$2:$D$292,4,FALSE)</f>
        <v>0.4521</v>
      </c>
      <c r="G3" s="13">
        <f>(1+F3)</f>
        <v>1.4520999999999999</v>
      </c>
      <c r="H3" s="11">
        <f>G3-E3</f>
        <v>0.44209999999999994</v>
      </c>
      <c r="J3" s="15" t="e">
        <f>C3</f>
        <v>#REF!</v>
      </c>
      <c r="K3" t="e">
        <f>$K$2*G3</f>
        <v>#REF!</v>
      </c>
    </row>
    <row r="4" spans="2:11">
      <c r="B4" s="6">
        <f>EOMONTH(B3,1)</f>
        <v>34546</v>
      </c>
      <c r="C4" s="2" t="e">
        <f>IFERROR(VLOOKUP(B4,#REF!,2,FALSE),C3)</f>
        <v>#REF!</v>
      </c>
      <c r="D4" s="9" t="e">
        <f>C4/C3-1</f>
        <v>#REF!</v>
      </c>
      <c r="E4" s="13" t="e">
        <f>E3*(1+D4)</f>
        <v>#REF!</v>
      </c>
      <c r="F4" s="9">
        <f>VLOOKUP(B4,Índices!$A$2:$D$292,4,FALSE)</f>
        <v>4.3299999999999998E-2</v>
      </c>
      <c r="G4" s="13">
        <f>G3*(1+F4)</f>
        <v>1.5149759299999999</v>
      </c>
      <c r="H4" s="11" t="e">
        <f t="shared" ref="H4:H67" si="0">G4-E4</f>
        <v>#REF!</v>
      </c>
      <c r="J4" s="15" t="e">
        <f>C4</f>
        <v>#REF!</v>
      </c>
      <c r="K4" t="e">
        <f t="shared" ref="K4:K67" si="1">$K$2*G4</f>
        <v>#REF!</v>
      </c>
    </row>
    <row r="5" spans="2:11">
      <c r="B5" s="6">
        <f t="shared" ref="B5:B68" si="2">EOMONTH(B4,1)</f>
        <v>34577</v>
      </c>
      <c r="C5" s="2" t="e">
        <f>IFERROR(VLOOKUP(B5,#REF!,2,FALSE),C4)</f>
        <v>#REF!</v>
      </c>
      <c r="D5" s="9" t="e">
        <f t="shared" ref="D5:D68" si="3">C5/C4-1</f>
        <v>#REF!</v>
      </c>
      <c r="E5" s="13" t="e">
        <f t="shared" ref="E5:E68" si="4">E4*(1+D5)</f>
        <v>#REF!</v>
      </c>
      <c r="F5" s="9">
        <f>VLOOKUP(B5,Índices!$A$2:$D$292,4,FALSE)</f>
        <v>3.9399999999999998E-2</v>
      </c>
      <c r="G5" s="13">
        <f t="shared" ref="G5:G68" si="5">G4*(1+F5)</f>
        <v>1.5746659816420001</v>
      </c>
      <c r="H5" s="11" t="e">
        <f t="shared" si="0"/>
        <v>#REF!</v>
      </c>
      <c r="J5" s="15" t="e">
        <f t="shared" ref="J5:J68" si="6">C5</f>
        <v>#REF!</v>
      </c>
      <c r="K5" t="e">
        <f t="shared" si="1"/>
        <v>#REF!</v>
      </c>
    </row>
    <row r="6" spans="2:11">
      <c r="B6" s="6">
        <f t="shared" si="2"/>
        <v>34607</v>
      </c>
      <c r="C6" s="2" t="e">
        <f>IFERROR(VLOOKUP(B6,#REF!,2,FALSE),C5)</f>
        <v>#REF!</v>
      </c>
      <c r="D6" s="9" t="e">
        <f t="shared" si="3"/>
        <v>#REF!</v>
      </c>
      <c r="E6" s="13" t="e">
        <f t="shared" si="4"/>
        <v>#REF!</v>
      </c>
      <c r="F6" s="9">
        <f>VLOOKUP(B6,Índices!$A$2:$D$292,4,FALSE)</f>
        <v>1.7500000000000002E-2</v>
      </c>
      <c r="G6" s="13">
        <f t="shared" si="5"/>
        <v>1.6022226363207352</v>
      </c>
      <c r="H6" s="11" t="e">
        <f t="shared" si="0"/>
        <v>#REF!</v>
      </c>
      <c r="J6" s="15" t="e">
        <f t="shared" si="6"/>
        <v>#REF!</v>
      </c>
      <c r="K6" t="e">
        <f t="shared" si="1"/>
        <v>#REF!</v>
      </c>
    </row>
    <row r="7" spans="2:11">
      <c r="B7" s="6">
        <f t="shared" si="2"/>
        <v>34638</v>
      </c>
      <c r="C7" s="2" t="e">
        <f>IFERROR(VLOOKUP(B7,#REF!,2,FALSE),C6)</f>
        <v>#REF!</v>
      </c>
      <c r="D7" s="9" t="e">
        <f t="shared" si="3"/>
        <v>#REF!</v>
      </c>
      <c r="E7" s="13" t="e">
        <f t="shared" si="4"/>
        <v>#REF!</v>
      </c>
      <c r="F7" s="9">
        <f>VLOOKUP(B7,Índices!$A$2:$D$292,4,FALSE)</f>
        <v>1.8200000000000001E-2</v>
      </c>
      <c r="G7" s="13">
        <f t="shared" si="5"/>
        <v>1.6313830883017726</v>
      </c>
      <c r="H7" s="11" t="e">
        <f t="shared" si="0"/>
        <v>#REF!</v>
      </c>
      <c r="J7" s="15" t="e">
        <f t="shared" si="6"/>
        <v>#REF!</v>
      </c>
      <c r="K7" t="e">
        <f t="shared" si="1"/>
        <v>#REF!</v>
      </c>
    </row>
    <row r="8" spans="2:11">
      <c r="B8" s="6">
        <f t="shared" si="2"/>
        <v>34668</v>
      </c>
      <c r="C8" s="2" t="e">
        <f>IFERROR(VLOOKUP(B8,#REF!,2,FALSE),C7)</f>
        <v>#REF!</v>
      </c>
      <c r="D8" s="9" t="e">
        <f t="shared" si="3"/>
        <v>#REF!</v>
      </c>
      <c r="E8" s="13" t="e">
        <f t="shared" si="4"/>
        <v>#REF!</v>
      </c>
      <c r="F8" s="9">
        <f>VLOOKUP(B8,Índices!$A$2:$D$292,4,FALSE)</f>
        <v>2.8500000000000001E-2</v>
      </c>
      <c r="G8" s="13">
        <f t="shared" si="5"/>
        <v>1.6778775063183731</v>
      </c>
      <c r="H8" s="11" t="e">
        <f t="shared" si="0"/>
        <v>#REF!</v>
      </c>
      <c r="J8" s="15" t="e">
        <f t="shared" si="6"/>
        <v>#REF!</v>
      </c>
      <c r="K8" t="e">
        <f t="shared" si="1"/>
        <v>#REF!</v>
      </c>
    </row>
    <row r="9" spans="2:11">
      <c r="B9" s="6">
        <f t="shared" si="2"/>
        <v>34699</v>
      </c>
      <c r="C9" s="2" t="e">
        <f>IFERROR(VLOOKUP(B9,#REF!,2,FALSE),C8)</f>
        <v>#REF!</v>
      </c>
      <c r="D9" s="9" t="e">
        <f t="shared" si="3"/>
        <v>#REF!</v>
      </c>
      <c r="E9" s="13" t="e">
        <f t="shared" si="4"/>
        <v>#REF!</v>
      </c>
      <c r="F9" s="9">
        <f>VLOOKUP(B9,Índices!$A$2:$D$292,4,FALSE)</f>
        <v>8.3999999999999995E-3</v>
      </c>
      <c r="G9" s="13">
        <f t="shared" si="5"/>
        <v>1.6919716773714473</v>
      </c>
      <c r="H9" s="11" t="e">
        <f t="shared" si="0"/>
        <v>#REF!</v>
      </c>
      <c r="J9" s="15" t="e">
        <f t="shared" si="6"/>
        <v>#REF!</v>
      </c>
      <c r="K9" t="e">
        <f t="shared" si="1"/>
        <v>#REF!</v>
      </c>
    </row>
    <row r="10" spans="2:11">
      <c r="B10" s="6">
        <f t="shared" si="2"/>
        <v>34730</v>
      </c>
      <c r="C10" s="2" t="e">
        <f>IFERROR(VLOOKUP(B10,#REF!,2,FALSE),C9)</f>
        <v>#REF!</v>
      </c>
      <c r="D10" s="9" t="e">
        <f t="shared" si="3"/>
        <v>#REF!</v>
      </c>
      <c r="E10" s="13" t="e">
        <f t="shared" si="4"/>
        <v>#REF!</v>
      </c>
      <c r="F10" s="9">
        <f>VLOOKUP(B10,Índices!$A$2:$D$292,4,FALSE)</f>
        <v>9.1999999999999998E-3</v>
      </c>
      <c r="G10" s="13">
        <f t="shared" si="5"/>
        <v>1.7075378168032647</v>
      </c>
      <c r="H10" s="11" t="e">
        <f t="shared" si="0"/>
        <v>#REF!</v>
      </c>
      <c r="J10" s="15" t="e">
        <f t="shared" si="6"/>
        <v>#REF!</v>
      </c>
      <c r="K10" t="e">
        <f t="shared" si="1"/>
        <v>#REF!</v>
      </c>
    </row>
    <row r="11" spans="2:11">
      <c r="B11" s="6">
        <f t="shared" si="2"/>
        <v>34758</v>
      </c>
      <c r="C11" s="2" t="e">
        <f>IFERROR(VLOOKUP(B11,#REF!,2,FALSE),C10)</f>
        <v>#REF!</v>
      </c>
      <c r="D11" s="9" t="e">
        <f t="shared" si="3"/>
        <v>#REF!</v>
      </c>
      <c r="E11" s="13" t="e">
        <f t="shared" si="4"/>
        <v>#REF!</v>
      </c>
      <c r="F11" s="9">
        <f>VLOOKUP(B11,Índices!$A$2:$D$292,4,FALSE)</f>
        <v>1.3899999999999999E-2</v>
      </c>
      <c r="G11" s="13">
        <f t="shared" si="5"/>
        <v>1.7312725924568302</v>
      </c>
      <c r="H11" s="11" t="e">
        <f t="shared" si="0"/>
        <v>#REF!</v>
      </c>
      <c r="J11" s="15" t="e">
        <f t="shared" si="6"/>
        <v>#REF!</v>
      </c>
      <c r="K11" t="e">
        <f t="shared" si="1"/>
        <v>#REF!</v>
      </c>
    </row>
    <row r="12" spans="2:11">
      <c r="B12" s="6">
        <f t="shared" si="2"/>
        <v>34789</v>
      </c>
      <c r="C12" s="2" t="e">
        <f>IFERROR(VLOOKUP(B12,#REF!,2,FALSE),C11)</f>
        <v>#REF!</v>
      </c>
      <c r="D12" s="9" t="e">
        <f t="shared" si="3"/>
        <v>#REF!</v>
      </c>
      <c r="E12" s="13" t="e">
        <f t="shared" si="4"/>
        <v>#REF!</v>
      </c>
      <c r="F12" s="9">
        <f>VLOOKUP(B12,Índices!$A$2:$D$292,4,FALSE)</f>
        <v>1.12E-2</v>
      </c>
      <c r="G12" s="13">
        <f t="shared" si="5"/>
        <v>1.7506628454923467</v>
      </c>
      <c r="H12" s="11" t="e">
        <f t="shared" si="0"/>
        <v>#REF!</v>
      </c>
      <c r="J12" s="15" t="e">
        <f t="shared" si="6"/>
        <v>#REF!</v>
      </c>
      <c r="K12" t="e">
        <f t="shared" si="1"/>
        <v>#REF!</v>
      </c>
    </row>
    <row r="13" spans="2:11">
      <c r="B13" s="6">
        <f t="shared" si="2"/>
        <v>34819</v>
      </c>
      <c r="C13" s="2" t="e">
        <f>IFERROR(VLOOKUP(B13,#REF!,2,FALSE),C12)</f>
        <v>#REF!</v>
      </c>
      <c r="D13" s="9" t="e">
        <f t="shared" si="3"/>
        <v>#REF!</v>
      </c>
      <c r="E13" s="13" t="e">
        <f t="shared" si="4"/>
        <v>#REF!</v>
      </c>
      <c r="F13" s="9">
        <f>VLOOKUP(B13,Índices!$A$2:$D$292,4,FALSE)</f>
        <v>2.1000000000000001E-2</v>
      </c>
      <c r="G13" s="13">
        <f t="shared" si="5"/>
        <v>1.7874267652476858</v>
      </c>
      <c r="H13" s="11" t="e">
        <f t="shared" si="0"/>
        <v>#REF!</v>
      </c>
      <c r="J13" s="15" t="e">
        <f t="shared" si="6"/>
        <v>#REF!</v>
      </c>
      <c r="K13" t="e">
        <f t="shared" si="1"/>
        <v>#REF!</v>
      </c>
    </row>
    <row r="14" spans="2:11">
      <c r="B14" s="6">
        <f t="shared" si="2"/>
        <v>34850</v>
      </c>
      <c r="C14" s="2" t="e">
        <f>IFERROR(VLOOKUP(B14,#REF!,2,FALSE),C13)</f>
        <v>#REF!</v>
      </c>
      <c r="D14" s="9" t="e">
        <f t="shared" si="3"/>
        <v>#REF!</v>
      </c>
      <c r="E14" s="13" t="e">
        <f t="shared" si="4"/>
        <v>#REF!</v>
      </c>
      <c r="F14" s="9">
        <f>VLOOKUP(B14,Índices!$A$2:$D$292,4,FALSE)</f>
        <v>5.7999999999999996E-3</v>
      </c>
      <c r="G14" s="13">
        <f t="shared" si="5"/>
        <v>1.7977938404861225</v>
      </c>
      <c r="H14" s="11" t="e">
        <f t="shared" si="0"/>
        <v>#REF!</v>
      </c>
      <c r="J14" s="15" t="e">
        <f t="shared" si="6"/>
        <v>#REF!</v>
      </c>
      <c r="K14" t="e">
        <f t="shared" si="1"/>
        <v>#REF!</v>
      </c>
    </row>
    <row r="15" spans="2:11">
      <c r="B15" s="6">
        <f t="shared" si="2"/>
        <v>34880</v>
      </c>
      <c r="C15" s="2" t="e">
        <f>IFERROR(VLOOKUP(B15,#REF!,2,FALSE),C14)</f>
        <v>#REF!</v>
      </c>
      <c r="D15" s="9" t="e">
        <f t="shared" si="3"/>
        <v>#REF!</v>
      </c>
      <c r="E15" s="13" t="e">
        <f t="shared" si="4"/>
        <v>#REF!</v>
      </c>
      <c r="F15" s="9">
        <f>VLOOKUP(B15,Índices!$A$2:$D$292,4,FALSE)</f>
        <v>2.46E-2</v>
      </c>
      <c r="G15" s="13">
        <f t="shared" si="5"/>
        <v>1.8420195689620811</v>
      </c>
      <c r="H15" s="11" t="e">
        <f t="shared" si="0"/>
        <v>#REF!</v>
      </c>
      <c r="J15" s="15" t="e">
        <f t="shared" si="6"/>
        <v>#REF!</v>
      </c>
      <c r="K15" t="e">
        <f t="shared" si="1"/>
        <v>#REF!</v>
      </c>
    </row>
    <row r="16" spans="2:11">
      <c r="B16" s="6">
        <f t="shared" si="2"/>
        <v>34911</v>
      </c>
      <c r="C16" s="2" t="e">
        <f>IFERROR(VLOOKUP(B16,#REF!,2,FALSE),C15)</f>
        <v>#REF!</v>
      </c>
      <c r="D16" s="9" t="e">
        <f t="shared" si="3"/>
        <v>#REF!</v>
      </c>
      <c r="E16" s="13" t="e">
        <f t="shared" si="4"/>
        <v>#REF!</v>
      </c>
      <c r="F16" s="9">
        <f>VLOOKUP(B16,Índices!$A$2:$D$292,4,FALSE)</f>
        <v>1.8200000000000001E-2</v>
      </c>
      <c r="G16" s="13">
        <f t="shared" si="5"/>
        <v>1.875544325117191</v>
      </c>
      <c r="H16" s="11" t="e">
        <f t="shared" si="0"/>
        <v>#REF!</v>
      </c>
      <c r="J16" s="15" t="e">
        <f t="shared" si="6"/>
        <v>#REF!</v>
      </c>
      <c r="K16" t="e">
        <f t="shared" si="1"/>
        <v>#REF!</v>
      </c>
    </row>
    <row r="17" spans="2:11">
      <c r="B17" s="6">
        <f t="shared" si="2"/>
        <v>34942</v>
      </c>
      <c r="C17" s="2" t="e">
        <f>IFERROR(VLOOKUP(B17,#REF!,2,FALSE),C16)</f>
        <v>#REF!</v>
      </c>
      <c r="D17" s="9" t="e">
        <f t="shared" si="3"/>
        <v>#REF!</v>
      </c>
      <c r="E17" s="13" t="e">
        <f t="shared" si="4"/>
        <v>#REF!</v>
      </c>
      <c r="F17" s="9">
        <f>VLOOKUP(B17,Índices!$A$2:$D$292,4,FALSE)</f>
        <v>2.1999999999999999E-2</v>
      </c>
      <c r="G17" s="13">
        <f t="shared" si="5"/>
        <v>1.9168063002697693</v>
      </c>
      <c r="H17" s="11" t="e">
        <f t="shared" si="0"/>
        <v>#REF!</v>
      </c>
      <c r="J17" s="15" t="e">
        <f t="shared" si="6"/>
        <v>#REF!</v>
      </c>
      <c r="K17" t="e">
        <f t="shared" si="1"/>
        <v>#REF!</v>
      </c>
    </row>
    <row r="18" spans="2:11">
      <c r="B18" s="6">
        <f t="shared" si="2"/>
        <v>34972</v>
      </c>
      <c r="C18" s="2" t="e">
        <f>IFERROR(VLOOKUP(B18,#REF!,2,FALSE),C17)</f>
        <v>#REF!</v>
      </c>
      <c r="D18" s="9" t="e">
        <f t="shared" si="3"/>
        <v>#REF!</v>
      </c>
      <c r="E18" s="13" t="e">
        <f t="shared" si="4"/>
        <v>#REF!</v>
      </c>
      <c r="F18" s="9">
        <f>VLOOKUP(B18,Índices!$A$2:$D$292,4,FALSE)</f>
        <v>7.1000000000000004E-3</v>
      </c>
      <c r="G18" s="13">
        <f t="shared" si="5"/>
        <v>1.9304156250016848</v>
      </c>
      <c r="H18" s="11" t="e">
        <f t="shared" si="0"/>
        <v>#REF!</v>
      </c>
      <c r="J18" s="15" t="e">
        <f t="shared" si="6"/>
        <v>#REF!</v>
      </c>
      <c r="K18" t="e">
        <f t="shared" si="1"/>
        <v>#REF!</v>
      </c>
    </row>
    <row r="19" spans="2:11">
      <c r="B19" s="6">
        <f t="shared" si="2"/>
        <v>35003</v>
      </c>
      <c r="C19" s="2" t="e">
        <f>IFERROR(VLOOKUP(B19,#REF!,2,FALSE),C18)</f>
        <v>#REF!</v>
      </c>
      <c r="D19" s="9" t="e">
        <f t="shared" si="3"/>
        <v>#REF!</v>
      </c>
      <c r="E19" s="13" t="e">
        <f t="shared" si="4"/>
        <v>#REF!</v>
      </c>
      <c r="F19" s="9">
        <f>VLOOKUP(B19,Índices!$A$2:$D$292,4,FALSE)</f>
        <v>5.1999999999999998E-3</v>
      </c>
      <c r="G19" s="13">
        <f t="shared" si="5"/>
        <v>1.9404537862516937</v>
      </c>
      <c r="H19" s="11" t="e">
        <f t="shared" si="0"/>
        <v>#REF!</v>
      </c>
      <c r="J19" s="15" t="e">
        <f t="shared" si="6"/>
        <v>#REF!</v>
      </c>
      <c r="K19" t="e">
        <f t="shared" si="1"/>
        <v>#REF!</v>
      </c>
    </row>
    <row r="20" spans="2:11">
      <c r="B20" s="6">
        <f t="shared" si="2"/>
        <v>35033</v>
      </c>
      <c r="C20" s="2" t="e">
        <f>IFERROR(VLOOKUP(B20,#REF!,2,FALSE),C19)</f>
        <v>#REF!</v>
      </c>
      <c r="D20" s="9" t="e">
        <f t="shared" si="3"/>
        <v>#REF!</v>
      </c>
      <c r="E20" s="13" t="e">
        <f t="shared" si="4"/>
        <v>#REF!</v>
      </c>
      <c r="F20" s="9">
        <f>VLOOKUP(B20,Índices!$A$2:$D$292,4,FALSE)</f>
        <v>1.2E-2</v>
      </c>
      <c r="G20" s="13">
        <f t="shared" si="5"/>
        <v>1.9637392316867142</v>
      </c>
      <c r="H20" s="11" t="e">
        <f t="shared" si="0"/>
        <v>#REF!</v>
      </c>
      <c r="J20" s="15" t="e">
        <f t="shared" si="6"/>
        <v>#REF!</v>
      </c>
      <c r="K20" t="e">
        <f t="shared" si="1"/>
        <v>#REF!</v>
      </c>
    </row>
    <row r="21" spans="2:11">
      <c r="B21" s="6">
        <f t="shared" si="2"/>
        <v>35064</v>
      </c>
      <c r="C21" s="2" t="e">
        <f>IFERROR(VLOOKUP(B21,#REF!,2,FALSE),C20)</f>
        <v>#REF!</v>
      </c>
      <c r="D21" s="9" t="e">
        <f t="shared" si="3"/>
        <v>#REF!</v>
      </c>
      <c r="E21" s="13" t="e">
        <f t="shared" si="4"/>
        <v>#REF!</v>
      </c>
      <c r="F21" s="9">
        <f>VLOOKUP(B21,Índices!$A$2:$D$292,4,FALSE)</f>
        <v>7.1000000000000004E-3</v>
      </c>
      <c r="G21" s="13">
        <f t="shared" si="5"/>
        <v>1.9776817802316899</v>
      </c>
      <c r="H21" s="11" t="e">
        <f t="shared" si="0"/>
        <v>#REF!</v>
      </c>
      <c r="J21" s="15" t="e">
        <f t="shared" si="6"/>
        <v>#REF!</v>
      </c>
      <c r="K21" t="e">
        <f t="shared" si="1"/>
        <v>#REF!</v>
      </c>
    </row>
    <row r="22" spans="2:11">
      <c r="B22" s="6">
        <f t="shared" si="2"/>
        <v>35095</v>
      </c>
      <c r="C22" s="2" t="e">
        <f>IFERROR(VLOOKUP(B22,#REF!,2,FALSE),C21)</f>
        <v>#REF!</v>
      </c>
      <c r="D22" s="9" t="e">
        <f t="shared" si="3"/>
        <v>#REF!</v>
      </c>
      <c r="E22" s="13" t="e">
        <f t="shared" si="4"/>
        <v>#REF!</v>
      </c>
      <c r="F22" s="9">
        <f>VLOOKUP(B22,Índices!$A$2:$D$292,4,FALSE)</f>
        <v>1.7299999999999999E-2</v>
      </c>
      <c r="G22" s="13">
        <f t="shared" si="5"/>
        <v>2.0118956750296983</v>
      </c>
      <c r="H22" s="11" t="e">
        <f t="shared" si="0"/>
        <v>#REF!</v>
      </c>
      <c r="J22" s="15" t="e">
        <f t="shared" si="6"/>
        <v>#REF!</v>
      </c>
      <c r="K22" t="e">
        <f t="shared" si="1"/>
        <v>#REF!</v>
      </c>
    </row>
    <row r="23" spans="2:11">
      <c r="B23" s="6">
        <f t="shared" si="2"/>
        <v>35124</v>
      </c>
      <c r="C23" s="2" t="e">
        <f>IFERROR(VLOOKUP(B23,#REF!,2,FALSE),C22)</f>
        <v>#REF!</v>
      </c>
      <c r="D23" s="9" t="e">
        <f t="shared" si="3"/>
        <v>#REF!</v>
      </c>
      <c r="E23" s="13" t="e">
        <f t="shared" si="4"/>
        <v>#REF!</v>
      </c>
      <c r="F23" s="9">
        <f>VLOOKUP(B23,Índices!$A$2:$D$292,4,FALSE)</f>
        <v>9.7000000000000003E-3</v>
      </c>
      <c r="G23" s="13">
        <f t="shared" si="5"/>
        <v>2.0314110630774866</v>
      </c>
      <c r="H23" s="11" t="e">
        <f t="shared" si="0"/>
        <v>#REF!</v>
      </c>
      <c r="J23" s="15" t="e">
        <f t="shared" si="6"/>
        <v>#REF!</v>
      </c>
      <c r="K23" t="e">
        <f t="shared" si="1"/>
        <v>#REF!</v>
      </c>
    </row>
    <row r="24" spans="2:11">
      <c r="B24" s="6">
        <f t="shared" si="2"/>
        <v>35155</v>
      </c>
      <c r="C24" s="2" t="e">
        <f>IFERROR(VLOOKUP(B24,#REF!,2,FALSE),C23)</f>
        <v>#REF!</v>
      </c>
      <c r="D24" s="9" t="e">
        <f t="shared" si="3"/>
        <v>#REF!</v>
      </c>
      <c r="E24" s="13" t="e">
        <f t="shared" si="4"/>
        <v>#REF!</v>
      </c>
      <c r="F24" s="9">
        <f>VLOOKUP(B24,Índices!$A$2:$D$292,4,FALSE)</f>
        <v>4.0000000000000001E-3</v>
      </c>
      <c r="G24" s="13">
        <f t="shared" si="5"/>
        <v>2.0395367073297965</v>
      </c>
      <c r="H24" s="11" t="e">
        <f t="shared" si="0"/>
        <v>#REF!</v>
      </c>
      <c r="J24" s="15" t="e">
        <f t="shared" si="6"/>
        <v>#REF!</v>
      </c>
      <c r="K24" t="e">
        <f t="shared" si="1"/>
        <v>#REF!</v>
      </c>
    </row>
    <row r="25" spans="2:11">
      <c r="B25" s="6">
        <f t="shared" si="2"/>
        <v>35185</v>
      </c>
      <c r="C25" s="2" t="e">
        <f>IFERROR(VLOOKUP(B25,#REF!,2,FALSE),C24)</f>
        <v>#REF!</v>
      </c>
      <c r="D25" s="9" t="e">
        <f t="shared" si="3"/>
        <v>#REF!</v>
      </c>
      <c r="E25" s="13" t="e">
        <f t="shared" si="4"/>
        <v>#REF!</v>
      </c>
      <c r="F25" s="9">
        <f>VLOOKUP(B25,Índices!$A$2:$D$292,4,FALSE)</f>
        <v>3.2000000000000002E-3</v>
      </c>
      <c r="G25" s="13">
        <f t="shared" si="5"/>
        <v>2.0460632247932522</v>
      </c>
      <c r="H25" s="11" t="e">
        <f t="shared" si="0"/>
        <v>#REF!</v>
      </c>
      <c r="J25" s="15" t="e">
        <f t="shared" si="6"/>
        <v>#REF!</v>
      </c>
      <c r="K25" t="e">
        <f t="shared" si="1"/>
        <v>#REF!</v>
      </c>
    </row>
    <row r="26" spans="2:11">
      <c r="B26" s="6">
        <f t="shared" si="2"/>
        <v>35216</v>
      </c>
      <c r="C26" s="2" t="e">
        <f>IFERROR(VLOOKUP(B26,#REF!,2,FALSE),C25)</f>
        <v>#REF!</v>
      </c>
      <c r="D26" s="9" t="e">
        <f t="shared" si="3"/>
        <v>#REF!</v>
      </c>
      <c r="E26" s="13" t="e">
        <f t="shared" si="4"/>
        <v>#REF!</v>
      </c>
      <c r="F26" s="9">
        <f>VLOOKUP(B26,Índices!$A$2:$D$292,4,FALSE)</f>
        <v>1.55E-2</v>
      </c>
      <c r="G26" s="13">
        <f t="shared" si="5"/>
        <v>2.0777772047775476</v>
      </c>
      <c r="H26" s="11" t="e">
        <f t="shared" si="0"/>
        <v>#REF!</v>
      </c>
      <c r="J26" s="15" t="e">
        <f t="shared" si="6"/>
        <v>#REF!</v>
      </c>
      <c r="K26" t="e">
        <f t="shared" si="1"/>
        <v>#REF!</v>
      </c>
    </row>
    <row r="27" spans="2:11">
      <c r="B27" s="6">
        <f t="shared" si="2"/>
        <v>35246</v>
      </c>
      <c r="C27" s="2" t="e">
        <f>IFERROR(VLOOKUP(B27,#REF!,2,FALSE),C26)</f>
        <v>#REF!</v>
      </c>
      <c r="D27" s="9" t="e">
        <f t="shared" si="3"/>
        <v>#REF!</v>
      </c>
      <c r="E27" s="13" t="e">
        <f t="shared" si="4"/>
        <v>#REF!</v>
      </c>
      <c r="F27" s="9">
        <f>VLOOKUP(B27,Índices!$A$2:$D$292,4,FALSE)</f>
        <v>1.0200000000000001E-2</v>
      </c>
      <c r="G27" s="13">
        <f t="shared" si="5"/>
        <v>2.0989705322662786</v>
      </c>
      <c r="H27" s="11" t="e">
        <f t="shared" si="0"/>
        <v>#REF!</v>
      </c>
      <c r="J27" s="15" t="e">
        <f t="shared" si="6"/>
        <v>#REF!</v>
      </c>
      <c r="K27" t="e">
        <f t="shared" si="1"/>
        <v>#REF!</v>
      </c>
    </row>
    <row r="28" spans="2:11">
      <c r="B28" s="6">
        <f t="shared" si="2"/>
        <v>35277</v>
      </c>
      <c r="C28" s="2" t="e">
        <f>IFERROR(VLOOKUP(B28,#REF!,2,FALSE),C27)</f>
        <v>#REF!</v>
      </c>
      <c r="D28" s="9" t="e">
        <f t="shared" si="3"/>
        <v>#REF!</v>
      </c>
      <c r="E28" s="13" t="e">
        <f t="shared" si="4"/>
        <v>#REF!</v>
      </c>
      <c r="F28" s="9">
        <f>VLOOKUP(B28,Índices!$A$2:$D$292,4,FALSE)</f>
        <v>1.35E-2</v>
      </c>
      <c r="G28" s="13">
        <f t="shared" si="5"/>
        <v>2.1273066344518736</v>
      </c>
      <c r="H28" s="11" t="e">
        <f t="shared" si="0"/>
        <v>#REF!</v>
      </c>
      <c r="J28" s="15" t="e">
        <f t="shared" si="6"/>
        <v>#REF!</v>
      </c>
      <c r="K28" t="e">
        <f t="shared" si="1"/>
        <v>#REF!</v>
      </c>
    </row>
    <row r="29" spans="2:11">
      <c r="B29" s="6">
        <f t="shared" si="2"/>
        <v>35308</v>
      </c>
      <c r="C29" s="2" t="e">
        <f>IFERROR(VLOOKUP(B29,#REF!,2,FALSE),C28)</f>
        <v>#REF!</v>
      </c>
      <c r="D29" s="9" t="e">
        <f t="shared" si="3"/>
        <v>#REF!</v>
      </c>
      <c r="E29" s="13" t="e">
        <f t="shared" si="4"/>
        <v>#REF!</v>
      </c>
      <c r="F29" s="9">
        <f>VLOOKUP(B29,Índices!$A$2:$D$292,4,FALSE)</f>
        <v>2.8E-3</v>
      </c>
      <c r="G29" s="13">
        <f t="shared" si="5"/>
        <v>2.1332630930283387</v>
      </c>
      <c r="H29" s="11" t="e">
        <f t="shared" si="0"/>
        <v>#REF!</v>
      </c>
      <c r="J29" s="15" t="e">
        <f t="shared" si="6"/>
        <v>#REF!</v>
      </c>
      <c r="K29" t="e">
        <f t="shared" si="1"/>
        <v>#REF!</v>
      </c>
    </row>
    <row r="30" spans="2:11">
      <c r="B30" s="6">
        <f t="shared" si="2"/>
        <v>35338</v>
      </c>
      <c r="C30" s="2" t="e">
        <f>IFERROR(VLOOKUP(B30,#REF!,2,FALSE),C29)</f>
        <v>#REF!</v>
      </c>
      <c r="D30" s="9" t="e">
        <f t="shared" si="3"/>
        <v>#REF!</v>
      </c>
      <c r="E30" s="13" t="e">
        <f t="shared" si="4"/>
        <v>#REF!</v>
      </c>
      <c r="F30" s="9">
        <f>VLOOKUP(B30,Índices!$A$2:$D$292,4,FALSE)</f>
        <v>1E-3</v>
      </c>
      <c r="G30" s="13">
        <f t="shared" si="5"/>
        <v>2.1353963561213667</v>
      </c>
      <c r="H30" s="11" t="e">
        <f t="shared" si="0"/>
        <v>#REF!</v>
      </c>
      <c r="J30" s="15" t="e">
        <f t="shared" si="6"/>
        <v>#REF!</v>
      </c>
      <c r="K30" t="e">
        <f t="shared" si="1"/>
        <v>#REF!</v>
      </c>
    </row>
    <row r="31" spans="2:11">
      <c r="B31" s="6">
        <f t="shared" si="2"/>
        <v>35369</v>
      </c>
      <c r="C31" s="2" t="e">
        <f>IFERROR(VLOOKUP(B31,#REF!,2,FALSE),C30)</f>
        <v>#REF!</v>
      </c>
      <c r="D31" s="9" t="e">
        <f t="shared" si="3"/>
        <v>#REF!</v>
      </c>
      <c r="E31" s="13" t="e">
        <f t="shared" si="4"/>
        <v>#REF!</v>
      </c>
      <c r="F31" s="9">
        <f>VLOOKUP(B31,Índices!$A$2:$D$292,4,FALSE)</f>
        <v>1.9E-3</v>
      </c>
      <c r="G31" s="13">
        <f t="shared" si="5"/>
        <v>2.1394536091979974</v>
      </c>
      <c r="H31" s="11" t="e">
        <f t="shared" si="0"/>
        <v>#REF!</v>
      </c>
      <c r="J31" s="15" t="e">
        <f t="shared" si="6"/>
        <v>#REF!</v>
      </c>
      <c r="K31" t="e">
        <f t="shared" si="1"/>
        <v>#REF!</v>
      </c>
    </row>
    <row r="32" spans="2:11">
      <c r="B32" s="6">
        <f t="shared" si="2"/>
        <v>35399</v>
      </c>
      <c r="C32" s="2" t="e">
        <f>IFERROR(VLOOKUP(B32,#REF!,2,FALSE),C31)</f>
        <v>#REF!</v>
      </c>
      <c r="D32" s="9" t="e">
        <f t="shared" si="3"/>
        <v>#REF!</v>
      </c>
      <c r="E32" s="13" t="e">
        <f t="shared" si="4"/>
        <v>#REF!</v>
      </c>
      <c r="F32" s="9">
        <f>VLOOKUP(B32,Índices!$A$2:$D$292,4,FALSE)</f>
        <v>2E-3</v>
      </c>
      <c r="G32" s="13">
        <f t="shared" si="5"/>
        <v>2.1437325164163936</v>
      </c>
      <c r="H32" s="11" t="e">
        <f t="shared" si="0"/>
        <v>#REF!</v>
      </c>
      <c r="J32" s="15" t="e">
        <f t="shared" si="6"/>
        <v>#REF!</v>
      </c>
      <c r="K32" t="e">
        <f t="shared" si="1"/>
        <v>#REF!</v>
      </c>
    </row>
    <row r="33" spans="2:11">
      <c r="B33" s="6">
        <f t="shared" si="2"/>
        <v>35430</v>
      </c>
      <c r="C33" s="2" t="e">
        <f>IFERROR(VLOOKUP(B33,#REF!,2,FALSE),C32)</f>
        <v>#REF!</v>
      </c>
      <c r="D33" s="9" t="e">
        <f t="shared" si="3"/>
        <v>#REF!</v>
      </c>
      <c r="E33" s="13" t="e">
        <f t="shared" si="4"/>
        <v>#REF!</v>
      </c>
      <c r="F33" s="9">
        <f>VLOOKUP(B33,Índices!$A$2:$D$292,4,FALSE)</f>
        <v>7.3000000000000001E-3</v>
      </c>
      <c r="G33" s="13">
        <f t="shared" si="5"/>
        <v>2.1593817637862336</v>
      </c>
      <c r="H33" s="11" t="e">
        <f t="shared" si="0"/>
        <v>#REF!</v>
      </c>
      <c r="J33" s="15" t="e">
        <f t="shared" si="6"/>
        <v>#REF!</v>
      </c>
      <c r="K33" t="e">
        <f t="shared" si="1"/>
        <v>#REF!</v>
      </c>
    </row>
    <row r="34" spans="2:11">
      <c r="B34" s="6">
        <f t="shared" si="2"/>
        <v>35461</v>
      </c>
      <c r="C34" s="2" t="e">
        <f>IFERROR(VLOOKUP(B34,#REF!,2,FALSE),C33)</f>
        <v>#REF!</v>
      </c>
      <c r="D34" s="9" t="e">
        <f t="shared" si="3"/>
        <v>#REF!</v>
      </c>
      <c r="E34" s="13" t="e">
        <f t="shared" si="4"/>
        <v>#REF!</v>
      </c>
      <c r="F34" s="9">
        <f>VLOOKUP(B34,Índices!$A$2:$D$292,4,FALSE)</f>
        <v>1.77E-2</v>
      </c>
      <c r="G34" s="13">
        <f t="shared" si="5"/>
        <v>2.1976028210052498</v>
      </c>
      <c r="H34" s="11" t="e">
        <f t="shared" si="0"/>
        <v>#REF!</v>
      </c>
      <c r="J34" s="15" t="e">
        <f t="shared" si="6"/>
        <v>#REF!</v>
      </c>
      <c r="K34" t="e">
        <f t="shared" si="1"/>
        <v>#REF!</v>
      </c>
    </row>
    <row r="35" spans="2:11">
      <c r="B35" s="6">
        <f t="shared" si="2"/>
        <v>35489</v>
      </c>
      <c r="C35" s="2" t="e">
        <f>IFERROR(VLOOKUP(B35,#REF!,2,FALSE),C34)</f>
        <v>#REF!</v>
      </c>
      <c r="D35" s="9" t="e">
        <f t="shared" si="3"/>
        <v>#REF!</v>
      </c>
      <c r="E35" s="13" t="e">
        <f t="shared" si="4"/>
        <v>#REF!</v>
      </c>
      <c r="F35" s="9">
        <f>VLOOKUP(B35,Índices!$A$2:$D$292,4,FALSE)</f>
        <v>4.3E-3</v>
      </c>
      <c r="G35" s="13">
        <f t="shared" si="5"/>
        <v>2.2070525131355723</v>
      </c>
      <c r="H35" s="11" t="e">
        <f t="shared" si="0"/>
        <v>#REF!</v>
      </c>
      <c r="J35" s="15" t="e">
        <f t="shared" si="6"/>
        <v>#REF!</v>
      </c>
      <c r="K35" t="e">
        <f t="shared" si="1"/>
        <v>#REF!</v>
      </c>
    </row>
    <row r="36" spans="2:11">
      <c r="B36" s="6">
        <f t="shared" si="2"/>
        <v>35520</v>
      </c>
      <c r="C36" s="2" t="e">
        <f>IFERROR(VLOOKUP(B36,#REF!,2,FALSE),C35)</f>
        <v>#REF!</v>
      </c>
      <c r="D36" s="9" t="e">
        <f t="shared" si="3"/>
        <v>#REF!</v>
      </c>
      <c r="E36" s="13" t="e">
        <f t="shared" si="4"/>
        <v>#REF!</v>
      </c>
      <c r="F36" s="9">
        <f>VLOOKUP(B36,Índices!$A$2:$D$292,4,FALSE)</f>
        <v>1.15E-2</v>
      </c>
      <c r="G36" s="13">
        <f t="shared" si="5"/>
        <v>2.2324336170366315</v>
      </c>
      <c r="H36" s="11" t="e">
        <f t="shared" si="0"/>
        <v>#REF!</v>
      </c>
      <c r="J36" s="15" t="e">
        <f t="shared" si="6"/>
        <v>#REF!</v>
      </c>
      <c r="K36" t="e">
        <f t="shared" si="1"/>
        <v>#REF!</v>
      </c>
    </row>
    <row r="37" spans="2:11">
      <c r="B37" s="6">
        <f t="shared" si="2"/>
        <v>35550</v>
      </c>
      <c r="C37" s="2" t="e">
        <f>IFERROR(VLOOKUP(B37,#REF!,2,FALSE),C36)</f>
        <v>#REF!</v>
      </c>
      <c r="D37" s="9" t="e">
        <f t="shared" si="3"/>
        <v>#REF!</v>
      </c>
      <c r="E37" s="13" t="e">
        <f t="shared" si="4"/>
        <v>#REF!</v>
      </c>
      <c r="F37" s="9">
        <f>VLOOKUP(B37,Índices!$A$2:$D$292,4,FALSE)</f>
        <v>6.7999999999999996E-3</v>
      </c>
      <c r="G37" s="13">
        <f t="shared" si="5"/>
        <v>2.2476141656324802</v>
      </c>
      <c r="H37" s="11" t="e">
        <f t="shared" si="0"/>
        <v>#REF!</v>
      </c>
      <c r="J37" s="15" t="e">
        <f t="shared" si="6"/>
        <v>#REF!</v>
      </c>
      <c r="K37" t="e">
        <f t="shared" si="1"/>
        <v>#REF!</v>
      </c>
    </row>
    <row r="38" spans="2:11">
      <c r="B38" s="6">
        <f t="shared" si="2"/>
        <v>35581</v>
      </c>
      <c r="C38" s="2" t="e">
        <f>IFERROR(VLOOKUP(B38,#REF!,2,FALSE),C37)</f>
        <v>#REF!</v>
      </c>
      <c r="D38" s="9" t="e">
        <f t="shared" si="3"/>
        <v>#REF!</v>
      </c>
      <c r="E38" s="13" t="e">
        <f t="shared" si="4"/>
        <v>#REF!</v>
      </c>
      <c r="F38" s="9">
        <f>VLOOKUP(B38,Índices!$A$2:$D$292,4,FALSE)</f>
        <v>2.0999999999999999E-3</v>
      </c>
      <c r="G38" s="13">
        <f t="shared" si="5"/>
        <v>2.2523341553803085</v>
      </c>
      <c r="H38" s="11" t="e">
        <f t="shared" si="0"/>
        <v>#REF!</v>
      </c>
      <c r="J38" s="15" t="e">
        <f t="shared" si="6"/>
        <v>#REF!</v>
      </c>
      <c r="K38" t="e">
        <f t="shared" si="1"/>
        <v>#REF!</v>
      </c>
    </row>
    <row r="39" spans="2:11">
      <c r="B39" s="6">
        <f t="shared" si="2"/>
        <v>35611</v>
      </c>
      <c r="C39" s="2" t="e">
        <f>IFERROR(VLOOKUP(B39,#REF!,2,FALSE),C38)</f>
        <v>#REF!</v>
      </c>
      <c r="D39" s="9" t="e">
        <f t="shared" si="3"/>
        <v>#REF!</v>
      </c>
      <c r="E39" s="13" t="e">
        <f t="shared" si="4"/>
        <v>#REF!</v>
      </c>
      <c r="F39" s="9">
        <f>VLOOKUP(B39,Índices!$A$2:$D$292,4,FALSE)</f>
        <v>7.4000000000000003E-3</v>
      </c>
      <c r="G39" s="13">
        <f t="shared" si="5"/>
        <v>2.2690014281301227</v>
      </c>
      <c r="H39" s="11" t="e">
        <f t="shared" si="0"/>
        <v>#REF!</v>
      </c>
      <c r="J39" s="15" t="e">
        <f t="shared" si="6"/>
        <v>#REF!</v>
      </c>
      <c r="K39" t="e">
        <f t="shared" si="1"/>
        <v>#REF!</v>
      </c>
    </row>
    <row r="40" spans="2:11">
      <c r="B40" s="6">
        <f t="shared" si="2"/>
        <v>35642</v>
      </c>
      <c r="C40" s="2" t="e">
        <f>IFERROR(VLOOKUP(B40,#REF!,2,FALSE),C39)</f>
        <v>#REF!</v>
      </c>
      <c r="D40" s="9" t="e">
        <f t="shared" si="3"/>
        <v>#REF!</v>
      </c>
      <c r="E40" s="13" t="e">
        <f t="shared" si="4"/>
        <v>#REF!</v>
      </c>
      <c r="F40" s="9">
        <f>VLOOKUP(B40,Índices!$A$2:$D$292,4,FALSE)</f>
        <v>8.9999999999999998E-4</v>
      </c>
      <c r="G40" s="13">
        <f t="shared" si="5"/>
        <v>2.2710435294154396</v>
      </c>
      <c r="H40" s="11" t="e">
        <f t="shared" si="0"/>
        <v>#REF!</v>
      </c>
      <c r="J40" s="15" t="e">
        <f t="shared" si="6"/>
        <v>#REF!</v>
      </c>
      <c r="K40" t="e">
        <f t="shared" si="1"/>
        <v>#REF!</v>
      </c>
    </row>
    <row r="41" spans="2:11">
      <c r="B41" s="6">
        <f t="shared" si="2"/>
        <v>35673</v>
      </c>
      <c r="C41" s="2" t="e">
        <f>IFERROR(VLOOKUP(B41,#REF!,2,FALSE),C40)</f>
        <v>#REF!</v>
      </c>
      <c r="D41" s="9" t="e">
        <f t="shared" si="3"/>
        <v>#REF!</v>
      </c>
      <c r="E41" s="13" t="e">
        <f t="shared" si="4"/>
        <v>#REF!</v>
      </c>
      <c r="F41" s="9">
        <f>VLOOKUP(B41,Índices!$A$2:$D$292,4,FALSE)</f>
        <v>8.9999999999999998E-4</v>
      </c>
      <c r="G41" s="13">
        <f t="shared" si="5"/>
        <v>2.2730874685919131</v>
      </c>
      <c r="H41" s="11" t="e">
        <f t="shared" si="0"/>
        <v>#REF!</v>
      </c>
      <c r="J41" s="15" t="e">
        <f t="shared" si="6"/>
        <v>#REF!</v>
      </c>
      <c r="K41" t="e">
        <f t="shared" si="1"/>
        <v>#REF!</v>
      </c>
    </row>
    <row r="42" spans="2:11">
      <c r="B42" s="6">
        <f t="shared" si="2"/>
        <v>35703</v>
      </c>
      <c r="C42" s="2" t="e">
        <f>IFERROR(VLOOKUP(B42,#REF!,2,FALSE),C41)</f>
        <v>#REF!</v>
      </c>
      <c r="D42" s="9" t="e">
        <f t="shared" si="3"/>
        <v>#REF!</v>
      </c>
      <c r="E42" s="13" t="e">
        <f t="shared" si="4"/>
        <v>#REF!</v>
      </c>
      <c r="F42" s="9">
        <f>VLOOKUP(B42,Índices!$A$2:$D$292,4,FALSE)</f>
        <v>4.7999999999999996E-3</v>
      </c>
      <c r="G42" s="13">
        <f t="shared" si="5"/>
        <v>2.283998288441154</v>
      </c>
      <c r="H42" s="11" t="e">
        <f t="shared" si="0"/>
        <v>#REF!</v>
      </c>
      <c r="J42" s="15" t="e">
        <f t="shared" si="6"/>
        <v>#REF!</v>
      </c>
      <c r="K42" t="e">
        <f t="shared" si="1"/>
        <v>#REF!</v>
      </c>
    </row>
    <row r="43" spans="2:11">
      <c r="B43" s="6">
        <f t="shared" si="2"/>
        <v>35734</v>
      </c>
      <c r="C43" s="2" t="e">
        <f>IFERROR(VLOOKUP(B43,#REF!,2,FALSE),C42)</f>
        <v>#REF!</v>
      </c>
      <c r="D43" s="9" t="e">
        <f t="shared" si="3"/>
        <v>#REF!</v>
      </c>
      <c r="E43" s="13" t="e">
        <f t="shared" si="4"/>
        <v>#REF!</v>
      </c>
      <c r="F43" s="9">
        <f>VLOOKUP(B43,Índices!$A$2:$D$292,4,FALSE)</f>
        <v>3.7000000000000002E-3</v>
      </c>
      <c r="G43" s="13">
        <f t="shared" si="5"/>
        <v>2.2924490821083863</v>
      </c>
      <c r="H43" s="11" t="e">
        <f t="shared" si="0"/>
        <v>#REF!</v>
      </c>
      <c r="J43" s="15" t="e">
        <f t="shared" si="6"/>
        <v>#REF!</v>
      </c>
      <c r="K43" t="e">
        <f t="shared" si="1"/>
        <v>#REF!</v>
      </c>
    </row>
    <row r="44" spans="2:11">
      <c r="B44" s="6">
        <f t="shared" si="2"/>
        <v>35764</v>
      </c>
      <c r="C44" s="2" t="e">
        <f>IFERROR(VLOOKUP(B44,#REF!,2,FALSE),C43)</f>
        <v>#REF!</v>
      </c>
      <c r="D44" s="9" t="e">
        <f t="shared" si="3"/>
        <v>#REF!</v>
      </c>
      <c r="E44" s="13" t="e">
        <f t="shared" si="4"/>
        <v>#REF!</v>
      </c>
      <c r="F44" s="9">
        <f>VLOOKUP(B44,Índices!$A$2:$D$292,4,FALSE)</f>
        <v>6.4000000000000003E-3</v>
      </c>
      <c r="G44" s="13">
        <f t="shared" si="5"/>
        <v>2.3071207562338798</v>
      </c>
      <c r="H44" s="11" t="e">
        <f t="shared" si="0"/>
        <v>#REF!</v>
      </c>
      <c r="J44" s="15" t="e">
        <f t="shared" si="6"/>
        <v>#REF!</v>
      </c>
      <c r="K44" t="e">
        <f t="shared" si="1"/>
        <v>#REF!</v>
      </c>
    </row>
    <row r="45" spans="2:11">
      <c r="B45" s="6">
        <f t="shared" si="2"/>
        <v>35795</v>
      </c>
      <c r="C45" s="2" t="e">
        <f>IFERROR(VLOOKUP(B45,#REF!,2,FALSE),C44)</f>
        <v>#REF!</v>
      </c>
      <c r="D45" s="9" t="e">
        <f t="shared" si="3"/>
        <v>#REF!</v>
      </c>
      <c r="E45" s="13" t="e">
        <f t="shared" si="4"/>
        <v>#REF!</v>
      </c>
      <c r="F45" s="9">
        <f>VLOOKUP(B45,Índices!$A$2:$D$292,4,FALSE)</f>
        <v>8.3999999999999995E-3</v>
      </c>
      <c r="G45" s="13">
        <f t="shared" si="5"/>
        <v>2.3265005705862443</v>
      </c>
      <c r="H45" s="11" t="e">
        <f t="shared" si="0"/>
        <v>#REF!</v>
      </c>
      <c r="J45" s="15" t="e">
        <f t="shared" si="6"/>
        <v>#REF!</v>
      </c>
      <c r="K45" t="e">
        <f t="shared" si="1"/>
        <v>#REF!</v>
      </c>
    </row>
    <row r="46" spans="2:11">
      <c r="B46" s="6">
        <f t="shared" si="2"/>
        <v>35826</v>
      </c>
      <c r="C46" s="2" t="e">
        <f>IFERROR(VLOOKUP(B46,#REF!,2,FALSE),C45)</f>
        <v>#REF!</v>
      </c>
      <c r="D46" s="9" t="e">
        <f t="shared" si="3"/>
        <v>#REF!</v>
      </c>
      <c r="E46" s="13" t="e">
        <f t="shared" si="4"/>
        <v>#REF!</v>
      </c>
      <c r="F46" s="9">
        <f>VLOOKUP(B46,Índices!$A$2:$D$292,4,FALSE)</f>
        <v>9.5999999999999992E-3</v>
      </c>
      <c r="G46" s="13">
        <f t="shared" si="5"/>
        <v>2.3488349760638725</v>
      </c>
      <c r="H46" s="11" t="e">
        <f t="shared" si="0"/>
        <v>#REF!</v>
      </c>
      <c r="J46" s="15" t="e">
        <f t="shared" si="6"/>
        <v>#REF!</v>
      </c>
      <c r="K46" t="e">
        <f t="shared" si="1"/>
        <v>#REF!</v>
      </c>
    </row>
    <row r="47" spans="2:11">
      <c r="B47" s="6">
        <f t="shared" si="2"/>
        <v>35854</v>
      </c>
      <c r="C47" s="2" t="e">
        <f>IFERROR(VLOOKUP(B47,#REF!,2,FALSE),C46)</f>
        <v>#REF!</v>
      </c>
      <c r="D47" s="9" t="e">
        <f t="shared" si="3"/>
        <v>#REF!</v>
      </c>
      <c r="E47" s="13" t="e">
        <f t="shared" si="4"/>
        <v>#REF!</v>
      </c>
      <c r="F47" s="9">
        <f>VLOOKUP(B47,Índices!$A$2:$D$292,4,FALSE)</f>
        <v>1.8E-3</v>
      </c>
      <c r="G47" s="13">
        <f t="shared" si="5"/>
        <v>2.3530628790207877</v>
      </c>
      <c r="H47" s="11" t="e">
        <f t="shared" si="0"/>
        <v>#REF!</v>
      </c>
      <c r="J47" s="15" t="e">
        <f t="shared" si="6"/>
        <v>#REF!</v>
      </c>
      <c r="K47" t="e">
        <f t="shared" si="1"/>
        <v>#REF!</v>
      </c>
    </row>
    <row r="48" spans="2:11">
      <c r="B48" s="6">
        <f t="shared" si="2"/>
        <v>35885</v>
      </c>
      <c r="C48" s="2" t="e">
        <f>IFERROR(VLOOKUP(B48,#REF!,2,FALSE),C47)</f>
        <v>#REF!</v>
      </c>
      <c r="D48" s="9" t="e">
        <f t="shared" si="3"/>
        <v>#REF!</v>
      </c>
      <c r="E48" s="13" t="e">
        <f t="shared" si="4"/>
        <v>#REF!</v>
      </c>
      <c r="F48" s="9">
        <f>VLOOKUP(B48,Índices!$A$2:$D$292,4,FALSE)</f>
        <v>1.9E-3</v>
      </c>
      <c r="G48" s="13">
        <f t="shared" si="5"/>
        <v>2.3575336984909274</v>
      </c>
      <c r="H48" s="11" t="e">
        <f t="shared" si="0"/>
        <v>#REF!</v>
      </c>
      <c r="J48" s="15" t="e">
        <f t="shared" si="6"/>
        <v>#REF!</v>
      </c>
      <c r="K48" t="e">
        <f t="shared" si="1"/>
        <v>#REF!</v>
      </c>
    </row>
    <row r="49" spans="2:11">
      <c r="B49" s="6">
        <f t="shared" si="2"/>
        <v>35915</v>
      </c>
      <c r="C49" s="2" t="e">
        <f>IFERROR(VLOOKUP(B49,#REF!,2,FALSE),C48)</f>
        <v>#REF!</v>
      </c>
      <c r="D49" s="9" t="e">
        <f t="shared" si="3"/>
        <v>#REF!</v>
      </c>
      <c r="E49" s="13" t="e">
        <f t="shared" si="4"/>
        <v>#REF!</v>
      </c>
      <c r="F49" s="9">
        <f>VLOOKUP(B49,Índices!$A$2:$D$292,4,FALSE)</f>
        <v>1.2999999999999999E-3</v>
      </c>
      <c r="G49" s="13">
        <f t="shared" si="5"/>
        <v>2.360598492298966</v>
      </c>
      <c r="H49" s="11" t="e">
        <f t="shared" si="0"/>
        <v>#REF!</v>
      </c>
      <c r="J49" s="15" t="e">
        <f t="shared" si="6"/>
        <v>#REF!</v>
      </c>
      <c r="K49" t="e">
        <f t="shared" si="1"/>
        <v>#REF!</v>
      </c>
    </row>
    <row r="50" spans="2:11">
      <c r="B50" s="6">
        <f t="shared" si="2"/>
        <v>35946</v>
      </c>
      <c r="C50" s="2" t="e">
        <f>IFERROR(VLOOKUP(B50,#REF!,2,FALSE),C49)</f>
        <v>#REF!</v>
      </c>
      <c r="D50" s="9" t="e">
        <f t="shared" si="3"/>
        <v>#REF!</v>
      </c>
      <c r="E50" s="13" t="e">
        <f t="shared" si="4"/>
        <v>#REF!</v>
      </c>
      <c r="F50" s="9">
        <f>VLOOKUP(B50,Índices!$A$2:$D$292,4,FALSE)</f>
        <v>1.4E-3</v>
      </c>
      <c r="G50" s="13">
        <f t="shared" si="5"/>
        <v>2.3639033301881849</v>
      </c>
      <c r="H50" s="11" t="e">
        <f t="shared" si="0"/>
        <v>#REF!</v>
      </c>
      <c r="J50" s="15" t="e">
        <f t="shared" si="6"/>
        <v>#REF!</v>
      </c>
      <c r="K50" t="e">
        <f t="shared" si="1"/>
        <v>#REF!</v>
      </c>
    </row>
    <row r="51" spans="2:11">
      <c r="B51" s="6">
        <f t="shared" si="2"/>
        <v>35976</v>
      </c>
      <c r="C51" s="2" t="e">
        <f>IFERROR(VLOOKUP(B51,#REF!,2,FALSE),C50)</f>
        <v>#REF!</v>
      </c>
      <c r="D51" s="9" t="e">
        <f t="shared" si="3"/>
        <v>#REF!</v>
      </c>
      <c r="E51" s="13" t="e">
        <f t="shared" si="4"/>
        <v>#REF!</v>
      </c>
      <c r="F51" s="9">
        <f>VLOOKUP(B51,Índices!$A$2:$D$292,4,FALSE)</f>
        <v>3.8E-3</v>
      </c>
      <c r="G51" s="13">
        <f t="shared" si="5"/>
        <v>2.3728861628428999</v>
      </c>
      <c r="H51" s="11" t="e">
        <f t="shared" si="0"/>
        <v>#REF!</v>
      </c>
      <c r="J51" s="15" t="e">
        <f t="shared" si="6"/>
        <v>#REF!</v>
      </c>
      <c r="K51" t="e">
        <f t="shared" si="1"/>
        <v>#REF!</v>
      </c>
    </row>
    <row r="52" spans="2:11">
      <c r="B52" s="6">
        <f t="shared" si="2"/>
        <v>36007</v>
      </c>
      <c r="C52" s="2" t="e">
        <f>IFERROR(VLOOKUP(B52,#REF!,2,FALSE),C51)</f>
        <v>#REF!</v>
      </c>
      <c r="D52" s="9" t="e">
        <f t="shared" si="3"/>
        <v>#REF!</v>
      </c>
      <c r="E52" s="13" t="e">
        <f t="shared" si="4"/>
        <v>#REF!</v>
      </c>
      <c r="F52" s="9">
        <f>VLOOKUP(B52,Índices!$A$2:$D$292,4,FALSE)</f>
        <v>-1.6999999999999999E-3</v>
      </c>
      <c r="G52" s="13">
        <f t="shared" si="5"/>
        <v>2.368852256366067</v>
      </c>
      <c r="H52" s="11" t="e">
        <f t="shared" si="0"/>
        <v>#REF!</v>
      </c>
      <c r="J52" s="15" t="e">
        <f t="shared" si="6"/>
        <v>#REF!</v>
      </c>
      <c r="K52" t="e">
        <f t="shared" si="1"/>
        <v>#REF!</v>
      </c>
    </row>
    <row r="53" spans="2:11">
      <c r="B53" s="6">
        <f t="shared" si="2"/>
        <v>36038</v>
      </c>
      <c r="C53" s="2" t="e">
        <f>IFERROR(VLOOKUP(B53,#REF!,2,FALSE),C52)</f>
        <v>#REF!</v>
      </c>
      <c r="D53" s="9" t="e">
        <f t="shared" si="3"/>
        <v>#REF!</v>
      </c>
      <c r="E53" s="13" t="e">
        <f t="shared" si="4"/>
        <v>#REF!</v>
      </c>
      <c r="F53" s="9">
        <f>VLOOKUP(B53,Índices!$A$2:$D$292,4,FALSE)</f>
        <v>-1.6000000000000001E-3</v>
      </c>
      <c r="G53" s="13">
        <f t="shared" si="5"/>
        <v>2.3650620927558812</v>
      </c>
      <c r="H53" s="11" t="e">
        <f t="shared" si="0"/>
        <v>#REF!</v>
      </c>
      <c r="J53" s="15" t="e">
        <f t="shared" si="6"/>
        <v>#REF!</v>
      </c>
      <c r="K53" t="e">
        <f t="shared" si="1"/>
        <v>#REF!</v>
      </c>
    </row>
    <row r="54" spans="2:11">
      <c r="B54" s="6">
        <f t="shared" si="2"/>
        <v>36068</v>
      </c>
      <c r="C54" s="2" t="e">
        <f>IFERROR(VLOOKUP(B54,#REF!,2,FALSE),C53)</f>
        <v>#REF!</v>
      </c>
      <c r="D54" s="9" t="e">
        <f t="shared" si="3"/>
        <v>#REF!</v>
      </c>
      <c r="E54" s="13" t="e">
        <f t="shared" si="4"/>
        <v>#REF!</v>
      </c>
      <c r="F54" s="9">
        <f>VLOOKUP(B54,Índices!$A$2:$D$292,4,FALSE)</f>
        <v>-8.0000000000000004E-4</v>
      </c>
      <c r="G54" s="13">
        <f t="shared" si="5"/>
        <v>2.3631700430816762</v>
      </c>
      <c r="H54" s="11" t="e">
        <f t="shared" si="0"/>
        <v>#REF!</v>
      </c>
      <c r="J54" s="15" t="e">
        <f t="shared" si="6"/>
        <v>#REF!</v>
      </c>
      <c r="K54" t="e">
        <f t="shared" si="1"/>
        <v>#REF!</v>
      </c>
    </row>
    <row r="55" spans="2:11">
      <c r="B55" s="6">
        <f t="shared" si="2"/>
        <v>36099</v>
      </c>
      <c r="C55" s="2" t="e">
        <f>IFERROR(VLOOKUP(B55,#REF!,2,FALSE),C54)</f>
        <v>#REF!</v>
      </c>
      <c r="D55" s="9" t="e">
        <f t="shared" si="3"/>
        <v>#REF!</v>
      </c>
      <c r="E55" s="13" t="e">
        <f t="shared" si="4"/>
        <v>#REF!</v>
      </c>
      <c r="F55" s="9">
        <f>VLOOKUP(B55,Índices!$A$2:$D$292,4,FALSE)</f>
        <v>-8.0000000000000004E-4</v>
      </c>
      <c r="G55" s="13">
        <f t="shared" si="5"/>
        <v>2.361279507047211</v>
      </c>
      <c r="H55" s="11" t="e">
        <f t="shared" si="0"/>
        <v>#REF!</v>
      </c>
      <c r="J55" s="15" t="e">
        <f t="shared" si="6"/>
        <v>#REF!</v>
      </c>
      <c r="K55" t="e">
        <f t="shared" si="1"/>
        <v>#REF!</v>
      </c>
    </row>
    <row r="56" spans="2:11">
      <c r="B56" s="6">
        <f t="shared" si="2"/>
        <v>36129</v>
      </c>
      <c r="C56" s="2" t="e">
        <f>IFERROR(VLOOKUP(B56,#REF!,2,FALSE),C55)</f>
        <v>#REF!</v>
      </c>
      <c r="D56" s="9" t="e">
        <f t="shared" si="3"/>
        <v>#REF!</v>
      </c>
      <c r="E56" s="13" t="e">
        <f t="shared" si="4"/>
        <v>#REF!</v>
      </c>
      <c r="F56" s="9">
        <f>VLOOKUP(B56,Índices!$A$2:$D$292,4,FALSE)</f>
        <v>-3.2000000000000002E-3</v>
      </c>
      <c r="G56" s="13">
        <f t="shared" si="5"/>
        <v>2.3537234126246598</v>
      </c>
      <c r="H56" s="11" t="e">
        <f t="shared" si="0"/>
        <v>#REF!</v>
      </c>
      <c r="J56" s="15" t="e">
        <f t="shared" si="6"/>
        <v>#REF!</v>
      </c>
      <c r="K56" t="e">
        <f t="shared" si="1"/>
        <v>#REF!</v>
      </c>
    </row>
    <row r="57" spans="2:11">
      <c r="B57" s="6">
        <f t="shared" si="2"/>
        <v>36160</v>
      </c>
      <c r="C57" s="2" t="e">
        <f>IFERROR(VLOOKUP(B57,#REF!,2,FALSE),C56)</f>
        <v>#REF!</v>
      </c>
      <c r="D57" s="9" t="e">
        <f t="shared" si="3"/>
        <v>#REF!</v>
      </c>
      <c r="E57" s="13" t="e">
        <f t="shared" si="4"/>
        <v>#REF!</v>
      </c>
      <c r="F57" s="9">
        <f>VLOOKUP(B57,Índices!$A$2:$D$292,4,FALSE)</f>
        <v>4.4999999999999997E-3</v>
      </c>
      <c r="G57" s="13">
        <f t="shared" si="5"/>
        <v>2.3643151679814705</v>
      </c>
      <c r="H57" s="11" t="e">
        <f t="shared" si="0"/>
        <v>#REF!</v>
      </c>
      <c r="J57" s="15" t="e">
        <f t="shared" si="6"/>
        <v>#REF!</v>
      </c>
      <c r="K57" t="e">
        <f t="shared" si="1"/>
        <v>#REF!</v>
      </c>
    </row>
    <row r="58" spans="2:11">
      <c r="B58" s="6">
        <f t="shared" si="2"/>
        <v>36191</v>
      </c>
      <c r="C58" s="2" t="e">
        <f>IFERROR(VLOOKUP(B58,#REF!,2,FALSE),C57)</f>
        <v>#REF!</v>
      </c>
      <c r="D58" s="9" t="e">
        <f t="shared" si="3"/>
        <v>#REF!</v>
      </c>
      <c r="E58" s="13" t="e">
        <f t="shared" si="4"/>
        <v>#REF!</v>
      </c>
      <c r="F58" s="9">
        <f>VLOOKUP(B58,Índices!$A$2:$D$292,4,FALSE)</f>
        <v>8.3999999999999995E-3</v>
      </c>
      <c r="G58" s="13">
        <f t="shared" si="5"/>
        <v>2.3841754153925145</v>
      </c>
      <c r="H58" s="11" t="e">
        <f t="shared" si="0"/>
        <v>#REF!</v>
      </c>
      <c r="J58" s="15" t="e">
        <f t="shared" si="6"/>
        <v>#REF!</v>
      </c>
      <c r="K58" t="e">
        <f t="shared" si="1"/>
        <v>#REF!</v>
      </c>
    </row>
    <row r="59" spans="2:11">
      <c r="B59" s="6">
        <f t="shared" si="2"/>
        <v>36219</v>
      </c>
      <c r="C59" s="2" t="e">
        <f>IFERROR(VLOOKUP(B59,#REF!,2,FALSE),C58)</f>
        <v>#REF!</v>
      </c>
      <c r="D59" s="9" t="e">
        <f t="shared" si="3"/>
        <v>#REF!</v>
      </c>
      <c r="E59" s="13" t="e">
        <f t="shared" si="4"/>
        <v>#REF!</v>
      </c>
      <c r="F59" s="9">
        <f>VLOOKUP(B59,Índices!$A$2:$D$292,4,FALSE)</f>
        <v>3.61E-2</v>
      </c>
      <c r="G59" s="13">
        <f t="shared" si="5"/>
        <v>2.4702441478881845</v>
      </c>
      <c r="H59" s="11" t="e">
        <f t="shared" si="0"/>
        <v>#REF!</v>
      </c>
      <c r="J59" s="15" t="e">
        <f t="shared" si="6"/>
        <v>#REF!</v>
      </c>
      <c r="K59" t="e">
        <f t="shared" si="1"/>
        <v>#REF!</v>
      </c>
    </row>
    <row r="60" spans="2:11">
      <c r="B60" s="6">
        <f t="shared" si="2"/>
        <v>36250</v>
      </c>
      <c r="C60" s="2" t="e">
        <f>IFERROR(VLOOKUP(B60,#REF!,2,FALSE),C59)</f>
        <v>#REF!</v>
      </c>
      <c r="D60" s="9" t="e">
        <f t="shared" si="3"/>
        <v>#REF!</v>
      </c>
      <c r="E60" s="13" t="e">
        <f t="shared" si="4"/>
        <v>#REF!</v>
      </c>
      <c r="F60" s="9">
        <f>VLOOKUP(B60,Índices!$A$2:$D$292,4,FALSE)</f>
        <v>2.8299999999999999E-2</v>
      </c>
      <c r="G60" s="13">
        <f t="shared" si="5"/>
        <v>2.5401520572734202</v>
      </c>
      <c r="H60" s="11" t="e">
        <f t="shared" si="0"/>
        <v>#REF!</v>
      </c>
      <c r="J60" s="15" t="e">
        <f t="shared" si="6"/>
        <v>#REF!</v>
      </c>
      <c r="K60" t="e">
        <f t="shared" si="1"/>
        <v>#REF!</v>
      </c>
    </row>
    <row r="61" spans="2:11">
      <c r="B61" s="6">
        <f t="shared" si="2"/>
        <v>36280</v>
      </c>
      <c r="C61" s="2" t="e">
        <f>IFERROR(VLOOKUP(B61,#REF!,2,FALSE),C60)</f>
        <v>#REF!</v>
      </c>
      <c r="D61" s="9" t="e">
        <f t="shared" si="3"/>
        <v>#REF!</v>
      </c>
      <c r="E61" s="13" t="e">
        <f t="shared" si="4"/>
        <v>#REF!</v>
      </c>
      <c r="F61" s="9">
        <f>VLOOKUP(B61,Índices!$A$2:$D$292,4,FALSE)</f>
        <v>7.1000000000000004E-3</v>
      </c>
      <c r="G61" s="13">
        <f t="shared" si="5"/>
        <v>2.5581871368800617</v>
      </c>
      <c r="H61" s="11" t="e">
        <f t="shared" si="0"/>
        <v>#REF!</v>
      </c>
      <c r="J61" s="15" t="e">
        <f t="shared" si="6"/>
        <v>#REF!</v>
      </c>
      <c r="K61" t="e">
        <f t="shared" si="1"/>
        <v>#REF!</v>
      </c>
    </row>
    <row r="62" spans="2:11">
      <c r="B62" s="6">
        <f t="shared" si="2"/>
        <v>36311</v>
      </c>
      <c r="C62" s="2" t="e">
        <f>IFERROR(VLOOKUP(B62,#REF!,2,FALSE),C61)</f>
        <v>#REF!</v>
      </c>
      <c r="D62" s="9" t="e">
        <f t="shared" si="3"/>
        <v>#REF!</v>
      </c>
      <c r="E62" s="13" t="e">
        <f t="shared" si="4"/>
        <v>#REF!</v>
      </c>
      <c r="F62" s="9">
        <f>VLOOKUP(B62,Índices!$A$2:$D$292,4,FALSE)</f>
        <v>-2.8999999999999998E-3</v>
      </c>
      <c r="G62" s="13">
        <f t="shared" si="5"/>
        <v>2.5507683941831094</v>
      </c>
      <c r="H62" s="11" t="e">
        <f t="shared" si="0"/>
        <v>#REF!</v>
      </c>
      <c r="J62" s="15" t="e">
        <f t="shared" si="6"/>
        <v>#REF!</v>
      </c>
      <c r="K62" t="e">
        <f t="shared" si="1"/>
        <v>#REF!</v>
      </c>
    </row>
    <row r="63" spans="2:11">
      <c r="B63" s="6">
        <f t="shared" si="2"/>
        <v>36341</v>
      </c>
      <c r="C63" s="2" t="e">
        <f>IFERROR(VLOOKUP(B63,#REF!,2,FALSE),C62)</f>
        <v>#REF!</v>
      </c>
      <c r="D63" s="9" t="e">
        <f t="shared" si="3"/>
        <v>#REF!</v>
      </c>
      <c r="E63" s="13" t="e">
        <f t="shared" si="4"/>
        <v>#REF!</v>
      </c>
      <c r="F63" s="9">
        <f>VLOOKUP(B63,Índices!$A$2:$D$292,4,FALSE)</f>
        <v>3.5999999999999999E-3</v>
      </c>
      <c r="G63" s="13">
        <f t="shared" si="5"/>
        <v>2.5599511604021687</v>
      </c>
      <c r="H63" s="11" t="e">
        <f t="shared" si="0"/>
        <v>#REF!</v>
      </c>
      <c r="J63" s="15" t="e">
        <f t="shared" si="6"/>
        <v>#REF!</v>
      </c>
      <c r="K63" t="e">
        <f t="shared" si="1"/>
        <v>#REF!</v>
      </c>
    </row>
    <row r="64" spans="2:11">
      <c r="B64" s="6">
        <f t="shared" si="2"/>
        <v>36372</v>
      </c>
      <c r="C64" s="2" t="e">
        <f>IFERROR(VLOOKUP(B64,#REF!,2,FALSE),C63)</f>
        <v>#REF!</v>
      </c>
      <c r="D64" s="9" t="e">
        <f t="shared" si="3"/>
        <v>#REF!</v>
      </c>
      <c r="E64" s="13" t="e">
        <f t="shared" si="4"/>
        <v>#REF!</v>
      </c>
      <c r="F64" s="9">
        <f>VLOOKUP(B64,Índices!$A$2:$D$292,4,FALSE)</f>
        <v>1.55E-2</v>
      </c>
      <c r="G64" s="13">
        <f t="shared" si="5"/>
        <v>2.5996304033884026</v>
      </c>
      <c r="H64" s="11" t="e">
        <f t="shared" si="0"/>
        <v>#REF!</v>
      </c>
      <c r="J64" s="15" t="e">
        <f t="shared" si="6"/>
        <v>#REF!</v>
      </c>
      <c r="K64" t="e">
        <f t="shared" si="1"/>
        <v>#REF!</v>
      </c>
    </row>
    <row r="65" spans="2:11">
      <c r="B65" s="6">
        <f t="shared" si="2"/>
        <v>36403</v>
      </c>
      <c r="C65" s="2" t="e">
        <f>IFERROR(VLOOKUP(B65,#REF!,2,FALSE),C64)</f>
        <v>#REF!</v>
      </c>
      <c r="D65" s="9" t="e">
        <f t="shared" si="3"/>
        <v>#REF!</v>
      </c>
      <c r="E65" s="13" t="e">
        <f t="shared" si="4"/>
        <v>#REF!</v>
      </c>
      <c r="F65" s="9">
        <f>VLOOKUP(B65,Índices!$A$2:$D$292,4,FALSE)</f>
        <v>1.5599999999999999E-2</v>
      </c>
      <c r="G65" s="13">
        <f t="shared" si="5"/>
        <v>2.6401846376812617</v>
      </c>
      <c r="H65" s="11" t="e">
        <f t="shared" si="0"/>
        <v>#REF!</v>
      </c>
      <c r="J65" s="15" t="e">
        <f t="shared" si="6"/>
        <v>#REF!</v>
      </c>
      <c r="K65" t="e">
        <f t="shared" si="1"/>
        <v>#REF!</v>
      </c>
    </row>
    <row r="66" spans="2:11">
      <c r="B66" s="6">
        <f t="shared" si="2"/>
        <v>36433</v>
      </c>
      <c r="C66" s="2" t="e">
        <f>IFERROR(VLOOKUP(B66,#REF!,2,FALSE),C65)</f>
        <v>#REF!</v>
      </c>
      <c r="D66" s="9" t="e">
        <f t="shared" si="3"/>
        <v>#REF!</v>
      </c>
      <c r="E66" s="13" t="e">
        <f t="shared" si="4"/>
        <v>#REF!</v>
      </c>
      <c r="F66" s="9">
        <f>VLOOKUP(B66,Índices!$A$2:$D$292,4,FALSE)</f>
        <v>1.4500000000000001E-2</v>
      </c>
      <c r="G66" s="13">
        <f t="shared" si="5"/>
        <v>2.6784673149276399</v>
      </c>
      <c r="H66" s="11" t="e">
        <f t="shared" si="0"/>
        <v>#REF!</v>
      </c>
      <c r="J66" s="15" t="e">
        <f t="shared" si="6"/>
        <v>#REF!</v>
      </c>
      <c r="K66" t="e">
        <f t="shared" si="1"/>
        <v>#REF!</v>
      </c>
    </row>
    <row r="67" spans="2:11">
      <c r="B67" s="6">
        <f t="shared" si="2"/>
        <v>36464</v>
      </c>
      <c r="C67" s="2" t="e">
        <f>IFERROR(VLOOKUP(B67,#REF!,2,FALSE),C66)</f>
        <v>#REF!</v>
      </c>
      <c r="D67" s="9" t="e">
        <f t="shared" si="3"/>
        <v>#REF!</v>
      </c>
      <c r="E67" s="13" t="e">
        <f t="shared" si="4"/>
        <v>#REF!</v>
      </c>
      <c r="F67" s="9">
        <f>VLOOKUP(B67,Índices!$A$2:$D$292,4,FALSE)</f>
        <v>1.7000000000000001E-2</v>
      </c>
      <c r="G67" s="13">
        <f t="shared" si="5"/>
        <v>2.7240012592814096</v>
      </c>
      <c r="H67" s="11" t="e">
        <f t="shared" si="0"/>
        <v>#REF!</v>
      </c>
      <c r="J67" s="15" t="e">
        <f t="shared" si="6"/>
        <v>#REF!</v>
      </c>
      <c r="K67" t="e">
        <f t="shared" si="1"/>
        <v>#REF!</v>
      </c>
    </row>
    <row r="68" spans="2:11">
      <c r="B68" s="6">
        <f t="shared" si="2"/>
        <v>36494</v>
      </c>
      <c r="C68" s="2" t="e">
        <f>IFERROR(VLOOKUP(B68,#REF!,2,FALSE),C67)</f>
        <v>#REF!</v>
      </c>
      <c r="D68" s="9" t="e">
        <f t="shared" si="3"/>
        <v>#REF!</v>
      </c>
      <c r="E68" s="13" t="e">
        <f t="shared" si="4"/>
        <v>#REF!</v>
      </c>
      <c r="F68" s="9">
        <f>VLOOKUP(B68,Índices!$A$2:$D$292,4,FALSE)</f>
        <v>2.3900000000000001E-2</v>
      </c>
      <c r="G68" s="13">
        <f t="shared" si="5"/>
        <v>2.7891048893782355</v>
      </c>
      <c r="H68" s="11" t="e">
        <f t="shared" ref="H68:H131" si="7">G68-E68</f>
        <v>#REF!</v>
      </c>
      <c r="J68" s="15" t="e">
        <f t="shared" si="6"/>
        <v>#REF!</v>
      </c>
      <c r="K68" t="e">
        <f t="shared" ref="K68:K131" si="8">$K$2*G68</f>
        <v>#REF!</v>
      </c>
    </row>
    <row r="69" spans="2:11">
      <c r="B69" s="6">
        <f t="shared" ref="B69:B132" si="9">EOMONTH(B68,1)</f>
        <v>36525</v>
      </c>
      <c r="C69" s="2" t="e">
        <f>IFERROR(VLOOKUP(B69,#REF!,2,FALSE),C68)</f>
        <v>#REF!</v>
      </c>
      <c r="D69" s="9" t="e">
        <f t="shared" ref="D69:D132" si="10">C69/C68-1</f>
        <v>#REF!</v>
      </c>
      <c r="E69" s="13" t="e">
        <f t="shared" ref="E69:E132" si="11">E68*(1+D69)</f>
        <v>#REF!</v>
      </c>
      <c r="F69" s="9">
        <f>VLOOKUP(B69,Índices!$A$2:$D$292,4,FALSE)</f>
        <v>1.8100000000000002E-2</v>
      </c>
      <c r="G69" s="13">
        <f t="shared" ref="G69:G132" si="12">G68*(1+F69)</f>
        <v>2.8395876878759818</v>
      </c>
      <c r="H69" s="11" t="e">
        <f t="shared" si="7"/>
        <v>#REF!</v>
      </c>
      <c r="J69" s="15" t="e">
        <f t="shared" ref="J69:J132" si="13">C69</f>
        <v>#REF!</v>
      </c>
      <c r="K69" t="e">
        <f t="shared" si="8"/>
        <v>#REF!</v>
      </c>
    </row>
    <row r="70" spans="2:11">
      <c r="B70" s="6">
        <f t="shared" si="9"/>
        <v>36556</v>
      </c>
      <c r="C70" s="2" t="e">
        <f>IFERROR(VLOOKUP(B70,#REF!,2,FALSE),C69)</f>
        <v>#REF!</v>
      </c>
      <c r="D70" s="9" t="e">
        <f t="shared" si="10"/>
        <v>#REF!</v>
      </c>
      <c r="E70" s="13" t="e">
        <f t="shared" si="11"/>
        <v>#REF!</v>
      </c>
      <c r="F70" s="9">
        <f>VLOOKUP(B70,Índices!$A$2:$D$292,4,FALSE)</f>
        <v>1.24E-2</v>
      </c>
      <c r="G70" s="13">
        <f t="shared" si="12"/>
        <v>2.8747985752056437</v>
      </c>
      <c r="H70" s="11" t="e">
        <f t="shared" si="7"/>
        <v>#REF!</v>
      </c>
      <c r="J70" s="15" t="e">
        <f t="shared" si="13"/>
        <v>#REF!</v>
      </c>
      <c r="K70" t="e">
        <f t="shared" si="8"/>
        <v>#REF!</v>
      </c>
    </row>
    <row r="71" spans="2:11">
      <c r="B71" s="6">
        <f t="shared" si="9"/>
        <v>36585</v>
      </c>
      <c r="C71" s="2" t="e">
        <f>IFERROR(VLOOKUP(B71,#REF!,2,FALSE),C70)</f>
        <v>#REF!</v>
      </c>
      <c r="D71" s="9" t="e">
        <f t="shared" si="10"/>
        <v>#REF!</v>
      </c>
      <c r="E71" s="13" t="e">
        <f t="shared" si="11"/>
        <v>#REF!</v>
      </c>
      <c r="F71" s="9">
        <f>VLOOKUP(B71,Índices!$A$2:$D$292,4,FALSE)</f>
        <v>3.5000000000000001E-3</v>
      </c>
      <c r="G71" s="13">
        <f t="shared" si="12"/>
        <v>2.8848603702188638</v>
      </c>
      <c r="H71" s="11" t="e">
        <f t="shared" si="7"/>
        <v>#REF!</v>
      </c>
      <c r="J71" s="15" t="e">
        <f t="shared" si="13"/>
        <v>#REF!</v>
      </c>
      <c r="K71" t="e">
        <f t="shared" si="8"/>
        <v>#REF!</v>
      </c>
    </row>
    <row r="72" spans="2:11">
      <c r="B72" s="6">
        <f t="shared" si="9"/>
        <v>36616</v>
      </c>
      <c r="C72" s="2" t="e">
        <f>IFERROR(VLOOKUP(B72,#REF!,2,FALSE),C71)</f>
        <v>#REF!</v>
      </c>
      <c r="D72" s="9" t="e">
        <f t="shared" si="10"/>
        <v>#REF!</v>
      </c>
      <c r="E72" s="13" t="e">
        <f t="shared" si="11"/>
        <v>#REF!</v>
      </c>
      <c r="F72" s="9">
        <f>VLOOKUP(B72,Índices!$A$2:$D$292,4,FALSE)</f>
        <v>1.5E-3</v>
      </c>
      <c r="G72" s="13">
        <f t="shared" si="12"/>
        <v>2.8891876607741924</v>
      </c>
      <c r="H72" s="11" t="e">
        <f t="shared" si="7"/>
        <v>#REF!</v>
      </c>
      <c r="J72" s="15" t="e">
        <f t="shared" si="13"/>
        <v>#REF!</v>
      </c>
      <c r="K72" t="e">
        <f t="shared" si="8"/>
        <v>#REF!</v>
      </c>
    </row>
    <row r="73" spans="2:11">
      <c r="B73" s="6">
        <f t="shared" si="9"/>
        <v>36646</v>
      </c>
      <c r="C73" s="2" t="e">
        <f>IFERROR(VLOOKUP(B73,#REF!,2,FALSE),C72)</f>
        <v>#REF!</v>
      </c>
      <c r="D73" s="9" t="e">
        <f t="shared" si="10"/>
        <v>#REF!</v>
      </c>
      <c r="E73" s="13" t="e">
        <f t="shared" si="11"/>
        <v>#REF!</v>
      </c>
      <c r="F73" s="9">
        <f>VLOOKUP(B73,Índices!$A$2:$D$292,4,FALSE)</f>
        <v>2.3E-3</v>
      </c>
      <c r="G73" s="13">
        <f t="shared" si="12"/>
        <v>2.8958327923939731</v>
      </c>
      <c r="H73" s="11" t="e">
        <f t="shared" si="7"/>
        <v>#REF!</v>
      </c>
      <c r="J73" s="15" t="e">
        <f t="shared" si="13"/>
        <v>#REF!</v>
      </c>
      <c r="K73" t="e">
        <f t="shared" si="8"/>
        <v>#REF!</v>
      </c>
    </row>
    <row r="74" spans="2:11">
      <c r="B74" s="6">
        <f t="shared" si="9"/>
        <v>36677</v>
      </c>
      <c r="C74" s="2" t="e">
        <f>IFERROR(VLOOKUP(B74,#REF!,2,FALSE),C73)</f>
        <v>#REF!</v>
      </c>
      <c r="D74" s="9" t="e">
        <f t="shared" si="10"/>
        <v>#REF!</v>
      </c>
      <c r="E74" s="13" t="e">
        <f t="shared" si="11"/>
        <v>#REF!</v>
      </c>
      <c r="F74" s="9">
        <f>VLOOKUP(B74,Índices!$A$2:$D$292,4,FALSE)</f>
        <v>3.0999999999999999E-3</v>
      </c>
      <c r="G74" s="13">
        <f t="shared" si="12"/>
        <v>2.9048098740503945</v>
      </c>
      <c r="H74" s="11" t="e">
        <f t="shared" si="7"/>
        <v>#REF!</v>
      </c>
      <c r="J74" s="15" t="e">
        <f t="shared" si="13"/>
        <v>#REF!</v>
      </c>
      <c r="K74" t="e">
        <f t="shared" si="8"/>
        <v>#REF!</v>
      </c>
    </row>
    <row r="75" spans="2:11">
      <c r="B75" s="6">
        <f t="shared" si="9"/>
        <v>36707</v>
      </c>
      <c r="C75" s="2" t="e">
        <f>IFERROR(VLOOKUP(B75,#REF!,2,FALSE),C74)</f>
        <v>#REF!</v>
      </c>
      <c r="D75" s="9" t="e">
        <f t="shared" si="10"/>
        <v>#REF!</v>
      </c>
      <c r="E75" s="13" t="e">
        <f t="shared" si="11"/>
        <v>#REF!</v>
      </c>
      <c r="F75" s="9">
        <f>VLOOKUP(B75,Índices!$A$2:$D$292,4,FALSE)</f>
        <v>8.5000000000000006E-3</v>
      </c>
      <c r="G75" s="13">
        <f t="shared" si="12"/>
        <v>2.9295007579798229</v>
      </c>
      <c r="H75" s="11" t="e">
        <f t="shared" si="7"/>
        <v>#REF!</v>
      </c>
      <c r="J75" s="15" t="e">
        <f t="shared" si="13"/>
        <v>#REF!</v>
      </c>
      <c r="K75" t="e">
        <f t="shared" si="8"/>
        <v>#REF!</v>
      </c>
    </row>
    <row r="76" spans="2:11">
      <c r="B76" s="6">
        <f t="shared" si="9"/>
        <v>36738</v>
      </c>
      <c r="C76" s="2" t="e">
        <f>IFERROR(VLOOKUP(B76,#REF!,2,FALSE),C75)</f>
        <v>#REF!</v>
      </c>
      <c r="D76" s="9" t="e">
        <f t="shared" si="10"/>
        <v>#REF!</v>
      </c>
      <c r="E76" s="13" t="e">
        <f t="shared" si="11"/>
        <v>#REF!</v>
      </c>
      <c r="F76" s="9">
        <f>VLOOKUP(B76,Índices!$A$2:$D$292,4,FALSE)</f>
        <v>1.5699999999999999E-2</v>
      </c>
      <c r="G76" s="13">
        <f t="shared" si="12"/>
        <v>2.9754939198801065</v>
      </c>
      <c r="H76" s="11" t="e">
        <f t="shared" si="7"/>
        <v>#REF!</v>
      </c>
      <c r="J76" s="15" t="e">
        <f t="shared" si="13"/>
        <v>#REF!</v>
      </c>
      <c r="K76" t="e">
        <f t="shared" si="8"/>
        <v>#REF!</v>
      </c>
    </row>
    <row r="77" spans="2:11">
      <c r="B77" s="6">
        <f t="shared" si="9"/>
        <v>36769</v>
      </c>
      <c r="C77" s="2" t="e">
        <f>IFERROR(VLOOKUP(B77,#REF!,2,FALSE),C76)</f>
        <v>#REF!</v>
      </c>
      <c r="D77" s="9" t="e">
        <f t="shared" si="10"/>
        <v>#REF!</v>
      </c>
      <c r="E77" s="13" t="e">
        <f t="shared" si="11"/>
        <v>#REF!</v>
      </c>
      <c r="F77" s="9">
        <f>VLOOKUP(B77,Índices!$A$2:$D$292,4,FALSE)</f>
        <v>2.3900000000000001E-2</v>
      </c>
      <c r="G77" s="13">
        <f t="shared" si="12"/>
        <v>3.0466082245652411</v>
      </c>
      <c r="H77" s="11" t="e">
        <f t="shared" si="7"/>
        <v>#REF!</v>
      </c>
      <c r="J77" s="15" t="e">
        <f t="shared" si="13"/>
        <v>#REF!</v>
      </c>
      <c r="K77" t="e">
        <f t="shared" si="8"/>
        <v>#REF!</v>
      </c>
    </row>
    <row r="78" spans="2:11">
      <c r="B78" s="6">
        <f t="shared" si="9"/>
        <v>36799</v>
      </c>
      <c r="C78" s="2" t="e">
        <f>IFERROR(VLOOKUP(B78,#REF!,2,FALSE),C77)</f>
        <v>#REF!</v>
      </c>
      <c r="D78" s="9" t="e">
        <f t="shared" si="10"/>
        <v>#REF!</v>
      </c>
      <c r="E78" s="13" t="e">
        <f t="shared" si="11"/>
        <v>#REF!</v>
      </c>
      <c r="F78" s="9">
        <f>VLOOKUP(B78,Índices!$A$2:$D$292,4,FALSE)</f>
        <v>1.1599999999999999E-2</v>
      </c>
      <c r="G78" s="13">
        <f t="shared" si="12"/>
        <v>3.0819488799701982</v>
      </c>
      <c r="H78" s="11" t="e">
        <f t="shared" si="7"/>
        <v>#REF!</v>
      </c>
      <c r="J78" s="15" t="e">
        <f t="shared" si="13"/>
        <v>#REF!</v>
      </c>
      <c r="K78" t="e">
        <f t="shared" si="8"/>
        <v>#REF!</v>
      </c>
    </row>
    <row r="79" spans="2:11">
      <c r="B79" s="6">
        <f t="shared" si="9"/>
        <v>36830</v>
      </c>
      <c r="C79" s="2" t="e">
        <f>IFERROR(VLOOKUP(B79,#REF!,2,FALSE),C78)</f>
        <v>#REF!</v>
      </c>
      <c r="D79" s="9" t="e">
        <f t="shared" si="10"/>
        <v>#REF!</v>
      </c>
      <c r="E79" s="13" t="e">
        <f t="shared" si="11"/>
        <v>#REF!</v>
      </c>
      <c r="F79" s="9">
        <f>VLOOKUP(B79,Índices!$A$2:$D$292,4,FALSE)</f>
        <v>3.8E-3</v>
      </c>
      <c r="G79" s="13">
        <f t="shared" si="12"/>
        <v>3.0936602857140851</v>
      </c>
      <c r="H79" s="11" t="e">
        <f t="shared" si="7"/>
        <v>#REF!</v>
      </c>
      <c r="J79" s="15" t="e">
        <f t="shared" si="13"/>
        <v>#REF!</v>
      </c>
      <c r="K79" t="e">
        <f t="shared" si="8"/>
        <v>#REF!</v>
      </c>
    </row>
    <row r="80" spans="2:11">
      <c r="B80" s="6">
        <f t="shared" si="9"/>
        <v>36860</v>
      </c>
      <c r="C80" s="2" t="e">
        <f>IFERROR(VLOOKUP(B80,#REF!,2,FALSE),C79)</f>
        <v>#REF!</v>
      </c>
      <c r="D80" s="9" t="e">
        <f t="shared" si="10"/>
        <v>#REF!</v>
      </c>
      <c r="E80" s="13" t="e">
        <f t="shared" si="11"/>
        <v>#REF!</v>
      </c>
      <c r="F80" s="9">
        <f>VLOOKUP(B80,Índices!$A$2:$D$292,4,FALSE)</f>
        <v>2.8999999999999998E-3</v>
      </c>
      <c r="G80" s="13">
        <f t="shared" si="12"/>
        <v>3.1026319005426557</v>
      </c>
      <c r="H80" s="11" t="e">
        <f t="shared" si="7"/>
        <v>#REF!</v>
      </c>
      <c r="J80" s="15" t="e">
        <f t="shared" si="13"/>
        <v>#REF!</v>
      </c>
      <c r="K80" t="e">
        <f t="shared" si="8"/>
        <v>#REF!</v>
      </c>
    </row>
    <row r="81" spans="2:11">
      <c r="B81" s="6">
        <f t="shared" si="9"/>
        <v>36891</v>
      </c>
      <c r="C81" s="2" t="e">
        <f>IFERROR(VLOOKUP(B81,#REF!,2,FALSE),C80)</f>
        <v>#REF!</v>
      </c>
      <c r="D81" s="9" t="e">
        <f t="shared" si="10"/>
        <v>#REF!</v>
      </c>
      <c r="E81" s="13" t="e">
        <f t="shared" si="11"/>
        <v>#REF!</v>
      </c>
      <c r="F81" s="9">
        <f>VLOOKUP(B81,Índices!$A$2:$D$292,4,FALSE)</f>
        <v>6.3E-3</v>
      </c>
      <c r="G81" s="13">
        <f t="shared" si="12"/>
        <v>3.1221784815160745</v>
      </c>
      <c r="H81" s="11" t="e">
        <f t="shared" si="7"/>
        <v>#REF!</v>
      </c>
      <c r="J81" s="15" t="e">
        <f t="shared" si="13"/>
        <v>#REF!</v>
      </c>
      <c r="K81" t="e">
        <f t="shared" si="8"/>
        <v>#REF!</v>
      </c>
    </row>
    <row r="82" spans="2:11">
      <c r="B82" s="6">
        <f t="shared" si="9"/>
        <v>36922</v>
      </c>
      <c r="C82" s="2" t="e">
        <f>IFERROR(VLOOKUP(B82,#REF!,2,FALSE),C81)</f>
        <v>#REF!</v>
      </c>
      <c r="D82" s="9" t="e">
        <f t="shared" si="10"/>
        <v>#REF!</v>
      </c>
      <c r="E82" s="13" t="e">
        <f t="shared" si="11"/>
        <v>#REF!</v>
      </c>
      <c r="F82" s="9">
        <f>VLOOKUP(B82,Índices!$A$2:$D$292,4,FALSE)</f>
        <v>6.1999999999999998E-3</v>
      </c>
      <c r="G82" s="13">
        <f t="shared" si="12"/>
        <v>3.1415359881014742</v>
      </c>
      <c r="H82" s="11" t="e">
        <f t="shared" si="7"/>
        <v>#REF!</v>
      </c>
      <c r="J82" s="15" t="e">
        <f t="shared" si="13"/>
        <v>#REF!</v>
      </c>
      <c r="K82" t="e">
        <f t="shared" si="8"/>
        <v>#REF!</v>
      </c>
    </row>
    <row r="83" spans="2:11">
      <c r="B83" s="6">
        <f t="shared" si="9"/>
        <v>36950</v>
      </c>
      <c r="C83" s="2" t="e">
        <f>IFERROR(VLOOKUP(B83,#REF!,2,FALSE),C82)</f>
        <v>#REF!</v>
      </c>
      <c r="D83" s="9" t="e">
        <f t="shared" si="10"/>
        <v>#REF!</v>
      </c>
      <c r="E83" s="13" t="e">
        <f t="shared" si="11"/>
        <v>#REF!</v>
      </c>
      <c r="F83" s="9">
        <f>VLOOKUP(B83,Índices!$A$2:$D$292,4,FALSE)</f>
        <v>2.3E-3</v>
      </c>
      <c r="G83" s="13">
        <f t="shared" si="12"/>
        <v>3.1487615208741073</v>
      </c>
      <c r="H83" s="11" t="e">
        <f t="shared" si="7"/>
        <v>#REF!</v>
      </c>
      <c r="J83" s="15" t="e">
        <f t="shared" si="13"/>
        <v>#REF!</v>
      </c>
      <c r="K83" t="e">
        <f t="shared" si="8"/>
        <v>#REF!</v>
      </c>
    </row>
    <row r="84" spans="2:11">
      <c r="B84" s="6">
        <f t="shared" si="9"/>
        <v>36981</v>
      </c>
      <c r="C84" s="2" t="e">
        <f>IFERROR(VLOOKUP(B84,#REF!,2,FALSE),C83)</f>
        <v>#REF!</v>
      </c>
      <c r="D84" s="9" t="e">
        <f t="shared" si="10"/>
        <v>#REF!</v>
      </c>
      <c r="E84" s="13" t="e">
        <f t="shared" si="11"/>
        <v>#REF!</v>
      </c>
      <c r="F84" s="9">
        <f>VLOOKUP(B84,Índices!$A$2:$D$292,4,FALSE)</f>
        <v>5.5999999999999999E-3</v>
      </c>
      <c r="G84" s="13">
        <f t="shared" si="12"/>
        <v>3.1663945853910023</v>
      </c>
      <c r="H84" s="11" t="e">
        <f t="shared" si="7"/>
        <v>#REF!</v>
      </c>
      <c r="J84" s="15" t="e">
        <f t="shared" si="13"/>
        <v>#REF!</v>
      </c>
      <c r="K84" t="e">
        <f t="shared" si="8"/>
        <v>#REF!</v>
      </c>
    </row>
    <row r="85" spans="2:11">
      <c r="B85" s="6">
        <f t="shared" si="9"/>
        <v>37011</v>
      </c>
      <c r="C85" s="2" t="e">
        <f>IFERROR(VLOOKUP(B85,#REF!,2,FALSE),C84)</f>
        <v>#REF!</v>
      </c>
      <c r="D85" s="9" t="e">
        <f t="shared" si="10"/>
        <v>#REF!</v>
      </c>
      <c r="E85" s="13" t="e">
        <f t="shared" si="11"/>
        <v>#REF!</v>
      </c>
      <c r="F85" s="9">
        <f>VLOOKUP(B85,Índices!$A$2:$D$292,4,FALSE)</f>
        <v>0.01</v>
      </c>
      <c r="G85" s="13">
        <f t="shared" si="12"/>
        <v>3.1980585312449121</v>
      </c>
      <c r="H85" s="11" t="e">
        <f t="shared" si="7"/>
        <v>#REF!</v>
      </c>
      <c r="J85" s="15" t="e">
        <f t="shared" si="13"/>
        <v>#REF!</v>
      </c>
      <c r="K85" t="e">
        <f t="shared" si="8"/>
        <v>#REF!</v>
      </c>
    </row>
    <row r="86" spans="2:11">
      <c r="B86" s="6">
        <f t="shared" si="9"/>
        <v>37042</v>
      </c>
      <c r="C86" s="2" t="e">
        <f>IFERROR(VLOOKUP(B86,#REF!,2,FALSE),C85)</f>
        <v>#REF!</v>
      </c>
      <c r="D86" s="9" t="e">
        <f t="shared" si="10"/>
        <v>#REF!</v>
      </c>
      <c r="E86" s="13" t="e">
        <f t="shared" si="11"/>
        <v>#REF!</v>
      </c>
      <c r="F86" s="9">
        <f>VLOOKUP(B86,Índices!$A$2:$D$292,4,FALSE)</f>
        <v>8.6E-3</v>
      </c>
      <c r="G86" s="13">
        <f t="shared" si="12"/>
        <v>3.2255618346136181</v>
      </c>
      <c r="H86" s="11" t="e">
        <f t="shared" si="7"/>
        <v>#REF!</v>
      </c>
      <c r="J86" s="15" t="e">
        <f t="shared" si="13"/>
        <v>#REF!</v>
      </c>
      <c r="K86" t="e">
        <f t="shared" si="8"/>
        <v>#REF!</v>
      </c>
    </row>
    <row r="87" spans="2:11">
      <c r="B87" s="6">
        <f t="shared" si="9"/>
        <v>37072</v>
      </c>
      <c r="C87" s="2" t="e">
        <f>IFERROR(VLOOKUP(B87,#REF!,2,FALSE),C86)</f>
        <v>#REF!</v>
      </c>
      <c r="D87" s="9" t="e">
        <f t="shared" si="10"/>
        <v>#REF!</v>
      </c>
      <c r="E87" s="13" t="e">
        <f t="shared" si="11"/>
        <v>#REF!</v>
      </c>
      <c r="F87" s="9">
        <f>VLOOKUP(B87,Índices!$A$2:$D$292,4,FALSE)</f>
        <v>9.7999999999999997E-3</v>
      </c>
      <c r="G87" s="13">
        <f t="shared" si="12"/>
        <v>3.2571723405928319</v>
      </c>
      <c r="H87" s="11" t="e">
        <f t="shared" si="7"/>
        <v>#REF!</v>
      </c>
      <c r="J87" s="15" t="e">
        <f t="shared" si="13"/>
        <v>#REF!</v>
      </c>
      <c r="K87" t="e">
        <f t="shared" si="8"/>
        <v>#REF!</v>
      </c>
    </row>
    <row r="88" spans="2:11">
      <c r="B88" s="6">
        <f t="shared" si="9"/>
        <v>37103</v>
      </c>
      <c r="C88" s="2" t="e">
        <f>IFERROR(VLOOKUP(B88,#REF!,2,FALSE),C87)</f>
        <v>#REF!</v>
      </c>
      <c r="D88" s="9" t="e">
        <f t="shared" si="10"/>
        <v>#REF!</v>
      </c>
      <c r="E88" s="13" t="e">
        <f t="shared" si="11"/>
        <v>#REF!</v>
      </c>
      <c r="F88" s="9">
        <f>VLOOKUP(B88,Índices!$A$2:$D$292,4,FALSE)</f>
        <v>1.4800000000000001E-2</v>
      </c>
      <c r="G88" s="13">
        <f t="shared" si="12"/>
        <v>3.3053784912336055</v>
      </c>
      <c r="H88" s="11" t="e">
        <f t="shared" si="7"/>
        <v>#REF!</v>
      </c>
      <c r="J88" s="15" t="e">
        <f t="shared" si="13"/>
        <v>#REF!</v>
      </c>
      <c r="K88" t="e">
        <f t="shared" si="8"/>
        <v>#REF!</v>
      </c>
    </row>
    <row r="89" spans="2:11">
      <c r="B89" s="6">
        <f t="shared" si="9"/>
        <v>37134</v>
      </c>
      <c r="C89" s="2" t="e">
        <f>IFERROR(VLOOKUP(B89,#REF!,2,FALSE),C88)</f>
        <v>#REF!</v>
      </c>
      <c r="D89" s="9" t="e">
        <f t="shared" si="10"/>
        <v>#REF!</v>
      </c>
      <c r="E89" s="13" t="e">
        <f t="shared" si="11"/>
        <v>#REF!</v>
      </c>
      <c r="F89" s="9">
        <f>VLOOKUP(B89,Índices!$A$2:$D$292,4,FALSE)</f>
        <v>1.38E-2</v>
      </c>
      <c r="G89" s="13">
        <f t="shared" si="12"/>
        <v>3.3509927144126292</v>
      </c>
      <c r="H89" s="11" t="e">
        <f t="shared" si="7"/>
        <v>#REF!</v>
      </c>
      <c r="J89" s="15" t="e">
        <f t="shared" si="13"/>
        <v>#REF!</v>
      </c>
      <c r="K89" t="e">
        <f t="shared" si="8"/>
        <v>#REF!</v>
      </c>
    </row>
    <row r="90" spans="2:11">
      <c r="B90" s="6">
        <f t="shared" si="9"/>
        <v>37164</v>
      </c>
      <c r="C90" s="2" t="e">
        <f>IFERROR(VLOOKUP(B90,#REF!,2,FALSE),C89)</f>
        <v>#REF!</v>
      </c>
      <c r="D90" s="9" t="e">
        <f t="shared" si="10"/>
        <v>#REF!</v>
      </c>
      <c r="E90" s="13" t="e">
        <f t="shared" si="11"/>
        <v>#REF!</v>
      </c>
      <c r="F90" s="9">
        <f>VLOOKUP(B90,Índices!$A$2:$D$292,4,FALSE)</f>
        <v>3.0999999999999999E-3</v>
      </c>
      <c r="G90" s="13">
        <f t="shared" si="12"/>
        <v>3.3613807918273086</v>
      </c>
      <c r="H90" s="11" t="e">
        <f t="shared" si="7"/>
        <v>#REF!</v>
      </c>
      <c r="J90" s="15" t="e">
        <f t="shared" si="13"/>
        <v>#REF!</v>
      </c>
      <c r="K90" t="e">
        <f t="shared" si="8"/>
        <v>#REF!</v>
      </c>
    </row>
    <row r="91" spans="2:11">
      <c r="B91" s="6">
        <f t="shared" si="9"/>
        <v>37195</v>
      </c>
      <c r="C91" s="2" t="e">
        <f>IFERROR(VLOOKUP(B91,#REF!,2,FALSE),C90)</f>
        <v>#REF!</v>
      </c>
      <c r="D91" s="9" t="e">
        <f t="shared" si="10"/>
        <v>#REF!</v>
      </c>
      <c r="E91" s="13" t="e">
        <f t="shared" si="11"/>
        <v>#REF!</v>
      </c>
      <c r="F91" s="9">
        <f>VLOOKUP(B91,Índices!$A$2:$D$292,4,FALSE)</f>
        <v>1.18E-2</v>
      </c>
      <c r="G91" s="13">
        <f t="shared" si="12"/>
        <v>3.4010450851708711</v>
      </c>
      <c r="H91" s="11" t="e">
        <f t="shared" si="7"/>
        <v>#REF!</v>
      </c>
      <c r="J91" s="15" t="e">
        <f t="shared" si="13"/>
        <v>#REF!</v>
      </c>
      <c r="K91" t="e">
        <f t="shared" si="8"/>
        <v>#REF!</v>
      </c>
    </row>
    <row r="92" spans="2:11">
      <c r="B92" s="6">
        <f t="shared" si="9"/>
        <v>37225</v>
      </c>
      <c r="C92" s="2" t="e">
        <f>IFERROR(VLOOKUP(B92,#REF!,2,FALSE),C91)</f>
        <v>#REF!</v>
      </c>
      <c r="D92" s="9" t="e">
        <f t="shared" si="10"/>
        <v>#REF!</v>
      </c>
      <c r="E92" s="13" t="e">
        <f t="shared" si="11"/>
        <v>#REF!</v>
      </c>
      <c r="F92" s="9">
        <f>VLOOKUP(B92,Índices!$A$2:$D$292,4,FALSE)</f>
        <v>1.0999999999999999E-2</v>
      </c>
      <c r="G92" s="13">
        <f t="shared" si="12"/>
        <v>3.4384565811077503</v>
      </c>
      <c r="H92" s="11" t="e">
        <f t="shared" si="7"/>
        <v>#REF!</v>
      </c>
      <c r="J92" s="15" t="e">
        <f t="shared" si="13"/>
        <v>#REF!</v>
      </c>
      <c r="K92" t="e">
        <f t="shared" si="8"/>
        <v>#REF!</v>
      </c>
    </row>
    <row r="93" spans="2:11">
      <c r="B93" s="6">
        <f t="shared" si="9"/>
        <v>37256</v>
      </c>
      <c r="C93" s="2" t="e">
        <f>IFERROR(VLOOKUP(B93,#REF!,2,FALSE),C92)</f>
        <v>#REF!</v>
      </c>
      <c r="D93" s="9" t="e">
        <f t="shared" si="10"/>
        <v>#REF!</v>
      </c>
      <c r="E93" s="13" t="e">
        <f t="shared" si="11"/>
        <v>#REF!</v>
      </c>
      <c r="F93" s="9">
        <f>VLOOKUP(B93,Índices!$A$2:$D$292,4,FALSE)</f>
        <v>2.2000000000000001E-3</v>
      </c>
      <c r="G93" s="13">
        <f t="shared" si="12"/>
        <v>3.4460211855861873</v>
      </c>
      <c r="H93" s="11" t="e">
        <f t="shared" si="7"/>
        <v>#REF!</v>
      </c>
      <c r="J93" s="15" t="e">
        <f t="shared" si="13"/>
        <v>#REF!</v>
      </c>
      <c r="K93" t="e">
        <f t="shared" si="8"/>
        <v>#REF!</v>
      </c>
    </row>
    <row r="94" spans="2:11">
      <c r="B94" s="6">
        <f t="shared" si="9"/>
        <v>37287</v>
      </c>
      <c r="C94" s="2" t="e">
        <f>IFERROR(VLOOKUP(B94,#REF!,2,FALSE),C93)</f>
        <v>#REF!</v>
      </c>
      <c r="D94" s="9" t="e">
        <f t="shared" si="10"/>
        <v>#REF!</v>
      </c>
      <c r="E94" s="13" t="e">
        <f t="shared" si="11"/>
        <v>#REF!</v>
      </c>
      <c r="F94" s="9">
        <f>VLOOKUP(B94,Índices!$A$2:$D$292,4,FALSE)</f>
        <v>3.5999999999999999E-3</v>
      </c>
      <c r="G94" s="13">
        <f t="shared" si="12"/>
        <v>3.4584268618542979</v>
      </c>
      <c r="H94" s="11" t="e">
        <f t="shared" si="7"/>
        <v>#REF!</v>
      </c>
      <c r="J94" s="15" t="e">
        <f t="shared" si="13"/>
        <v>#REF!</v>
      </c>
      <c r="K94" t="e">
        <f t="shared" si="8"/>
        <v>#REF!</v>
      </c>
    </row>
    <row r="95" spans="2:11">
      <c r="B95" s="6">
        <f t="shared" si="9"/>
        <v>37315</v>
      </c>
      <c r="C95" s="2" t="e">
        <f>IFERROR(VLOOKUP(B95,#REF!,2,FALSE),C94)</f>
        <v>#REF!</v>
      </c>
      <c r="D95" s="9" t="e">
        <f t="shared" si="10"/>
        <v>#REF!</v>
      </c>
      <c r="E95" s="13" t="e">
        <f t="shared" si="11"/>
        <v>#REF!</v>
      </c>
      <c r="F95" s="9">
        <f>VLOOKUP(B95,Índices!$A$2:$D$292,4,FALSE)</f>
        <v>5.9999999999999995E-4</v>
      </c>
      <c r="G95" s="13">
        <f t="shared" si="12"/>
        <v>3.4605019179714103</v>
      </c>
      <c r="H95" s="11" t="e">
        <f t="shared" si="7"/>
        <v>#REF!</v>
      </c>
      <c r="J95" s="15" t="e">
        <f t="shared" si="13"/>
        <v>#REF!</v>
      </c>
      <c r="K95" t="e">
        <f t="shared" si="8"/>
        <v>#REF!</v>
      </c>
    </row>
    <row r="96" spans="2:11">
      <c r="B96" s="6">
        <f t="shared" si="9"/>
        <v>37346</v>
      </c>
      <c r="C96" s="2" t="e">
        <f>IFERROR(VLOOKUP(B96,#REF!,2,FALSE),C95)</f>
        <v>#REF!</v>
      </c>
      <c r="D96" s="9" t="e">
        <f t="shared" si="10"/>
        <v>#REF!</v>
      </c>
      <c r="E96" s="13" t="e">
        <f t="shared" si="11"/>
        <v>#REF!</v>
      </c>
      <c r="F96" s="9">
        <f>VLOOKUP(B96,Índices!$A$2:$D$292,4,FALSE)</f>
        <v>8.9999999999999998E-4</v>
      </c>
      <c r="G96" s="13">
        <f t="shared" si="12"/>
        <v>3.4636163696975841</v>
      </c>
      <c r="H96" s="11" t="e">
        <f t="shared" si="7"/>
        <v>#REF!</v>
      </c>
      <c r="J96" s="15" t="e">
        <f t="shared" si="13"/>
        <v>#REF!</v>
      </c>
      <c r="K96" t="e">
        <f t="shared" si="8"/>
        <v>#REF!</v>
      </c>
    </row>
    <row r="97" spans="2:11">
      <c r="B97" s="6">
        <f t="shared" si="9"/>
        <v>37376</v>
      </c>
      <c r="C97" s="2" t="e">
        <f>IFERROR(VLOOKUP(B97,#REF!,2,FALSE),C96)</f>
        <v>#REF!</v>
      </c>
      <c r="D97" s="9" t="e">
        <f t="shared" si="10"/>
        <v>#REF!</v>
      </c>
      <c r="E97" s="13" t="e">
        <f t="shared" si="11"/>
        <v>#REF!</v>
      </c>
      <c r="F97" s="9">
        <f>VLOOKUP(B97,Índices!$A$2:$D$292,4,FALSE)</f>
        <v>5.5999999999999999E-3</v>
      </c>
      <c r="G97" s="13">
        <f t="shared" si="12"/>
        <v>3.4830126213678909</v>
      </c>
      <c r="H97" s="11" t="e">
        <f t="shared" si="7"/>
        <v>#REF!</v>
      </c>
      <c r="J97" s="15" t="e">
        <f t="shared" si="13"/>
        <v>#REF!</v>
      </c>
      <c r="K97" t="e">
        <f t="shared" si="8"/>
        <v>#REF!</v>
      </c>
    </row>
    <row r="98" spans="2:11">
      <c r="B98" s="6">
        <f t="shared" si="9"/>
        <v>37407</v>
      </c>
      <c r="C98" s="2" t="e">
        <f>IFERROR(VLOOKUP(B98,#REF!,2,FALSE),C97)</f>
        <v>#REF!</v>
      </c>
      <c r="D98" s="9" t="e">
        <f t="shared" si="10"/>
        <v>#REF!</v>
      </c>
      <c r="E98" s="13" t="e">
        <f t="shared" si="11"/>
        <v>#REF!</v>
      </c>
      <c r="F98" s="9">
        <f>VLOOKUP(B98,Índices!$A$2:$D$292,4,FALSE)</f>
        <v>8.3000000000000001E-3</v>
      </c>
      <c r="G98" s="13">
        <f t="shared" si="12"/>
        <v>3.5119216261252442</v>
      </c>
      <c r="H98" s="11" t="e">
        <f t="shared" si="7"/>
        <v>#REF!</v>
      </c>
      <c r="J98" s="15" t="e">
        <f t="shared" si="13"/>
        <v>#REF!</v>
      </c>
      <c r="K98" t="e">
        <f t="shared" si="8"/>
        <v>#REF!</v>
      </c>
    </row>
    <row r="99" spans="2:11">
      <c r="B99" s="6">
        <f t="shared" si="9"/>
        <v>37437</v>
      </c>
      <c r="C99" s="2" t="e">
        <f>IFERROR(VLOOKUP(B99,#REF!,2,FALSE),C98)</f>
        <v>#REF!</v>
      </c>
      <c r="D99" s="9" t="e">
        <f t="shared" si="10"/>
        <v>#REF!</v>
      </c>
      <c r="E99" s="13" t="e">
        <f t="shared" si="11"/>
        <v>#REF!</v>
      </c>
      <c r="F99" s="9">
        <f>VLOOKUP(B99,Índices!$A$2:$D$292,4,FALSE)</f>
        <v>1.54E-2</v>
      </c>
      <c r="G99" s="13">
        <f t="shared" si="12"/>
        <v>3.5660052191675731</v>
      </c>
      <c r="H99" s="11" t="e">
        <f t="shared" si="7"/>
        <v>#REF!</v>
      </c>
      <c r="J99" s="15" t="e">
        <f t="shared" si="13"/>
        <v>#REF!</v>
      </c>
      <c r="K99" t="e">
        <f t="shared" si="8"/>
        <v>#REF!</v>
      </c>
    </row>
    <row r="100" spans="2:11">
      <c r="B100" s="6">
        <f t="shared" si="9"/>
        <v>37468</v>
      </c>
      <c r="C100" s="2" t="e">
        <f>IFERROR(VLOOKUP(B100,#REF!,2,FALSE),C99)</f>
        <v>#REF!</v>
      </c>
      <c r="D100" s="9" t="e">
        <f t="shared" si="10"/>
        <v>#REF!</v>
      </c>
      <c r="E100" s="13" t="e">
        <f t="shared" si="11"/>
        <v>#REF!</v>
      </c>
      <c r="F100" s="9">
        <f>VLOOKUP(B100,Índices!$A$2:$D$292,4,FALSE)</f>
        <v>1.95E-2</v>
      </c>
      <c r="G100" s="13">
        <f t="shared" si="12"/>
        <v>3.6355423209413411</v>
      </c>
      <c r="H100" s="11" t="e">
        <f t="shared" si="7"/>
        <v>#REF!</v>
      </c>
      <c r="J100" s="15" t="e">
        <f t="shared" si="13"/>
        <v>#REF!</v>
      </c>
      <c r="K100" t="e">
        <f t="shared" si="8"/>
        <v>#REF!</v>
      </c>
    </row>
    <row r="101" spans="2:11">
      <c r="B101" s="6">
        <f t="shared" si="9"/>
        <v>37499</v>
      </c>
      <c r="C101" s="2" t="e">
        <f>IFERROR(VLOOKUP(B101,#REF!,2,FALSE),C100)</f>
        <v>#REF!</v>
      </c>
      <c r="D101" s="9" t="e">
        <f t="shared" si="10"/>
        <v>#REF!</v>
      </c>
      <c r="E101" s="13" t="e">
        <f t="shared" si="11"/>
        <v>#REF!</v>
      </c>
      <c r="F101" s="9">
        <f>VLOOKUP(B101,Índices!$A$2:$D$292,4,FALSE)</f>
        <v>2.3199999999999998E-2</v>
      </c>
      <c r="G101" s="13">
        <f t="shared" si="12"/>
        <v>3.7198869027871808</v>
      </c>
      <c r="H101" s="11" t="e">
        <f t="shared" si="7"/>
        <v>#REF!</v>
      </c>
      <c r="J101" s="15" t="e">
        <f t="shared" si="13"/>
        <v>#REF!</v>
      </c>
      <c r="K101" t="e">
        <f t="shared" si="8"/>
        <v>#REF!</v>
      </c>
    </row>
    <row r="102" spans="2:11">
      <c r="B102" s="6">
        <f t="shared" si="9"/>
        <v>37529</v>
      </c>
      <c r="C102" s="2" t="e">
        <f>IFERROR(VLOOKUP(B102,#REF!,2,FALSE),C101)</f>
        <v>#REF!</v>
      </c>
      <c r="D102" s="9" t="e">
        <f t="shared" si="10"/>
        <v>#REF!</v>
      </c>
      <c r="E102" s="13" t="e">
        <f t="shared" si="11"/>
        <v>#REF!</v>
      </c>
      <c r="F102" s="9">
        <f>VLOOKUP(B102,Índices!$A$2:$D$292,4,FALSE)</f>
        <v>2.4E-2</v>
      </c>
      <c r="G102" s="13">
        <f t="shared" si="12"/>
        <v>3.8091641884540732</v>
      </c>
      <c r="H102" s="11" t="e">
        <f t="shared" si="7"/>
        <v>#REF!</v>
      </c>
      <c r="J102" s="15" t="e">
        <f t="shared" si="13"/>
        <v>#REF!</v>
      </c>
      <c r="K102" t="e">
        <f t="shared" si="8"/>
        <v>#REF!</v>
      </c>
    </row>
    <row r="103" spans="2:11">
      <c r="B103" s="6">
        <f t="shared" si="9"/>
        <v>37560</v>
      </c>
      <c r="C103" s="2" t="e">
        <f>IFERROR(VLOOKUP(B103,#REF!,2,FALSE),C102)</f>
        <v>#REF!</v>
      </c>
      <c r="D103" s="9" t="e">
        <f t="shared" si="10"/>
        <v>#REF!</v>
      </c>
      <c r="E103" s="13" t="e">
        <f t="shared" si="11"/>
        <v>#REF!</v>
      </c>
      <c r="F103" s="9">
        <f>VLOOKUP(B103,Índices!$A$2:$D$292,4,FALSE)</f>
        <v>3.8699999999999998E-2</v>
      </c>
      <c r="G103" s="13">
        <f t="shared" si="12"/>
        <v>3.9565788425472457</v>
      </c>
      <c r="H103" s="11" t="e">
        <f t="shared" si="7"/>
        <v>#REF!</v>
      </c>
      <c r="J103" s="15" t="e">
        <f t="shared" si="13"/>
        <v>#REF!</v>
      </c>
      <c r="K103" t="e">
        <f t="shared" si="8"/>
        <v>#REF!</v>
      </c>
    </row>
    <row r="104" spans="2:11">
      <c r="B104" s="6">
        <f t="shared" si="9"/>
        <v>37590</v>
      </c>
      <c r="C104" s="2" t="e">
        <f>IFERROR(VLOOKUP(B104,#REF!,2,FALSE),C103)</f>
        <v>#REF!</v>
      </c>
      <c r="D104" s="9" t="e">
        <f t="shared" si="10"/>
        <v>#REF!</v>
      </c>
      <c r="E104" s="13" t="e">
        <f t="shared" si="11"/>
        <v>#REF!</v>
      </c>
      <c r="F104" s="9">
        <f>VLOOKUP(B104,Índices!$A$2:$D$292,4,FALSE)</f>
        <v>5.1900000000000002E-2</v>
      </c>
      <c r="G104" s="13">
        <f t="shared" si="12"/>
        <v>4.1619252844754477</v>
      </c>
      <c r="H104" s="11" t="e">
        <f t="shared" si="7"/>
        <v>#REF!</v>
      </c>
      <c r="J104" s="15" t="e">
        <f t="shared" si="13"/>
        <v>#REF!</v>
      </c>
      <c r="K104" t="e">
        <f t="shared" si="8"/>
        <v>#REF!</v>
      </c>
    </row>
    <row r="105" spans="2:11">
      <c r="B105" s="6">
        <f t="shared" si="9"/>
        <v>37621</v>
      </c>
      <c r="C105" s="2" t="e">
        <f>IFERROR(VLOOKUP(B105,#REF!,2,FALSE),C104)</f>
        <v>#REF!</v>
      </c>
      <c r="D105" s="9" t="e">
        <f t="shared" si="10"/>
        <v>#REF!</v>
      </c>
      <c r="E105" s="13" t="e">
        <f t="shared" si="11"/>
        <v>#REF!</v>
      </c>
      <c r="F105" s="9">
        <f>VLOOKUP(B105,Índices!$A$2:$D$292,4,FALSE)</f>
        <v>3.7499999999999999E-2</v>
      </c>
      <c r="G105" s="13">
        <f t="shared" si="12"/>
        <v>4.3179974826432774</v>
      </c>
      <c r="H105" s="11" t="e">
        <f t="shared" si="7"/>
        <v>#REF!</v>
      </c>
      <c r="J105" s="15" t="e">
        <f t="shared" si="13"/>
        <v>#REF!</v>
      </c>
      <c r="K105" t="e">
        <f t="shared" si="8"/>
        <v>#REF!</v>
      </c>
    </row>
    <row r="106" spans="2:11">
      <c r="B106" s="6">
        <f t="shared" si="9"/>
        <v>37652</v>
      </c>
      <c r="C106" s="2" t="e">
        <f>IFERROR(VLOOKUP(B106,#REF!,2,FALSE),C105)</f>
        <v>#REF!</v>
      </c>
      <c r="D106" s="9" t="e">
        <f t="shared" si="10"/>
        <v>#REF!</v>
      </c>
      <c r="E106" s="13" t="e">
        <f t="shared" si="11"/>
        <v>#REF!</v>
      </c>
      <c r="F106" s="9">
        <f>VLOOKUP(B106,Índices!$A$2:$D$292,4,FALSE)</f>
        <v>2.3300000000000001E-2</v>
      </c>
      <c r="G106" s="13">
        <f t="shared" si="12"/>
        <v>4.4186068239888661</v>
      </c>
      <c r="H106" s="11" t="e">
        <f t="shared" si="7"/>
        <v>#REF!</v>
      </c>
      <c r="J106" s="15" t="e">
        <f t="shared" si="13"/>
        <v>#REF!</v>
      </c>
      <c r="K106" t="e">
        <f t="shared" si="8"/>
        <v>#REF!</v>
      </c>
    </row>
    <row r="107" spans="2:11">
      <c r="B107" s="6">
        <f t="shared" si="9"/>
        <v>37680</v>
      </c>
      <c r="C107" s="2" t="e">
        <f>IFERROR(VLOOKUP(B107,#REF!,2,FALSE),C106)</f>
        <v>#REF!</v>
      </c>
      <c r="D107" s="9" t="e">
        <f t="shared" si="10"/>
        <v>#REF!</v>
      </c>
      <c r="E107" s="13" t="e">
        <f t="shared" si="11"/>
        <v>#REF!</v>
      </c>
      <c r="F107" s="9">
        <f>VLOOKUP(B107,Índices!$A$2:$D$292,4,FALSE)</f>
        <v>2.2800000000000001E-2</v>
      </c>
      <c r="G107" s="13">
        <f t="shared" si="12"/>
        <v>4.5193510595758122</v>
      </c>
      <c r="H107" s="11" t="e">
        <f t="shared" si="7"/>
        <v>#REF!</v>
      </c>
      <c r="J107" s="15" t="e">
        <f t="shared" si="13"/>
        <v>#REF!</v>
      </c>
      <c r="K107" t="e">
        <f t="shared" si="8"/>
        <v>#REF!</v>
      </c>
    </row>
    <row r="108" spans="2:11">
      <c r="B108" s="6">
        <f t="shared" si="9"/>
        <v>37711</v>
      </c>
      <c r="C108" s="2" t="e">
        <f>IFERROR(VLOOKUP(B108,#REF!,2,FALSE),C107)</f>
        <v>#REF!</v>
      </c>
      <c r="D108" s="9" t="e">
        <f t="shared" si="10"/>
        <v>#REF!</v>
      </c>
      <c r="E108" s="13" t="e">
        <f t="shared" si="11"/>
        <v>#REF!</v>
      </c>
      <c r="F108" s="9">
        <f>VLOOKUP(B108,Índices!$A$2:$D$292,4,FALSE)</f>
        <v>1.5299999999999999E-2</v>
      </c>
      <c r="G108" s="13">
        <f t="shared" si="12"/>
        <v>4.5884971307873226</v>
      </c>
      <c r="H108" s="11" t="e">
        <f t="shared" si="7"/>
        <v>#REF!</v>
      </c>
      <c r="J108" s="15" t="e">
        <f t="shared" si="13"/>
        <v>#REF!</v>
      </c>
      <c r="K108" t="e">
        <f t="shared" si="8"/>
        <v>#REF!</v>
      </c>
    </row>
    <row r="109" spans="2:11">
      <c r="B109" s="6">
        <f t="shared" si="9"/>
        <v>37741</v>
      </c>
      <c r="C109" s="2" t="e">
        <f>IFERROR(VLOOKUP(B109,#REF!,2,FALSE),C108)</f>
        <v>#REF!</v>
      </c>
      <c r="D109" s="9" t="e">
        <f t="shared" si="10"/>
        <v>#REF!</v>
      </c>
      <c r="E109" s="13" t="e">
        <f t="shared" si="11"/>
        <v>#REF!</v>
      </c>
      <c r="F109" s="9">
        <f>VLOOKUP(B109,Índices!$A$2:$D$292,4,FALSE)</f>
        <v>9.1999999999999998E-3</v>
      </c>
      <c r="G109" s="13">
        <f t="shared" si="12"/>
        <v>4.6307113043905668</v>
      </c>
      <c r="H109" s="11" t="e">
        <f t="shared" si="7"/>
        <v>#REF!</v>
      </c>
      <c r="J109" s="15" t="e">
        <f t="shared" si="13"/>
        <v>#REF!</v>
      </c>
      <c r="K109" t="e">
        <f t="shared" si="8"/>
        <v>#REF!</v>
      </c>
    </row>
    <row r="110" spans="2:11">
      <c r="B110" s="6">
        <f t="shared" si="9"/>
        <v>37772</v>
      </c>
      <c r="C110" s="2" t="e">
        <f>IFERROR(VLOOKUP(B110,#REF!,2,FALSE),C109)</f>
        <v>#REF!</v>
      </c>
      <c r="D110" s="9" t="e">
        <f t="shared" si="10"/>
        <v>#REF!</v>
      </c>
      <c r="E110" s="13" t="e">
        <f t="shared" si="11"/>
        <v>#REF!</v>
      </c>
      <c r="F110" s="9">
        <f>VLOOKUP(B110,Índices!$A$2:$D$292,4,FALSE)</f>
        <v>-2.5999999999999999E-3</v>
      </c>
      <c r="G110" s="13">
        <f t="shared" si="12"/>
        <v>4.6186714549991512</v>
      </c>
      <c r="H110" s="11" t="e">
        <f t="shared" si="7"/>
        <v>#REF!</v>
      </c>
      <c r="J110" s="15" t="e">
        <f t="shared" si="13"/>
        <v>#REF!</v>
      </c>
      <c r="K110" t="e">
        <f t="shared" si="8"/>
        <v>#REF!</v>
      </c>
    </row>
    <row r="111" spans="2:11">
      <c r="B111" s="6">
        <f t="shared" si="9"/>
        <v>37802</v>
      </c>
      <c r="C111" s="2" t="e">
        <f>IFERROR(VLOOKUP(B111,#REF!,2,FALSE),C110)</f>
        <v>#REF!</v>
      </c>
      <c r="D111" s="9" t="e">
        <f t="shared" si="10"/>
        <v>#REF!</v>
      </c>
      <c r="E111" s="13" t="e">
        <f t="shared" si="11"/>
        <v>#REF!</v>
      </c>
      <c r="F111" s="9">
        <f>VLOOKUP(B111,Índices!$A$2:$D$292,4,FALSE)</f>
        <v>-0.01</v>
      </c>
      <c r="G111" s="13">
        <f t="shared" si="12"/>
        <v>4.57248474044916</v>
      </c>
      <c r="H111" s="11" t="e">
        <f t="shared" si="7"/>
        <v>#REF!</v>
      </c>
      <c r="J111" s="15" t="e">
        <f t="shared" si="13"/>
        <v>#REF!</v>
      </c>
      <c r="K111" t="e">
        <f t="shared" si="8"/>
        <v>#REF!</v>
      </c>
    </row>
    <row r="112" spans="2:11">
      <c r="B112" s="6">
        <f t="shared" si="9"/>
        <v>37833</v>
      </c>
      <c r="C112" s="2" t="e">
        <f>IFERROR(VLOOKUP(B112,#REF!,2,FALSE),C111)</f>
        <v>#REF!</v>
      </c>
      <c r="D112" s="9" t="e">
        <f t="shared" si="10"/>
        <v>#REF!</v>
      </c>
      <c r="E112" s="13" t="e">
        <f t="shared" si="11"/>
        <v>#REF!</v>
      </c>
      <c r="F112" s="9">
        <f>VLOOKUP(B112,Índices!$A$2:$D$292,4,FALSE)</f>
        <v>-4.1999999999999997E-3</v>
      </c>
      <c r="G112" s="13">
        <f t="shared" si="12"/>
        <v>4.5532803045392738</v>
      </c>
      <c r="H112" s="11" t="e">
        <f t="shared" si="7"/>
        <v>#REF!</v>
      </c>
      <c r="J112" s="15" t="e">
        <f t="shared" si="13"/>
        <v>#REF!</v>
      </c>
      <c r="K112" t="e">
        <f t="shared" si="8"/>
        <v>#REF!</v>
      </c>
    </row>
    <row r="113" spans="2:11">
      <c r="B113" s="6">
        <f t="shared" si="9"/>
        <v>37864</v>
      </c>
      <c r="C113" s="2" t="e">
        <f>IFERROR(VLOOKUP(B113,#REF!,2,FALSE),C112)</f>
        <v>#REF!</v>
      </c>
      <c r="D113" s="9" t="e">
        <f t="shared" si="10"/>
        <v>#REF!</v>
      </c>
      <c r="E113" s="13" t="e">
        <f t="shared" si="11"/>
        <v>#REF!</v>
      </c>
      <c r="F113" s="9">
        <f>VLOOKUP(B113,Índices!$A$2:$D$292,4,FALSE)</f>
        <v>3.8E-3</v>
      </c>
      <c r="G113" s="13">
        <f t="shared" si="12"/>
        <v>4.5705827696965233</v>
      </c>
      <c r="H113" s="11" t="e">
        <f t="shared" si="7"/>
        <v>#REF!</v>
      </c>
      <c r="J113" s="15" t="e">
        <f t="shared" si="13"/>
        <v>#REF!</v>
      </c>
      <c r="K113" t="e">
        <f t="shared" si="8"/>
        <v>#REF!</v>
      </c>
    </row>
    <row r="114" spans="2:11">
      <c r="B114" s="6">
        <f t="shared" si="9"/>
        <v>37894</v>
      </c>
      <c r="C114" s="2" t="e">
        <f>IFERROR(VLOOKUP(B114,#REF!,2,FALSE),C113)</f>
        <v>#REF!</v>
      </c>
      <c r="D114" s="9" t="e">
        <f t="shared" si="10"/>
        <v>#REF!</v>
      </c>
      <c r="E114" s="13" t="e">
        <f t="shared" si="11"/>
        <v>#REF!</v>
      </c>
      <c r="F114" s="9">
        <f>VLOOKUP(B114,Índices!$A$2:$D$292,4,FALSE)</f>
        <v>1.18E-2</v>
      </c>
      <c r="G114" s="13">
        <f t="shared" si="12"/>
        <v>4.6245156463789421</v>
      </c>
      <c r="H114" s="11" t="e">
        <f t="shared" si="7"/>
        <v>#REF!</v>
      </c>
      <c r="J114" s="15" t="e">
        <f t="shared" si="13"/>
        <v>#REF!</v>
      </c>
      <c r="K114" t="e">
        <f t="shared" si="8"/>
        <v>#REF!</v>
      </c>
    </row>
    <row r="115" spans="2:11">
      <c r="B115" s="6">
        <f t="shared" si="9"/>
        <v>37925</v>
      </c>
      <c r="C115" s="2" t="e">
        <f>IFERROR(VLOOKUP(B115,#REF!,2,FALSE),C114)</f>
        <v>#REF!</v>
      </c>
      <c r="D115" s="9" t="e">
        <f t="shared" si="10"/>
        <v>#REF!</v>
      </c>
      <c r="E115" s="13" t="e">
        <f t="shared" si="11"/>
        <v>#REF!</v>
      </c>
      <c r="F115" s="9">
        <f>VLOOKUP(B115,Índices!$A$2:$D$292,4,FALSE)</f>
        <v>3.8E-3</v>
      </c>
      <c r="G115" s="13">
        <f t="shared" si="12"/>
        <v>4.6420888058351819</v>
      </c>
      <c r="H115" s="11" t="e">
        <f t="shared" si="7"/>
        <v>#REF!</v>
      </c>
      <c r="J115" s="15" t="e">
        <f t="shared" si="13"/>
        <v>#REF!</v>
      </c>
      <c r="K115" t="e">
        <f t="shared" si="8"/>
        <v>#REF!</v>
      </c>
    </row>
    <row r="116" spans="2:11">
      <c r="B116" s="6">
        <f t="shared" si="9"/>
        <v>37955</v>
      </c>
      <c r="C116" s="2" t="e">
        <f>IFERROR(VLOOKUP(B116,#REF!,2,FALSE),C115)</f>
        <v>#REF!</v>
      </c>
      <c r="D116" s="9" t="e">
        <f t="shared" si="10"/>
        <v>#REF!</v>
      </c>
      <c r="E116" s="13" t="e">
        <f t="shared" si="11"/>
        <v>#REF!</v>
      </c>
      <c r="F116" s="9">
        <f>VLOOKUP(B116,Índices!$A$2:$D$292,4,FALSE)</f>
        <v>4.8999999999999998E-3</v>
      </c>
      <c r="G116" s="13">
        <f t="shared" si="12"/>
        <v>4.6648350409837738</v>
      </c>
      <c r="H116" s="11" t="e">
        <f t="shared" si="7"/>
        <v>#REF!</v>
      </c>
      <c r="J116" s="15" t="e">
        <f t="shared" si="13"/>
        <v>#REF!</v>
      </c>
      <c r="K116" t="e">
        <f t="shared" si="8"/>
        <v>#REF!</v>
      </c>
    </row>
    <row r="117" spans="2:11">
      <c r="B117" s="6">
        <f t="shared" si="9"/>
        <v>37986</v>
      </c>
      <c r="C117" s="2" t="e">
        <f>IFERROR(VLOOKUP(B117,#REF!,2,FALSE),C116)</f>
        <v>#REF!</v>
      </c>
      <c r="D117" s="9" t="e">
        <f t="shared" si="10"/>
        <v>#REF!</v>
      </c>
      <c r="E117" s="13" t="e">
        <f t="shared" si="11"/>
        <v>#REF!</v>
      </c>
      <c r="F117" s="9">
        <f>VLOOKUP(B117,Índices!$A$2:$D$292,4,FALSE)</f>
        <v>6.1000000000000004E-3</v>
      </c>
      <c r="G117" s="13">
        <f t="shared" si="12"/>
        <v>4.6932905347337748</v>
      </c>
      <c r="H117" s="11" t="e">
        <f t="shared" si="7"/>
        <v>#REF!</v>
      </c>
      <c r="J117" s="15" t="e">
        <f t="shared" si="13"/>
        <v>#REF!</v>
      </c>
      <c r="K117" t="e">
        <f t="shared" si="8"/>
        <v>#REF!</v>
      </c>
    </row>
    <row r="118" spans="2:11">
      <c r="B118" s="6">
        <f t="shared" si="9"/>
        <v>38017</v>
      </c>
      <c r="C118" s="2" t="e">
        <f>IFERROR(VLOOKUP(B118,#REF!,2,FALSE),C117)</f>
        <v>#REF!</v>
      </c>
      <c r="D118" s="9" t="e">
        <f t="shared" si="10"/>
        <v>#REF!</v>
      </c>
      <c r="E118" s="13" t="e">
        <f t="shared" si="11"/>
        <v>#REF!</v>
      </c>
      <c r="F118" s="9">
        <f>VLOOKUP(B118,Índices!$A$2:$D$292,4,FALSE)</f>
        <v>8.8000000000000005E-3</v>
      </c>
      <c r="G118" s="13">
        <f t="shared" si="12"/>
        <v>4.7345914914394314</v>
      </c>
      <c r="H118" s="11" t="e">
        <f t="shared" si="7"/>
        <v>#REF!</v>
      </c>
      <c r="J118" s="15" t="e">
        <f t="shared" si="13"/>
        <v>#REF!</v>
      </c>
      <c r="K118" t="e">
        <f t="shared" si="8"/>
        <v>#REF!</v>
      </c>
    </row>
    <row r="119" spans="2:11">
      <c r="B119" s="6">
        <f t="shared" si="9"/>
        <v>38046</v>
      </c>
      <c r="C119" s="2" t="e">
        <f>IFERROR(VLOOKUP(B119,#REF!,2,FALSE),C118)</f>
        <v>#REF!</v>
      </c>
      <c r="D119" s="9" t="e">
        <f t="shared" si="10"/>
        <v>#REF!</v>
      </c>
      <c r="E119" s="13" t="e">
        <f t="shared" si="11"/>
        <v>#REF!</v>
      </c>
      <c r="F119" s="9">
        <f>VLOOKUP(B119,Índices!$A$2:$D$292,4,FALSE)</f>
        <v>6.8999999999999999E-3</v>
      </c>
      <c r="G119" s="13">
        <f t="shared" si="12"/>
        <v>4.7672601727303627</v>
      </c>
      <c r="H119" s="11" t="e">
        <f t="shared" si="7"/>
        <v>#REF!</v>
      </c>
      <c r="J119" s="15" t="e">
        <f t="shared" si="13"/>
        <v>#REF!</v>
      </c>
      <c r="K119" t="e">
        <f t="shared" si="8"/>
        <v>#REF!</v>
      </c>
    </row>
    <row r="120" spans="2:11">
      <c r="B120" s="6">
        <f t="shared" si="9"/>
        <v>38077</v>
      </c>
      <c r="C120" s="2" t="e">
        <f>IFERROR(VLOOKUP(B120,#REF!,2,FALSE),C119)</f>
        <v>#REF!</v>
      </c>
      <c r="D120" s="9" t="e">
        <f t="shared" si="10"/>
        <v>#REF!</v>
      </c>
      <c r="E120" s="13" t="e">
        <f t="shared" si="11"/>
        <v>#REF!</v>
      </c>
      <c r="F120" s="9">
        <f>VLOOKUP(B120,Índices!$A$2:$D$292,4,FALSE)</f>
        <v>1.1299999999999999E-2</v>
      </c>
      <c r="G120" s="13">
        <f t="shared" si="12"/>
        <v>4.821130212682216</v>
      </c>
      <c r="H120" s="11" t="e">
        <f t="shared" si="7"/>
        <v>#REF!</v>
      </c>
      <c r="J120" s="15" t="e">
        <f t="shared" si="13"/>
        <v>#REF!</v>
      </c>
      <c r="K120" t="e">
        <f t="shared" si="8"/>
        <v>#REF!</v>
      </c>
    </row>
    <row r="121" spans="2:11">
      <c r="B121" s="6">
        <f t="shared" si="9"/>
        <v>38107</v>
      </c>
      <c r="C121" s="2" t="e">
        <f>IFERROR(VLOOKUP(B121,#REF!,2,FALSE),C120)</f>
        <v>#REF!</v>
      </c>
      <c r="D121" s="9" t="e">
        <f t="shared" si="10"/>
        <v>#REF!</v>
      </c>
      <c r="E121" s="13" t="e">
        <f t="shared" si="11"/>
        <v>#REF!</v>
      </c>
      <c r="F121" s="9">
        <f>VLOOKUP(B121,Índices!$A$2:$D$292,4,FALSE)</f>
        <v>1.21E-2</v>
      </c>
      <c r="G121" s="13">
        <f t="shared" si="12"/>
        <v>4.8794658882556705</v>
      </c>
      <c r="H121" s="11" t="e">
        <f t="shared" si="7"/>
        <v>#REF!</v>
      </c>
      <c r="J121" s="15" t="e">
        <f t="shared" si="13"/>
        <v>#REF!</v>
      </c>
      <c r="K121" t="e">
        <f t="shared" si="8"/>
        <v>#REF!</v>
      </c>
    </row>
    <row r="122" spans="2:11">
      <c r="B122" s="6">
        <f t="shared" si="9"/>
        <v>38138</v>
      </c>
      <c r="C122" s="2" t="e">
        <f>IFERROR(VLOOKUP(B122,#REF!,2,FALSE),C121)</f>
        <v>#REF!</v>
      </c>
      <c r="D122" s="9" t="e">
        <f t="shared" si="10"/>
        <v>#REF!</v>
      </c>
      <c r="E122" s="13" t="e">
        <f t="shared" si="11"/>
        <v>#REF!</v>
      </c>
      <c r="F122" s="9">
        <f>VLOOKUP(B122,Índices!$A$2:$D$292,4,FALSE)</f>
        <v>1.3100000000000001E-2</v>
      </c>
      <c r="G122" s="13">
        <f t="shared" si="12"/>
        <v>4.9433868913918202</v>
      </c>
      <c r="H122" s="11" t="e">
        <f t="shared" si="7"/>
        <v>#REF!</v>
      </c>
      <c r="J122" s="15" t="e">
        <f t="shared" si="13"/>
        <v>#REF!</v>
      </c>
      <c r="K122" t="e">
        <f t="shared" si="8"/>
        <v>#REF!</v>
      </c>
    </row>
    <row r="123" spans="2:11">
      <c r="B123" s="6">
        <f t="shared" si="9"/>
        <v>38168</v>
      </c>
      <c r="C123" s="2" t="e">
        <f>IFERROR(VLOOKUP(B123,#REF!,2,FALSE),C122)</f>
        <v>#REF!</v>
      </c>
      <c r="D123" s="9" t="e">
        <f t="shared" si="10"/>
        <v>#REF!</v>
      </c>
      <c r="E123" s="13" t="e">
        <f t="shared" si="11"/>
        <v>#REF!</v>
      </c>
      <c r="F123" s="9">
        <f>VLOOKUP(B123,Índices!$A$2:$D$292,4,FALSE)</f>
        <v>1.38E-2</v>
      </c>
      <c r="G123" s="13">
        <f t="shared" si="12"/>
        <v>5.0116056304930279</v>
      </c>
      <c r="H123" s="11" t="e">
        <f t="shared" si="7"/>
        <v>#REF!</v>
      </c>
      <c r="J123" s="15" t="e">
        <f t="shared" si="13"/>
        <v>#REF!</v>
      </c>
      <c r="K123" t="e">
        <f t="shared" si="8"/>
        <v>#REF!</v>
      </c>
    </row>
    <row r="124" spans="2:11">
      <c r="B124" s="6">
        <f t="shared" si="9"/>
        <v>38199</v>
      </c>
      <c r="C124" s="2" t="e">
        <f>IFERROR(VLOOKUP(B124,#REF!,2,FALSE),C123)</f>
        <v>#REF!</v>
      </c>
      <c r="D124" s="9" t="e">
        <f t="shared" si="10"/>
        <v>#REF!</v>
      </c>
      <c r="E124" s="13" t="e">
        <f t="shared" si="11"/>
        <v>#REF!</v>
      </c>
      <c r="F124" s="9">
        <f>VLOOKUP(B124,Índices!$A$2:$D$292,4,FALSE)</f>
        <v>1.3100000000000001E-2</v>
      </c>
      <c r="G124" s="13">
        <f t="shared" si="12"/>
        <v>5.0772576642524871</v>
      </c>
      <c r="H124" s="11" t="e">
        <f t="shared" si="7"/>
        <v>#REF!</v>
      </c>
      <c r="J124" s="15" t="e">
        <f t="shared" si="13"/>
        <v>#REF!</v>
      </c>
      <c r="K124" t="e">
        <f t="shared" si="8"/>
        <v>#REF!</v>
      </c>
    </row>
    <row r="125" spans="2:11">
      <c r="B125" s="6">
        <f t="shared" si="9"/>
        <v>38230</v>
      </c>
      <c r="C125" s="2" t="e">
        <f>IFERROR(VLOOKUP(B125,#REF!,2,FALSE),C124)</f>
        <v>#REF!</v>
      </c>
      <c r="D125" s="9" t="e">
        <f t="shared" si="10"/>
        <v>#REF!</v>
      </c>
      <c r="E125" s="13" t="e">
        <f t="shared" si="11"/>
        <v>#REF!</v>
      </c>
      <c r="F125" s="9">
        <f>VLOOKUP(B125,Índices!$A$2:$D$292,4,FALSE)</f>
        <v>1.2200000000000001E-2</v>
      </c>
      <c r="G125" s="13">
        <f t="shared" si="12"/>
        <v>5.1392002077563674</v>
      </c>
      <c r="H125" s="11" t="e">
        <f t="shared" si="7"/>
        <v>#REF!</v>
      </c>
      <c r="J125" s="15" t="e">
        <f t="shared" si="13"/>
        <v>#REF!</v>
      </c>
      <c r="K125" t="e">
        <f t="shared" si="8"/>
        <v>#REF!</v>
      </c>
    </row>
    <row r="126" spans="2:11">
      <c r="B126" s="6">
        <f t="shared" si="9"/>
        <v>38260</v>
      </c>
      <c r="C126" s="2" t="e">
        <f>IFERROR(VLOOKUP(B126,#REF!,2,FALSE),C125)</f>
        <v>#REF!</v>
      </c>
      <c r="D126" s="9" t="e">
        <f t="shared" si="10"/>
        <v>#REF!</v>
      </c>
      <c r="E126" s="13" t="e">
        <f t="shared" si="11"/>
        <v>#REF!</v>
      </c>
      <c r="F126" s="9">
        <f>VLOOKUP(B126,Índices!$A$2:$D$292,4,FALSE)</f>
        <v>6.8999999999999999E-3</v>
      </c>
      <c r="G126" s="13">
        <f t="shared" si="12"/>
        <v>5.1746606891898859</v>
      </c>
      <c r="H126" s="11" t="e">
        <f t="shared" si="7"/>
        <v>#REF!</v>
      </c>
      <c r="J126" s="15" t="e">
        <f t="shared" si="13"/>
        <v>#REF!</v>
      </c>
      <c r="K126" t="e">
        <f t="shared" si="8"/>
        <v>#REF!</v>
      </c>
    </row>
    <row r="127" spans="2:11">
      <c r="B127" s="6">
        <f t="shared" si="9"/>
        <v>38291</v>
      </c>
      <c r="C127" s="2" t="e">
        <f>IFERROR(VLOOKUP(B127,#REF!,2,FALSE),C126)</f>
        <v>#REF!</v>
      </c>
      <c r="D127" s="9" t="e">
        <f t="shared" si="10"/>
        <v>#REF!</v>
      </c>
      <c r="E127" s="13" t="e">
        <f t="shared" si="11"/>
        <v>#REF!</v>
      </c>
      <c r="F127" s="9">
        <f>VLOOKUP(B127,Índices!$A$2:$D$292,4,FALSE)</f>
        <v>3.8999999999999998E-3</v>
      </c>
      <c r="G127" s="13">
        <f t="shared" si="12"/>
        <v>5.1948418658777262</v>
      </c>
      <c r="H127" s="11" t="e">
        <f t="shared" si="7"/>
        <v>#REF!</v>
      </c>
      <c r="J127" s="15" t="e">
        <f t="shared" si="13"/>
        <v>#REF!</v>
      </c>
      <c r="K127" t="e">
        <f t="shared" si="8"/>
        <v>#REF!</v>
      </c>
    </row>
    <row r="128" spans="2:11">
      <c r="B128" s="6">
        <f t="shared" si="9"/>
        <v>38321</v>
      </c>
      <c r="C128" s="2" t="e">
        <f>IFERROR(VLOOKUP(B128,#REF!,2,FALSE),C127)</f>
        <v>#REF!</v>
      </c>
      <c r="D128" s="9" t="e">
        <f t="shared" si="10"/>
        <v>#REF!</v>
      </c>
      <c r="E128" s="13" t="e">
        <f t="shared" si="11"/>
        <v>#REF!</v>
      </c>
      <c r="F128" s="9">
        <f>VLOOKUP(B128,Índices!$A$2:$D$292,4,FALSE)</f>
        <v>8.2000000000000007E-3</v>
      </c>
      <c r="G128" s="13">
        <f t="shared" si="12"/>
        <v>5.2374395691779236</v>
      </c>
      <c r="H128" s="11" t="e">
        <f t="shared" si="7"/>
        <v>#REF!</v>
      </c>
      <c r="J128" s="15" t="e">
        <f t="shared" si="13"/>
        <v>#REF!</v>
      </c>
      <c r="K128" t="e">
        <f t="shared" si="8"/>
        <v>#REF!</v>
      </c>
    </row>
    <row r="129" spans="2:11">
      <c r="B129" s="6">
        <f t="shared" si="9"/>
        <v>38352</v>
      </c>
      <c r="C129" s="2" t="e">
        <f>IFERROR(VLOOKUP(B129,#REF!,2,FALSE),C128)</f>
        <v>#REF!</v>
      </c>
      <c r="D129" s="9" t="e">
        <f t="shared" si="10"/>
        <v>#REF!</v>
      </c>
      <c r="E129" s="13" t="e">
        <f t="shared" si="11"/>
        <v>#REF!</v>
      </c>
      <c r="F129" s="9">
        <f>VLOOKUP(B129,Índices!$A$2:$D$292,4,FALSE)</f>
        <v>7.4000000000000003E-3</v>
      </c>
      <c r="G129" s="13">
        <f t="shared" si="12"/>
        <v>5.2761966219898406</v>
      </c>
      <c r="H129" s="11" t="e">
        <f t="shared" si="7"/>
        <v>#REF!</v>
      </c>
      <c r="J129" s="15" t="e">
        <f t="shared" si="13"/>
        <v>#REF!</v>
      </c>
      <c r="K129" t="e">
        <f t="shared" si="8"/>
        <v>#REF!</v>
      </c>
    </row>
    <row r="130" spans="2:11">
      <c r="B130" s="6">
        <f t="shared" si="9"/>
        <v>38383</v>
      </c>
      <c r="C130" s="2" t="e">
        <f>IFERROR(VLOOKUP(B130,#REF!,2,FALSE),C129)</f>
        <v>#REF!</v>
      </c>
      <c r="D130" s="9" t="e">
        <f t="shared" si="10"/>
        <v>#REF!</v>
      </c>
      <c r="E130" s="13" t="e">
        <f t="shared" si="11"/>
        <v>#REF!</v>
      </c>
      <c r="F130" s="9">
        <f>VLOOKUP(B130,Índices!$A$2:$D$292,4,FALSE)</f>
        <v>3.8999999999999998E-3</v>
      </c>
      <c r="G130" s="13">
        <f t="shared" si="12"/>
        <v>5.2967737888156012</v>
      </c>
      <c r="H130" s="11" t="e">
        <f t="shared" si="7"/>
        <v>#REF!</v>
      </c>
      <c r="J130" s="15" t="e">
        <f t="shared" si="13"/>
        <v>#REF!</v>
      </c>
      <c r="K130" t="e">
        <f t="shared" si="8"/>
        <v>#REF!</v>
      </c>
    </row>
    <row r="131" spans="2:11">
      <c r="B131" s="6">
        <f t="shared" si="9"/>
        <v>38411</v>
      </c>
      <c r="C131" s="2" t="e">
        <f>IFERROR(VLOOKUP(B131,#REF!,2,FALSE),C130)</f>
        <v>#REF!</v>
      </c>
      <c r="D131" s="9" t="e">
        <f t="shared" si="10"/>
        <v>#REF!</v>
      </c>
      <c r="E131" s="13" t="e">
        <f t="shared" si="11"/>
        <v>#REF!</v>
      </c>
      <c r="F131" s="9">
        <f>VLOOKUP(B131,Índices!$A$2:$D$292,4,FALSE)</f>
        <v>3.0000000000000001E-3</v>
      </c>
      <c r="G131" s="13">
        <f t="shared" si="12"/>
        <v>5.3126641101820473</v>
      </c>
      <c r="H131" s="11" t="e">
        <f t="shared" si="7"/>
        <v>#REF!</v>
      </c>
      <c r="J131" s="15" t="e">
        <f t="shared" si="13"/>
        <v>#REF!</v>
      </c>
      <c r="K131" t="e">
        <f t="shared" si="8"/>
        <v>#REF!</v>
      </c>
    </row>
    <row r="132" spans="2:11">
      <c r="B132" s="6">
        <f t="shared" si="9"/>
        <v>38442</v>
      </c>
      <c r="C132" s="2" t="e">
        <f>IFERROR(VLOOKUP(B132,#REF!,2,FALSE),C131)</f>
        <v>#REF!</v>
      </c>
      <c r="D132" s="9" t="e">
        <f t="shared" si="10"/>
        <v>#REF!</v>
      </c>
      <c r="E132" s="13" t="e">
        <f t="shared" si="11"/>
        <v>#REF!</v>
      </c>
      <c r="F132" s="9">
        <f>VLOOKUP(B132,Índices!$A$2:$D$292,4,FALSE)</f>
        <v>8.5000000000000006E-3</v>
      </c>
      <c r="G132" s="13">
        <f t="shared" si="12"/>
        <v>5.3578217551185947</v>
      </c>
      <c r="H132" s="11" t="e">
        <f t="shared" ref="H132:H173" si="14">G132-E132</f>
        <v>#REF!</v>
      </c>
      <c r="J132" s="15" t="e">
        <f t="shared" si="13"/>
        <v>#REF!</v>
      </c>
      <c r="K132" t="e">
        <f t="shared" ref="K132:K173" si="15">$K$2*G132</f>
        <v>#REF!</v>
      </c>
    </row>
    <row r="133" spans="2:11">
      <c r="B133" s="6">
        <f t="shared" ref="B133:B196" si="16">EOMONTH(B132,1)</f>
        <v>38472</v>
      </c>
      <c r="C133" s="2" t="e">
        <f>IFERROR(VLOOKUP(B133,#REF!,2,FALSE),C132)</f>
        <v>#REF!</v>
      </c>
      <c r="D133" s="9" t="e">
        <f t="shared" ref="D133:D173" si="17">C133/C132-1</f>
        <v>#REF!</v>
      </c>
      <c r="E133" s="13" t="e">
        <f t="shared" ref="E133:E173" si="18">E132*(1+D133)</f>
        <v>#REF!</v>
      </c>
      <c r="F133" s="9">
        <f>VLOOKUP(B133,Índices!$A$2:$D$292,4,FALSE)</f>
        <v>8.6E-3</v>
      </c>
      <c r="G133" s="13">
        <f t="shared" ref="G133:G173" si="19">G132*(1+F133)</f>
        <v>5.403899022212614</v>
      </c>
      <c r="H133" s="11" t="e">
        <f t="shared" si="14"/>
        <v>#REF!</v>
      </c>
      <c r="J133" s="15" t="e">
        <f t="shared" ref="J133:J173" si="20">C133</f>
        <v>#REF!</v>
      </c>
      <c r="K133" t="e">
        <f t="shared" si="15"/>
        <v>#REF!</v>
      </c>
    </row>
    <row r="134" spans="2:11">
      <c r="B134" s="6">
        <f t="shared" si="16"/>
        <v>38503</v>
      </c>
      <c r="C134" s="2" t="e">
        <f>IFERROR(VLOOKUP(B134,#REF!,2,FALSE),C133)</f>
        <v>#REF!</v>
      </c>
      <c r="D134" s="9" t="e">
        <f t="shared" si="17"/>
        <v>#REF!</v>
      </c>
      <c r="E134" s="13" t="e">
        <f t="shared" si="18"/>
        <v>#REF!</v>
      </c>
      <c r="F134" s="9">
        <f>VLOOKUP(B134,Índices!$A$2:$D$292,4,FALSE)</f>
        <v>-2.2000000000000001E-3</v>
      </c>
      <c r="G134" s="13">
        <f t="shared" si="19"/>
        <v>5.3920104443637467</v>
      </c>
      <c r="H134" s="11" t="e">
        <f t="shared" si="14"/>
        <v>#REF!</v>
      </c>
      <c r="J134" s="15" t="e">
        <f t="shared" si="20"/>
        <v>#REF!</v>
      </c>
      <c r="K134" t="e">
        <f t="shared" si="15"/>
        <v>#REF!</v>
      </c>
    </row>
    <row r="135" spans="2:11">
      <c r="B135" s="6">
        <f t="shared" si="16"/>
        <v>38533</v>
      </c>
      <c r="C135" s="2" t="e">
        <f>IFERROR(VLOOKUP(B135,#REF!,2,FALSE),C134)</f>
        <v>#REF!</v>
      </c>
      <c r="D135" s="9" t="e">
        <f t="shared" si="17"/>
        <v>#REF!</v>
      </c>
      <c r="E135" s="13" t="e">
        <f t="shared" si="18"/>
        <v>#REF!</v>
      </c>
      <c r="F135" s="9">
        <f>VLOOKUP(B135,Índices!$A$2:$D$292,4,FALSE)</f>
        <v>-4.4000000000000003E-3</v>
      </c>
      <c r="G135" s="13">
        <f t="shared" si="19"/>
        <v>5.368285598408546</v>
      </c>
      <c r="H135" s="11" t="e">
        <f t="shared" si="14"/>
        <v>#REF!</v>
      </c>
      <c r="J135" s="15" t="e">
        <f t="shared" si="20"/>
        <v>#REF!</v>
      </c>
      <c r="K135" t="e">
        <f t="shared" si="15"/>
        <v>#REF!</v>
      </c>
    </row>
    <row r="136" spans="2:11">
      <c r="B136" s="6">
        <f t="shared" si="16"/>
        <v>38564</v>
      </c>
      <c r="C136" s="2" t="e">
        <f>IFERROR(VLOOKUP(B136,#REF!,2,FALSE),C135)</f>
        <v>#REF!</v>
      </c>
      <c r="D136" s="9" t="e">
        <f t="shared" si="17"/>
        <v>#REF!</v>
      </c>
      <c r="E136" s="13" t="e">
        <f t="shared" si="18"/>
        <v>#REF!</v>
      </c>
      <c r="F136" s="9">
        <f>VLOOKUP(B136,Índices!$A$2:$D$292,4,FALSE)</f>
        <v>-3.3999999999999998E-3</v>
      </c>
      <c r="G136" s="13">
        <f t="shared" si="19"/>
        <v>5.3500334273739574</v>
      </c>
      <c r="H136" s="11" t="e">
        <f t="shared" si="14"/>
        <v>#REF!</v>
      </c>
      <c r="J136" s="15" t="e">
        <f t="shared" si="20"/>
        <v>#REF!</v>
      </c>
      <c r="K136" t="e">
        <f t="shared" si="15"/>
        <v>#REF!</v>
      </c>
    </row>
    <row r="137" spans="2:11">
      <c r="B137" s="6">
        <f t="shared" si="16"/>
        <v>38595</v>
      </c>
      <c r="C137" s="2" t="e">
        <f>IFERROR(VLOOKUP(B137,#REF!,2,FALSE),C136)</f>
        <v>#REF!</v>
      </c>
      <c r="D137" s="9" t="e">
        <f t="shared" si="17"/>
        <v>#REF!</v>
      </c>
      <c r="E137" s="13" t="e">
        <f t="shared" si="18"/>
        <v>#REF!</v>
      </c>
      <c r="F137" s="9">
        <f>VLOOKUP(B137,Índices!$A$2:$D$292,4,FALSE)</f>
        <v>-6.4999999999999997E-3</v>
      </c>
      <c r="G137" s="13">
        <f t="shared" si="19"/>
        <v>5.3152582100960268</v>
      </c>
      <c r="H137" s="11" t="e">
        <f t="shared" si="14"/>
        <v>#REF!</v>
      </c>
      <c r="J137" s="15" t="e">
        <f t="shared" si="20"/>
        <v>#REF!</v>
      </c>
      <c r="K137" t="e">
        <f t="shared" si="15"/>
        <v>#REF!</v>
      </c>
    </row>
    <row r="138" spans="2:11">
      <c r="B138" s="6">
        <f t="shared" si="16"/>
        <v>38625</v>
      </c>
      <c r="C138" s="2" t="e">
        <f>IFERROR(VLOOKUP(B138,#REF!,2,FALSE),C137)</f>
        <v>#REF!</v>
      </c>
      <c r="D138" s="9" t="e">
        <f t="shared" si="17"/>
        <v>#REF!</v>
      </c>
      <c r="E138" s="13" t="e">
        <f t="shared" si="18"/>
        <v>#REF!</v>
      </c>
      <c r="F138" s="9">
        <f>VLOOKUP(B138,Índices!$A$2:$D$292,4,FALSE)</f>
        <v>-5.3E-3</v>
      </c>
      <c r="G138" s="13">
        <f t="shared" si="19"/>
        <v>5.2870873415825184</v>
      </c>
      <c r="H138" s="11" t="e">
        <f t="shared" si="14"/>
        <v>#REF!</v>
      </c>
      <c r="J138" s="15" t="e">
        <f t="shared" si="20"/>
        <v>#REF!</v>
      </c>
      <c r="K138" t="e">
        <f t="shared" si="15"/>
        <v>#REF!</v>
      </c>
    </row>
    <row r="139" spans="2:11">
      <c r="B139" s="6">
        <f t="shared" si="16"/>
        <v>38656</v>
      </c>
      <c r="C139" s="2" t="e">
        <f>IFERROR(VLOOKUP(B139,#REF!,2,FALSE),C138)</f>
        <v>#REF!</v>
      </c>
      <c r="D139" s="9" t="e">
        <f t="shared" si="17"/>
        <v>#REF!</v>
      </c>
      <c r="E139" s="13" t="e">
        <f t="shared" si="18"/>
        <v>#REF!</v>
      </c>
      <c r="F139" s="9">
        <f>VLOOKUP(B139,Índices!$A$2:$D$292,4,FALSE)</f>
        <v>6.0000000000000001E-3</v>
      </c>
      <c r="G139" s="13">
        <f t="shared" si="19"/>
        <v>5.3188098656320131</v>
      </c>
      <c r="H139" s="11" t="e">
        <f t="shared" si="14"/>
        <v>#REF!</v>
      </c>
      <c r="J139" s="15" t="e">
        <f t="shared" si="20"/>
        <v>#REF!</v>
      </c>
      <c r="K139" t="e">
        <f t="shared" si="15"/>
        <v>#REF!</v>
      </c>
    </row>
    <row r="140" spans="2:11">
      <c r="B140" s="6">
        <f t="shared" si="16"/>
        <v>38686</v>
      </c>
      <c r="C140" s="2" t="e">
        <f>IFERROR(VLOOKUP(B140,#REF!,2,FALSE),C139)</f>
        <v>#REF!</v>
      </c>
      <c r="D140" s="9" t="e">
        <f t="shared" si="17"/>
        <v>#REF!</v>
      </c>
      <c r="E140" s="13" t="e">
        <f t="shared" si="18"/>
        <v>#REF!</v>
      </c>
      <c r="F140" s="9">
        <f>VLOOKUP(B140,Índices!$A$2:$D$292,4,FALSE)</f>
        <v>4.0000000000000001E-3</v>
      </c>
      <c r="G140" s="13">
        <f t="shared" si="19"/>
        <v>5.3400851050945413</v>
      </c>
      <c r="H140" s="11" t="e">
        <f t="shared" si="14"/>
        <v>#REF!</v>
      </c>
      <c r="J140" s="15" t="e">
        <f t="shared" si="20"/>
        <v>#REF!</v>
      </c>
      <c r="K140" t="e">
        <f t="shared" si="15"/>
        <v>#REF!</v>
      </c>
    </row>
    <row r="141" spans="2:11">
      <c r="B141" s="6">
        <f t="shared" si="16"/>
        <v>38717</v>
      </c>
      <c r="C141" s="2" t="e">
        <f>IFERROR(VLOOKUP(B141,#REF!,2,FALSE),C140)</f>
        <v>#REF!</v>
      </c>
      <c r="D141" s="9" t="e">
        <f t="shared" si="17"/>
        <v>#REF!</v>
      </c>
      <c r="E141" s="13" t="e">
        <f t="shared" si="18"/>
        <v>#REF!</v>
      </c>
      <c r="F141" s="9">
        <f>VLOOKUP(B141,Índices!$A$2:$D$292,4,FALSE)</f>
        <v>-1E-4</v>
      </c>
      <c r="G141" s="13">
        <f t="shared" si="19"/>
        <v>5.3395510965840316</v>
      </c>
      <c r="H141" s="11" t="e">
        <f t="shared" si="14"/>
        <v>#REF!</v>
      </c>
      <c r="J141" s="15" t="e">
        <f t="shared" si="20"/>
        <v>#REF!</v>
      </c>
      <c r="K141" t="e">
        <f t="shared" si="15"/>
        <v>#REF!</v>
      </c>
    </row>
    <row r="142" spans="2:11">
      <c r="B142" s="6">
        <f t="shared" si="16"/>
        <v>38748</v>
      </c>
      <c r="C142" s="2" t="e">
        <f>IFERROR(VLOOKUP(B142,#REF!,2,FALSE),C141)</f>
        <v>#REF!</v>
      </c>
      <c r="D142" s="9" t="e">
        <f t="shared" si="17"/>
        <v>#REF!</v>
      </c>
      <c r="E142" s="13" t="e">
        <f t="shared" si="18"/>
        <v>#REF!</v>
      </c>
      <c r="F142" s="9">
        <f>VLOOKUP(B142,Índices!$A$2:$D$292,4,FALSE)</f>
        <v>9.1999999999999998E-3</v>
      </c>
      <c r="G142" s="13">
        <f t="shared" si="19"/>
        <v>5.388674966672605</v>
      </c>
      <c r="H142" s="11" t="e">
        <f t="shared" si="14"/>
        <v>#REF!</v>
      </c>
      <c r="J142" s="15" t="e">
        <f t="shared" si="20"/>
        <v>#REF!</v>
      </c>
      <c r="K142" t="e">
        <f t="shared" si="15"/>
        <v>#REF!</v>
      </c>
    </row>
    <row r="143" spans="2:11">
      <c r="B143" s="6">
        <f t="shared" si="16"/>
        <v>38776</v>
      </c>
      <c r="C143" s="2" t="e">
        <f>IFERROR(VLOOKUP(B143,#REF!,2,FALSE),C142)</f>
        <v>#REF!</v>
      </c>
      <c r="D143" s="9" t="e">
        <f t="shared" si="17"/>
        <v>#REF!</v>
      </c>
      <c r="E143" s="13" t="e">
        <f t="shared" si="18"/>
        <v>#REF!</v>
      </c>
      <c r="F143" s="9">
        <f>VLOOKUP(B143,Índices!$A$2:$D$292,4,FALSE)</f>
        <v>1E-4</v>
      </c>
      <c r="G143" s="13">
        <f t="shared" si="19"/>
        <v>5.3892138341692721</v>
      </c>
      <c r="H143" s="11" t="e">
        <f t="shared" si="14"/>
        <v>#REF!</v>
      </c>
      <c r="J143" s="15" t="e">
        <f t="shared" si="20"/>
        <v>#REF!</v>
      </c>
      <c r="K143" t="e">
        <f t="shared" si="15"/>
        <v>#REF!</v>
      </c>
    </row>
    <row r="144" spans="2:11">
      <c r="B144" s="6">
        <f t="shared" si="16"/>
        <v>38807</v>
      </c>
      <c r="C144" s="2" t="e">
        <f>IFERROR(VLOOKUP(B144,#REF!,2,FALSE),C143)</f>
        <v>#REF!</v>
      </c>
      <c r="D144" s="9" t="e">
        <f t="shared" si="17"/>
        <v>#REF!</v>
      </c>
      <c r="E144" s="13" t="e">
        <f t="shared" si="18"/>
        <v>#REF!</v>
      </c>
      <c r="F144" s="9">
        <f>VLOOKUP(B144,Índices!$A$2:$D$292,4,FALSE)</f>
        <v>-2.3E-3</v>
      </c>
      <c r="G144" s="13">
        <f t="shared" si="19"/>
        <v>5.376818642350683</v>
      </c>
      <c r="H144" s="11" t="e">
        <f t="shared" si="14"/>
        <v>#REF!</v>
      </c>
      <c r="J144" s="15" t="e">
        <f t="shared" si="20"/>
        <v>#REF!</v>
      </c>
      <c r="K144" t="e">
        <f t="shared" si="15"/>
        <v>#REF!</v>
      </c>
    </row>
    <row r="145" spans="2:11">
      <c r="B145" s="6">
        <f t="shared" si="16"/>
        <v>38837</v>
      </c>
      <c r="C145" s="2" t="e">
        <f>IFERROR(VLOOKUP(B145,#REF!,2,FALSE),C144)</f>
        <v>#REF!</v>
      </c>
      <c r="D145" s="9" t="e">
        <f t="shared" si="17"/>
        <v>#REF!</v>
      </c>
      <c r="E145" s="13" t="e">
        <f t="shared" si="18"/>
        <v>#REF!</v>
      </c>
      <c r="F145" s="9">
        <f>VLOOKUP(B145,Índices!$A$2:$D$292,4,FALSE)</f>
        <v>-4.1999999999999997E-3</v>
      </c>
      <c r="G145" s="13">
        <f t="shared" si="19"/>
        <v>5.3542360040528099</v>
      </c>
      <c r="H145" s="11" t="e">
        <f t="shared" si="14"/>
        <v>#REF!</v>
      </c>
      <c r="J145" s="15" t="e">
        <f t="shared" si="20"/>
        <v>#REF!</v>
      </c>
      <c r="K145" t="e">
        <f t="shared" si="15"/>
        <v>#REF!</v>
      </c>
    </row>
    <row r="146" spans="2:11">
      <c r="B146" s="6">
        <f t="shared" si="16"/>
        <v>38868</v>
      </c>
      <c r="C146" s="2" t="e">
        <f>IFERROR(VLOOKUP(B146,#REF!,2,FALSE),C145)</f>
        <v>#REF!</v>
      </c>
      <c r="D146" s="9" t="e">
        <f t="shared" si="17"/>
        <v>#REF!</v>
      </c>
      <c r="E146" s="13" t="e">
        <f t="shared" si="18"/>
        <v>#REF!</v>
      </c>
      <c r="F146" s="9">
        <f>VLOOKUP(B146,Índices!$A$2:$D$292,4,FALSE)</f>
        <v>3.8E-3</v>
      </c>
      <c r="G146" s="13">
        <f t="shared" si="19"/>
        <v>5.3745821008682109</v>
      </c>
      <c r="H146" s="11" t="e">
        <f t="shared" si="14"/>
        <v>#REF!</v>
      </c>
      <c r="J146" s="15" t="e">
        <f t="shared" si="20"/>
        <v>#REF!</v>
      </c>
      <c r="K146" t="e">
        <f t="shared" si="15"/>
        <v>#REF!</v>
      </c>
    </row>
    <row r="147" spans="2:11">
      <c r="B147" s="6">
        <f t="shared" si="16"/>
        <v>38898</v>
      </c>
      <c r="C147" s="2" t="e">
        <f>IFERROR(VLOOKUP(B147,#REF!,2,FALSE),C146)</f>
        <v>#REF!</v>
      </c>
      <c r="D147" s="9" t="e">
        <f t="shared" si="17"/>
        <v>#REF!</v>
      </c>
      <c r="E147" s="13" t="e">
        <f t="shared" si="18"/>
        <v>#REF!</v>
      </c>
      <c r="F147" s="9">
        <f>VLOOKUP(B147,Índices!$A$2:$D$292,4,FALSE)</f>
        <v>7.4999999999999997E-3</v>
      </c>
      <c r="G147" s="13">
        <f t="shared" si="19"/>
        <v>5.4148914666247228</v>
      </c>
      <c r="H147" s="11" t="e">
        <f t="shared" si="14"/>
        <v>#REF!</v>
      </c>
      <c r="J147" s="15" t="e">
        <f t="shared" si="20"/>
        <v>#REF!</v>
      </c>
      <c r="K147" t="e">
        <f t="shared" si="15"/>
        <v>#REF!</v>
      </c>
    </row>
    <row r="148" spans="2:11">
      <c r="B148" s="6">
        <f t="shared" si="16"/>
        <v>38929</v>
      </c>
      <c r="C148" s="2" t="e">
        <f>IFERROR(VLOOKUP(B148,#REF!,2,FALSE),C147)</f>
        <v>#REF!</v>
      </c>
      <c r="D148" s="9" t="e">
        <f t="shared" si="17"/>
        <v>#REF!</v>
      </c>
      <c r="E148" s="13" t="e">
        <f t="shared" si="18"/>
        <v>#REF!</v>
      </c>
      <c r="F148" s="9">
        <f>VLOOKUP(B148,Índices!$A$2:$D$292,4,FALSE)</f>
        <v>1.8E-3</v>
      </c>
      <c r="G148" s="13">
        <f t="shared" si="19"/>
        <v>5.424638271264647</v>
      </c>
      <c r="H148" s="11" t="e">
        <f t="shared" si="14"/>
        <v>#REF!</v>
      </c>
      <c r="J148" s="15" t="e">
        <f t="shared" si="20"/>
        <v>#REF!</v>
      </c>
      <c r="K148" t="e">
        <f t="shared" si="15"/>
        <v>#REF!</v>
      </c>
    </row>
    <row r="149" spans="2:11">
      <c r="B149" s="6">
        <f t="shared" si="16"/>
        <v>38960</v>
      </c>
      <c r="C149" s="2" t="e">
        <f>IFERROR(VLOOKUP(B149,#REF!,2,FALSE),C148)</f>
        <v>#REF!</v>
      </c>
      <c r="D149" s="9" t="e">
        <f t="shared" si="17"/>
        <v>#REF!</v>
      </c>
      <c r="E149" s="13" t="e">
        <f t="shared" si="18"/>
        <v>#REF!</v>
      </c>
      <c r="F149" s="9">
        <f>VLOOKUP(B149,Índices!$A$2:$D$292,4,FALSE)</f>
        <v>3.7000000000000002E-3</v>
      </c>
      <c r="G149" s="13">
        <f t="shared" si="19"/>
        <v>5.4447094328683265</v>
      </c>
      <c r="H149" s="11" t="e">
        <f t="shared" si="14"/>
        <v>#REF!</v>
      </c>
      <c r="J149" s="15" t="e">
        <f t="shared" si="20"/>
        <v>#REF!</v>
      </c>
      <c r="K149" t="e">
        <f t="shared" si="15"/>
        <v>#REF!</v>
      </c>
    </row>
    <row r="150" spans="2:11">
      <c r="B150" s="6">
        <f t="shared" si="16"/>
        <v>38990</v>
      </c>
      <c r="C150" s="2" t="e">
        <f>IFERROR(VLOOKUP(B150,#REF!,2,FALSE),C149)</f>
        <v>#REF!</v>
      </c>
      <c r="D150" s="9" t="e">
        <f t="shared" si="17"/>
        <v>#REF!</v>
      </c>
      <c r="E150" s="13" t="e">
        <f t="shared" si="18"/>
        <v>#REF!</v>
      </c>
      <c r="F150" s="9">
        <f>VLOOKUP(B150,Índices!$A$2:$D$292,4,FALSE)</f>
        <v>2.8999999999999998E-3</v>
      </c>
      <c r="G150" s="13">
        <f t="shared" si="19"/>
        <v>5.4604990902236441</v>
      </c>
      <c r="H150" s="11" t="e">
        <f t="shared" si="14"/>
        <v>#REF!</v>
      </c>
      <c r="J150" s="15" t="e">
        <f t="shared" si="20"/>
        <v>#REF!</v>
      </c>
      <c r="K150" t="e">
        <f t="shared" si="15"/>
        <v>#REF!</v>
      </c>
    </row>
    <row r="151" spans="2:11">
      <c r="B151" s="6">
        <f t="shared" si="16"/>
        <v>39021</v>
      </c>
      <c r="C151" s="2" t="e">
        <f>IFERROR(VLOOKUP(B151,#REF!,2,FALSE),C150)</f>
        <v>#REF!</v>
      </c>
      <c r="D151" s="9" t="e">
        <f t="shared" si="17"/>
        <v>#REF!</v>
      </c>
      <c r="E151" s="13" t="e">
        <f t="shared" si="18"/>
        <v>#REF!</v>
      </c>
      <c r="F151" s="9">
        <f>VLOOKUP(B151,Índices!$A$2:$D$292,4,FALSE)</f>
        <v>4.7000000000000002E-3</v>
      </c>
      <c r="G151" s="13">
        <f t="shared" si="19"/>
        <v>5.4861634359476952</v>
      </c>
      <c r="H151" s="11" t="e">
        <f t="shared" si="14"/>
        <v>#REF!</v>
      </c>
      <c r="J151" s="15" t="e">
        <f t="shared" si="20"/>
        <v>#REF!</v>
      </c>
      <c r="K151" t="e">
        <f t="shared" si="15"/>
        <v>#REF!</v>
      </c>
    </row>
    <row r="152" spans="2:11">
      <c r="B152" s="6">
        <f t="shared" si="16"/>
        <v>39051</v>
      </c>
      <c r="C152" s="2" t="e">
        <f>IFERROR(VLOOKUP(B152,#REF!,2,FALSE),C151)</f>
        <v>#REF!</v>
      </c>
      <c r="D152" s="9" t="e">
        <f t="shared" si="17"/>
        <v>#REF!</v>
      </c>
      <c r="E152" s="13" t="e">
        <f t="shared" si="18"/>
        <v>#REF!</v>
      </c>
      <c r="F152" s="9">
        <f>VLOOKUP(B152,Índices!$A$2:$D$292,4,FALSE)</f>
        <v>7.4999999999999997E-3</v>
      </c>
      <c r="G152" s="13">
        <f t="shared" si="19"/>
        <v>5.527309661717303</v>
      </c>
      <c r="H152" s="11" t="e">
        <f t="shared" si="14"/>
        <v>#REF!</v>
      </c>
      <c r="J152" s="15" t="e">
        <f t="shared" si="20"/>
        <v>#REF!</v>
      </c>
      <c r="K152" t="e">
        <f t="shared" si="15"/>
        <v>#REF!</v>
      </c>
    </row>
    <row r="153" spans="2:11">
      <c r="B153" s="6">
        <f t="shared" si="16"/>
        <v>39082</v>
      </c>
      <c r="C153" s="2" t="e">
        <f>IFERROR(VLOOKUP(B153,#REF!,2,FALSE),C152)</f>
        <v>#REF!</v>
      </c>
      <c r="D153" s="9" t="e">
        <f t="shared" si="17"/>
        <v>#REF!</v>
      </c>
      <c r="E153" s="13" t="e">
        <f t="shared" si="18"/>
        <v>#REF!</v>
      </c>
      <c r="F153" s="9">
        <f>VLOOKUP(B153,Índices!$A$2:$D$292,4,FALSE)</f>
        <v>3.2000000000000002E-3</v>
      </c>
      <c r="G153" s="13">
        <f t="shared" si="19"/>
        <v>5.5449970526347991</v>
      </c>
      <c r="H153" s="11" t="e">
        <f t="shared" si="14"/>
        <v>#REF!</v>
      </c>
      <c r="J153" s="15" t="e">
        <f t="shared" si="20"/>
        <v>#REF!</v>
      </c>
      <c r="K153" t="e">
        <f t="shared" si="15"/>
        <v>#REF!</v>
      </c>
    </row>
    <row r="154" spans="2:11">
      <c r="B154" s="6">
        <f t="shared" si="16"/>
        <v>39113</v>
      </c>
      <c r="C154" s="2" t="e">
        <f>IFERROR(VLOOKUP(B154,#REF!,2,FALSE),C153)</f>
        <v>#REF!</v>
      </c>
      <c r="D154" s="9" t="e">
        <f t="shared" si="17"/>
        <v>#REF!</v>
      </c>
      <c r="E154" s="13" t="e">
        <f t="shared" si="18"/>
        <v>#REF!</v>
      </c>
      <c r="F154" s="9">
        <f>VLOOKUP(B154,Índices!$A$2:$D$292,4,FALSE)</f>
        <v>5.0000000000000001E-3</v>
      </c>
      <c r="G154" s="13">
        <f t="shared" si="19"/>
        <v>5.5727220378979725</v>
      </c>
      <c r="H154" s="11" t="e">
        <f t="shared" si="14"/>
        <v>#REF!</v>
      </c>
      <c r="J154" s="15" t="e">
        <f t="shared" si="20"/>
        <v>#REF!</v>
      </c>
      <c r="K154" t="e">
        <f t="shared" si="15"/>
        <v>#REF!</v>
      </c>
    </row>
    <row r="155" spans="2:11">
      <c r="B155" s="6">
        <f t="shared" si="16"/>
        <v>39141</v>
      </c>
      <c r="C155" s="2" t="e">
        <f>IFERROR(VLOOKUP(B155,#REF!,2,FALSE),C154)</f>
        <v>#REF!</v>
      </c>
      <c r="D155" s="9" t="e">
        <f t="shared" si="17"/>
        <v>#REF!</v>
      </c>
      <c r="E155" s="13" t="e">
        <f t="shared" si="18"/>
        <v>#REF!</v>
      </c>
      <c r="F155" s="9">
        <f>VLOOKUP(B155,Índices!$A$2:$D$292,4,FALSE)</f>
        <v>2.7000000000000001E-3</v>
      </c>
      <c r="G155" s="13">
        <f t="shared" si="19"/>
        <v>5.5877683874002964</v>
      </c>
      <c r="H155" s="11" t="e">
        <f t="shared" si="14"/>
        <v>#REF!</v>
      </c>
      <c r="J155" s="15" t="e">
        <f t="shared" si="20"/>
        <v>#REF!</v>
      </c>
      <c r="K155" t="e">
        <f t="shared" si="15"/>
        <v>#REF!</v>
      </c>
    </row>
    <row r="156" spans="2:11">
      <c r="B156" s="6">
        <f t="shared" si="16"/>
        <v>39172</v>
      </c>
      <c r="C156" s="2" t="e">
        <f>IFERROR(VLOOKUP(B156,#REF!,2,FALSE),C155)</f>
        <v>#REF!</v>
      </c>
      <c r="D156" s="9" t="e">
        <f t="shared" si="17"/>
        <v>#REF!</v>
      </c>
      <c r="E156" s="13" t="e">
        <f t="shared" si="18"/>
        <v>#REF!</v>
      </c>
      <c r="F156" s="9">
        <f>VLOOKUP(B156,Índices!$A$2:$D$292,4,FALSE)</f>
        <v>3.3999999999999998E-3</v>
      </c>
      <c r="G156" s="13">
        <f t="shared" si="19"/>
        <v>5.606766799917458</v>
      </c>
      <c r="H156" s="11" t="e">
        <f t="shared" si="14"/>
        <v>#REF!</v>
      </c>
      <c r="J156" s="15" t="e">
        <f t="shared" si="20"/>
        <v>#REF!</v>
      </c>
      <c r="K156" t="e">
        <f t="shared" si="15"/>
        <v>#REF!</v>
      </c>
    </row>
    <row r="157" spans="2:11">
      <c r="B157" s="6">
        <f t="shared" si="16"/>
        <v>39202</v>
      </c>
      <c r="C157" s="2" t="e">
        <f>IFERROR(VLOOKUP(B157,#REF!,2,FALSE),C156)</f>
        <v>#REF!</v>
      </c>
      <c r="D157" s="9" t="e">
        <f t="shared" si="17"/>
        <v>#REF!</v>
      </c>
      <c r="E157" s="13" t="e">
        <f t="shared" si="18"/>
        <v>#REF!</v>
      </c>
      <c r="F157" s="9">
        <f>VLOOKUP(B157,Índices!$A$2:$D$292,4,FALSE)</f>
        <v>4.0000000000000002E-4</v>
      </c>
      <c r="G157" s="13">
        <f t="shared" si="19"/>
        <v>5.6090095066374248</v>
      </c>
      <c r="H157" s="11" t="e">
        <f t="shared" si="14"/>
        <v>#REF!</v>
      </c>
      <c r="J157" s="15" t="e">
        <f t="shared" si="20"/>
        <v>#REF!</v>
      </c>
      <c r="K157" t="e">
        <f t="shared" si="15"/>
        <v>#REF!</v>
      </c>
    </row>
    <row r="158" spans="2:11">
      <c r="B158" s="6">
        <f t="shared" si="16"/>
        <v>39233</v>
      </c>
      <c r="C158" s="2" t="e">
        <f>IFERROR(VLOOKUP(B158,#REF!,2,FALSE),C157)</f>
        <v>#REF!</v>
      </c>
      <c r="D158" s="9" t="e">
        <f t="shared" si="17"/>
        <v>#REF!</v>
      </c>
      <c r="E158" s="13" t="e">
        <f t="shared" si="18"/>
        <v>#REF!</v>
      </c>
      <c r="F158" s="9">
        <f>VLOOKUP(B158,Índices!$A$2:$D$292,4,FALSE)</f>
        <v>4.0000000000000002E-4</v>
      </c>
      <c r="G158" s="13">
        <f t="shared" si="19"/>
        <v>5.6112531104400798</v>
      </c>
      <c r="H158" s="11" t="e">
        <f t="shared" si="14"/>
        <v>#REF!</v>
      </c>
      <c r="J158" s="15" t="e">
        <f t="shared" si="20"/>
        <v>#REF!</v>
      </c>
      <c r="K158" t="e">
        <f t="shared" si="15"/>
        <v>#REF!</v>
      </c>
    </row>
    <row r="159" spans="2:11">
      <c r="B159" s="6">
        <f t="shared" si="16"/>
        <v>39263</v>
      </c>
      <c r="C159" s="2" t="e">
        <f>IFERROR(VLOOKUP(B159,#REF!,2,FALSE),C158)</f>
        <v>#REF!</v>
      </c>
      <c r="D159" s="9" t="e">
        <f t="shared" si="17"/>
        <v>#REF!</v>
      </c>
      <c r="E159" s="13" t="e">
        <f t="shared" si="18"/>
        <v>#REF!</v>
      </c>
      <c r="F159" s="9">
        <f>VLOOKUP(B159,Índices!$A$2:$D$292,4,FALSE)</f>
        <v>2.5999999999999999E-3</v>
      </c>
      <c r="G159" s="13">
        <f t="shared" si="19"/>
        <v>5.6258423685272234</v>
      </c>
      <c r="H159" s="11" t="e">
        <f t="shared" si="14"/>
        <v>#REF!</v>
      </c>
      <c r="J159" s="15" t="e">
        <f t="shared" si="20"/>
        <v>#REF!</v>
      </c>
      <c r="K159" t="e">
        <f t="shared" si="15"/>
        <v>#REF!</v>
      </c>
    </row>
    <row r="160" spans="2:11">
      <c r="B160" s="6">
        <f t="shared" si="16"/>
        <v>39294</v>
      </c>
      <c r="C160" s="2" t="e">
        <f>IFERROR(VLOOKUP(B160,#REF!,2,FALSE),C159)</f>
        <v>#REF!</v>
      </c>
      <c r="D160" s="9" t="e">
        <f t="shared" si="17"/>
        <v>#REF!</v>
      </c>
      <c r="E160" s="13" t="e">
        <f t="shared" si="18"/>
        <v>#REF!</v>
      </c>
      <c r="F160" s="9">
        <f>VLOOKUP(B160,Índices!$A$2:$D$292,4,FALSE)</f>
        <v>2.8E-3</v>
      </c>
      <c r="G160" s="13">
        <f t="shared" si="19"/>
        <v>5.6415947271590987</v>
      </c>
      <c r="H160" s="11" t="e">
        <f t="shared" si="14"/>
        <v>#REF!</v>
      </c>
      <c r="J160" s="15" t="e">
        <f t="shared" si="20"/>
        <v>#REF!</v>
      </c>
      <c r="K160" t="e">
        <f t="shared" si="15"/>
        <v>#REF!</v>
      </c>
    </row>
    <row r="161" spans="2:11">
      <c r="B161" s="6">
        <f t="shared" si="16"/>
        <v>39325</v>
      </c>
      <c r="C161" s="2" t="e">
        <f>IFERROR(VLOOKUP(B161,#REF!,2,FALSE),C160)</f>
        <v>#REF!</v>
      </c>
      <c r="D161" s="9" t="e">
        <f t="shared" si="17"/>
        <v>#REF!</v>
      </c>
      <c r="E161" s="13" t="e">
        <f t="shared" si="18"/>
        <v>#REF!</v>
      </c>
      <c r="F161" s="9">
        <f>VLOOKUP(B161,Índices!$A$2:$D$292,4,FALSE)</f>
        <v>9.7999999999999997E-3</v>
      </c>
      <c r="G161" s="13">
        <f t="shared" si="19"/>
        <v>5.6968823554852577</v>
      </c>
      <c r="H161" s="11" t="e">
        <f t="shared" si="14"/>
        <v>#REF!</v>
      </c>
      <c r="J161" s="15" t="e">
        <f t="shared" si="20"/>
        <v>#REF!</v>
      </c>
      <c r="K161" t="e">
        <f t="shared" si="15"/>
        <v>#REF!</v>
      </c>
    </row>
    <row r="162" spans="2:11">
      <c r="B162" s="6">
        <f t="shared" si="16"/>
        <v>39355</v>
      </c>
      <c r="C162" s="2" t="e">
        <f>IFERROR(VLOOKUP(B162,#REF!,2,FALSE),C161)</f>
        <v>#REF!</v>
      </c>
      <c r="D162" s="9" t="e">
        <f t="shared" si="17"/>
        <v>#REF!</v>
      </c>
      <c r="E162" s="13" t="e">
        <f t="shared" si="18"/>
        <v>#REF!</v>
      </c>
      <c r="F162" s="9">
        <f>VLOOKUP(B162,Índices!$A$2:$D$292,4,FALSE)</f>
        <v>1.29E-2</v>
      </c>
      <c r="G162" s="13">
        <f t="shared" si="19"/>
        <v>5.7703721378710169</v>
      </c>
      <c r="H162" s="11" t="e">
        <f t="shared" si="14"/>
        <v>#REF!</v>
      </c>
      <c r="J162" s="15" t="e">
        <f t="shared" si="20"/>
        <v>#REF!</v>
      </c>
      <c r="K162" t="e">
        <f t="shared" si="15"/>
        <v>#REF!</v>
      </c>
    </row>
    <row r="163" spans="2:11">
      <c r="B163" s="6">
        <f t="shared" si="16"/>
        <v>39386</v>
      </c>
      <c r="C163" s="2" t="e">
        <f>IFERROR(VLOOKUP(B163,#REF!,2,FALSE),C162)</f>
        <v>#REF!</v>
      </c>
      <c r="D163" s="9" t="e">
        <f t="shared" si="17"/>
        <v>#REF!</v>
      </c>
      <c r="E163" s="13" t="e">
        <f t="shared" si="18"/>
        <v>#REF!</v>
      </c>
      <c r="F163" s="9">
        <f>VLOOKUP(B163,Índices!$A$2:$D$292,4,FALSE)</f>
        <v>1.0500000000000001E-2</v>
      </c>
      <c r="G163" s="13">
        <f t="shared" si="19"/>
        <v>5.830961045318662</v>
      </c>
      <c r="H163" s="11" t="e">
        <f t="shared" si="14"/>
        <v>#REF!</v>
      </c>
      <c r="J163" s="15" t="e">
        <f t="shared" si="20"/>
        <v>#REF!</v>
      </c>
      <c r="K163" t="e">
        <f t="shared" si="15"/>
        <v>#REF!</v>
      </c>
    </row>
    <row r="164" spans="2:11">
      <c r="B164" s="6">
        <f t="shared" si="16"/>
        <v>39416</v>
      </c>
      <c r="C164" s="2" t="e">
        <f>IFERROR(VLOOKUP(B164,#REF!,2,FALSE),C163)</f>
        <v>#REF!</v>
      </c>
      <c r="D164" s="9" t="e">
        <f t="shared" si="17"/>
        <v>#REF!</v>
      </c>
      <c r="E164" s="13" t="e">
        <f t="shared" si="18"/>
        <v>#REF!</v>
      </c>
      <c r="F164" s="9">
        <f>VLOOKUP(B164,Índices!$A$2:$D$292,4,FALSE)</f>
        <v>6.8999999999999999E-3</v>
      </c>
      <c r="G164" s="13">
        <f t="shared" si="19"/>
        <v>5.8711946765313598</v>
      </c>
      <c r="H164" s="11" t="e">
        <f t="shared" si="14"/>
        <v>#REF!</v>
      </c>
      <c r="J164" s="15" t="e">
        <f t="shared" si="20"/>
        <v>#REF!</v>
      </c>
      <c r="K164" t="e">
        <f t="shared" si="15"/>
        <v>#REF!</v>
      </c>
    </row>
    <row r="165" spans="2:11">
      <c r="B165" s="6">
        <f t="shared" si="16"/>
        <v>39447</v>
      </c>
      <c r="C165" s="2" t="e">
        <f>IFERROR(VLOOKUP(B165,#REF!,2,FALSE),C164)</f>
        <v>#REF!</v>
      </c>
      <c r="D165" s="9" t="e">
        <f t="shared" si="17"/>
        <v>#REF!</v>
      </c>
      <c r="E165" s="13" t="e">
        <f t="shared" si="18"/>
        <v>#REF!</v>
      </c>
      <c r="F165" s="9">
        <f>VLOOKUP(B165,Índices!$A$2:$D$292,4,FALSE)</f>
        <v>1.7600000000000001E-2</v>
      </c>
      <c r="G165" s="13">
        <f t="shared" si="19"/>
        <v>5.9745277028383121</v>
      </c>
      <c r="H165" s="11" t="e">
        <f t="shared" si="14"/>
        <v>#REF!</v>
      </c>
      <c r="J165" s="15" t="e">
        <f t="shared" si="20"/>
        <v>#REF!</v>
      </c>
      <c r="K165" t="e">
        <f t="shared" si="15"/>
        <v>#REF!</v>
      </c>
    </row>
    <row r="166" spans="2:11">
      <c r="B166" s="6">
        <f t="shared" si="16"/>
        <v>39478</v>
      </c>
      <c r="C166" s="2" t="e">
        <f>IFERROR(VLOOKUP(B166,#REF!,2,FALSE),C165)</f>
        <v>#REF!</v>
      </c>
      <c r="D166" s="9" t="e">
        <f t="shared" si="17"/>
        <v>#REF!</v>
      </c>
      <c r="E166" s="13" t="e">
        <f t="shared" si="18"/>
        <v>#REF!</v>
      </c>
      <c r="F166" s="9">
        <f>VLOOKUP(B166,Índices!$A$2:$D$292,4,FALSE)</f>
        <v>1.09E-2</v>
      </c>
      <c r="G166" s="13">
        <f t="shared" si="19"/>
        <v>6.0396500547992495</v>
      </c>
      <c r="H166" s="11" t="e">
        <f t="shared" si="14"/>
        <v>#REF!</v>
      </c>
      <c r="J166" s="15" t="e">
        <f t="shared" si="20"/>
        <v>#REF!</v>
      </c>
      <c r="K166" t="e">
        <f t="shared" si="15"/>
        <v>#REF!</v>
      </c>
    </row>
    <row r="167" spans="2:11">
      <c r="B167" s="6">
        <f t="shared" si="16"/>
        <v>39507</v>
      </c>
      <c r="C167" s="2" t="e">
        <f>IFERROR(VLOOKUP(B167,#REF!,2,FALSE),C166)</f>
        <v>#REF!</v>
      </c>
      <c r="D167" s="9" t="e">
        <f t="shared" si="17"/>
        <v>#REF!</v>
      </c>
      <c r="E167" s="13" t="e">
        <f t="shared" si="18"/>
        <v>#REF!</v>
      </c>
      <c r="F167" s="9">
        <f>VLOOKUP(B167,Índices!$A$2:$D$292,4,FALSE)</f>
        <v>5.3E-3</v>
      </c>
      <c r="G167" s="13">
        <f t="shared" si="19"/>
        <v>6.0716602000896858</v>
      </c>
      <c r="H167" s="11" t="e">
        <f t="shared" si="14"/>
        <v>#REF!</v>
      </c>
      <c r="J167" s="15" t="e">
        <f t="shared" si="20"/>
        <v>#REF!</v>
      </c>
      <c r="K167" t="e">
        <f t="shared" si="15"/>
        <v>#REF!</v>
      </c>
    </row>
    <row r="168" spans="2:11">
      <c r="B168" s="6">
        <f t="shared" si="16"/>
        <v>39538</v>
      </c>
      <c r="C168" s="2" t="e">
        <f>IFERROR(VLOOKUP(B168,#REF!,2,FALSE),C167)</f>
        <v>#REF!</v>
      </c>
      <c r="D168" s="9" t="e">
        <f t="shared" si="17"/>
        <v>#REF!</v>
      </c>
      <c r="E168" s="13" t="e">
        <f t="shared" si="18"/>
        <v>#REF!</v>
      </c>
      <c r="F168" s="9">
        <f>VLOOKUP(B168,Índices!$A$2:$D$292,4,FALSE)</f>
        <v>7.4000000000000003E-3</v>
      </c>
      <c r="G168" s="13">
        <f t="shared" si="19"/>
        <v>6.1165904855703497</v>
      </c>
      <c r="H168" s="11" t="e">
        <f t="shared" si="14"/>
        <v>#REF!</v>
      </c>
      <c r="J168" s="15" t="e">
        <f t="shared" si="20"/>
        <v>#REF!</v>
      </c>
      <c r="K168" t="e">
        <f t="shared" si="15"/>
        <v>#REF!</v>
      </c>
    </row>
    <row r="169" spans="2:11">
      <c r="B169" s="6">
        <f t="shared" si="16"/>
        <v>39568</v>
      </c>
      <c r="C169" s="2" t="e">
        <f>IFERROR(VLOOKUP(B169,#REF!,2,FALSE),C168)</f>
        <v>#REF!</v>
      </c>
      <c r="D169" s="9" t="e">
        <f t="shared" si="17"/>
        <v>#REF!</v>
      </c>
      <c r="E169" s="13" t="e">
        <f t="shared" si="18"/>
        <v>#REF!</v>
      </c>
      <c r="F169" s="9">
        <f>VLOOKUP(B169,Índices!$A$2:$D$292,4,FALSE)</f>
        <v>6.8999999999999999E-3</v>
      </c>
      <c r="G169" s="13">
        <f t="shared" si="19"/>
        <v>6.1587949599207841</v>
      </c>
      <c r="H169" s="11" t="e">
        <f t="shared" si="14"/>
        <v>#REF!</v>
      </c>
      <c r="J169" s="15" t="e">
        <f t="shared" si="20"/>
        <v>#REF!</v>
      </c>
      <c r="K169" t="e">
        <f t="shared" si="15"/>
        <v>#REF!</v>
      </c>
    </row>
    <row r="170" spans="2:11">
      <c r="B170" s="6">
        <f t="shared" si="16"/>
        <v>39599</v>
      </c>
      <c r="C170" s="2" t="e">
        <f>IFERROR(VLOOKUP(B170,#REF!,2,FALSE),C169)</f>
        <v>#REF!</v>
      </c>
      <c r="D170" s="9" t="e">
        <f t="shared" si="17"/>
        <v>#REF!</v>
      </c>
      <c r="E170" s="13" t="e">
        <f t="shared" si="18"/>
        <v>#REF!</v>
      </c>
      <c r="F170" s="9">
        <f>VLOOKUP(B170,Índices!$A$2:$D$292,4,FALSE)</f>
        <v>1.61E-2</v>
      </c>
      <c r="G170" s="13">
        <f t="shared" si="19"/>
        <v>6.2579515587755088</v>
      </c>
      <c r="H170" s="11" t="e">
        <f t="shared" si="14"/>
        <v>#REF!</v>
      </c>
      <c r="J170" s="15" t="e">
        <f t="shared" si="20"/>
        <v>#REF!</v>
      </c>
      <c r="K170" t="e">
        <f t="shared" si="15"/>
        <v>#REF!</v>
      </c>
    </row>
    <row r="171" spans="2:11">
      <c r="B171" s="6">
        <f t="shared" si="16"/>
        <v>39629</v>
      </c>
      <c r="C171" s="2" t="e">
        <f>IFERROR(VLOOKUP(B171,#REF!,2,FALSE),C170)</f>
        <v>#REF!</v>
      </c>
      <c r="D171" s="9" t="e">
        <f t="shared" si="17"/>
        <v>#REF!</v>
      </c>
      <c r="E171" s="13" t="e">
        <f t="shared" si="18"/>
        <v>#REF!</v>
      </c>
      <c r="F171" s="9">
        <f>VLOOKUP(B171,Índices!$A$2:$D$292,4,FALSE)</f>
        <v>1.9800000000000002E-2</v>
      </c>
      <c r="G171" s="13">
        <f t="shared" si="19"/>
        <v>6.3818589996392641</v>
      </c>
      <c r="H171" s="11" t="e">
        <f t="shared" si="14"/>
        <v>#REF!</v>
      </c>
      <c r="J171" s="15" t="e">
        <f t="shared" si="20"/>
        <v>#REF!</v>
      </c>
      <c r="K171" t="e">
        <f t="shared" si="15"/>
        <v>#REF!</v>
      </c>
    </row>
    <row r="172" spans="2:11">
      <c r="B172" s="6">
        <f t="shared" si="16"/>
        <v>39660</v>
      </c>
      <c r="C172" s="2" t="e">
        <f>IFERROR(VLOOKUP(B172,#REF!,2,FALSE),C171)</f>
        <v>#REF!</v>
      </c>
      <c r="D172" s="9" t="e">
        <f t="shared" si="17"/>
        <v>#REF!</v>
      </c>
      <c r="E172" s="13" t="e">
        <f t="shared" si="18"/>
        <v>#REF!</v>
      </c>
      <c r="F172" s="9">
        <f>VLOOKUP(B172,Índices!$A$2:$D$292,4,FALSE)</f>
        <v>1.7600000000000001E-2</v>
      </c>
      <c r="G172" s="13">
        <f t="shared" si="19"/>
        <v>6.4941797180329157</v>
      </c>
      <c r="H172" s="11" t="e">
        <f t="shared" si="14"/>
        <v>#REF!</v>
      </c>
      <c r="J172" s="15" t="e">
        <f t="shared" si="20"/>
        <v>#REF!</v>
      </c>
      <c r="K172" t="e">
        <f t="shared" si="15"/>
        <v>#REF!</v>
      </c>
    </row>
    <row r="173" spans="2:11">
      <c r="B173" s="6">
        <f t="shared" si="16"/>
        <v>39691</v>
      </c>
      <c r="C173" s="2" t="e">
        <f>IFERROR(VLOOKUP(B173,#REF!,2,FALSE),C172)</f>
        <v>#REF!</v>
      </c>
      <c r="D173" s="9" t="e">
        <f t="shared" si="17"/>
        <v>#REF!</v>
      </c>
      <c r="E173" s="13" t="e">
        <f t="shared" si="18"/>
        <v>#REF!</v>
      </c>
      <c r="F173" s="9">
        <f>VLOOKUP(B173,Índices!$A$2:$D$292,4,FALSE)</f>
        <v>-3.2000000000000002E-3</v>
      </c>
      <c r="G173" s="13">
        <f t="shared" si="19"/>
        <v>6.4733983429352104</v>
      </c>
      <c r="H173" s="11" t="e">
        <f t="shared" si="14"/>
        <v>#REF!</v>
      </c>
      <c r="J173" s="15" t="e">
        <f t="shared" si="20"/>
        <v>#REF!</v>
      </c>
      <c r="K173" t="e">
        <f t="shared" si="15"/>
        <v>#REF!</v>
      </c>
    </row>
    <row r="174" spans="2:11">
      <c r="B174" s="6">
        <f t="shared" si="16"/>
        <v>39721</v>
      </c>
      <c r="C174" s="2" t="e">
        <f>IFERROR(VLOOKUP(B174,#REF!,2,FALSE),C173)</f>
        <v>#REF!</v>
      </c>
      <c r="D174" s="9" t="e">
        <f t="shared" ref="D174:D207" si="21">C174/C173-1</f>
        <v>#REF!</v>
      </c>
      <c r="E174" s="13" t="e">
        <f t="shared" ref="E174:E207" si="22">E173*(1+D174)</f>
        <v>#REF!</v>
      </c>
      <c r="F174" s="9">
        <f>VLOOKUP(B174,Índices!$A$2:$D$292,4,FALSE)</f>
        <v>1.1000000000000001E-3</v>
      </c>
      <c r="G174" s="13">
        <f t="shared" ref="G174:G207" si="23">G173*(1+F174)</f>
        <v>6.4805190811124396</v>
      </c>
      <c r="H174" s="11" t="e">
        <f t="shared" ref="H174:H207" si="24">G174-E174</f>
        <v>#REF!</v>
      </c>
      <c r="J174" s="15" t="e">
        <f t="shared" ref="J174:J207" si="25">C174</f>
        <v>#REF!</v>
      </c>
      <c r="K174" t="e">
        <f t="shared" ref="K174:K207" si="26">$K$2*G174</f>
        <v>#REF!</v>
      </c>
    </row>
    <row r="175" spans="2:11">
      <c r="B175" s="6">
        <f t="shared" si="16"/>
        <v>39752</v>
      </c>
      <c r="C175" s="2" t="e">
        <f>IFERROR(VLOOKUP(B175,#REF!,2,FALSE),C174)</f>
        <v>#REF!</v>
      </c>
      <c r="D175" s="9" t="e">
        <f t="shared" si="21"/>
        <v>#REF!</v>
      </c>
      <c r="E175" s="13" t="e">
        <f t="shared" si="22"/>
        <v>#REF!</v>
      </c>
      <c r="F175" s="9">
        <f>VLOOKUP(B175,Índices!$A$2:$D$292,4,FALSE)</f>
        <v>9.7999999999999997E-3</v>
      </c>
      <c r="G175" s="13">
        <f t="shared" si="23"/>
        <v>6.5440281681073413</v>
      </c>
      <c r="H175" s="11" t="e">
        <f t="shared" si="24"/>
        <v>#REF!</v>
      </c>
      <c r="J175" s="15" t="e">
        <f t="shared" si="25"/>
        <v>#REF!</v>
      </c>
      <c r="K175" t="e">
        <f t="shared" si="26"/>
        <v>#REF!</v>
      </c>
    </row>
    <row r="176" spans="2:11">
      <c r="B176" s="6">
        <f t="shared" si="16"/>
        <v>39782</v>
      </c>
      <c r="C176" s="2" t="e">
        <f>IFERROR(VLOOKUP(B176,#REF!,2,FALSE),C175)</f>
        <v>#REF!</v>
      </c>
      <c r="D176" s="9" t="e">
        <f t="shared" si="21"/>
        <v>#REF!</v>
      </c>
      <c r="E176" s="13" t="e">
        <f t="shared" si="22"/>
        <v>#REF!</v>
      </c>
      <c r="F176" s="9">
        <f>VLOOKUP(B176,Índices!$A$2:$D$292,4,FALSE)</f>
        <v>3.8E-3</v>
      </c>
      <c r="G176" s="13">
        <f t="shared" si="23"/>
        <v>6.5688954751461495</v>
      </c>
      <c r="H176" s="11" t="e">
        <f t="shared" si="24"/>
        <v>#REF!</v>
      </c>
      <c r="J176" s="15" t="e">
        <f t="shared" si="25"/>
        <v>#REF!</v>
      </c>
      <c r="K176" t="e">
        <f t="shared" si="26"/>
        <v>#REF!</v>
      </c>
    </row>
    <row r="177" spans="2:11">
      <c r="B177" s="6">
        <f t="shared" si="16"/>
        <v>39813</v>
      </c>
      <c r="C177" s="2" t="e">
        <f>IFERROR(VLOOKUP(B177,#REF!,2,FALSE),C176)</f>
        <v>#REF!</v>
      </c>
      <c r="D177" s="9" t="e">
        <f t="shared" si="21"/>
        <v>#REF!</v>
      </c>
      <c r="E177" s="13" t="e">
        <f t="shared" si="22"/>
        <v>#REF!</v>
      </c>
      <c r="F177" s="9">
        <f>VLOOKUP(B177,Índices!$A$2:$D$292,4,FALSE)</f>
        <v>-1.2999999999999999E-3</v>
      </c>
      <c r="G177" s="13">
        <f t="shared" si="23"/>
        <v>6.5603559110284593</v>
      </c>
      <c r="H177" s="11" t="e">
        <f t="shared" si="24"/>
        <v>#REF!</v>
      </c>
      <c r="J177" s="15" t="e">
        <f t="shared" si="25"/>
        <v>#REF!</v>
      </c>
      <c r="K177" t="e">
        <f t="shared" si="26"/>
        <v>#REF!</v>
      </c>
    </row>
    <row r="178" spans="2:11">
      <c r="B178" s="6">
        <f t="shared" si="16"/>
        <v>39844</v>
      </c>
      <c r="C178" s="2" t="e">
        <f>IFERROR(VLOOKUP(B178,#REF!,2,FALSE),C177)</f>
        <v>#REF!</v>
      </c>
      <c r="D178" s="9" t="e">
        <f t="shared" si="21"/>
        <v>#REF!</v>
      </c>
      <c r="E178" s="13" t="e">
        <f t="shared" si="22"/>
        <v>#REF!</v>
      </c>
      <c r="F178" s="9">
        <f>VLOOKUP(B178,Índices!$A$2:$D$292,4,FALSE)</f>
        <v>-4.4000000000000003E-3</v>
      </c>
      <c r="G178" s="13">
        <f t="shared" si="23"/>
        <v>6.5314903450199342</v>
      </c>
      <c r="H178" s="11" t="e">
        <f t="shared" si="24"/>
        <v>#REF!</v>
      </c>
      <c r="J178" s="15" t="e">
        <f t="shared" si="25"/>
        <v>#REF!</v>
      </c>
      <c r="K178" t="e">
        <f t="shared" si="26"/>
        <v>#REF!</v>
      </c>
    </row>
    <row r="179" spans="2:11">
      <c r="B179" s="6">
        <f t="shared" si="16"/>
        <v>39872</v>
      </c>
      <c r="C179" s="2" t="e">
        <f>IFERROR(VLOOKUP(B179,#REF!,2,FALSE),C178)</f>
        <v>#REF!</v>
      </c>
      <c r="D179" s="9" t="e">
        <f t="shared" si="21"/>
        <v>#REF!</v>
      </c>
      <c r="E179" s="13" t="e">
        <f t="shared" si="22"/>
        <v>#REF!</v>
      </c>
      <c r="F179" s="9">
        <f>VLOOKUP(B179,Índices!$A$2:$D$292,4,FALSE)</f>
        <v>2.5999999999999999E-3</v>
      </c>
      <c r="G179" s="13">
        <f t="shared" si="23"/>
        <v>6.5484722199169854</v>
      </c>
      <c r="H179" s="11" t="e">
        <f t="shared" si="24"/>
        <v>#REF!</v>
      </c>
      <c r="J179" s="15" t="e">
        <f t="shared" si="25"/>
        <v>#REF!</v>
      </c>
      <c r="K179" t="e">
        <f t="shared" si="26"/>
        <v>#REF!</v>
      </c>
    </row>
    <row r="180" spans="2:11">
      <c r="B180" s="6">
        <f t="shared" si="16"/>
        <v>39903</v>
      </c>
      <c r="C180" s="2" t="e">
        <f>IFERROR(VLOOKUP(B180,#REF!,2,FALSE),C179)</f>
        <v>#REF!</v>
      </c>
      <c r="D180" s="9" t="e">
        <f t="shared" si="21"/>
        <v>#REF!</v>
      </c>
      <c r="E180" s="13" t="e">
        <f t="shared" si="22"/>
        <v>#REF!</v>
      </c>
      <c r="F180" s="9">
        <f>VLOOKUP(B180,Índices!$A$2:$D$292,4,FALSE)</f>
        <v>-7.4000000000000003E-3</v>
      </c>
      <c r="G180" s="13">
        <f t="shared" si="23"/>
        <v>6.5000135254896003</v>
      </c>
      <c r="H180" s="11" t="e">
        <f t="shared" si="24"/>
        <v>#REF!</v>
      </c>
      <c r="J180" s="15" t="e">
        <f t="shared" si="25"/>
        <v>#REF!</v>
      </c>
      <c r="K180" t="e">
        <f t="shared" si="26"/>
        <v>#REF!</v>
      </c>
    </row>
    <row r="181" spans="2:11">
      <c r="B181" s="6">
        <f t="shared" si="16"/>
        <v>39933</v>
      </c>
      <c r="C181" s="2" t="e">
        <f>IFERROR(VLOOKUP(B181,#REF!,2,FALSE),C180)</f>
        <v>#REF!</v>
      </c>
      <c r="D181" s="9" t="e">
        <f t="shared" si="21"/>
        <v>#REF!</v>
      </c>
      <c r="E181" s="13" t="e">
        <f t="shared" si="22"/>
        <v>#REF!</v>
      </c>
      <c r="F181" s="9">
        <f>VLOOKUP(B181,Índices!$A$2:$D$292,4,FALSE)</f>
        <v>-1.5E-3</v>
      </c>
      <c r="G181" s="13">
        <f t="shared" si="23"/>
        <v>6.4902635052013666</v>
      </c>
      <c r="H181" s="11" t="e">
        <f t="shared" si="24"/>
        <v>#REF!</v>
      </c>
      <c r="J181" s="15" t="e">
        <f t="shared" si="25"/>
        <v>#REF!</v>
      </c>
      <c r="K181" t="e">
        <f t="shared" si="26"/>
        <v>#REF!</v>
      </c>
    </row>
    <row r="182" spans="2:11">
      <c r="B182" s="6">
        <f t="shared" si="16"/>
        <v>39964</v>
      </c>
      <c r="C182" s="2" t="e">
        <f>IFERROR(VLOOKUP(B182,#REF!,2,FALSE),C181)</f>
        <v>#REF!</v>
      </c>
      <c r="D182" s="9" t="e">
        <f t="shared" si="21"/>
        <v>#REF!</v>
      </c>
      <c r="E182" s="13" t="e">
        <f t="shared" si="22"/>
        <v>#REF!</v>
      </c>
      <c r="F182" s="9">
        <f>VLOOKUP(B182,Índices!$A$2:$D$292,4,FALSE)</f>
        <v>-6.9999999999999999E-4</v>
      </c>
      <c r="G182" s="13">
        <f t="shared" si="23"/>
        <v>6.4857203207477259</v>
      </c>
      <c r="H182" s="11" t="e">
        <f t="shared" si="24"/>
        <v>#REF!</v>
      </c>
      <c r="J182" s="15" t="e">
        <f t="shared" si="25"/>
        <v>#REF!</v>
      </c>
      <c r="K182" t="e">
        <f t="shared" si="26"/>
        <v>#REF!</v>
      </c>
    </row>
    <row r="183" spans="2:11">
      <c r="B183" s="6">
        <f t="shared" si="16"/>
        <v>39994</v>
      </c>
      <c r="C183" s="2" t="e">
        <f>IFERROR(VLOOKUP(B183,#REF!,2,FALSE),C182)</f>
        <v>#REF!</v>
      </c>
      <c r="D183" s="9" t="e">
        <f t="shared" si="21"/>
        <v>#REF!</v>
      </c>
      <c r="E183" s="13" t="e">
        <f t="shared" si="22"/>
        <v>#REF!</v>
      </c>
      <c r="F183" s="9">
        <f>VLOOKUP(B183,Índices!$A$2:$D$292,4,FALSE)</f>
        <v>-1E-3</v>
      </c>
      <c r="G183" s="13">
        <f t="shared" si="23"/>
        <v>6.4792346004269783</v>
      </c>
      <c r="H183" s="11" t="e">
        <f t="shared" si="24"/>
        <v>#REF!</v>
      </c>
      <c r="J183" s="15" t="e">
        <f t="shared" si="25"/>
        <v>#REF!</v>
      </c>
      <c r="K183" t="e">
        <f t="shared" si="26"/>
        <v>#REF!</v>
      </c>
    </row>
    <row r="184" spans="2:11">
      <c r="B184" s="6">
        <f t="shared" si="16"/>
        <v>40025</v>
      </c>
      <c r="C184" s="2" t="e">
        <f>IFERROR(VLOOKUP(B184,#REF!,2,FALSE),C183)</f>
        <v>#REF!</v>
      </c>
      <c r="D184" s="9" t="e">
        <f t="shared" si="21"/>
        <v>#REF!</v>
      </c>
      <c r="E184" s="13" t="e">
        <f t="shared" si="22"/>
        <v>#REF!</v>
      </c>
      <c r="F184" s="9">
        <f>VLOOKUP(B184,Índices!$A$2:$D$292,4,FALSE)</f>
        <v>-4.3E-3</v>
      </c>
      <c r="G184" s="13">
        <f t="shared" si="23"/>
        <v>6.4513738916451429</v>
      </c>
      <c r="H184" s="11" t="e">
        <f t="shared" si="24"/>
        <v>#REF!</v>
      </c>
      <c r="J184" s="15" t="e">
        <f t="shared" si="25"/>
        <v>#REF!</v>
      </c>
      <c r="K184" t="e">
        <f t="shared" si="26"/>
        <v>#REF!</v>
      </c>
    </row>
    <row r="185" spans="2:11">
      <c r="B185" s="6">
        <f t="shared" si="16"/>
        <v>40056</v>
      </c>
      <c r="C185" s="2" t="e">
        <f>IFERROR(VLOOKUP(B185,#REF!,2,FALSE),C184)</f>
        <v>#REF!</v>
      </c>
      <c r="D185" s="9" t="e">
        <f t="shared" si="21"/>
        <v>#REF!</v>
      </c>
      <c r="E185" s="13" t="e">
        <f t="shared" si="22"/>
        <v>#REF!</v>
      </c>
      <c r="F185" s="9">
        <f>VLOOKUP(B185,Índices!$A$2:$D$292,4,FALSE)</f>
        <v>-3.5999999999999999E-3</v>
      </c>
      <c r="G185" s="13">
        <f t="shared" si="23"/>
        <v>6.4281489456352201</v>
      </c>
      <c r="H185" s="11" t="e">
        <f t="shared" si="24"/>
        <v>#REF!</v>
      </c>
      <c r="J185" s="15" t="e">
        <f t="shared" si="25"/>
        <v>#REF!</v>
      </c>
      <c r="K185" t="e">
        <f t="shared" si="26"/>
        <v>#REF!</v>
      </c>
    </row>
    <row r="186" spans="2:11">
      <c r="B186" s="6">
        <f t="shared" si="16"/>
        <v>40086</v>
      </c>
      <c r="C186" s="2" t="e">
        <f>IFERROR(VLOOKUP(B186,#REF!,2,FALSE),C185)</f>
        <v>#REF!</v>
      </c>
      <c r="D186" s="9" t="e">
        <f t="shared" si="21"/>
        <v>#REF!</v>
      </c>
      <c r="E186" s="13" t="e">
        <f t="shared" si="22"/>
        <v>#REF!</v>
      </c>
      <c r="F186" s="9">
        <f>VLOOKUP(B186,Índices!$A$2:$D$292,4,FALSE)</f>
        <v>4.1999999999999997E-3</v>
      </c>
      <c r="G186" s="13">
        <f t="shared" si="23"/>
        <v>6.455147171206888</v>
      </c>
      <c r="H186" s="11" t="e">
        <f t="shared" si="24"/>
        <v>#REF!</v>
      </c>
      <c r="J186" s="15" t="e">
        <f t="shared" si="25"/>
        <v>#REF!</v>
      </c>
      <c r="K186" t="e">
        <f t="shared" si="26"/>
        <v>#REF!</v>
      </c>
    </row>
    <row r="187" spans="2:11">
      <c r="B187" s="6">
        <f t="shared" si="16"/>
        <v>40117</v>
      </c>
      <c r="C187" s="2" t="e">
        <f>IFERROR(VLOOKUP(B187,#REF!,2,FALSE),C186)</f>
        <v>#REF!</v>
      </c>
      <c r="D187" s="9" t="e">
        <f t="shared" si="21"/>
        <v>#REF!</v>
      </c>
      <c r="E187" s="13" t="e">
        <f t="shared" si="22"/>
        <v>#REF!</v>
      </c>
      <c r="F187" s="9">
        <f>VLOOKUP(B187,Índices!$A$2:$D$292,4,FALSE)</f>
        <v>5.0000000000000001E-4</v>
      </c>
      <c r="G187" s="13">
        <f t="shared" si="23"/>
        <v>6.4583747447924909</v>
      </c>
      <c r="H187" s="11" t="e">
        <f t="shared" si="24"/>
        <v>#REF!</v>
      </c>
      <c r="J187" s="15" t="e">
        <f t="shared" si="25"/>
        <v>#REF!</v>
      </c>
      <c r="K187" t="e">
        <f t="shared" si="26"/>
        <v>#REF!</v>
      </c>
    </row>
    <row r="188" spans="2:11">
      <c r="B188" s="6">
        <f t="shared" si="16"/>
        <v>40147</v>
      </c>
      <c r="C188" s="2" t="e">
        <f>IFERROR(VLOOKUP(B188,#REF!,2,FALSE),C187)</f>
        <v>#REF!</v>
      </c>
      <c r="D188" s="9" t="e">
        <f t="shared" si="21"/>
        <v>#REF!</v>
      </c>
      <c r="E188" s="13" t="e">
        <f t="shared" si="22"/>
        <v>#REF!</v>
      </c>
      <c r="F188" s="9">
        <f>VLOOKUP(B188,Índices!$A$2:$D$292,4,FALSE)</f>
        <v>1E-3</v>
      </c>
      <c r="G188" s="13">
        <f t="shared" si="23"/>
        <v>6.4648331195372828</v>
      </c>
      <c r="H188" s="11" t="e">
        <f t="shared" si="24"/>
        <v>#REF!</v>
      </c>
      <c r="J188" s="15" t="e">
        <f t="shared" si="25"/>
        <v>#REF!</v>
      </c>
      <c r="K188" t="e">
        <f t="shared" si="26"/>
        <v>#REF!</v>
      </c>
    </row>
    <row r="189" spans="2:11">
      <c r="B189" s="6">
        <f t="shared" si="16"/>
        <v>40178</v>
      </c>
      <c r="C189" s="2" t="e">
        <f>IFERROR(VLOOKUP(B189,#REF!,2,FALSE),C188)</f>
        <v>#REF!</v>
      </c>
      <c r="D189" s="9" t="e">
        <f t="shared" si="21"/>
        <v>#REF!</v>
      </c>
      <c r="E189" s="13" t="e">
        <f t="shared" si="22"/>
        <v>#REF!</v>
      </c>
      <c r="F189" s="9">
        <f>VLOOKUP(B189,Índices!$A$2:$D$292,4,FALSE)</f>
        <v>-2.5999999999999999E-3</v>
      </c>
      <c r="G189" s="13">
        <f t="shared" si="23"/>
        <v>6.4480245534264853</v>
      </c>
      <c r="H189" s="11" t="e">
        <f t="shared" si="24"/>
        <v>#REF!</v>
      </c>
      <c r="J189" s="15" t="e">
        <f t="shared" si="25"/>
        <v>#REF!</v>
      </c>
      <c r="K189" t="e">
        <f t="shared" si="26"/>
        <v>#REF!</v>
      </c>
    </row>
    <row r="190" spans="2:11">
      <c r="B190" s="6">
        <f t="shared" si="16"/>
        <v>40209</v>
      </c>
      <c r="C190" s="2" t="e">
        <f>IFERROR(VLOOKUP(B190,#REF!,2,FALSE),C189)</f>
        <v>#REF!</v>
      </c>
      <c r="D190" s="9" t="e">
        <f t="shared" si="21"/>
        <v>#REF!</v>
      </c>
      <c r="E190" s="13" t="e">
        <f t="shared" si="22"/>
        <v>#REF!</v>
      </c>
      <c r="F190" s="9">
        <f>VLOOKUP(B190,Índices!$A$2:$D$292,4,FALSE)</f>
        <v>6.3E-3</v>
      </c>
      <c r="G190" s="13">
        <f t="shared" si="23"/>
        <v>6.4886471081130717</v>
      </c>
      <c r="H190" s="11" t="e">
        <f t="shared" si="24"/>
        <v>#REF!</v>
      </c>
      <c r="J190" s="15" t="e">
        <f t="shared" si="25"/>
        <v>#REF!</v>
      </c>
      <c r="K190" t="e">
        <f t="shared" si="26"/>
        <v>#REF!</v>
      </c>
    </row>
    <row r="191" spans="2:11">
      <c r="B191" s="6">
        <f t="shared" si="16"/>
        <v>40237</v>
      </c>
      <c r="C191" s="2" t="e">
        <f>IFERROR(VLOOKUP(B191,#REF!,2,FALSE),C190)</f>
        <v>#REF!</v>
      </c>
      <c r="D191" s="9" t="e">
        <f t="shared" si="21"/>
        <v>#REF!</v>
      </c>
      <c r="E191" s="13" t="e">
        <f t="shared" si="22"/>
        <v>#REF!</v>
      </c>
      <c r="F191" s="9">
        <f>VLOOKUP(B191,Índices!$A$2:$D$292,4,FALSE)</f>
        <v>1.18E-2</v>
      </c>
      <c r="G191" s="13">
        <f t="shared" si="23"/>
        <v>6.5652131439888057</v>
      </c>
      <c r="H191" s="11" t="e">
        <f t="shared" si="24"/>
        <v>#REF!</v>
      </c>
      <c r="J191" s="15" t="e">
        <f t="shared" si="25"/>
        <v>#REF!</v>
      </c>
      <c r="K191" t="e">
        <f t="shared" si="26"/>
        <v>#REF!</v>
      </c>
    </row>
    <row r="192" spans="2:11">
      <c r="B192" s="6">
        <f t="shared" si="16"/>
        <v>40268</v>
      </c>
      <c r="C192" s="2" t="e">
        <f>IFERROR(VLOOKUP(B192,#REF!,2,FALSE),C191)</f>
        <v>#REF!</v>
      </c>
      <c r="D192" s="9" t="e">
        <f t="shared" si="21"/>
        <v>#REF!</v>
      </c>
      <c r="E192" s="13" t="e">
        <f t="shared" si="22"/>
        <v>#REF!</v>
      </c>
      <c r="F192" s="9">
        <f>VLOOKUP(B192,Índices!$A$2:$D$292,4,FALSE)</f>
        <v>9.4000000000000004E-3</v>
      </c>
      <c r="G192" s="13">
        <f t="shared" si="23"/>
        <v>6.6269261475423011</v>
      </c>
      <c r="H192" s="11" t="e">
        <f t="shared" si="24"/>
        <v>#REF!</v>
      </c>
      <c r="J192" s="15" t="e">
        <f t="shared" si="25"/>
        <v>#REF!</v>
      </c>
      <c r="K192" t="e">
        <f t="shared" si="26"/>
        <v>#REF!</v>
      </c>
    </row>
    <row r="193" spans="2:11">
      <c r="B193" s="6">
        <f t="shared" si="16"/>
        <v>40298</v>
      </c>
      <c r="C193" s="2" t="e">
        <f>IFERROR(VLOOKUP(B193,#REF!,2,FALSE),C192)</f>
        <v>#REF!</v>
      </c>
      <c r="D193" s="9" t="e">
        <f t="shared" si="21"/>
        <v>#REF!</v>
      </c>
      <c r="E193" s="13" t="e">
        <f t="shared" si="22"/>
        <v>#REF!</v>
      </c>
      <c r="F193" s="9">
        <f>VLOOKUP(B193,Índices!$A$2:$D$292,4,FALSE)</f>
        <v>7.7000000000000002E-3</v>
      </c>
      <c r="G193" s="13">
        <f t="shared" si="23"/>
        <v>6.6779534788783774</v>
      </c>
      <c r="H193" s="11" t="e">
        <f t="shared" si="24"/>
        <v>#REF!</v>
      </c>
      <c r="J193" s="15" t="e">
        <f t="shared" si="25"/>
        <v>#REF!</v>
      </c>
      <c r="K193" t="e">
        <f t="shared" si="26"/>
        <v>#REF!</v>
      </c>
    </row>
    <row r="194" spans="2:11">
      <c r="B194" s="6">
        <f t="shared" si="16"/>
        <v>40329</v>
      </c>
      <c r="C194" s="2" t="e">
        <f>IFERROR(VLOOKUP(B194,#REF!,2,FALSE),C193)</f>
        <v>#REF!</v>
      </c>
      <c r="D194" s="9" t="e">
        <f t="shared" si="21"/>
        <v>#REF!</v>
      </c>
      <c r="E194" s="13" t="e">
        <f t="shared" si="22"/>
        <v>#REF!</v>
      </c>
      <c r="F194" s="9">
        <f>VLOOKUP(B194,Índices!$A$2:$D$292,4,FALSE)</f>
        <v>1.1900000000000001E-2</v>
      </c>
      <c r="G194" s="13">
        <f t="shared" si="23"/>
        <v>6.7574211252770304</v>
      </c>
      <c r="H194" s="11" t="e">
        <f t="shared" si="24"/>
        <v>#REF!</v>
      </c>
      <c r="J194" s="15" t="e">
        <f t="shared" si="25"/>
        <v>#REF!</v>
      </c>
      <c r="K194" t="e">
        <f t="shared" si="26"/>
        <v>#REF!</v>
      </c>
    </row>
    <row r="195" spans="2:11">
      <c r="B195" s="6">
        <f t="shared" si="16"/>
        <v>40359</v>
      </c>
      <c r="C195" s="2" t="e">
        <f>IFERROR(VLOOKUP(B195,#REF!,2,FALSE),C194)</f>
        <v>#REF!</v>
      </c>
      <c r="D195" s="9" t="e">
        <f t="shared" si="21"/>
        <v>#REF!</v>
      </c>
      <c r="E195" s="13" t="e">
        <f t="shared" si="22"/>
        <v>#REF!</v>
      </c>
      <c r="F195" s="9">
        <f>VLOOKUP(B195,Índices!$A$2:$D$292,4,FALSE)</f>
        <v>8.5000000000000006E-3</v>
      </c>
      <c r="G195" s="13">
        <f t="shared" si="23"/>
        <v>6.814859204841885</v>
      </c>
      <c r="H195" s="11" t="e">
        <f t="shared" si="24"/>
        <v>#REF!</v>
      </c>
      <c r="J195" s="15" t="e">
        <f t="shared" si="25"/>
        <v>#REF!</v>
      </c>
      <c r="K195" t="e">
        <f t="shared" si="26"/>
        <v>#REF!</v>
      </c>
    </row>
    <row r="196" spans="2:11">
      <c r="B196" s="6">
        <f t="shared" si="16"/>
        <v>40390</v>
      </c>
      <c r="C196" s="2" t="e">
        <f>IFERROR(VLOOKUP(B196,#REF!,2,FALSE),C195)</f>
        <v>#REF!</v>
      </c>
      <c r="D196" s="9" t="e">
        <f t="shared" si="21"/>
        <v>#REF!</v>
      </c>
      <c r="E196" s="13" t="e">
        <f t="shared" si="22"/>
        <v>#REF!</v>
      </c>
      <c r="F196" s="9">
        <f>VLOOKUP(B196,Índices!$A$2:$D$292,4,FALSE)</f>
        <v>1.5E-3</v>
      </c>
      <c r="G196" s="13">
        <f t="shared" si="23"/>
        <v>6.8250814936491482</v>
      </c>
      <c r="H196" s="11" t="e">
        <f t="shared" si="24"/>
        <v>#REF!</v>
      </c>
      <c r="J196" s="15" t="e">
        <f t="shared" si="25"/>
        <v>#REF!</v>
      </c>
      <c r="K196" t="e">
        <f t="shared" si="26"/>
        <v>#REF!</v>
      </c>
    </row>
    <row r="197" spans="2:11">
      <c r="B197" s="6">
        <f t="shared" ref="B197:B239" si="27">EOMONTH(B196,1)</f>
        <v>40421</v>
      </c>
      <c r="C197" s="2" t="e">
        <f>IFERROR(VLOOKUP(B197,#REF!,2,FALSE),C196)</f>
        <v>#REF!</v>
      </c>
      <c r="D197" s="9" t="e">
        <f t="shared" si="21"/>
        <v>#REF!</v>
      </c>
      <c r="E197" s="13" t="e">
        <f t="shared" si="22"/>
        <v>#REF!</v>
      </c>
      <c r="F197" s="9">
        <f>VLOOKUP(B197,Índices!$A$2:$D$292,4,FALSE)</f>
        <v>7.7000000000000002E-3</v>
      </c>
      <c r="G197" s="13">
        <f t="shared" si="23"/>
        <v>6.8776346211502473</v>
      </c>
      <c r="H197" s="11" t="e">
        <f t="shared" si="24"/>
        <v>#REF!</v>
      </c>
      <c r="J197" s="15" t="e">
        <f t="shared" si="25"/>
        <v>#REF!</v>
      </c>
      <c r="K197" t="e">
        <f t="shared" si="26"/>
        <v>#REF!</v>
      </c>
    </row>
    <row r="198" spans="2:11">
      <c r="B198" s="6">
        <f t="shared" si="27"/>
        <v>40451</v>
      </c>
      <c r="C198" s="2" t="e">
        <f>IFERROR(VLOOKUP(B198,#REF!,2,FALSE),C197)</f>
        <v>#REF!</v>
      </c>
      <c r="D198" s="9" t="e">
        <f t="shared" si="21"/>
        <v>#REF!</v>
      </c>
      <c r="E198" s="13" t="e">
        <f t="shared" si="22"/>
        <v>#REF!</v>
      </c>
      <c r="F198" s="9">
        <f>VLOOKUP(B198,Índices!$A$2:$D$292,4,FALSE)</f>
        <v>1.15E-2</v>
      </c>
      <c r="G198" s="13">
        <f t="shared" si="23"/>
        <v>6.9567274192934754</v>
      </c>
      <c r="H198" s="11" t="e">
        <f t="shared" si="24"/>
        <v>#REF!</v>
      </c>
      <c r="J198" s="15" t="e">
        <f t="shared" si="25"/>
        <v>#REF!</v>
      </c>
      <c r="K198" t="e">
        <f t="shared" si="26"/>
        <v>#REF!</v>
      </c>
    </row>
    <row r="199" spans="2:11">
      <c r="B199" s="6">
        <f t="shared" si="27"/>
        <v>40482</v>
      </c>
      <c r="C199" s="2" t="e">
        <f>IFERROR(VLOOKUP(B199,#REF!,2,FALSE),C198)</f>
        <v>#REF!</v>
      </c>
      <c r="D199" s="9" t="e">
        <f t="shared" si="21"/>
        <v>#REF!</v>
      </c>
      <c r="E199" s="13" t="e">
        <f t="shared" si="22"/>
        <v>#REF!</v>
      </c>
      <c r="F199" s="9">
        <f>VLOOKUP(B199,Índices!$A$2:$D$292,4,FALSE)</f>
        <v>1.01E-2</v>
      </c>
      <c r="G199" s="13">
        <f t="shared" si="23"/>
        <v>7.0269903662283397</v>
      </c>
      <c r="H199" s="11" t="e">
        <f t="shared" si="24"/>
        <v>#REF!</v>
      </c>
      <c r="J199" s="15" t="e">
        <f t="shared" si="25"/>
        <v>#REF!</v>
      </c>
      <c r="K199" t="e">
        <f t="shared" si="26"/>
        <v>#REF!</v>
      </c>
    </row>
    <row r="200" spans="2:11">
      <c r="B200" s="6">
        <f t="shared" si="27"/>
        <v>40512</v>
      </c>
      <c r="C200" s="2" t="e">
        <f>IFERROR(VLOOKUP(B200,#REF!,2,FALSE),C199)</f>
        <v>#REF!</v>
      </c>
      <c r="D200" s="9" t="e">
        <f t="shared" si="21"/>
        <v>#REF!</v>
      </c>
      <c r="E200" s="13" t="e">
        <f t="shared" si="22"/>
        <v>#REF!</v>
      </c>
      <c r="F200" s="9">
        <f>VLOOKUP(B200,Índices!$A$2:$D$292,4,FALSE)</f>
        <v>1.4500000000000001E-2</v>
      </c>
      <c r="G200" s="13">
        <f t="shared" si="23"/>
        <v>7.1288817265386504</v>
      </c>
      <c r="H200" s="11" t="e">
        <f t="shared" si="24"/>
        <v>#REF!</v>
      </c>
      <c r="J200" s="15" t="e">
        <f t="shared" si="25"/>
        <v>#REF!</v>
      </c>
      <c r="K200" t="e">
        <f t="shared" si="26"/>
        <v>#REF!</v>
      </c>
    </row>
    <row r="201" spans="2:11">
      <c r="B201" s="6">
        <f t="shared" si="27"/>
        <v>40543</v>
      </c>
      <c r="C201" s="2" t="e">
        <f>IFERROR(VLOOKUP(B201,#REF!,2,FALSE),C200)</f>
        <v>#REF!</v>
      </c>
      <c r="D201" s="9" t="e">
        <f t="shared" si="21"/>
        <v>#REF!</v>
      </c>
      <c r="E201" s="13" t="e">
        <f t="shared" si="22"/>
        <v>#REF!</v>
      </c>
      <c r="F201" s="9">
        <f>VLOOKUP(B201,Índices!$A$2:$D$292,4,FALSE)</f>
        <v>6.8999999999999999E-3</v>
      </c>
      <c r="G201" s="13">
        <f t="shared" si="23"/>
        <v>7.1780710104517667</v>
      </c>
      <c r="H201" s="11" t="e">
        <f t="shared" si="24"/>
        <v>#REF!</v>
      </c>
      <c r="J201" s="15" t="e">
        <f t="shared" si="25"/>
        <v>#REF!</v>
      </c>
      <c r="K201" t="e">
        <f t="shared" si="26"/>
        <v>#REF!</v>
      </c>
    </row>
    <row r="202" spans="2:11">
      <c r="B202" s="6">
        <f t="shared" si="27"/>
        <v>40574</v>
      </c>
      <c r="C202" s="2" t="e">
        <f>IFERROR(VLOOKUP(B202,#REF!,2,FALSE),C201)</f>
        <v>#REF!</v>
      </c>
      <c r="D202" s="9" t="e">
        <f t="shared" si="21"/>
        <v>#REF!</v>
      </c>
      <c r="E202" s="13" t="e">
        <f t="shared" si="22"/>
        <v>#REF!</v>
      </c>
      <c r="F202" s="9">
        <f>VLOOKUP(B202,Índices!$A$2:$D$292,4,FALSE)</f>
        <v>7.9000000000000008E-3</v>
      </c>
      <c r="G202" s="13">
        <f t="shared" si="23"/>
        <v>7.2347777714343353</v>
      </c>
      <c r="H202" s="11" t="e">
        <f t="shared" si="24"/>
        <v>#REF!</v>
      </c>
      <c r="J202" s="15" t="e">
        <f t="shared" si="25"/>
        <v>#REF!</v>
      </c>
      <c r="K202" t="e">
        <f t="shared" si="26"/>
        <v>#REF!</v>
      </c>
    </row>
    <row r="203" spans="2:11">
      <c r="B203" s="6">
        <f t="shared" si="27"/>
        <v>40602</v>
      </c>
      <c r="C203" s="2" t="e">
        <f>IFERROR(VLOOKUP(B203,#REF!,2,FALSE),C202)</f>
        <v>#REF!</v>
      </c>
      <c r="D203" s="9" t="e">
        <f t="shared" si="21"/>
        <v>#REF!</v>
      </c>
      <c r="E203" s="13" t="e">
        <f t="shared" si="22"/>
        <v>#REF!</v>
      </c>
      <c r="F203" s="9">
        <f>VLOOKUP(B203,Índices!$A$2:$D$292,4,FALSE)</f>
        <v>0.01</v>
      </c>
      <c r="G203" s="13">
        <f t="shared" si="23"/>
        <v>7.3071255491486786</v>
      </c>
      <c r="H203" s="11" t="e">
        <f t="shared" si="24"/>
        <v>#REF!</v>
      </c>
      <c r="J203" s="15" t="e">
        <f t="shared" si="25"/>
        <v>#REF!</v>
      </c>
      <c r="K203" t="e">
        <f t="shared" si="26"/>
        <v>#REF!</v>
      </c>
    </row>
    <row r="204" spans="2:11">
      <c r="B204" s="6">
        <f t="shared" si="27"/>
        <v>40633</v>
      </c>
      <c r="C204" s="2" t="e">
        <f>IFERROR(VLOOKUP(B204,#REF!,2,FALSE),C203)</f>
        <v>#REF!</v>
      </c>
      <c r="D204" s="9" t="e">
        <f t="shared" si="21"/>
        <v>#REF!</v>
      </c>
      <c r="E204" s="13" t="e">
        <f t="shared" si="22"/>
        <v>#REF!</v>
      </c>
      <c r="F204" s="9">
        <f>VLOOKUP(B204,Índices!$A$2:$D$292,4,FALSE)</f>
        <v>6.1999999999999998E-3</v>
      </c>
      <c r="G204" s="13">
        <f t="shared" si="23"/>
        <v>7.3524297275534005</v>
      </c>
      <c r="H204" s="11" t="e">
        <f t="shared" si="24"/>
        <v>#REF!</v>
      </c>
      <c r="J204" s="15" t="e">
        <f t="shared" si="25"/>
        <v>#REF!</v>
      </c>
      <c r="K204" t="e">
        <f t="shared" si="26"/>
        <v>#REF!</v>
      </c>
    </row>
    <row r="205" spans="2:11">
      <c r="B205" s="6">
        <f t="shared" si="27"/>
        <v>40663</v>
      </c>
      <c r="C205" s="2" t="e">
        <f>IFERROR(VLOOKUP(B205,#REF!,2,FALSE),C204)</f>
        <v>#REF!</v>
      </c>
      <c r="D205" s="9" t="e">
        <f t="shared" si="21"/>
        <v>#REF!</v>
      </c>
      <c r="E205" s="13" t="e">
        <f t="shared" si="22"/>
        <v>#REF!</v>
      </c>
      <c r="F205" s="9">
        <f>VLOOKUP(B205,Índices!$A$2:$D$292,4,FALSE)</f>
        <v>4.4999999999999997E-3</v>
      </c>
      <c r="G205" s="13">
        <f t="shared" si="23"/>
        <v>7.38551566132739</v>
      </c>
      <c r="H205" s="11" t="e">
        <f t="shared" si="24"/>
        <v>#REF!</v>
      </c>
      <c r="J205" s="15" t="e">
        <f t="shared" si="25"/>
        <v>#REF!</v>
      </c>
      <c r="K205" t="e">
        <f t="shared" si="26"/>
        <v>#REF!</v>
      </c>
    </row>
    <row r="206" spans="2:11">
      <c r="B206" s="6">
        <f t="shared" si="27"/>
        <v>40694</v>
      </c>
      <c r="C206" s="2" t="e">
        <f>IFERROR(VLOOKUP(B206,#REF!,2,FALSE),C205)</f>
        <v>#REF!</v>
      </c>
      <c r="D206" s="9" t="e">
        <f t="shared" si="21"/>
        <v>#REF!</v>
      </c>
      <c r="E206" s="13" t="e">
        <f t="shared" si="22"/>
        <v>#REF!</v>
      </c>
      <c r="F206" s="9">
        <f>VLOOKUP(B206,Índices!$A$2:$D$292,4,FALSE)</f>
        <v>4.3E-3</v>
      </c>
      <c r="G206" s="13">
        <f t="shared" si="23"/>
        <v>7.4172733786710978</v>
      </c>
      <c r="H206" s="11" t="e">
        <f t="shared" si="24"/>
        <v>#REF!</v>
      </c>
      <c r="J206" s="15" t="e">
        <f t="shared" si="25"/>
        <v>#REF!</v>
      </c>
      <c r="K206" t="e">
        <f t="shared" si="26"/>
        <v>#REF!</v>
      </c>
    </row>
    <row r="207" spans="2:11">
      <c r="B207" s="6">
        <f t="shared" si="27"/>
        <v>40724</v>
      </c>
      <c r="C207" s="2" t="e">
        <f>IFERROR(VLOOKUP(B207,#REF!,2,FALSE),C206)</f>
        <v>#REF!</v>
      </c>
      <c r="D207" s="9" t="e">
        <f t="shared" si="21"/>
        <v>#REF!</v>
      </c>
      <c r="E207" s="13" t="e">
        <f t="shared" si="22"/>
        <v>#REF!</v>
      </c>
      <c r="F207" s="9">
        <f>VLOOKUP(B207,Índices!$A$2:$D$292,4,FALSE)</f>
        <v>-1.8E-3</v>
      </c>
      <c r="G207" s="13">
        <f t="shared" si="23"/>
        <v>7.4039222865894896</v>
      </c>
      <c r="H207" s="11" t="e">
        <f t="shared" si="24"/>
        <v>#REF!</v>
      </c>
      <c r="J207" s="15" t="e">
        <f t="shared" si="25"/>
        <v>#REF!</v>
      </c>
      <c r="K207" t="e">
        <f t="shared" si="26"/>
        <v>#REF!</v>
      </c>
    </row>
    <row r="208" spans="2:11">
      <c r="B208" s="6">
        <f t="shared" si="27"/>
        <v>40755</v>
      </c>
      <c r="C208" s="2" t="e">
        <f>IFERROR(VLOOKUP(B208,#REF!,2,FALSE),C207)</f>
        <v>#REF!</v>
      </c>
      <c r="D208" s="9" t="e">
        <f t="shared" ref="D208:D239" si="28">C208/C207-1</f>
        <v>#REF!</v>
      </c>
      <c r="E208" s="13" t="e">
        <f t="shared" ref="E208:E239" si="29">E207*(1+D208)</f>
        <v>#REF!</v>
      </c>
      <c r="F208" s="9">
        <f>VLOOKUP(B208,Índices!$A$2:$D$292,4,FALSE)</f>
        <v>-1.1999999999999999E-3</v>
      </c>
      <c r="G208" s="13">
        <f t="shared" ref="G208:G239" si="30">G207*(1+F208)</f>
        <v>7.3950375798455825</v>
      </c>
      <c r="H208" s="11" t="e">
        <f t="shared" ref="H208:H239" si="31">G208-E208</f>
        <v>#REF!</v>
      </c>
      <c r="J208" s="15" t="e">
        <f t="shared" ref="J208:J239" si="32">C208</f>
        <v>#REF!</v>
      </c>
      <c r="K208" t="e">
        <f t="shared" ref="K208:K239" si="33">$K$2*G208</f>
        <v>#REF!</v>
      </c>
    </row>
    <row r="209" spans="2:11">
      <c r="B209" s="6">
        <f t="shared" si="27"/>
        <v>40786</v>
      </c>
      <c r="C209" s="2" t="e">
        <f>IFERROR(VLOOKUP(B209,#REF!,2,FALSE),C208)</f>
        <v>#REF!</v>
      </c>
      <c r="D209" s="9" t="e">
        <f t="shared" si="28"/>
        <v>#REF!</v>
      </c>
      <c r="E209" s="13" t="e">
        <f t="shared" si="29"/>
        <v>#REF!</v>
      </c>
      <c r="F209" s="9">
        <f>VLOOKUP(B209,Índices!$A$2:$D$292,4,FALSE)</f>
        <v>4.4000000000000003E-3</v>
      </c>
      <c r="G209" s="13">
        <f t="shared" si="30"/>
        <v>7.4275757451969024</v>
      </c>
      <c r="H209" s="11" t="e">
        <f t="shared" si="31"/>
        <v>#REF!</v>
      </c>
      <c r="J209" s="15" t="e">
        <f t="shared" si="32"/>
        <v>#REF!</v>
      </c>
      <c r="K209" t="e">
        <f t="shared" si="33"/>
        <v>#REF!</v>
      </c>
    </row>
    <row r="210" spans="2:11">
      <c r="B210" s="6">
        <f t="shared" si="27"/>
        <v>40816</v>
      </c>
      <c r="C210" s="2" t="e">
        <f>IFERROR(VLOOKUP(B210,#REF!,2,FALSE),C209)</f>
        <v>#REF!</v>
      </c>
      <c r="D210" s="9" t="e">
        <f t="shared" si="28"/>
        <v>#REF!</v>
      </c>
      <c r="E210" s="13" t="e">
        <f t="shared" si="29"/>
        <v>#REF!</v>
      </c>
      <c r="F210" s="9">
        <f>VLOOKUP(B210,Índices!$A$2:$D$292,4,FALSE)</f>
        <v>6.4999999999999997E-3</v>
      </c>
      <c r="G210" s="13">
        <f t="shared" si="30"/>
        <v>7.4758549875406821</v>
      </c>
      <c r="H210" s="11" t="e">
        <f t="shared" si="31"/>
        <v>#REF!</v>
      </c>
      <c r="J210" s="15" t="e">
        <f t="shared" si="32"/>
        <v>#REF!</v>
      </c>
      <c r="K210" t="e">
        <f t="shared" si="33"/>
        <v>#REF!</v>
      </c>
    </row>
    <row r="211" spans="2:11">
      <c r="B211" s="6">
        <f t="shared" si="27"/>
        <v>40847</v>
      </c>
      <c r="C211" s="2" t="e">
        <f>IFERROR(VLOOKUP(B211,#REF!,2,FALSE),C210)</f>
        <v>#REF!</v>
      </c>
      <c r="D211" s="9" t="e">
        <f t="shared" si="28"/>
        <v>#REF!</v>
      </c>
      <c r="E211" s="13" t="e">
        <f t="shared" si="29"/>
        <v>#REF!</v>
      </c>
      <c r="F211" s="9">
        <f>VLOOKUP(B211,Índices!$A$2:$D$292,4,FALSE)</f>
        <v>5.3E-3</v>
      </c>
      <c r="G211" s="13">
        <f t="shared" si="30"/>
        <v>7.5154770189746483</v>
      </c>
      <c r="H211" s="11" t="e">
        <f t="shared" si="31"/>
        <v>#REF!</v>
      </c>
      <c r="J211" s="15" t="e">
        <f t="shared" si="32"/>
        <v>#REF!</v>
      </c>
      <c r="K211" t="e">
        <f t="shared" si="33"/>
        <v>#REF!</v>
      </c>
    </row>
    <row r="212" spans="2:11">
      <c r="B212" s="6">
        <f t="shared" si="27"/>
        <v>40877</v>
      </c>
      <c r="C212" s="2" t="e">
        <f>IFERROR(VLOOKUP(B212,#REF!,2,FALSE),C211)</f>
        <v>#REF!</v>
      </c>
      <c r="D212" s="9" t="e">
        <f t="shared" si="28"/>
        <v>#REF!</v>
      </c>
      <c r="E212" s="13" t="e">
        <f t="shared" si="29"/>
        <v>#REF!</v>
      </c>
      <c r="F212" s="9">
        <f>VLOOKUP(B212,Índices!$A$2:$D$292,4,FALSE)</f>
        <v>5.0000000000000001E-3</v>
      </c>
      <c r="G212" s="13">
        <f t="shared" si="30"/>
        <v>7.5530544040695204</v>
      </c>
      <c r="H212" s="11" t="e">
        <f t="shared" si="31"/>
        <v>#REF!</v>
      </c>
      <c r="J212" s="15" t="e">
        <f t="shared" si="32"/>
        <v>#REF!</v>
      </c>
      <c r="K212" t="e">
        <f t="shared" si="33"/>
        <v>#REF!</v>
      </c>
    </row>
    <row r="213" spans="2:11">
      <c r="B213" s="6">
        <f t="shared" si="27"/>
        <v>40908</v>
      </c>
      <c r="C213" s="2" t="e">
        <f>IFERROR(VLOOKUP(B213,#REF!,2,FALSE),C212)</f>
        <v>#REF!</v>
      </c>
      <c r="D213" s="9" t="e">
        <f t="shared" si="28"/>
        <v>#REF!</v>
      </c>
      <c r="E213" s="13" t="e">
        <f t="shared" si="29"/>
        <v>#REF!</v>
      </c>
      <c r="F213" s="9">
        <f>VLOOKUP(B213,Índices!$A$2:$D$292,4,FALSE)</f>
        <v>-1.1999999999999999E-3</v>
      </c>
      <c r="G213" s="13">
        <f t="shared" si="30"/>
        <v>7.543990738784637</v>
      </c>
      <c r="H213" s="11" t="e">
        <f t="shared" si="31"/>
        <v>#REF!</v>
      </c>
      <c r="J213" s="15" t="e">
        <f t="shared" si="32"/>
        <v>#REF!</v>
      </c>
      <c r="K213" t="e">
        <f t="shared" si="33"/>
        <v>#REF!</v>
      </c>
    </row>
    <row r="214" spans="2:11">
      <c r="B214" s="6">
        <f t="shared" si="27"/>
        <v>40939</v>
      </c>
      <c r="C214" s="2" t="e">
        <f>IFERROR(VLOOKUP(B214,#REF!,2,FALSE),C213)</f>
        <v>#REF!</v>
      </c>
      <c r="D214" s="9" t="e">
        <f t="shared" si="28"/>
        <v>#REF!</v>
      </c>
      <c r="E214" s="13" t="e">
        <f t="shared" si="29"/>
        <v>#REF!</v>
      </c>
      <c r="F214" s="9">
        <f>VLOOKUP(B214,Índices!$A$2:$D$292,4,FALSE)</f>
        <v>2.5000000000000001E-3</v>
      </c>
      <c r="G214" s="13">
        <f t="shared" si="30"/>
        <v>7.5628507156315985</v>
      </c>
      <c r="H214" s="11" t="e">
        <f t="shared" si="31"/>
        <v>#REF!</v>
      </c>
      <c r="J214" s="15" t="e">
        <f t="shared" si="32"/>
        <v>#REF!</v>
      </c>
      <c r="K214" t="e">
        <f t="shared" si="33"/>
        <v>#REF!</v>
      </c>
    </row>
    <row r="215" spans="2:11">
      <c r="B215" s="6">
        <f t="shared" si="27"/>
        <v>40968</v>
      </c>
      <c r="C215" s="2" t="e">
        <f>IFERROR(VLOOKUP(B215,#REF!,2,FALSE),C214)</f>
        <v>#REF!</v>
      </c>
      <c r="D215" s="9" t="e">
        <f t="shared" si="28"/>
        <v>#REF!</v>
      </c>
      <c r="E215" s="13" t="e">
        <f t="shared" si="29"/>
        <v>#REF!</v>
      </c>
      <c r="F215" s="9">
        <f>VLOOKUP(B215,Índices!$A$2:$D$292,4,FALSE)</f>
        <v>-5.9999999999999995E-4</v>
      </c>
      <c r="G215" s="13">
        <f t="shared" si="30"/>
        <v>7.5583130052022192</v>
      </c>
      <c r="H215" s="11" t="e">
        <f t="shared" si="31"/>
        <v>#REF!</v>
      </c>
      <c r="J215" s="15" t="e">
        <f t="shared" si="32"/>
        <v>#REF!</v>
      </c>
      <c r="K215" t="e">
        <f t="shared" si="33"/>
        <v>#REF!</v>
      </c>
    </row>
    <row r="216" spans="2:11">
      <c r="B216" s="6">
        <f t="shared" si="27"/>
        <v>40999</v>
      </c>
      <c r="C216" s="2" t="e">
        <f>IFERROR(VLOOKUP(B216,#REF!,2,FALSE),C215)</f>
        <v>#REF!</v>
      </c>
      <c r="D216" s="9" t="e">
        <f t="shared" si="28"/>
        <v>#REF!</v>
      </c>
      <c r="E216" s="13" t="e">
        <f t="shared" si="29"/>
        <v>#REF!</v>
      </c>
      <c r="F216" s="9">
        <f>VLOOKUP(B216,Índices!$A$2:$D$292,4,FALSE)</f>
        <v>4.3E-3</v>
      </c>
      <c r="G216" s="13">
        <f t="shared" si="30"/>
        <v>7.5908137511245881</v>
      </c>
      <c r="H216" s="11" t="e">
        <f t="shared" si="31"/>
        <v>#REF!</v>
      </c>
      <c r="J216" s="15" t="e">
        <f t="shared" si="32"/>
        <v>#REF!</v>
      </c>
      <c r="K216" t="e">
        <f t="shared" si="33"/>
        <v>#REF!</v>
      </c>
    </row>
    <row r="217" spans="2:11">
      <c r="B217" s="6">
        <f t="shared" si="27"/>
        <v>41029</v>
      </c>
      <c r="C217" s="2" t="e">
        <f>IFERROR(VLOOKUP(B217,#REF!,2,FALSE),C216)</f>
        <v>#REF!</v>
      </c>
      <c r="D217" s="9" t="e">
        <f t="shared" si="28"/>
        <v>#REF!</v>
      </c>
      <c r="E217" s="13" t="e">
        <f t="shared" si="29"/>
        <v>#REF!</v>
      </c>
      <c r="F217" s="9">
        <f>VLOOKUP(B217,Índices!$A$2:$D$292,4,FALSE)</f>
        <v>8.5000000000000006E-3</v>
      </c>
      <c r="G217" s="13">
        <f t="shared" si="30"/>
        <v>7.6553356680091467</v>
      </c>
      <c r="H217" s="11" t="e">
        <f t="shared" si="31"/>
        <v>#REF!</v>
      </c>
      <c r="J217" s="15" t="e">
        <f t="shared" si="32"/>
        <v>#REF!</v>
      </c>
      <c r="K217" t="e">
        <f t="shared" si="33"/>
        <v>#REF!</v>
      </c>
    </row>
    <row r="218" spans="2:11">
      <c r="B218" s="6">
        <f t="shared" si="27"/>
        <v>41060</v>
      </c>
      <c r="C218" s="2" t="e">
        <f>IFERROR(VLOOKUP(B218,#REF!,2,FALSE),C217)</f>
        <v>#REF!</v>
      </c>
      <c r="D218" s="9" t="e">
        <f t="shared" si="28"/>
        <v>#REF!</v>
      </c>
      <c r="E218" s="13" t="e">
        <f t="shared" si="29"/>
        <v>#REF!</v>
      </c>
      <c r="F218" s="9">
        <f>VLOOKUP(B218,Índices!$A$2:$D$292,4,FALSE)</f>
        <v>1.0200000000000001E-2</v>
      </c>
      <c r="G218" s="13">
        <f t="shared" si="30"/>
        <v>7.7334200918228397</v>
      </c>
      <c r="H218" s="11" t="e">
        <f t="shared" si="31"/>
        <v>#REF!</v>
      </c>
      <c r="J218" s="15" t="e">
        <f t="shared" si="32"/>
        <v>#REF!</v>
      </c>
      <c r="K218" t="e">
        <f t="shared" si="33"/>
        <v>#REF!</v>
      </c>
    </row>
    <row r="219" spans="2:11">
      <c r="B219" s="6">
        <f t="shared" si="27"/>
        <v>41090</v>
      </c>
      <c r="C219" s="2" t="e">
        <f>IFERROR(VLOOKUP(B219,#REF!,2,FALSE),C218)</f>
        <v>#REF!</v>
      </c>
      <c r="D219" s="9" t="e">
        <f t="shared" si="28"/>
        <v>#REF!</v>
      </c>
      <c r="E219" s="13" t="e">
        <f t="shared" si="29"/>
        <v>#REF!</v>
      </c>
      <c r="F219" s="9">
        <f>VLOOKUP(B219,Índices!$A$2:$D$292,4,FALSE)</f>
        <v>6.6E-3</v>
      </c>
      <c r="G219" s="13">
        <f t="shared" si="30"/>
        <v>7.7844606644288703</v>
      </c>
      <c r="H219" s="11" t="e">
        <f t="shared" si="31"/>
        <v>#REF!</v>
      </c>
      <c r="J219" s="15" t="e">
        <f t="shared" si="32"/>
        <v>#REF!</v>
      </c>
      <c r="K219" t="e">
        <f t="shared" si="33"/>
        <v>#REF!</v>
      </c>
    </row>
    <row r="220" spans="2:11">
      <c r="B220" s="6">
        <f t="shared" si="27"/>
        <v>41121</v>
      </c>
      <c r="C220" s="2" t="e">
        <f>IFERROR(VLOOKUP(B220,#REF!,2,FALSE),C219)</f>
        <v>#REF!</v>
      </c>
      <c r="D220" s="9" t="e">
        <f t="shared" si="28"/>
        <v>#REF!</v>
      </c>
      <c r="E220" s="13" t="e">
        <f t="shared" si="29"/>
        <v>#REF!</v>
      </c>
      <c r="F220" s="9">
        <f>VLOOKUP(B220,Índices!$A$2:$D$292,4,FALSE)</f>
        <v>1.34E-2</v>
      </c>
      <c r="G220" s="13">
        <f t="shared" si="30"/>
        <v>7.8887724373322179</v>
      </c>
      <c r="H220" s="11" t="e">
        <f t="shared" si="31"/>
        <v>#REF!</v>
      </c>
      <c r="J220" s="15" t="e">
        <f t="shared" si="32"/>
        <v>#REF!</v>
      </c>
      <c r="K220" t="e">
        <f t="shared" si="33"/>
        <v>#REF!</v>
      </c>
    </row>
    <row r="221" spans="2:11">
      <c r="B221" s="6">
        <f t="shared" si="27"/>
        <v>41152</v>
      </c>
      <c r="C221" s="2" t="e">
        <f>IFERROR(VLOOKUP(B221,#REF!,2,FALSE),C220)</f>
        <v>#REF!</v>
      </c>
      <c r="D221" s="9" t="e">
        <f t="shared" si="28"/>
        <v>#REF!</v>
      </c>
      <c r="E221" s="13" t="e">
        <f t="shared" si="29"/>
        <v>#REF!</v>
      </c>
      <c r="F221" s="9">
        <f>VLOOKUP(B221,Índices!$A$2:$D$292,4,FALSE)</f>
        <v>1.43E-2</v>
      </c>
      <c r="G221" s="13">
        <f t="shared" si="30"/>
        <v>8.0015818831860681</v>
      </c>
      <c r="H221" s="11" t="e">
        <f t="shared" si="31"/>
        <v>#REF!</v>
      </c>
      <c r="J221" s="15" t="e">
        <f t="shared" si="32"/>
        <v>#REF!</v>
      </c>
      <c r="K221" t="e">
        <f t="shared" si="33"/>
        <v>#REF!</v>
      </c>
    </row>
    <row r="222" spans="2:11">
      <c r="B222" s="6">
        <f t="shared" si="27"/>
        <v>41182</v>
      </c>
      <c r="C222" s="2" t="e">
        <f>IFERROR(VLOOKUP(B222,#REF!,2,FALSE),C221)</f>
        <v>#REF!</v>
      </c>
      <c r="D222" s="9" t="e">
        <f t="shared" si="28"/>
        <v>#REF!</v>
      </c>
      <c r="E222" s="13" t="e">
        <f t="shared" si="29"/>
        <v>#REF!</v>
      </c>
      <c r="F222" s="9">
        <f>VLOOKUP(B222,Índices!$A$2:$D$292,4,FALSE)</f>
        <v>9.7000000000000003E-3</v>
      </c>
      <c r="G222" s="13">
        <f t="shared" si="30"/>
        <v>8.0791972274529726</v>
      </c>
      <c r="H222" s="11" t="e">
        <f t="shared" si="31"/>
        <v>#REF!</v>
      </c>
      <c r="J222" s="15" t="e">
        <f t="shared" si="32"/>
        <v>#REF!</v>
      </c>
      <c r="K222" t="e">
        <f t="shared" si="33"/>
        <v>#REF!</v>
      </c>
    </row>
    <row r="223" spans="2:11">
      <c r="B223" s="6">
        <f t="shared" si="27"/>
        <v>41213</v>
      </c>
      <c r="C223" s="2" t="e">
        <f>IFERROR(VLOOKUP(B223,#REF!,2,FALSE),C222)</f>
        <v>#REF!</v>
      </c>
      <c r="D223" s="9" t="e">
        <f t="shared" si="28"/>
        <v>#REF!</v>
      </c>
      <c r="E223" s="13" t="e">
        <f t="shared" si="29"/>
        <v>#REF!</v>
      </c>
      <c r="F223" s="9">
        <f>VLOOKUP(B223,Índices!$A$2:$D$292,4,FALSE)</f>
        <v>2.0000000000000001E-4</v>
      </c>
      <c r="G223" s="13">
        <f t="shared" si="30"/>
        <v>8.0808130668984628</v>
      </c>
      <c r="H223" s="11" t="e">
        <f t="shared" si="31"/>
        <v>#REF!</v>
      </c>
      <c r="J223" s="15" t="e">
        <f t="shared" si="32"/>
        <v>#REF!</v>
      </c>
      <c r="K223" t="e">
        <f t="shared" si="33"/>
        <v>#REF!</v>
      </c>
    </row>
    <row r="224" spans="2:11">
      <c r="B224" s="6">
        <f t="shared" si="27"/>
        <v>41243</v>
      </c>
      <c r="C224" s="2" t="e">
        <f>IFERROR(VLOOKUP(B224,#REF!,2,FALSE),C223)</f>
        <v>#REF!</v>
      </c>
      <c r="D224" s="9" t="e">
        <f t="shared" si="28"/>
        <v>#REF!</v>
      </c>
      <c r="E224" s="13" t="e">
        <f t="shared" si="29"/>
        <v>#REF!</v>
      </c>
      <c r="F224" s="9">
        <f>VLOOKUP(B224,Índices!$A$2:$D$292,4,FALSE)</f>
        <v>-2.9999999999999997E-4</v>
      </c>
      <c r="G224" s="13">
        <f t="shared" si="30"/>
        <v>8.0783888229783933</v>
      </c>
      <c r="H224" s="11" t="e">
        <f t="shared" si="31"/>
        <v>#REF!</v>
      </c>
      <c r="J224" s="15" t="e">
        <f t="shared" si="32"/>
        <v>#REF!</v>
      </c>
      <c r="K224" t="e">
        <f t="shared" si="33"/>
        <v>#REF!</v>
      </c>
    </row>
    <row r="225" spans="2:11">
      <c r="B225" s="6">
        <f t="shared" si="27"/>
        <v>41274</v>
      </c>
      <c r="C225" s="2" t="e">
        <f>IFERROR(VLOOKUP(B225,#REF!,2,FALSE),C224)</f>
        <v>#REF!</v>
      </c>
      <c r="D225" s="9" t="e">
        <f t="shared" si="28"/>
        <v>#REF!</v>
      </c>
      <c r="E225" s="13" t="e">
        <f t="shared" si="29"/>
        <v>#REF!</v>
      </c>
      <c r="F225" s="9">
        <f>VLOOKUP(B225,Índices!$A$2:$D$292,4,FALSE)</f>
        <v>6.7999999999999996E-3</v>
      </c>
      <c r="G225" s="13">
        <f t="shared" si="30"/>
        <v>8.1333218669746454</v>
      </c>
      <c r="H225" s="11" t="e">
        <f t="shared" si="31"/>
        <v>#REF!</v>
      </c>
      <c r="J225" s="15" t="e">
        <f t="shared" si="32"/>
        <v>#REF!</v>
      </c>
      <c r="K225" t="e">
        <f t="shared" si="33"/>
        <v>#REF!</v>
      </c>
    </row>
    <row r="226" spans="2:11">
      <c r="B226" s="6">
        <f t="shared" si="27"/>
        <v>41305</v>
      </c>
      <c r="C226" s="2" t="e">
        <f>IFERROR(VLOOKUP(B226,#REF!,2,FALSE),C225)</f>
        <v>#REF!</v>
      </c>
      <c r="D226" s="9" t="e">
        <f t="shared" si="28"/>
        <v>#REF!</v>
      </c>
      <c r="E226" s="13" t="e">
        <f t="shared" si="29"/>
        <v>#REF!</v>
      </c>
      <c r="F226" s="9">
        <f>VLOOKUP(B226,Índices!$A$2:$D$292,4,FALSE)</f>
        <v>3.3999999999999998E-3</v>
      </c>
      <c r="G226" s="13">
        <f t="shared" si="30"/>
        <v>8.1609751613223604</v>
      </c>
      <c r="H226" s="11" t="e">
        <f t="shared" si="31"/>
        <v>#REF!</v>
      </c>
      <c r="J226" s="15" t="e">
        <f t="shared" si="32"/>
        <v>#REF!</v>
      </c>
      <c r="K226" t="e">
        <f t="shared" si="33"/>
        <v>#REF!</v>
      </c>
    </row>
    <row r="227" spans="2:11">
      <c r="B227" s="6">
        <f t="shared" si="27"/>
        <v>41333</v>
      </c>
      <c r="C227" s="2" t="e">
        <f>IFERROR(VLOOKUP(B227,#REF!,2,FALSE),C226)</f>
        <v>#REF!</v>
      </c>
      <c r="D227" s="9" t="e">
        <f t="shared" si="28"/>
        <v>#REF!</v>
      </c>
      <c r="E227" s="13" t="e">
        <f t="shared" si="29"/>
        <v>#REF!</v>
      </c>
      <c r="F227" s="9">
        <f>VLOOKUP(B227,Índices!$A$2:$D$292,4,FALSE)</f>
        <v>2.8999999999999998E-3</v>
      </c>
      <c r="G227" s="13">
        <f t="shared" si="30"/>
        <v>8.1846419892901938</v>
      </c>
      <c r="H227" s="11" t="e">
        <f t="shared" si="31"/>
        <v>#REF!</v>
      </c>
      <c r="J227" s="15" t="e">
        <f t="shared" si="32"/>
        <v>#REF!</v>
      </c>
      <c r="K227" t="e">
        <f t="shared" si="33"/>
        <v>#REF!</v>
      </c>
    </row>
    <row r="228" spans="2:11">
      <c r="B228" s="6">
        <f t="shared" si="27"/>
        <v>41364</v>
      </c>
      <c r="C228" s="2" t="e">
        <f>IFERROR(VLOOKUP(B228,#REF!,2,FALSE),C227)</f>
        <v>#REF!</v>
      </c>
      <c r="D228" s="9" t="e">
        <f t="shared" si="28"/>
        <v>#REF!</v>
      </c>
      <c r="E228" s="13" t="e">
        <f t="shared" si="29"/>
        <v>#REF!</v>
      </c>
      <c r="F228" s="9">
        <f>VLOOKUP(B228,Índices!$A$2:$D$292,4,FALSE)</f>
        <v>2.0999999999999999E-3</v>
      </c>
      <c r="G228" s="13">
        <f t="shared" si="30"/>
        <v>8.2018297374677029</v>
      </c>
      <c r="H228" s="11" t="e">
        <f t="shared" si="31"/>
        <v>#REF!</v>
      </c>
      <c r="J228" s="15" t="e">
        <f t="shared" si="32"/>
        <v>#REF!</v>
      </c>
      <c r="K228" t="e">
        <f t="shared" si="33"/>
        <v>#REF!</v>
      </c>
    </row>
    <row r="229" spans="2:11">
      <c r="B229" s="6">
        <f t="shared" si="27"/>
        <v>41394</v>
      </c>
      <c r="C229" s="2" t="e">
        <f>IFERROR(VLOOKUP(B229,#REF!,2,FALSE),C228)</f>
        <v>#REF!</v>
      </c>
      <c r="D229" s="9" t="e">
        <f t="shared" si="28"/>
        <v>#REF!</v>
      </c>
      <c r="E229" s="13" t="e">
        <f t="shared" si="29"/>
        <v>#REF!</v>
      </c>
      <c r="F229" s="9">
        <f>VLOOKUP(B229,Índices!$A$2:$D$292,4,FALSE)</f>
        <v>1.5E-3</v>
      </c>
      <c r="G229" s="13">
        <f t="shared" si="30"/>
        <v>8.2141324820739055</v>
      </c>
      <c r="H229" s="11" t="e">
        <f t="shared" si="31"/>
        <v>#REF!</v>
      </c>
      <c r="J229" s="15" t="e">
        <f t="shared" si="32"/>
        <v>#REF!</v>
      </c>
      <c r="K229" t="e">
        <f t="shared" si="33"/>
        <v>#REF!</v>
      </c>
    </row>
    <row r="230" spans="2:11">
      <c r="B230" s="6">
        <f t="shared" si="27"/>
        <v>41425</v>
      </c>
      <c r="C230" s="2" t="e">
        <f>IFERROR(VLOOKUP(B230,#REF!,2,FALSE),C229)</f>
        <v>#REF!</v>
      </c>
      <c r="D230" s="9" t="e">
        <f t="shared" si="28"/>
        <v>#REF!</v>
      </c>
      <c r="E230" s="13" t="e">
        <f t="shared" si="29"/>
        <v>#REF!</v>
      </c>
      <c r="F230" s="9">
        <f>VLOOKUP(B230,Índices!$A$2:$D$292,4,FALSE)</f>
        <v>0</v>
      </c>
      <c r="G230" s="13">
        <f t="shared" si="30"/>
        <v>8.2141324820739055</v>
      </c>
      <c r="H230" s="11" t="e">
        <f t="shared" si="31"/>
        <v>#REF!</v>
      </c>
      <c r="J230" s="15" t="e">
        <f t="shared" si="32"/>
        <v>#REF!</v>
      </c>
      <c r="K230" t="e">
        <f t="shared" si="33"/>
        <v>#REF!</v>
      </c>
    </row>
    <row r="231" spans="2:11">
      <c r="B231" s="6">
        <f t="shared" si="27"/>
        <v>41455</v>
      </c>
      <c r="C231" s="2" t="e">
        <f>IFERROR(VLOOKUP(B231,#REF!,2,FALSE),C230)</f>
        <v>#REF!</v>
      </c>
      <c r="D231" s="9" t="e">
        <f t="shared" si="28"/>
        <v>#REF!</v>
      </c>
      <c r="E231" s="13" t="e">
        <f t="shared" si="29"/>
        <v>#REF!</v>
      </c>
      <c r="F231" s="9">
        <f>VLOOKUP(B231,Índices!$A$2:$D$292,4,FALSE)</f>
        <v>7.4999999999999997E-3</v>
      </c>
      <c r="G231" s="13">
        <f t="shared" si="30"/>
        <v>8.2757384756894599</v>
      </c>
      <c r="H231" s="11" t="e">
        <f t="shared" si="31"/>
        <v>#REF!</v>
      </c>
      <c r="J231" s="15" t="e">
        <f t="shared" si="32"/>
        <v>#REF!</v>
      </c>
      <c r="K231" t="e">
        <f t="shared" si="33"/>
        <v>#REF!</v>
      </c>
    </row>
    <row r="232" spans="2:11">
      <c r="B232" s="6">
        <f t="shared" si="27"/>
        <v>41486</v>
      </c>
      <c r="C232" s="2" t="e">
        <f>IFERROR(VLOOKUP(B232,#REF!,2,FALSE),C231)</f>
        <v>#REF!</v>
      </c>
      <c r="D232" s="9" t="e">
        <f t="shared" si="28"/>
        <v>#REF!</v>
      </c>
      <c r="E232" s="13" t="e">
        <f t="shared" si="29"/>
        <v>#REF!</v>
      </c>
      <c r="F232" s="9">
        <f>VLOOKUP(B232,Índices!$A$2:$D$292,4,FALSE)</f>
        <v>2.5999999999999999E-3</v>
      </c>
      <c r="G232" s="13">
        <f t="shared" si="30"/>
        <v>8.2972553957262516</v>
      </c>
      <c r="H232" s="11" t="e">
        <f t="shared" si="31"/>
        <v>#REF!</v>
      </c>
      <c r="J232" s="15" t="e">
        <f t="shared" si="32"/>
        <v>#REF!</v>
      </c>
      <c r="K232" t="e">
        <f t="shared" si="33"/>
        <v>#REF!</v>
      </c>
    </row>
    <row r="233" spans="2:11">
      <c r="B233" s="6">
        <f t="shared" si="27"/>
        <v>41517</v>
      </c>
      <c r="C233" s="2" t="e">
        <f>IFERROR(VLOOKUP(B233,#REF!,2,FALSE),C232)</f>
        <v>#REF!</v>
      </c>
      <c r="D233" s="9" t="e">
        <f t="shared" si="28"/>
        <v>#REF!</v>
      </c>
      <c r="E233" s="13" t="e">
        <f t="shared" si="29"/>
        <v>#REF!</v>
      </c>
      <c r="F233" s="9">
        <f>VLOOKUP(B233,Índices!$A$2:$D$292,4,FALSE)</f>
        <v>1.5E-3</v>
      </c>
      <c r="G233" s="13">
        <f t="shared" si="30"/>
        <v>8.3097012788198406</v>
      </c>
      <c r="H233" s="11" t="e">
        <f t="shared" si="31"/>
        <v>#REF!</v>
      </c>
      <c r="J233" s="15" t="e">
        <f t="shared" si="32"/>
        <v>#REF!</v>
      </c>
      <c r="K233" t="e">
        <f t="shared" si="33"/>
        <v>#REF!</v>
      </c>
    </row>
    <row r="234" spans="2:11">
      <c r="B234" s="6">
        <f t="shared" si="27"/>
        <v>41547</v>
      </c>
      <c r="C234" s="2" t="e">
        <f>IFERROR(VLOOKUP(B234,#REF!,2,FALSE),C233)</f>
        <v>#REF!</v>
      </c>
      <c r="D234" s="9" t="e">
        <f t="shared" si="28"/>
        <v>#REF!</v>
      </c>
      <c r="E234" s="13" t="e">
        <f t="shared" si="29"/>
        <v>#REF!</v>
      </c>
      <c r="F234" s="9">
        <f>VLOOKUP(B234,Índices!$A$2:$D$292,4,FALSE)</f>
        <v>1.4999999999999999E-2</v>
      </c>
      <c r="G234" s="13">
        <f t="shared" si="30"/>
        <v>8.4343467980021369</v>
      </c>
      <c r="H234" s="11" t="e">
        <f t="shared" si="31"/>
        <v>#REF!</v>
      </c>
      <c r="J234" s="15" t="e">
        <f t="shared" si="32"/>
        <v>#REF!</v>
      </c>
      <c r="K234" t="e">
        <f t="shared" si="33"/>
        <v>#REF!</v>
      </c>
    </row>
    <row r="235" spans="2:11">
      <c r="B235" s="6">
        <f t="shared" si="27"/>
        <v>41578</v>
      </c>
      <c r="C235" s="2" t="e">
        <f>IFERROR(VLOOKUP(B235,#REF!,2,FALSE),C234)</f>
        <v>#REF!</v>
      </c>
      <c r="D235" s="9" t="e">
        <f t="shared" si="28"/>
        <v>#REF!</v>
      </c>
      <c r="E235" s="13" t="e">
        <f t="shared" si="29"/>
        <v>#REF!</v>
      </c>
      <c r="F235" s="9">
        <f>VLOOKUP(B235,Índices!$A$2:$D$292,4,FALSE)</f>
        <v>8.6E-3</v>
      </c>
      <c r="G235" s="13">
        <f t="shared" si="30"/>
        <v>8.5068821804649541</v>
      </c>
      <c r="H235" s="11" t="e">
        <f t="shared" si="31"/>
        <v>#REF!</v>
      </c>
      <c r="J235" s="15" t="e">
        <f t="shared" si="32"/>
        <v>#REF!</v>
      </c>
      <c r="K235" t="e">
        <f t="shared" si="33"/>
        <v>#REF!</v>
      </c>
    </row>
    <row r="236" spans="2:11">
      <c r="B236" s="6">
        <f t="shared" si="27"/>
        <v>41608</v>
      </c>
      <c r="C236" s="2" t="e">
        <f>IFERROR(VLOOKUP(B236,#REF!,2,FALSE),C235)</f>
        <v>#REF!</v>
      </c>
      <c r="D236" s="9" t="e">
        <f t="shared" si="28"/>
        <v>#REF!</v>
      </c>
      <c r="E236" s="13" t="e">
        <f t="shared" si="29"/>
        <v>#REF!</v>
      </c>
      <c r="F236" s="9">
        <f>VLOOKUP(B236,Índices!$A$2:$D$292,4,FALSE)</f>
        <v>2.8999999999999998E-3</v>
      </c>
      <c r="G236" s="13">
        <f t="shared" si="30"/>
        <v>8.5315521387883013</v>
      </c>
      <c r="H236" s="11" t="e">
        <f t="shared" si="31"/>
        <v>#REF!</v>
      </c>
      <c r="J236" s="15" t="e">
        <f t="shared" si="32"/>
        <v>#REF!</v>
      </c>
      <c r="K236" t="e">
        <f t="shared" si="33"/>
        <v>#REF!</v>
      </c>
    </row>
    <row r="237" spans="2:11">
      <c r="B237" s="6">
        <f t="shared" si="27"/>
        <v>41639</v>
      </c>
      <c r="C237" s="2" t="e">
        <f>IFERROR(VLOOKUP(B237,#REF!,2,FALSE),C236)</f>
        <v>#REF!</v>
      </c>
      <c r="D237" s="9" t="e">
        <f t="shared" si="28"/>
        <v>#REF!</v>
      </c>
      <c r="E237" s="13" t="e">
        <f t="shared" si="29"/>
        <v>#REF!</v>
      </c>
      <c r="F237" s="9">
        <f>VLOOKUP(B237,Índices!$A$2:$D$292,4,FALSE)</f>
        <v>6.0000000000000001E-3</v>
      </c>
      <c r="G237" s="13">
        <f t="shared" si="30"/>
        <v>8.5827414516210307</v>
      </c>
      <c r="H237" s="11" t="e">
        <f t="shared" si="31"/>
        <v>#REF!</v>
      </c>
      <c r="J237" s="15" t="e">
        <f t="shared" si="32"/>
        <v>#REF!</v>
      </c>
      <c r="K237" t="e">
        <f t="shared" si="33"/>
        <v>#REF!</v>
      </c>
    </row>
    <row r="238" spans="2:11">
      <c r="B238" s="6">
        <f t="shared" si="27"/>
        <v>41670</v>
      </c>
      <c r="C238" s="2" t="e">
        <f>IFERROR(VLOOKUP(B238,#REF!,2,FALSE),C237)</f>
        <v>#REF!</v>
      </c>
      <c r="D238" s="9" t="e">
        <f t="shared" si="28"/>
        <v>#REF!</v>
      </c>
      <c r="E238" s="13" t="e">
        <f t="shared" si="29"/>
        <v>#REF!</v>
      </c>
      <c r="F238" s="9">
        <f>VLOOKUP(B238,Índices!$A$2:$D$292,4,FALSE)</f>
        <v>4.7999999999999996E-3</v>
      </c>
      <c r="G238" s="13">
        <f t="shared" si="30"/>
        <v>8.6239386105888105</v>
      </c>
      <c r="H238" s="11" t="e">
        <f t="shared" si="31"/>
        <v>#REF!</v>
      </c>
      <c r="J238" s="15" t="e">
        <f t="shared" si="32"/>
        <v>#REF!</v>
      </c>
      <c r="K238" t="e">
        <f t="shared" si="33"/>
        <v>#REF!</v>
      </c>
    </row>
    <row r="239" spans="2:11">
      <c r="B239" s="6">
        <f t="shared" si="27"/>
        <v>41698</v>
      </c>
      <c r="C239" s="2" t="e">
        <f>IFERROR(VLOOKUP(B239,#REF!,2,FALSE),C238)</f>
        <v>#REF!</v>
      </c>
      <c r="D239" s="9" t="e">
        <f t="shared" si="28"/>
        <v>#REF!</v>
      </c>
      <c r="E239" s="13" t="e">
        <f t="shared" si="29"/>
        <v>#REF!</v>
      </c>
      <c r="F239" s="9">
        <f>VLOOKUP(B239,Índices!$A$2:$D$292,4,FALSE)</f>
        <v>3.8E-3</v>
      </c>
      <c r="G239" s="13">
        <f t="shared" si="30"/>
        <v>8.6567095773090479</v>
      </c>
      <c r="H239" s="11" t="e">
        <f t="shared" si="31"/>
        <v>#REF!</v>
      </c>
      <c r="J239" s="15" t="e">
        <f t="shared" si="32"/>
        <v>#REF!</v>
      </c>
      <c r="K239" t="e">
        <f t="shared" si="33"/>
        <v>#REF!</v>
      </c>
    </row>
    <row r="240" spans="2:11">
      <c r="B240" s="6"/>
      <c r="C240" s="2"/>
      <c r="E240" s="13"/>
      <c r="G240" s="13"/>
      <c r="H240" s="11"/>
      <c r="J240" s="15"/>
    </row>
    <row r="241" spans="2:10">
      <c r="B241" s="6"/>
      <c r="C241" s="2"/>
      <c r="E241" s="13"/>
      <c r="G241" s="13"/>
      <c r="H241" s="11"/>
      <c r="J241" s="15"/>
    </row>
    <row r="242" spans="2:10">
      <c r="B242" s="6"/>
      <c r="C242" s="2"/>
      <c r="E242" s="13"/>
      <c r="G242" s="13"/>
      <c r="H242" s="11"/>
      <c r="J242" s="15"/>
    </row>
    <row r="243" spans="2:10">
      <c r="B243" s="6"/>
      <c r="C243" s="2"/>
      <c r="E243" s="13"/>
      <c r="G243" s="13"/>
      <c r="H243" s="11"/>
      <c r="J243" s="15"/>
    </row>
    <row r="244" spans="2:10">
      <c r="B244" s="6"/>
      <c r="C244" s="2"/>
      <c r="E244" s="13"/>
      <c r="G244" s="13"/>
      <c r="H244" s="11"/>
      <c r="J244" s="15"/>
    </row>
    <row r="245" spans="2:10">
      <c r="B245" s="6"/>
    </row>
    <row r="246" spans="2:10">
      <c r="B246" s="6"/>
    </row>
    <row r="247" spans="2:10">
      <c r="B247" s="6"/>
    </row>
    <row r="248" spans="2:10">
      <c r="B248" s="6"/>
    </row>
    <row r="249" spans="2:10">
      <c r="B249" s="6"/>
    </row>
    <row r="250" spans="2:10">
      <c r="B250" s="6"/>
    </row>
    <row r="251" spans="2:10">
      <c r="B251" s="6"/>
    </row>
    <row r="252" spans="2:10">
      <c r="B252" s="6"/>
    </row>
    <row r="253" spans="2:10">
      <c r="B253" s="6"/>
    </row>
    <row r="254" spans="2:10">
      <c r="B254" s="6"/>
    </row>
    <row r="255" spans="2:10">
      <c r="B255" s="6"/>
    </row>
    <row r="256" spans="2:10">
      <c r="B256" s="6"/>
    </row>
    <row r="257" spans="2:2">
      <c r="B257" s="6"/>
    </row>
    <row r="258" spans="2:2">
      <c r="B258" s="6"/>
    </row>
    <row r="259" spans="2:2">
      <c r="B259" s="6"/>
    </row>
    <row r="260" spans="2:2">
      <c r="B260" s="6"/>
    </row>
    <row r="261" spans="2:2">
      <c r="B261" s="6"/>
    </row>
    <row r="262" spans="2:2">
      <c r="B262" s="6"/>
    </row>
    <row r="263" spans="2:2">
      <c r="B263" s="6"/>
    </row>
    <row r="264" spans="2:2">
      <c r="B264" s="6"/>
    </row>
    <row r="265" spans="2:2">
      <c r="B265" s="6"/>
    </row>
    <row r="266" spans="2:2">
      <c r="B266" s="6"/>
    </row>
    <row r="267" spans="2:2">
      <c r="B267" s="6"/>
    </row>
    <row r="268" spans="2:2">
      <c r="B268" s="6"/>
    </row>
    <row r="269" spans="2:2">
      <c r="B269" s="6"/>
    </row>
    <row r="270" spans="2:2">
      <c r="B270" s="6"/>
    </row>
    <row r="271" spans="2:2">
      <c r="B271" s="6"/>
    </row>
    <row r="272" spans="2:2">
      <c r="B272" s="6"/>
    </row>
    <row r="273" spans="2:2">
      <c r="B273" s="6"/>
    </row>
    <row r="274" spans="2:2">
      <c r="B274" s="6"/>
    </row>
    <row r="275" spans="2:2">
      <c r="B275" s="6"/>
    </row>
    <row r="276" spans="2:2">
      <c r="B276" s="6"/>
    </row>
    <row r="277" spans="2:2">
      <c r="B277" s="6"/>
    </row>
    <row r="278" spans="2:2">
      <c r="B278" s="6"/>
    </row>
    <row r="279" spans="2:2">
      <c r="B279" s="6"/>
    </row>
    <row r="280" spans="2:2">
      <c r="B280" s="6"/>
    </row>
    <row r="281" spans="2:2">
      <c r="B281" s="6"/>
    </row>
    <row r="282" spans="2:2">
      <c r="B282" s="6"/>
    </row>
    <row r="283" spans="2:2">
      <c r="B283" s="6"/>
    </row>
    <row r="284" spans="2:2">
      <c r="B284" s="6"/>
    </row>
    <row r="285" spans="2:2">
      <c r="B285" s="6"/>
    </row>
    <row r="286" spans="2:2">
      <c r="B286" s="6"/>
    </row>
    <row r="287" spans="2:2">
      <c r="B287" s="6"/>
    </row>
    <row r="288" spans="2:2">
      <c r="B288" s="6"/>
    </row>
    <row r="289" spans="2:2">
      <c r="B289" s="6"/>
    </row>
    <row r="290" spans="2:2">
      <c r="B290" s="6"/>
    </row>
    <row r="291" spans="2:2">
      <c r="B291" s="6"/>
    </row>
    <row r="292" spans="2:2">
      <c r="B292" s="6"/>
    </row>
    <row r="293" spans="2:2">
      <c r="B293" s="6"/>
    </row>
    <row r="294" spans="2:2">
      <c r="B294" s="6"/>
    </row>
    <row r="295" spans="2:2">
      <c r="B295" s="6"/>
    </row>
    <row r="296" spans="2:2">
      <c r="B296" s="6"/>
    </row>
    <row r="297" spans="2:2">
      <c r="B297" s="6"/>
    </row>
    <row r="298" spans="2:2">
      <c r="B298" s="6"/>
    </row>
    <row r="299" spans="2:2">
      <c r="B299" s="6"/>
    </row>
    <row r="300" spans="2:2">
      <c r="B300" s="6"/>
    </row>
    <row r="301" spans="2:2">
      <c r="B301" s="6"/>
    </row>
    <row r="302" spans="2:2">
      <c r="B302" s="6"/>
    </row>
    <row r="303" spans="2:2">
      <c r="B303" s="6"/>
    </row>
    <row r="304" spans="2:2">
      <c r="B304" s="6"/>
    </row>
    <row r="305" spans="2:2">
      <c r="B305" s="6"/>
    </row>
    <row r="306" spans="2:2">
      <c r="B306" s="6"/>
    </row>
    <row r="307" spans="2:2">
      <c r="B307" s="6"/>
    </row>
    <row r="308" spans="2:2">
      <c r="B308" s="6"/>
    </row>
    <row r="309" spans="2:2">
      <c r="B309" s="6"/>
    </row>
    <row r="310" spans="2:2">
      <c r="B310" s="6"/>
    </row>
    <row r="311" spans="2:2">
      <c r="B311" s="6"/>
    </row>
    <row r="312" spans="2:2">
      <c r="B312" s="6"/>
    </row>
    <row r="313" spans="2:2">
      <c r="B313" s="6"/>
    </row>
    <row r="314" spans="2:2">
      <c r="B314" s="6"/>
    </row>
    <row r="315" spans="2:2">
      <c r="B315" s="6"/>
    </row>
    <row r="316" spans="2:2">
      <c r="B316" s="6"/>
    </row>
    <row r="317" spans="2:2">
      <c r="B317" s="6"/>
    </row>
    <row r="318" spans="2:2">
      <c r="B318" s="6"/>
    </row>
    <row r="319" spans="2:2">
      <c r="B319" s="6"/>
    </row>
    <row r="320" spans="2:2">
      <c r="B320" s="6"/>
    </row>
    <row r="321" spans="2:2">
      <c r="B321" s="6"/>
    </row>
    <row r="322" spans="2:2">
      <c r="B322" s="6"/>
    </row>
    <row r="323" spans="2:2">
      <c r="B323" s="6"/>
    </row>
    <row r="324" spans="2:2">
      <c r="B324" s="6"/>
    </row>
    <row r="325" spans="2:2">
      <c r="B325" s="6"/>
    </row>
    <row r="326" spans="2:2">
      <c r="B326" s="6"/>
    </row>
    <row r="327" spans="2:2">
      <c r="B327" s="6"/>
    </row>
    <row r="328" spans="2:2">
      <c r="B328" s="6"/>
    </row>
    <row r="329" spans="2:2">
      <c r="B329" s="6"/>
    </row>
    <row r="330" spans="2:2">
      <c r="B330" s="6"/>
    </row>
    <row r="331" spans="2:2">
      <c r="B331" s="6"/>
    </row>
    <row r="332" spans="2:2">
      <c r="B332" s="6"/>
    </row>
    <row r="333" spans="2:2">
      <c r="B333" s="6"/>
    </row>
    <row r="334" spans="2:2">
      <c r="B334" s="6"/>
    </row>
    <row r="335" spans="2:2">
      <c r="B335" s="6"/>
    </row>
    <row r="336" spans="2:2">
      <c r="B336" s="6"/>
    </row>
    <row r="337" spans="2:2">
      <c r="B337" s="6"/>
    </row>
    <row r="338" spans="2:2">
      <c r="B338" s="6"/>
    </row>
    <row r="339" spans="2:2">
      <c r="B339" s="6"/>
    </row>
    <row r="340" spans="2:2">
      <c r="B340" s="6"/>
    </row>
    <row r="341" spans="2:2">
      <c r="B341" s="6"/>
    </row>
    <row r="342" spans="2:2">
      <c r="B342" s="6"/>
    </row>
    <row r="343" spans="2:2">
      <c r="B343" s="6"/>
    </row>
    <row r="344" spans="2:2">
      <c r="B344" s="6"/>
    </row>
    <row r="345" spans="2:2">
      <c r="B345" s="6"/>
    </row>
    <row r="346" spans="2:2">
      <c r="B346" s="6"/>
    </row>
    <row r="347" spans="2:2">
      <c r="B347" s="6"/>
    </row>
    <row r="348" spans="2:2">
      <c r="B348" s="6"/>
    </row>
    <row r="349" spans="2:2">
      <c r="B349" s="6"/>
    </row>
    <row r="350" spans="2:2">
      <c r="B350" s="6"/>
    </row>
    <row r="351" spans="2:2">
      <c r="B351" s="6"/>
    </row>
    <row r="352" spans="2:2">
      <c r="B352" s="6"/>
    </row>
    <row r="353" spans="2:2">
      <c r="B353" s="6"/>
    </row>
    <row r="354" spans="2:2">
      <c r="B354" s="6"/>
    </row>
    <row r="355" spans="2:2">
      <c r="B355" s="6"/>
    </row>
    <row r="356" spans="2:2">
      <c r="B356" s="6"/>
    </row>
    <row r="357" spans="2:2">
      <c r="B357" s="6"/>
    </row>
    <row r="358" spans="2:2">
      <c r="B358" s="6"/>
    </row>
    <row r="359" spans="2:2">
      <c r="B359" s="6"/>
    </row>
    <row r="360" spans="2:2">
      <c r="B360" s="6"/>
    </row>
    <row r="361" spans="2:2">
      <c r="B361" s="6"/>
    </row>
    <row r="362" spans="2:2">
      <c r="B362" s="6"/>
    </row>
    <row r="363" spans="2:2">
      <c r="B363" s="6"/>
    </row>
    <row r="364" spans="2:2">
      <c r="B364" s="6"/>
    </row>
    <row r="365" spans="2:2">
      <c r="B365" s="6"/>
    </row>
    <row r="366" spans="2:2">
      <c r="B366" s="6"/>
    </row>
    <row r="367" spans="2:2">
      <c r="B367" s="6"/>
    </row>
    <row r="368" spans="2:2">
      <c r="B368" s="6"/>
    </row>
    <row r="369" spans="2:2">
      <c r="B369" s="6"/>
    </row>
    <row r="370" spans="2:2">
      <c r="B370" s="6"/>
    </row>
    <row r="371" spans="2:2">
      <c r="B371" s="6"/>
    </row>
    <row r="372" spans="2:2">
      <c r="B372" s="6"/>
    </row>
    <row r="373" spans="2:2">
      <c r="B373" s="6"/>
    </row>
    <row r="374" spans="2:2">
      <c r="B374" s="6"/>
    </row>
    <row r="375" spans="2:2">
      <c r="B375" s="6"/>
    </row>
    <row r="376" spans="2:2">
      <c r="B376" s="6"/>
    </row>
    <row r="377" spans="2:2">
      <c r="B377" s="6"/>
    </row>
    <row r="378" spans="2:2">
      <c r="B378" s="6"/>
    </row>
    <row r="379" spans="2:2">
      <c r="B379" s="6"/>
    </row>
    <row r="380" spans="2:2">
      <c r="B380" s="6"/>
    </row>
    <row r="381" spans="2:2">
      <c r="B381" s="6"/>
    </row>
    <row r="382" spans="2:2">
      <c r="B382" s="6"/>
    </row>
    <row r="383" spans="2:2">
      <c r="B383" s="6"/>
    </row>
    <row r="384" spans="2:2">
      <c r="B384" s="6"/>
    </row>
    <row r="385" spans="2:2">
      <c r="B385" s="6"/>
    </row>
    <row r="386" spans="2:2">
      <c r="B386" s="6"/>
    </row>
    <row r="387" spans="2:2">
      <c r="B387" s="6"/>
    </row>
    <row r="388" spans="2:2">
      <c r="B388" s="6"/>
    </row>
    <row r="389" spans="2:2">
      <c r="B389" s="6"/>
    </row>
    <row r="390" spans="2:2">
      <c r="B390" s="6"/>
    </row>
    <row r="391" spans="2:2">
      <c r="B391" s="6"/>
    </row>
    <row r="392" spans="2:2">
      <c r="B392" s="6"/>
    </row>
    <row r="393" spans="2:2">
      <c r="B393" s="6"/>
    </row>
    <row r="394" spans="2:2">
      <c r="B394" s="6"/>
    </row>
    <row r="395" spans="2:2">
      <c r="B395" s="6"/>
    </row>
    <row r="396" spans="2:2">
      <c r="B396" s="6"/>
    </row>
    <row r="397" spans="2:2">
      <c r="B397" s="6"/>
    </row>
    <row r="398" spans="2:2">
      <c r="B398" s="6"/>
    </row>
    <row r="399" spans="2:2">
      <c r="B399" s="6"/>
    </row>
    <row r="400" spans="2:2">
      <c r="B400" s="6"/>
    </row>
    <row r="401" spans="2:2">
      <c r="B401" s="6"/>
    </row>
    <row r="402" spans="2:2">
      <c r="B402" s="6"/>
    </row>
    <row r="403" spans="2:2">
      <c r="B403" s="6"/>
    </row>
    <row r="404" spans="2:2">
      <c r="B404" s="6"/>
    </row>
    <row r="405" spans="2:2">
      <c r="B405" s="6"/>
    </row>
    <row r="406" spans="2:2">
      <c r="B406" s="6"/>
    </row>
    <row r="407" spans="2:2">
      <c r="B407" s="6"/>
    </row>
    <row r="408" spans="2:2">
      <c r="B408" s="6"/>
    </row>
    <row r="409" spans="2:2">
      <c r="B409" s="6"/>
    </row>
    <row r="410" spans="2:2">
      <c r="B410" s="6"/>
    </row>
    <row r="411" spans="2:2">
      <c r="B411" s="6"/>
    </row>
    <row r="412" spans="2:2">
      <c r="B412" s="6"/>
    </row>
    <row r="413" spans="2:2">
      <c r="B413" s="6"/>
    </row>
    <row r="414" spans="2:2">
      <c r="B414" s="6"/>
    </row>
    <row r="415" spans="2:2">
      <c r="B415" s="6"/>
    </row>
    <row r="416" spans="2:2">
      <c r="B416" s="6"/>
    </row>
    <row r="417" spans="2:2">
      <c r="B417" s="6"/>
    </row>
    <row r="418" spans="2:2">
      <c r="B418" s="6"/>
    </row>
    <row r="419" spans="2:2">
      <c r="B419" s="6"/>
    </row>
    <row r="420" spans="2:2">
      <c r="B420" s="6"/>
    </row>
    <row r="421" spans="2:2">
      <c r="B421" s="6"/>
    </row>
    <row r="422" spans="2:2">
      <c r="B422" s="6"/>
    </row>
    <row r="423" spans="2:2">
      <c r="B423" s="6"/>
    </row>
    <row r="424" spans="2:2">
      <c r="B424" s="6"/>
    </row>
    <row r="425" spans="2:2">
      <c r="B425" s="6"/>
    </row>
    <row r="426" spans="2:2">
      <c r="B426" s="6"/>
    </row>
    <row r="427" spans="2:2">
      <c r="B427" s="6"/>
    </row>
    <row r="428" spans="2:2">
      <c r="B428" s="6"/>
    </row>
    <row r="429" spans="2:2">
      <c r="B429" s="6"/>
    </row>
    <row r="430" spans="2:2">
      <c r="B430" s="6"/>
    </row>
    <row r="431" spans="2:2">
      <c r="B431" s="6"/>
    </row>
    <row r="432" spans="2:2">
      <c r="B432" s="6"/>
    </row>
    <row r="433" spans="2:2">
      <c r="B433" s="6"/>
    </row>
    <row r="434" spans="2:2">
      <c r="B434" s="6"/>
    </row>
    <row r="435" spans="2:2">
      <c r="B435" s="6"/>
    </row>
    <row r="436" spans="2:2">
      <c r="B436" s="6"/>
    </row>
    <row r="437" spans="2:2">
      <c r="B437" s="6"/>
    </row>
    <row r="438" spans="2:2">
      <c r="B438" s="6"/>
    </row>
    <row r="439" spans="2:2">
      <c r="B439" s="6"/>
    </row>
    <row r="440" spans="2:2">
      <c r="B440" s="6"/>
    </row>
    <row r="441" spans="2:2">
      <c r="B441" s="6"/>
    </row>
    <row r="442" spans="2:2">
      <c r="B442" s="6"/>
    </row>
    <row r="443" spans="2:2">
      <c r="B443" s="6"/>
    </row>
    <row r="444" spans="2:2">
      <c r="B444" s="6"/>
    </row>
    <row r="445" spans="2:2">
      <c r="B445" s="6"/>
    </row>
    <row r="446" spans="2:2">
      <c r="B446" s="6"/>
    </row>
    <row r="447" spans="2:2">
      <c r="B447" s="6"/>
    </row>
    <row r="448" spans="2:2">
      <c r="B448" s="6"/>
    </row>
    <row r="449" spans="2:2">
      <c r="B449" s="6"/>
    </row>
    <row r="450" spans="2:2">
      <c r="B450" s="6"/>
    </row>
    <row r="451" spans="2:2">
      <c r="B451" s="6"/>
    </row>
    <row r="452" spans="2:2">
      <c r="B452" s="6"/>
    </row>
    <row r="453" spans="2:2">
      <c r="B453" s="6"/>
    </row>
    <row r="454" spans="2:2">
      <c r="B454" s="6"/>
    </row>
    <row r="455" spans="2:2">
      <c r="B455" s="6"/>
    </row>
    <row r="456" spans="2:2">
      <c r="B456" s="6"/>
    </row>
    <row r="457" spans="2:2">
      <c r="B457" s="6"/>
    </row>
    <row r="458" spans="2:2">
      <c r="B458" s="6"/>
    </row>
    <row r="459" spans="2:2">
      <c r="B459" s="6"/>
    </row>
    <row r="460" spans="2:2">
      <c r="B460" s="6"/>
    </row>
    <row r="461" spans="2:2">
      <c r="B461" s="6"/>
    </row>
    <row r="462" spans="2:2">
      <c r="B462" s="6"/>
    </row>
    <row r="463" spans="2:2">
      <c r="B463" s="6"/>
    </row>
    <row r="464" spans="2:2">
      <c r="B464" s="6"/>
    </row>
    <row r="465" spans="2:2">
      <c r="B465" s="6"/>
    </row>
    <row r="466" spans="2:2">
      <c r="B466" s="6"/>
    </row>
    <row r="467" spans="2:2">
      <c r="B467" s="6"/>
    </row>
    <row r="468" spans="2:2">
      <c r="B468" s="6"/>
    </row>
    <row r="469" spans="2:2">
      <c r="B469" s="6"/>
    </row>
    <row r="470" spans="2:2">
      <c r="B470" s="6"/>
    </row>
    <row r="471" spans="2:2">
      <c r="B471" s="6"/>
    </row>
    <row r="472" spans="2:2">
      <c r="B472" s="6"/>
    </row>
    <row r="473" spans="2:2">
      <c r="B473" s="6"/>
    </row>
    <row r="474" spans="2:2">
      <c r="B474" s="6"/>
    </row>
    <row r="475" spans="2:2">
      <c r="B475" s="6"/>
    </row>
    <row r="476" spans="2:2">
      <c r="B476" s="6"/>
    </row>
    <row r="477" spans="2:2">
      <c r="B477" s="6"/>
    </row>
    <row r="478" spans="2:2">
      <c r="B478" s="6"/>
    </row>
    <row r="479" spans="2:2">
      <c r="B479" s="6"/>
    </row>
    <row r="480" spans="2:2">
      <c r="B480" s="6"/>
    </row>
    <row r="481" spans="2:2">
      <c r="B481" s="6"/>
    </row>
    <row r="482" spans="2:2">
      <c r="B482" s="6"/>
    </row>
    <row r="483" spans="2:2">
      <c r="B483" s="6"/>
    </row>
    <row r="484" spans="2:2">
      <c r="B484" s="6"/>
    </row>
    <row r="485" spans="2:2">
      <c r="B485" s="6"/>
    </row>
    <row r="486" spans="2:2">
      <c r="B486" s="6"/>
    </row>
    <row r="487" spans="2:2">
      <c r="B487" s="6"/>
    </row>
    <row r="488" spans="2:2">
      <c r="B488" s="6"/>
    </row>
    <row r="489" spans="2:2">
      <c r="B489" s="6"/>
    </row>
    <row r="490" spans="2:2">
      <c r="B490" s="6"/>
    </row>
    <row r="491" spans="2:2">
      <c r="B491" s="6"/>
    </row>
    <row r="492" spans="2:2">
      <c r="B492" s="6"/>
    </row>
    <row r="493" spans="2:2">
      <c r="B493" s="6"/>
    </row>
    <row r="494" spans="2:2">
      <c r="B494" s="6"/>
    </row>
    <row r="495" spans="2:2">
      <c r="B495" s="6"/>
    </row>
    <row r="496" spans="2:2">
      <c r="B496" s="6"/>
    </row>
    <row r="497" spans="2:2">
      <c r="B497" s="6"/>
    </row>
    <row r="498" spans="2:2">
      <c r="B498" s="6"/>
    </row>
    <row r="499" spans="2:2">
      <c r="B499" s="6"/>
    </row>
    <row r="500" spans="2:2">
      <c r="B500" s="6"/>
    </row>
    <row r="501" spans="2:2">
      <c r="B501" s="6"/>
    </row>
    <row r="502" spans="2:2">
      <c r="B502" s="6"/>
    </row>
    <row r="503" spans="2:2">
      <c r="B503" s="6"/>
    </row>
    <row r="504" spans="2:2">
      <c r="B504" s="6"/>
    </row>
    <row r="505" spans="2:2">
      <c r="B505" s="6"/>
    </row>
    <row r="506" spans="2:2">
      <c r="B506" s="6"/>
    </row>
    <row r="507" spans="2:2">
      <c r="B507" s="6"/>
    </row>
    <row r="508" spans="2:2">
      <c r="B508" s="6"/>
    </row>
    <row r="509" spans="2:2">
      <c r="B509" s="6"/>
    </row>
    <row r="510" spans="2:2">
      <c r="B510" s="6"/>
    </row>
    <row r="511" spans="2:2">
      <c r="B511" s="6"/>
    </row>
    <row r="512" spans="2:2">
      <c r="B512" s="6"/>
    </row>
    <row r="513" spans="2:2">
      <c r="B513" s="6"/>
    </row>
    <row r="514" spans="2:2">
      <c r="B514" s="6"/>
    </row>
    <row r="515" spans="2:2">
      <c r="B515" s="6"/>
    </row>
    <row r="516" spans="2:2">
      <c r="B516" s="6"/>
    </row>
    <row r="517" spans="2:2">
      <c r="B517" s="6"/>
    </row>
    <row r="518" spans="2:2">
      <c r="B518" s="6"/>
    </row>
    <row r="519" spans="2:2">
      <c r="B519" s="6"/>
    </row>
    <row r="520" spans="2:2">
      <c r="B520" s="6"/>
    </row>
    <row r="521" spans="2:2">
      <c r="B521" s="6"/>
    </row>
    <row r="522" spans="2:2">
      <c r="B522" s="6"/>
    </row>
    <row r="523" spans="2:2">
      <c r="B523" s="6"/>
    </row>
    <row r="524" spans="2:2">
      <c r="B524" s="6"/>
    </row>
    <row r="525" spans="2:2">
      <c r="B525" s="6"/>
    </row>
    <row r="526" spans="2:2">
      <c r="B526" s="6"/>
    </row>
    <row r="527" spans="2:2">
      <c r="B527" s="6"/>
    </row>
    <row r="528" spans="2:2">
      <c r="B528" s="6"/>
    </row>
    <row r="529" spans="2:2">
      <c r="B529" s="6"/>
    </row>
    <row r="530" spans="2:2">
      <c r="B530" s="6"/>
    </row>
    <row r="531" spans="2:2">
      <c r="B531" s="6"/>
    </row>
    <row r="532" spans="2:2">
      <c r="B532" s="6"/>
    </row>
    <row r="533" spans="2:2">
      <c r="B533" s="6"/>
    </row>
    <row r="534" spans="2:2">
      <c r="B534" s="6"/>
    </row>
    <row r="535" spans="2:2">
      <c r="B535" s="6"/>
    </row>
    <row r="536" spans="2:2">
      <c r="B536" s="6"/>
    </row>
    <row r="537" spans="2:2">
      <c r="B537" s="6"/>
    </row>
    <row r="538" spans="2:2">
      <c r="B538" s="6"/>
    </row>
    <row r="539" spans="2:2">
      <c r="B539" s="6"/>
    </row>
    <row r="540" spans="2:2">
      <c r="B540" s="6"/>
    </row>
    <row r="541" spans="2:2">
      <c r="B541" s="6"/>
    </row>
    <row r="542" spans="2:2">
      <c r="B542" s="6"/>
    </row>
    <row r="543" spans="2:2">
      <c r="B543" s="6"/>
    </row>
    <row r="544" spans="2:2">
      <c r="B544" s="6"/>
    </row>
    <row r="545" spans="2:2">
      <c r="B545" s="6"/>
    </row>
    <row r="546" spans="2:2">
      <c r="B546" s="6"/>
    </row>
    <row r="547" spans="2:2">
      <c r="B547" s="6"/>
    </row>
    <row r="548" spans="2:2">
      <c r="B548" s="6"/>
    </row>
    <row r="549" spans="2:2">
      <c r="B549" s="6"/>
    </row>
    <row r="550" spans="2:2">
      <c r="B550" s="6"/>
    </row>
    <row r="551" spans="2:2">
      <c r="B551" s="6"/>
    </row>
    <row r="552" spans="2:2">
      <c r="B552" s="6"/>
    </row>
    <row r="553" spans="2:2">
      <c r="B553" s="6"/>
    </row>
    <row r="554" spans="2:2">
      <c r="B554" s="6"/>
    </row>
    <row r="555" spans="2:2">
      <c r="B555" s="6"/>
    </row>
    <row r="556" spans="2:2">
      <c r="B556" s="6"/>
    </row>
    <row r="557" spans="2:2">
      <c r="B557" s="6"/>
    </row>
    <row r="558" spans="2:2">
      <c r="B558" s="6"/>
    </row>
    <row r="559" spans="2:2">
      <c r="B559" s="6"/>
    </row>
    <row r="560" spans="2:2">
      <c r="B560" s="6"/>
    </row>
    <row r="561" spans="2:2">
      <c r="B561" s="6"/>
    </row>
    <row r="562" spans="2:2">
      <c r="B562" s="6"/>
    </row>
    <row r="563" spans="2:2">
      <c r="B563" s="6"/>
    </row>
    <row r="564" spans="2:2">
      <c r="B564" s="6"/>
    </row>
    <row r="565" spans="2:2">
      <c r="B565" s="6"/>
    </row>
    <row r="566" spans="2:2">
      <c r="B566" s="6"/>
    </row>
    <row r="567" spans="2:2">
      <c r="B567" s="6"/>
    </row>
    <row r="568" spans="2:2">
      <c r="B568" s="6"/>
    </row>
    <row r="569" spans="2:2">
      <c r="B569" s="6"/>
    </row>
    <row r="570" spans="2:2">
      <c r="B570" s="6"/>
    </row>
    <row r="571" spans="2:2">
      <c r="B571" s="6"/>
    </row>
    <row r="572" spans="2:2">
      <c r="B572" s="6"/>
    </row>
    <row r="573" spans="2:2">
      <c r="B573" s="6"/>
    </row>
    <row r="574" spans="2:2">
      <c r="B574" s="6"/>
    </row>
    <row r="575" spans="2:2">
      <c r="B575" s="6"/>
    </row>
    <row r="576" spans="2:2">
      <c r="B576" s="6"/>
    </row>
    <row r="577" spans="2:2">
      <c r="B577" s="6"/>
    </row>
    <row r="578" spans="2:2">
      <c r="B578" s="6"/>
    </row>
    <row r="579" spans="2:2">
      <c r="B579" s="6"/>
    </row>
    <row r="580" spans="2:2">
      <c r="B580" s="6"/>
    </row>
    <row r="581" spans="2:2">
      <c r="B581" s="6"/>
    </row>
    <row r="582" spans="2:2">
      <c r="B582" s="6"/>
    </row>
    <row r="583" spans="2:2">
      <c r="B583" s="6"/>
    </row>
    <row r="584" spans="2:2">
      <c r="B584" s="6"/>
    </row>
    <row r="585" spans="2:2">
      <c r="B585" s="6"/>
    </row>
    <row r="586" spans="2:2">
      <c r="B586" s="6"/>
    </row>
    <row r="587" spans="2:2">
      <c r="B587" s="6"/>
    </row>
    <row r="588" spans="2:2">
      <c r="B588" s="6"/>
    </row>
    <row r="589" spans="2:2">
      <c r="B589" s="6"/>
    </row>
    <row r="590" spans="2:2">
      <c r="B590" s="6"/>
    </row>
    <row r="591" spans="2:2">
      <c r="B591" s="6"/>
    </row>
    <row r="592" spans="2:2">
      <c r="B592" s="6"/>
    </row>
    <row r="593" spans="2:2">
      <c r="B593" s="6"/>
    </row>
    <row r="594" spans="2:2">
      <c r="B594" s="6"/>
    </row>
    <row r="595" spans="2:2">
      <c r="B595" s="6"/>
    </row>
    <row r="596" spans="2:2">
      <c r="B596" s="6"/>
    </row>
    <row r="597" spans="2:2">
      <c r="B597" s="6"/>
    </row>
    <row r="598" spans="2:2">
      <c r="B598" s="6"/>
    </row>
    <row r="599" spans="2:2">
      <c r="B599" s="6"/>
    </row>
    <row r="600" spans="2:2">
      <c r="B600" s="6"/>
    </row>
    <row r="601" spans="2:2">
      <c r="B601" s="6"/>
    </row>
    <row r="602" spans="2:2">
      <c r="B602" s="6"/>
    </row>
    <row r="603" spans="2:2">
      <c r="B603" s="6"/>
    </row>
    <row r="604" spans="2:2">
      <c r="B604" s="6"/>
    </row>
    <row r="605" spans="2:2">
      <c r="B605" s="6"/>
    </row>
    <row r="606" spans="2:2">
      <c r="B606" s="6"/>
    </row>
    <row r="607" spans="2:2">
      <c r="B607" s="6"/>
    </row>
    <row r="608" spans="2:2">
      <c r="B608" s="6"/>
    </row>
    <row r="609" spans="2:2">
      <c r="B609" s="6"/>
    </row>
    <row r="610" spans="2:2">
      <c r="B610" s="6"/>
    </row>
    <row r="611" spans="2:2">
      <c r="B611" s="6"/>
    </row>
    <row r="612" spans="2:2">
      <c r="B612" s="6"/>
    </row>
    <row r="613" spans="2:2">
      <c r="B613" s="6"/>
    </row>
    <row r="614" spans="2:2">
      <c r="B614" s="6"/>
    </row>
    <row r="615" spans="2:2">
      <c r="B615" s="6"/>
    </row>
    <row r="616" spans="2:2">
      <c r="B616" s="6"/>
    </row>
    <row r="617" spans="2:2">
      <c r="B617" s="6"/>
    </row>
    <row r="618" spans="2:2">
      <c r="B618" s="6"/>
    </row>
    <row r="619" spans="2:2">
      <c r="B619" s="6"/>
    </row>
    <row r="620" spans="2:2">
      <c r="B620" s="6"/>
    </row>
    <row r="621" spans="2:2">
      <c r="B621" s="6"/>
    </row>
    <row r="622" spans="2:2">
      <c r="B622" s="6"/>
    </row>
    <row r="623" spans="2:2">
      <c r="B623" s="6"/>
    </row>
    <row r="624" spans="2:2">
      <c r="B624" s="6"/>
    </row>
    <row r="625" spans="2:2">
      <c r="B625" s="6"/>
    </row>
    <row r="626" spans="2:2">
      <c r="B626" s="6"/>
    </row>
    <row r="627" spans="2:2">
      <c r="B627" s="6"/>
    </row>
    <row r="628" spans="2:2">
      <c r="B628" s="6"/>
    </row>
    <row r="629" spans="2:2">
      <c r="B629" s="6"/>
    </row>
    <row r="630" spans="2:2">
      <c r="B630" s="6"/>
    </row>
    <row r="631" spans="2:2">
      <c r="B631" s="6"/>
    </row>
    <row r="632" spans="2:2">
      <c r="B632" s="6"/>
    </row>
    <row r="633" spans="2:2">
      <c r="B633" s="6"/>
    </row>
    <row r="634" spans="2:2">
      <c r="B634" s="6"/>
    </row>
    <row r="635" spans="2:2">
      <c r="B635" s="6"/>
    </row>
    <row r="636" spans="2:2">
      <c r="B636" s="6"/>
    </row>
    <row r="637" spans="2:2">
      <c r="B637" s="6"/>
    </row>
    <row r="638" spans="2:2">
      <c r="B638" s="6"/>
    </row>
    <row r="639" spans="2:2">
      <c r="B639" s="6"/>
    </row>
    <row r="640" spans="2:2">
      <c r="B640" s="6"/>
    </row>
    <row r="641" spans="2:2">
      <c r="B641" s="6"/>
    </row>
    <row r="642" spans="2:2">
      <c r="B642" s="6"/>
    </row>
    <row r="643" spans="2:2">
      <c r="B643" s="6"/>
    </row>
    <row r="644" spans="2:2">
      <c r="B644" s="6"/>
    </row>
    <row r="645" spans="2:2">
      <c r="B645" s="6"/>
    </row>
    <row r="646" spans="2:2">
      <c r="B646" s="6"/>
    </row>
    <row r="647" spans="2:2">
      <c r="B647" s="6"/>
    </row>
    <row r="648" spans="2:2">
      <c r="B648" s="6"/>
    </row>
    <row r="649" spans="2:2">
      <c r="B649" s="6"/>
    </row>
    <row r="650" spans="2:2">
      <c r="B650" s="6"/>
    </row>
    <row r="651" spans="2:2">
      <c r="B651" s="6"/>
    </row>
    <row r="652" spans="2:2">
      <c r="B652" s="6"/>
    </row>
    <row r="653" spans="2:2">
      <c r="B653" s="6"/>
    </row>
    <row r="654" spans="2:2">
      <c r="B654" s="6"/>
    </row>
    <row r="655" spans="2:2">
      <c r="B655" s="6"/>
    </row>
    <row r="656" spans="2:2">
      <c r="B656" s="6"/>
    </row>
    <row r="657" spans="2:2">
      <c r="B657" s="6"/>
    </row>
    <row r="658" spans="2:2">
      <c r="B658" s="6"/>
    </row>
    <row r="659" spans="2:2">
      <c r="B659" s="6"/>
    </row>
    <row r="660" spans="2:2">
      <c r="B660" s="6"/>
    </row>
    <row r="661" spans="2:2">
      <c r="B661" s="6"/>
    </row>
    <row r="662" spans="2:2">
      <c r="B662" s="6"/>
    </row>
    <row r="663" spans="2:2">
      <c r="B663" s="6"/>
    </row>
    <row r="664" spans="2:2">
      <c r="B664" s="6"/>
    </row>
    <row r="665" spans="2:2">
      <c r="B665" s="6"/>
    </row>
    <row r="666" spans="2:2">
      <c r="B666" s="6"/>
    </row>
    <row r="667" spans="2:2">
      <c r="B667" s="6"/>
    </row>
    <row r="668" spans="2:2">
      <c r="B668" s="6"/>
    </row>
    <row r="669" spans="2:2">
      <c r="B669" s="6"/>
    </row>
    <row r="670" spans="2:2">
      <c r="B670" s="6"/>
    </row>
    <row r="671" spans="2:2">
      <c r="B671" s="6"/>
    </row>
    <row r="672" spans="2:2">
      <c r="B672" s="6"/>
    </row>
    <row r="673" spans="2:2">
      <c r="B673" s="6"/>
    </row>
    <row r="674" spans="2:2">
      <c r="B674" s="6"/>
    </row>
    <row r="675" spans="2:2">
      <c r="B675" s="6"/>
    </row>
    <row r="676" spans="2:2">
      <c r="B676" s="6"/>
    </row>
    <row r="677" spans="2:2">
      <c r="B677" s="6"/>
    </row>
    <row r="678" spans="2:2">
      <c r="B678" s="6"/>
    </row>
    <row r="679" spans="2:2">
      <c r="B679" s="6"/>
    </row>
    <row r="680" spans="2:2">
      <c r="B680" s="6"/>
    </row>
    <row r="681" spans="2:2">
      <c r="B681" s="6"/>
    </row>
    <row r="682" spans="2:2">
      <c r="B682" s="6"/>
    </row>
    <row r="683" spans="2:2">
      <c r="B683" s="6"/>
    </row>
    <row r="684" spans="2:2">
      <c r="B684" s="6"/>
    </row>
    <row r="685" spans="2:2">
      <c r="B685" s="6"/>
    </row>
    <row r="686" spans="2:2">
      <c r="B686" s="6"/>
    </row>
    <row r="687" spans="2:2">
      <c r="B687" s="6"/>
    </row>
    <row r="688" spans="2:2">
      <c r="B688" s="6"/>
    </row>
    <row r="689" spans="2:2">
      <c r="B689" s="6"/>
    </row>
    <row r="690" spans="2:2">
      <c r="B690" s="6"/>
    </row>
    <row r="691" spans="2:2">
      <c r="B691" s="6"/>
    </row>
    <row r="692" spans="2:2">
      <c r="B692" s="6"/>
    </row>
    <row r="693" spans="2:2">
      <c r="B693" s="6"/>
    </row>
    <row r="694" spans="2:2">
      <c r="B694" s="6"/>
    </row>
    <row r="695" spans="2:2">
      <c r="B695" s="6"/>
    </row>
    <row r="696" spans="2:2">
      <c r="B696" s="6"/>
    </row>
    <row r="697" spans="2:2">
      <c r="B697" s="6"/>
    </row>
    <row r="698" spans="2:2">
      <c r="B698" s="6"/>
    </row>
    <row r="699" spans="2:2">
      <c r="B699" s="6"/>
    </row>
    <row r="700" spans="2:2">
      <c r="B700" s="6"/>
    </row>
    <row r="701" spans="2:2">
      <c r="B701" s="6"/>
    </row>
    <row r="702" spans="2:2">
      <c r="B702" s="6"/>
    </row>
    <row r="703" spans="2:2">
      <c r="B703" s="6"/>
    </row>
    <row r="704" spans="2:2">
      <c r="B704" s="6"/>
    </row>
    <row r="705" spans="2:2">
      <c r="B705" s="6"/>
    </row>
    <row r="706" spans="2:2">
      <c r="B706" s="6"/>
    </row>
    <row r="707" spans="2:2">
      <c r="B707" s="6"/>
    </row>
    <row r="708" spans="2:2">
      <c r="B708" s="6"/>
    </row>
    <row r="709" spans="2:2">
      <c r="B709" s="6"/>
    </row>
    <row r="710" spans="2:2">
      <c r="B710" s="6"/>
    </row>
    <row r="711" spans="2:2">
      <c r="B711" s="6"/>
    </row>
    <row r="712" spans="2:2">
      <c r="B712" s="6"/>
    </row>
    <row r="713" spans="2:2">
      <c r="B713" s="6"/>
    </row>
    <row r="714" spans="2:2">
      <c r="B714" s="6"/>
    </row>
    <row r="715" spans="2:2">
      <c r="B715" s="6"/>
    </row>
    <row r="716" spans="2:2">
      <c r="B716" s="6"/>
    </row>
    <row r="717" spans="2:2">
      <c r="B717" s="6"/>
    </row>
    <row r="718" spans="2:2">
      <c r="B718" s="6"/>
    </row>
    <row r="719" spans="2:2">
      <c r="B719" s="6"/>
    </row>
    <row r="720" spans="2:2">
      <c r="B720" s="6"/>
    </row>
    <row r="721" spans="2:2">
      <c r="B721" s="6"/>
    </row>
    <row r="722" spans="2:2">
      <c r="B722" s="6"/>
    </row>
    <row r="723" spans="2:2">
      <c r="B723" s="6"/>
    </row>
    <row r="724" spans="2:2">
      <c r="B724" s="6"/>
    </row>
    <row r="725" spans="2:2">
      <c r="B725" s="6"/>
    </row>
    <row r="726" spans="2:2">
      <c r="B726" s="6"/>
    </row>
    <row r="727" spans="2:2">
      <c r="B727" s="6"/>
    </row>
    <row r="728" spans="2:2">
      <c r="B728" s="6"/>
    </row>
    <row r="729" spans="2:2">
      <c r="B729" s="6"/>
    </row>
    <row r="730" spans="2:2">
      <c r="B730" s="6"/>
    </row>
    <row r="731" spans="2:2">
      <c r="B731" s="6"/>
    </row>
    <row r="732" spans="2:2">
      <c r="B732" s="6"/>
    </row>
    <row r="733" spans="2:2">
      <c r="B733" s="6"/>
    </row>
    <row r="734" spans="2:2">
      <c r="B734" s="6"/>
    </row>
    <row r="735" spans="2:2">
      <c r="B735" s="6"/>
    </row>
    <row r="736" spans="2:2">
      <c r="B736" s="6"/>
    </row>
    <row r="737" spans="2:2">
      <c r="B737" s="6"/>
    </row>
    <row r="738" spans="2:2">
      <c r="B738" s="6"/>
    </row>
    <row r="739" spans="2:2">
      <c r="B739" s="6"/>
    </row>
    <row r="740" spans="2:2">
      <c r="B740" s="6"/>
    </row>
    <row r="741" spans="2:2">
      <c r="B741" s="6"/>
    </row>
    <row r="742" spans="2:2">
      <c r="B742" s="6"/>
    </row>
    <row r="743" spans="2:2">
      <c r="B743" s="6"/>
    </row>
    <row r="744" spans="2:2">
      <c r="B744" s="6"/>
    </row>
    <row r="745" spans="2:2">
      <c r="B745" s="6"/>
    </row>
    <row r="746" spans="2:2">
      <c r="B746" s="6"/>
    </row>
    <row r="747" spans="2:2">
      <c r="B747" s="6"/>
    </row>
    <row r="748" spans="2:2">
      <c r="B748" s="6"/>
    </row>
    <row r="749" spans="2:2">
      <c r="B749" s="6"/>
    </row>
    <row r="750" spans="2:2">
      <c r="B750" s="6"/>
    </row>
    <row r="751" spans="2:2">
      <c r="B751" s="6"/>
    </row>
    <row r="752" spans="2:2">
      <c r="B752" s="6"/>
    </row>
    <row r="753" spans="2:2">
      <c r="B753" s="6"/>
    </row>
    <row r="754" spans="2:2">
      <c r="B754" s="6"/>
    </row>
    <row r="755" spans="2:2">
      <c r="B755" s="6"/>
    </row>
    <row r="756" spans="2:2">
      <c r="B756" s="6"/>
    </row>
    <row r="757" spans="2:2">
      <c r="B757" s="6"/>
    </row>
    <row r="758" spans="2:2">
      <c r="B758" s="6"/>
    </row>
    <row r="759" spans="2:2">
      <c r="B759" s="6"/>
    </row>
    <row r="760" spans="2:2">
      <c r="B760" s="6"/>
    </row>
    <row r="761" spans="2:2">
      <c r="B761" s="6"/>
    </row>
    <row r="762" spans="2:2">
      <c r="B762" s="6"/>
    </row>
    <row r="763" spans="2:2">
      <c r="B763" s="6"/>
    </row>
    <row r="764" spans="2:2">
      <c r="B764" s="6"/>
    </row>
    <row r="765" spans="2:2">
      <c r="B765" s="6"/>
    </row>
    <row r="766" spans="2:2">
      <c r="B766" s="6"/>
    </row>
    <row r="767" spans="2:2">
      <c r="B767" s="6"/>
    </row>
    <row r="768" spans="2:2">
      <c r="B768" s="6"/>
    </row>
    <row r="769" spans="2:2">
      <c r="B769" s="6"/>
    </row>
    <row r="770" spans="2:2">
      <c r="B770" s="6"/>
    </row>
    <row r="771" spans="2:2">
      <c r="B771" s="6"/>
    </row>
    <row r="772" spans="2:2">
      <c r="B772" s="6"/>
    </row>
    <row r="773" spans="2:2">
      <c r="B773" s="6"/>
    </row>
    <row r="774" spans="2:2">
      <c r="B774" s="6"/>
    </row>
    <row r="775" spans="2:2">
      <c r="B775" s="6"/>
    </row>
    <row r="776" spans="2:2">
      <c r="B776" s="6"/>
    </row>
    <row r="777" spans="2:2">
      <c r="B777" s="6"/>
    </row>
    <row r="778" spans="2:2">
      <c r="B778" s="6"/>
    </row>
    <row r="779" spans="2:2">
      <c r="B779" s="6"/>
    </row>
    <row r="780" spans="2:2">
      <c r="B780" s="6"/>
    </row>
    <row r="781" spans="2:2">
      <c r="B781" s="6"/>
    </row>
    <row r="782" spans="2:2">
      <c r="B782" s="6"/>
    </row>
    <row r="783" spans="2:2">
      <c r="B783" s="6"/>
    </row>
    <row r="784" spans="2:2">
      <c r="B784" s="6"/>
    </row>
    <row r="785" spans="2:2">
      <c r="B785" s="6"/>
    </row>
    <row r="786" spans="2:2">
      <c r="B786" s="6"/>
    </row>
    <row r="787" spans="2:2">
      <c r="B787" s="6"/>
    </row>
    <row r="788" spans="2:2">
      <c r="B788" s="6"/>
    </row>
    <row r="789" spans="2:2">
      <c r="B789" s="6"/>
    </row>
    <row r="790" spans="2:2">
      <c r="B790" s="6"/>
    </row>
    <row r="791" spans="2:2">
      <c r="B791" s="6"/>
    </row>
    <row r="792" spans="2:2">
      <c r="B792" s="6"/>
    </row>
    <row r="793" spans="2:2">
      <c r="B793" s="6"/>
    </row>
    <row r="794" spans="2:2">
      <c r="B794" s="6"/>
    </row>
    <row r="795" spans="2:2">
      <c r="B795" s="6"/>
    </row>
    <row r="796" spans="2:2">
      <c r="B796" s="6"/>
    </row>
    <row r="797" spans="2:2">
      <c r="B797" s="6"/>
    </row>
    <row r="798" spans="2:2">
      <c r="B798" s="6"/>
    </row>
    <row r="799" spans="2:2">
      <c r="B799" s="6"/>
    </row>
    <row r="800" spans="2:2">
      <c r="B800" s="6"/>
    </row>
    <row r="801" spans="2:2">
      <c r="B801" s="6"/>
    </row>
    <row r="802" spans="2:2">
      <c r="B802" s="6"/>
    </row>
    <row r="803" spans="2:2">
      <c r="B803" s="6"/>
    </row>
    <row r="804" spans="2:2">
      <c r="B804" s="6"/>
    </row>
    <row r="805" spans="2:2">
      <c r="B805" s="6"/>
    </row>
    <row r="806" spans="2:2">
      <c r="B806" s="6"/>
    </row>
    <row r="807" spans="2:2">
      <c r="B807" s="6"/>
    </row>
    <row r="808" spans="2:2">
      <c r="B808" s="6"/>
    </row>
    <row r="809" spans="2:2">
      <c r="B809" s="6"/>
    </row>
    <row r="810" spans="2:2">
      <c r="B810" s="6"/>
    </row>
    <row r="811" spans="2:2">
      <c r="B811" s="6"/>
    </row>
    <row r="812" spans="2:2">
      <c r="B812" s="6"/>
    </row>
    <row r="813" spans="2:2">
      <c r="B813" s="6"/>
    </row>
    <row r="814" spans="2:2">
      <c r="B814" s="6"/>
    </row>
    <row r="815" spans="2:2">
      <c r="B815" s="6"/>
    </row>
    <row r="816" spans="2:2">
      <c r="B816" s="6"/>
    </row>
    <row r="817" spans="2:2">
      <c r="B817" s="6"/>
    </row>
    <row r="818" spans="2:2">
      <c r="B818" s="6"/>
    </row>
    <row r="819" spans="2:2">
      <c r="B819" s="6"/>
    </row>
    <row r="820" spans="2:2">
      <c r="B820" s="6"/>
    </row>
    <row r="821" spans="2:2">
      <c r="B821" s="6"/>
    </row>
    <row r="822" spans="2:2">
      <c r="B822" s="6"/>
    </row>
    <row r="823" spans="2:2">
      <c r="B823" s="6"/>
    </row>
    <row r="824" spans="2:2">
      <c r="B824" s="6"/>
    </row>
    <row r="825" spans="2:2">
      <c r="B825" s="6"/>
    </row>
    <row r="826" spans="2:2">
      <c r="B826" s="6"/>
    </row>
    <row r="827" spans="2:2">
      <c r="B827" s="6"/>
    </row>
    <row r="828" spans="2:2">
      <c r="B828" s="6"/>
    </row>
    <row r="829" spans="2:2">
      <c r="B829" s="6"/>
    </row>
    <row r="830" spans="2:2">
      <c r="B830" s="6"/>
    </row>
    <row r="831" spans="2:2">
      <c r="B831" s="6"/>
    </row>
    <row r="832" spans="2:2">
      <c r="B832" s="6"/>
    </row>
    <row r="833" spans="2:2">
      <c r="B833" s="6"/>
    </row>
    <row r="834" spans="2:2">
      <c r="B834" s="6"/>
    </row>
    <row r="835" spans="2:2">
      <c r="B835" s="6"/>
    </row>
    <row r="836" spans="2:2">
      <c r="B836" s="6"/>
    </row>
    <row r="837" spans="2:2">
      <c r="B83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3:N4401"/>
  <sheetViews>
    <sheetView zoomScale="85" zoomScaleNormal="85" workbookViewId="0">
      <selection activeCell="C2" sqref="C2:W2"/>
    </sheetView>
  </sheetViews>
  <sheetFormatPr defaultRowHeight="15"/>
  <cols>
    <col min="2" max="2" width="3.42578125" customWidth="1"/>
    <col min="4" max="4" width="9.140625" style="1"/>
    <col min="5" max="5" width="18.28515625" style="18" customWidth="1"/>
    <col min="10" max="10" width="11.5703125" bestFit="1" customWidth="1"/>
    <col min="11" max="11" width="9.140625" style="2"/>
    <col min="13" max="13" width="14" customWidth="1"/>
    <col min="14" max="14" width="9.140625" style="4"/>
    <col min="15" max="15" width="9.85546875" bestFit="1" customWidth="1"/>
  </cols>
  <sheetData>
    <row r="3" spans="2:11" ht="15" customHeight="1">
      <c r="B3" s="121" t="s">
        <v>21</v>
      </c>
      <c r="C3" s="16">
        <v>32875</v>
      </c>
      <c r="D3" s="19">
        <v>11.582000000000001</v>
      </c>
      <c r="E3" s="18">
        <f>(D3/1000^2)*2.75</f>
        <v>3.1850500000000003E-5</v>
      </c>
      <c r="J3" s="3">
        <v>34519</v>
      </c>
      <c r="K3" s="17">
        <v>0.94</v>
      </c>
    </row>
    <row r="4" spans="2:11">
      <c r="B4" s="121"/>
      <c r="C4" s="16">
        <v>32876</v>
      </c>
      <c r="D4" s="19">
        <v>11.81</v>
      </c>
      <c r="E4" s="18">
        <f t="shared" ref="E4:E67" si="0">(D4/1000^2)*2.75</f>
        <v>3.2477500000000002E-5</v>
      </c>
      <c r="J4" s="3">
        <v>34520</v>
      </c>
      <c r="K4" s="17">
        <v>0.93200000000000005</v>
      </c>
    </row>
    <row r="5" spans="2:11">
      <c r="B5" s="121"/>
      <c r="C5" s="16">
        <v>32877</v>
      </c>
      <c r="D5" s="19">
        <v>12.042</v>
      </c>
      <c r="E5" s="18">
        <f t="shared" si="0"/>
        <v>3.3115499999999998E-5</v>
      </c>
      <c r="J5" s="3">
        <v>34521</v>
      </c>
      <c r="K5" s="17">
        <v>0.91500000000000004</v>
      </c>
    </row>
    <row r="6" spans="2:11">
      <c r="B6" s="121"/>
      <c r="C6" s="16">
        <v>32878</v>
      </c>
      <c r="D6" s="19">
        <v>12.27</v>
      </c>
      <c r="E6" s="18">
        <f t="shared" si="0"/>
        <v>3.3742499999999998E-5</v>
      </c>
      <c r="J6" s="3">
        <v>34522</v>
      </c>
      <c r="K6" s="17">
        <v>0.91</v>
      </c>
    </row>
    <row r="7" spans="2:11">
      <c r="B7" s="121"/>
      <c r="C7" s="16">
        <v>32881</v>
      </c>
      <c r="D7" s="19">
        <v>12.503</v>
      </c>
      <c r="E7" s="18">
        <f t="shared" si="0"/>
        <v>3.4383250000000003E-5</v>
      </c>
      <c r="J7" s="3">
        <v>34523</v>
      </c>
      <c r="K7" s="17">
        <v>0.92</v>
      </c>
    </row>
    <row r="8" spans="2:11">
      <c r="B8" s="121"/>
      <c r="C8" s="16">
        <v>32882</v>
      </c>
      <c r="D8" s="19">
        <v>12.74</v>
      </c>
      <c r="E8" s="18">
        <f t="shared" si="0"/>
        <v>3.5034999999999999E-5</v>
      </c>
      <c r="J8" s="3">
        <v>34526</v>
      </c>
      <c r="K8" s="17">
        <v>0.92500000000000004</v>
      </c>
    </row>
    <row r="9" spans="2:11">
      <c r="B9" s="121"/>
      <c r="C9" s="16">
        <v>32883</v>
      </c>
      <c r="D9" s="19">
        <v>12.981999999999999</v>
      </c>
      <c r="E9" s="18">
        <f t="shared" si="0"/>
        <v>3.5700499999999995E-5</v>
      </c>
      <c r="J9" s="3">
        <v>34527</v>
      </c>
      <c r="K9" s="17">
        <v>0.92</v>
      </c>
    </row>
    <row r="10" spans="2:11">
      <c r="B10" s="121"/>
      <c r="C10" s="16">
        <v>32884</v>
      </c>
      <c r="D10" s="19">
        <v>13.228</v>
      </c>
      <c r="E10" s="18">
        <f t="shared" si="0"/>
        <v>3.6377000000000001E-5</v>
      </c>
      <c r="J10" s="3">
        <v>34528</v>
      </c>
      <c r="K10" s="17">
        <v>0.92</v>
      </c>
    </row>
    <row r="11" spans="2:11">
      <c r="B11" s="121"/>
      <c r="C11" s="16">
        <v>32885</v>
      </c>
      <c r="D11" s="19">
        <v>13.478999999999999</v>
      </c>
      <c r="E11" s="18">
        <f t="shared" si="0"/>
        <v>3.706725E-5</v>
      </c>
      <c r="J11" s="3">
        <v>34529</v>
      </c>
      <c r="K11" s="17">
        <v>0.92500000000000004</v>
      </c>
    </row>
    <row r="12" spans="2:11">
      <c r="B12" s="121"/>
      <c r="C12" s="16">
        <v>32888</v>
      </c>
      <c r="D12" s="19">
        <v>13.734999999999999</v>
      </c>
      <c r="E12" s="18">
        <f t="shared" si="0"/>
        <v>3.7771249999999999E-5</v>
      </c>
      <c r="J12" s="3">
        <v>34530</v>
      </c>
      <c r="K12" s="17">
        <v>0.93500000000000005</v>
      </c>
    </row>
    <row r="13" spans="2:11">
      <c r="B13" s="121"/>
      <c r="C13" s="16">
        <v>32889</v>
      </c>
      <c r="D13" s="19">
        <v>13.994999999999999</v>
      </c>
      <c r="E13" s="18">
        <f t="shared" si="0"/>
        <v>3.8486249999999994E-5</v>
      </c>
      <c r="J13" s="3">
        <v>34533</v>
      </c>
      <c r="K13" s="17">
        <v>0.93500000000000005</v>
      </c>
    </row>
    <row r="14" spans="2:11">
      <c r="B14" s="121"/>
      <c r="C14" s="16">
        <v>32890</v>
      </c>
      <c r="D14" s="19">
        <v>14.26</v>
      </c>
      <c r="E14" s="18">
        <f t="shared" si="0"/>
        <v>3.9214999999999996E-5</v>
      </c>
      <c r="J14" s="3">
        <v>34534</v>
      </c>
      <c r="K14" s="17">
        <v>0.93500000000000005</v>
      </c>
    </row>
    <row r="15" spans="2:11">
      <c r="B15" s="121"/>
      <c r="C15" s="16">
        <v>32891</v>
      </c>
      <c r="D15" s="19">
        <v>14.53</v>
      </c>
      <c r="E15" s="18">
        <f t="shared" si="0"/>
        <v>3.9957499999999998E-5</v>
      </c>
      <c r="J15" s="3">
        <v>34535</v>
      </c>
      <c r="K15" s="17">
        <v>0.93200000000000005</v>
      </c>
    </row>
    <row r="16" spans="2:11">
      <c r="B16" s="121"/>
      <c r="C16" s="16">
        <v>32892</v>
      </c>
      <c r="D16" s="19">
        <v>14.805999999999999</v>
      </c>
      <c r="E16" s="18">
        <f t="shared" si="0"/>
        <v>4.0716499999999995E-5</v>
      </c>
      <c r="J16" s="3">
        <v>34536</v>
      </c>
      <c r="K16" s="17">
        <v>0.93200000000000005</v>
      </c>
    </row>
    <row r="17" spans="2:11">
      <c r="B17" s="121"/>
      <c r="C17" s="16">
        <v>32895</v>
      </c>
      <c r="D17" s="19">
        <v>15.13</v>
      </c>
      <c r="E17" s="18">
        <f t="shared" si="0"/>
        <v>4.1607500000000004E-5</v>
      </c>
      <c r="J17" s="3">
        <v>34537</v>
      </c>
      <c r="K17" s="17">
        <v>0.93700000000000006</v>
      </c>
    </row>
    <row r="18" spans="2:11">
      <c r="B18" s="121"/>
      <c r="C18" s="16">
        <v>32896</v>
      </c>
      <c r="D18" s="19">
        <v>15.461</v>
      </c>
      <c r="E18" s="18">
        <f t="shared" si="0"/>
        <v>4.2517749999999998E-5</v>
      </c>
      <c r="J18" s="3">
        <v>34540</v>
      </c>
      <c r="K18" s="17">
        <v>0.93600000000000005</v>
      </c>
    </row>
    <row r="19" spans="2:11">
      <c r="B19" s="121"/>
      <c r="C19" s="16">
        <v>32897</v>
      </c>
      <c r="D19" s="19">
        <v>15.798999999999999</v>
      </c>
      <c r="E19" s="18">
        <f t="shared" si="0"/>
        <v>4.3447249999999996E-5</v>
      </c>
      <c r="J19" s="3">
        <v>34541</v>
      </c>
      <c r="K19" s="17">
        <v>0.93400000000000005</v>
      </c>
    </row>
    <row r="20" spans="2:11">
      <c r="B20" s="121"/>
      <c r="C20" s="16">
        <v>32898</v>
      </c>
      <c r="D20" s="19">
        <v>16.145</v>
      </c>
      <c r="E20" s="18">
        <f t="shared" si="0"/>
        <v>4.4398749999999996E-5</v>
      </c>
      <c r="J20" s="3">
        <v>34542</v>
      </c>
      <c r="K20" s="17">
        <v>0.93600000000000005</v>
      </c>
    </row>
    <row r="21" spans="2:11">
      <c r="B21" s="121"/>
      <c r="C21" s="16">
        <v>32899</v>
      </c>
      <c r="D21" s="19">
        <v>16.512</v>
      </c>
      <c r="E21" s="18">
        <f t="shared" si="0"/>
        <v>4.5408000000000003E-5</v>
      </c>
      <c r="J21" s="3">
        <v>34543</v>
      </c>
      <c r="K21" s="17">
        <v>0.94</v>
      </c>
    </row>
    <row r="22" spans="2:11">
      <c r="B22" s="121"/>
      <c r="C22" s="16">
        <v>32902</v>
      </c>
      <c r="D22" s="19">
        <v>16.887</v>
      </c>
      <c r="E22" s="18">
        <f t="shared" si="0"/>
        <v>4.6439249999999998E-5</v>
      </c>
      <c r="J22" s="3">
        <v>34544</v>
      </c>
      <c r="K22" s="17">
        <v>0.94</v>
      </c>
    </row>
    <row r="23" spans="2:11">
      <c r="B23" s="121"/>
      <c r="C23" s="16">
        <v>32903</v>
      </c>
      <c r="D23" s="19">
        <v>17.27</v>
      </c>
      <c r="E23" s="18">
        <f t="shared" si="0"/>
        <v>4.74925E-5</v>
      </c>
      <c r="J23" s="3">
        <v>34549</v>
      </c>
      <c r="K23" s="17">
        <v>0.91</v>
      </c>
    </row>
    <row r="24" spans="2:11">
      <c r="B24" s="121"/>
      <c r="C24" s="16">
        <v>32904</v>
      </c>
      <c r="D24" s="19">
        <v>17.731000000000002</v>
      </c>
      <c r="E24" s="18">
        <f t="shared" si="0"/>
        <v>4.8760249999999998E-5</v>
      </c>
      <c r="J24" s="3">
        <v>34550</v>
      </c>
      <c r="K24" s="17">
        <v>0.91</v>
      </c>
    </row>
    <row r="25" spans="2:11">
      <c r="B25" s="121"/>
      <c r="C25" s="16">
        <v>32905</v>
      </c>
      <c r="D25" s="19">
        <v>18.175000000000001</v>
      </c>
      <c r="E25" s="18">
        <f t="shared" si="0"/>
        <v>4.9981250000000005E-5</v>
      </c>
      <c r="J25" s="3">
        <v>34551</v>
      </c>
      <c r="K25" s="17">
        <v>0.91200000000000003</v>
      </c>
    </row>
    <row r="26" spans="2:11">
      <c r="B26" s="121"/>
      <c r="C26" s="16">
        <v>32906</v>
      </c>
      <c r="D26" s="19">
        <v>18.63</v>
      </c>
      <c r="E26" s="18">
        <f t="shared" si="0"/>
        <v>5.1232500000000001E-5</v>
      </c>
      <c r="J26" s="3">
        <v>34554</v>
      </c>
      <c r="K26" s="17">
        <v>0.90600000000000003</v>
      </c>
    </row>
    <row r="27" spans="2:11">
      <c r="B27" s="121"/>
      <c r="C27" s="16">
        <v>32909</v>
      </c>
      <c r="D27" s="19">
        <v>19.097000000000001</v>
      </c>
      <c r="E27" s="18">
        <f t="shared" si="0"/>
        <v>5.2516750000000002E-5</v>
      </c>
      <c r="J27" s="3">
        <v>34555</v>
      </c>
      <c r="K27" s="17">
        <v>0.89100000000000001</v>
      </c>
    </row>
    <row r="28" spans="2:11">
      <c r="B28" s="121"/>
      <c r="C28" s="16">
        <v>32910</v>
      </c>
      <c r="D28" s="19">
        <v>19.664000000000001</v>
      </c>
      <c r="E28" s="18">
        <f t="shared" si="0"/>
        <v>5.4076000000000002E-5</v>
      </c>
      <c r="J28" s="3">
        <v>34556</v>
      </c>
      <c r="K28" s="17">
        <v>0.89200000000000002</v>
      </c>
    </row>
    <row r="29" spans="2:11">
      <c r="B29" s="121"/>
      <c r="C29" s="16">
        <v>32911</v>
      </c>
      <c r="D29" s="19">
        <v>20.247</v>
      </c>
      <c r="E29" s="18">
        <f t="shared" si="0"/>
        <v>5.5679250000000004E-5</v>
      </c>
      <c r="J29" s="3">
        <v>34557</v>
      </c>
      <c r="K29" s="17">
        <v>0.89400000000000002</v>
      </c>
    </row>
    <row r="30" spans="2:11">
      <c r="B30" s="121"/>
      <c r="C30" s="16">
        <v>32912</v>
      </c>
      <c r="D30" s="19">
        <v>20.847999999999999</v>
      </c>
      <c r="E30" s="18">
        <f t="shared" si="0"/>
        <v>5.7331999999999993E-5</v>
      </c>
      <c r="J30" s="3">
        <v>34558</v>
      </c>
      <c r="K30" s="17">
        <v>0.90600000000000003</v>
      </c>
    </row>
    <row r="31" spans="2:11">
      <c r="B31" s="121"/>
      <c r="C31" s="16">
        <v>32913</v>
      </c>
      <c r="D31" s="19">
        <v>21.466999999999999</v>
      </c>
      <c r="E31" s="18">
        <f t="shared" si="0"/>
        <v>5.9034250000000001E-5</v>
      </c>
      <c r="J31" s="3">
        <v>34561</v>
      </c>
      <c r="K31" s="17">
        <v>0.90100000000000002</v>
      </c>
    </row>
    <row r="32" spans="2:11">
      <c r="B32" s="121"/>
      <c r="C32" s="16">
        <v>32916</v>
      </c>
      <c r="D32" s="19">
        <v>22.103999999999999</v>
      </c>
      <c r="E32" s="18">
        <f t="shared" si="0"/>
        <v>6.0786000000000004E-5</v>
      </c>
      <c r="J32" s="3">
        <v>34562</v>
      </c>
      <c r="K32" s="17">
        <v>0.89600000000000002</v>
      </c>
    </row>
    <row r="33" spans="2:11">
      <c r="B33" s="121"/>
      <c r="C33" s="16">
        <v>32917</v>
      </c>
      <c r="D33" s="19">
        <v>22.827000000000002</v>
      </c>
      <c r="E33" s="18">
        <f t="shared" si="0"/>
        <v>6.2774249999999996E-5</v>
      </c>
      <c r="J33" s="3">
        <v>34563</v>
      </c>
      <c r="K33" s="17">
        <v>0.90100000000000002</v>
      </c>
    </row>
    <row r="34" spans="2:11">
      <c r="B34" s="121"/>
      <c r="C34" s="16">
        <v>32918</v>
      </c>
      <c r="D34" s="19">
        <v>23.574000000000002</v>
      </c>
      <c r="E34" s="18">
        <f t="shared" si="0"/>
        <v>6.4828500000000005E-5</v>
      </c>
      <c r="J34" s="3">
        <v>34564</v>
      </c>
      <c r="K34" s="17">
        <v>0.89700000000000002</v>
      </c>
    </row>
    <row r="35" spans="2:11">
      <c r="B35" s="121"/>
      <c r="C35" s="16">
        <v>32919</v>
      </c>
      <c r="D35" s="19">
        <v>24.344999999999999</v>
      </c>
      <c r="E35" s="18">
        <f t="shared" si="0"/>
        <v>6.6948749999999995E-5</v>
      </c>
      <c r="J35" s="3">
        <v>34565</v>
      </c>
      <c r="K35" s="17">
        <v>0.89400000000000002</v>
      </c>
    </row>
    <row r="36" spans="2:11">
      <c r="B36" s="121"/>
      <c r="C36" s="16">
        <v>32920</v>
      </c>
      <c r="D36" s="19">
        <v>25.140999999999998</v>
      </c>
      <c r="E36" s="18">
        <f t="shared" si="0"/>
        <v>6.9137749999999997E-5</v>
      </c>
      <c r="J36" s="3">
        <v>34568</v>
      </c>
      <c r="K36" s="17">
        <v>0.88700000000000001</v>
      </c>
    </row>
    <row r="37" spans="2:11">
      <c r="B37" s="121"/>
      <c r="C37" s="16">
        <v>32923</v>
      </c>
      <c r="D37" s="19">
        <v>25.989000000000001</v>
      </c>
      <c r="E37" s="18">
        <f t="shared" si="0"/>
        <v>7.1469750000000001E-5</v>
      </c>
      <c r="J37" s="3">
        <v>34569</v>
      </c>
      <c r="K37" s="17">
        <v>0.88700000000000001</v>
      </c>
    </row>
    <row r="38" spans="2:11">
      <c r="B38" s="121"/>
      <c r="C38" s="16">
        <v>32924</v>
      </c>
      <c r="D38" s="19">
        <v>26.876999999999999</v>
      </c>
      <c r="E38" s="18">
        <f t="shared" si="0"/>
        <v>7.3911750000000003E-5</v>
      </c>
      <c r="J38" s="3">
        <v>34570</v>
      </c>
      <c r="K38" s="17">
        <v>0.88400000000000001</v>
      </c>
    </row>
    <row r="39" spans="2:11">
      <c r="B39" s="121"/>
      <c r="C39" s="16">
        <v>32925</v>
      </c>
      <c r="D39" s="19">
        <v>27.795999999999999</v>
      </c>
      <c r="E39" s="18">
        <f t="shared" si="0"/>
        <v>7.6439000000000005E-5</v>
      </c>
      <c r="J39" s="3">
        <v>34571</v>
      </c>
      <c r="K39" s="17">
        <v>0.88800000000000001</v>
      </c>
    </row>
    <row r="40" spans="2:11">
      <c r="B40" s="121"/>
      <c r="C40" s="16">
        <v>32926</v>
      </c>
      <c r="D40" s="19">
        <v>28.745999999999999</v>
      </c>
      <c r="E40" s="18">
        <f t="shared" si="0"/>
        <v>7.9051499999999994E-5</v>
      </c>
      <c r="J40" s="3">
        <v>34572</v>
      </c>
      <c r="K40" s="17">
        <v>0.88800000000000001</v>
      </c>
    </row>
    <row r="41" spans="2:11">
      <c r="B41" s="121"/>
      <c r="C41" s="16">
        <v>32927</v>
      </c>
      <c r="D41" s="19">
        <v>29.728999999999999</v>
      </c>
      <c r="E41" s="18">
        <f t="shared" si="0"/>
        <v>8.1754750000000002E-5</v>
      </c>
      <c r="J41" s="3">
        <v>34575</v>
      </c>
      <c r="K41" s="17">
        <v>0.89600000000000002</v>
      </c>
    </row>
    <row r="42" spans="2:11">
      <c r="B42" s="121"/>
      <c r="C42" s="16">
        <v>32932</v>
      </c>
      <c r="D42" s="19">
        <v>30.635999999999999</v>
      </c>
      <c r="E42" s="18">
        <f t="shared" si="0"/>
        <v>8.4248999999999986E-5</v>
      </c>
      <c r="J42" s="3">
        <v>34576</v>
      </c>
      <c r="K42" s="17">
        <v>0.88700000000000001</v>
      </c>
    </row>
    <row r="43" spans="2:11">
      <c r="B43" s="121"/>
      <c r="C43" s="16">
        <v>32933</v>
      </c>
      <c r="D43" s="19">
        <v>31.407</v>
      </c>
      <c r="E43" s="18">
        <f t="shared" si="0"/>
        <v>8.6369250000000003E-5</v>
      </c>
      <c r="J43" s="3">
        <v>34577</v>
      </c>
      <c r="K43" s="17">
        <v>0.88900000000000001</v>
      </c>
    </row>
    <row r="44" spans="2:11">
      <c r="B44" s="121"/>
      <c r="C44" s="16">
        <v>32934</v>
      </c>
      <c r="D44" s="19">
        <v>32.197000000000003</v>
      </c>
      <c r="E44" s="18">
        <f t="shared" si="0"/>
        <v>8.8541750000000017E-5</v>
      </c>
      <c r="J44" s="3">
        <v>34579</v>
      </c>
      <c r="K44" s="17">
        <v>0.88600000000000001</v>
      </c>
    </row>
    <row r="45" spans="2:11">
      <c r="B45" s="121"/>
      <c r="C45" s="16">
        <v>32937</v>
      </c>
      <c r="D45" s="19">
        <v>33.006999999999998</v>
      </c>
      <c r="E45" s="18">
        <f t="shared" si="0"/>
        <v>9.0769249999999988E-5</v>
      </c>
      <c r="J45" s="3">
        <v>34582</v>
      </c>
      <c r="K45" s="17">
        <v>0.89200000000000002</v>
      </c>
    </row>
    <row r="46" spans="2:11">
      <c r="B46" s="121"/>
      <c r="C46" s="16">
        <v>32938</v>
      </c>
      <c r="D46" s="19">
        <v>33.838000000000001</v>
      </c>
      <c r="E46" s="18">
        <f t="shared" si="0"/>
        <v>9.3054500000000015E-5</v>
      </c>
      <c r="J46" s="3">
        <v>34583</v>
      </c>
      <c r="K46" s="17">
        <v>0.88600000000000001</v>
      </c>
    </row>
    <row r="47" spans="2:11">
      <c r="B47" s="121"/>
      <c r="C47" s="16">
        <v>32939</v>
      </c>
      <c r="D47" s="19">
        <v>34.69</v>
      </c>
      <c r="E47" s="18">
        <f t="shared" si="0"/>
        <v>9.5397499999999989E-5</v>
      </c>
      <c r="J47" s="3">
        <v>34585</v>
      </c>
      <c r="K47" s="17">
        <v>0.88100000000000001</v>
      </c>
    </row>
    <row r="48" spans="2:11">
      <c r="B48" s="121"/>
      <c r="C48" s="16">
        <v>32940</v>
      </c>
      <c r="D48" s="19">
        <v>35.563000000000002</v>
      </c>
      <c r="E48" s="18">
        <f t="shared" si="0"/>
        <v>9.7798250000000019E-5</v>
      </c>
      <c r="J48" s="3">
        <v>34586</v>
      </c>
      <c r="K48" s="17">
        <v>0.872</v>
      </c>
    </row>
    <row r="49" spans="2:11">
      <c r="B49" s="121"/>
      <c r="C49" s="16">
        <v>32941</v>
      </c>
      <c r="D49" s="19">
        <v>36.481000000000002</v>
      </c>
      <c r="E49" s="18">
        <f t="shared" si="0"/>
        <v>1.0032274999999999E-4</v>
      </c>
      <c r="J49" s="3">
        <v>34589</v>
      </c>
      <c r="K49" s="17">
        <v>0.85299999999999998</v>
      </c>
    </row>
    <row r="50" spans="2:11">
      <c r="B50" s="121"/>
      <c r="C50" s="16">
        <v>32944</v>
      </c>
      <c r="D50" s="19">
        <v>37.421999999999997</v>
      </c>
      <c r="E50" s="18">
        <f t="shared" si="0"/>
        <v>1.0291049999999998E-4</v>
      </c>
      <c r="J50" s="3">
        <v>34590</v>
      </c>
      <c r="K50" s="17">
        <v>0.86</v>
      </c>
    </row>
    <row r="51" spans="2:11">
      <c r="B51" s="121"/>
      <c r="C51" s="16">
        <v>32945</v>
      </c>
      <c r="D51" s="19">
        <v>38.387999999999998</v>
      </c>
      <c r="E51" s="18">
        <f t="shared" si="0"/>
        <v>1.05567E-4</v>
      </c>
      <c r="J51" s="3">
        <v>34591</v>
      </c>
      <c r="K51" s="17">
        <v>0.85499999999999998</v>
      </c>
    </row>
    <row r="52" spans="2:11">
      <c r="B52" s="122" t="s">
        <v>20</v>
      </c>
      <c r="C52" s="16">
        <v>32951</v>
      </c>
      <c r="D52" s="19">
        <v>42.506</v>
      </c>
      <c r="E52" s="18">
        <f t="shared" si="0"/>
        <v>1.1689150000000001E-4</v>
      </c>
      <c r="J52" s="3">
        <v>34592</v>
      </c>
      <c r="K52" s="17">
        <v>0.85699999999999998</v>
      </c>
    </row>
    <row r="53" spans="2:11">
      <c r="B53" s="122"/>
      <c r="C53" s="16">
        <v>32952</v>
      </c>
      <c r="D53" s="19">
        <v>38.963000000000001</v>
      </c>
      <c r="E53" s="18">
        <f t="shared" si="0"/>
        <v>1.0714825E-4</v>
      </c>
      <c r="J53" s="3">
        <v>34593</v>
      </c>
      <c r="K53" s="17">
        <v>0.85699999999999998</v>
      </c>
    </row>
    <row r="54" spans="2:11">
      <c r="B54" s="122"/>
      <c r="C54" s="16">
        <v>32953</v>
      </c>
      <c r="D54" s="19">
        <v>38.988999999999997</v>
      </c>
      <c r="E54" s="18">
        <f t="shared" si="0"/>
        <v>1.0721974999999999E-4</v>
      </c>
      <c r="J54" s="3">
        <v>34596</v>
      </c>
      <c r="K54" s="17">
        <v>0.85399999999999998</v>
      </c>
    </row>
    <row r="55" spans="2:11">
      <c r="B55" s="122"/>
      <c r="C55" s="16">
        <v>32954</v>
      </c>
      <c r="D55" s="19">
        <v>39.825000000000003</v>
      </c>
      <c r="E55" s="18">
        <f t="shared" si="0"/>
        <v>1.0951875000000002E-4</v>
      </c>
      <c r="J55" s="3">
        <v>34597</v>
      </c>
      <c r="K55" s="17">
        <v>0.85399999999999998</v>
      </c>
    </row>
    <row r="56" spans="2:11">
      <c r="B56" s="122"/>
      <c r="C56" s="16">
        <v>32955</v>
      </c>
      <c r="D56" s="19">
        <v>38.435000000000002</v>
      </c>
      <c r="E56" s="18">
        <f t="shared" si="0"/>
        <v>1.0569625E-4</v>
      </c>
      <c r="J56" s="3">
        <v>34598</v>
      </c>
      <c r="K56" s="17">
        <v>0.85699999999999998</v>
      </c>
    </row>
    <row r="57" spans="2:11">
      <c r="B57" s="122"/>
      <c r="C57" s="16">
        <v>32958</v>
      </c>
      <c r="D57" s="19">
        <v>38.58</v>
      </c>
      <c r="E57" s="18">
        <f t="shared" si="0"/>
        <v>1.0609500000000001E-4</v>
      </c>
      <c r="J57" s="3">
        <v>34599</v>
      </c>
      <c r="K57" s="17">
        <v>0.85499999999999998</v>
      </c>
    </row>
    <row r="58" spans="2:11">
      <c r="B58" s="122"/>
      <c r="C58" s="16">
        <v>32959</v>
      </c>
      <c r="D58" s="19">
        <v>40.344999999999999</v>
      </c>
      <c r="E58" s="18">
        <f t="shared" si="0"/>
        <v>1.1094875000000001E-4</v>
      </c>
      <c r="J58" s="3">
        <v>34600</v>
      </c>
      <c r="K58" s="17">
        <v>0.85699999999999998</v>
      </c>
    </row>
    <row r="59" spans="2:11">
      <c r="B59" s="122"/>
      <c r="C59" s="16">
        <v>32960</v>
      </c>
      <c r="D59" s="19">
        <v>40.814</v>
      </c>
      <c r="E59" s="18">
        <f t="shared" si="0"/>
        <v>1.122385E-4</v>
      </c>
      <c r="J59" s="3">
        <v>34603</v>
      </c>
      <c r="K59" s="17">
        <v>0.86199999999999999</v>
      </c>
    </row>
    <row r="60" spans="2:11">
      <c r="B60" s="122"/>
      <c r="C60" s="16">
        <v>32961</v>
      </c>
      <c r="D60" s="19">
        <v>42.313000000000002</v>
      </c>
      <c r="E60" s="18">
        <f t="shared" si="0"/>
        <v>1.1636075E-4</v>
      </c>
      <c r="J60" s="3">
        <v>34604</v>
      </c>
      <c r="K60" s="17">
        <v>0.86799999999999999</v>
      </c>
    </row>
    <row r="61" spans="2:11">
      <c r="B61" s="122"/>
      <c r="C61" s="16">
        <v>32962</v>
      </c>
      <c r="D61" s="19">
        <v>42.56</v>
      </c>
      <c r="E61" s="18">
        <f t="shared" si="0"/>
        <v>1.1704E-4</v>
      </c>
      <c r="J61" s="3">
        <v>34605</v>
      </c>
      <c r="K61" s="17">
        <v>0.86399999999999999</v>
      </c>
    </row>
    <row r="62" spans="2:11">
      <c r="B62" s="122"/>
      <c r="C62" s="16">
        <v>32965</v>
      </c>
      <c r="D62" s="19">
        <v>42.625999999999998</v>
      </c>
      <c r="E62" s="18">
        <f t="shared" si="0"/>
        <v>1.1722149999999999E-4</v>
      </c>
      <c r="J62" s="3">
        <v>34606</v>
      </c>
      <c r="K62" s="17">
        <v>0.86099999999999999</v>
      </c>
    </row>
    <row r="63" spans="2:11">
      <c r="B63" s="122"/>
      <c r="C63" s="16">
        <v>32966</v>
      </c>
      <c r="D63" s="19">
        <v>42.676000000000002</v>
      </c>
      <c r="E63" s="18">
        <f t="shared" si="0"/>
        <v>1.1735900000000001E-4</v>
      </c>
      <c r="J63" s="3">
        <v>34607</v>
      </c>
      <c r="K63" s="17">
        <v>0.85299999999999998</v>
      </c>
    </row>
    <row r="64" spans="2:11">
      <c r="B64" s="122"/>
      <c r="C64" s="16">
        <v>32967</v>
      </c>
      <c r="D64" s="19">
        <v>42.723999999999997</v>
      </c>
      <c r="E64" s="18">
        <f t="shared" si="0"/>
        <v>1.17491E-4</v>
      </c>
      <c r="J64" s="3">
        <v>34611</v>
      </c>
      <c r="K64" s="17">
        <v>0.84899999999999998</v>
      </c>
    </row>
    <row r="65" spans="2:11">
      <c r="B65" s="122"/>
      <c r="C65" s="16">
        <v>32968</v>
      </c>
      <c r="D65" s="19">
        <v>42.725000000000001</v>
      </c>
      <c r="E65" s="18">
        <f t="shared" si="0"/>
        <v>1.1749375000000001E-4</v>
      </c>
      <c r="J65" s="3">
        <v>34612</v>
      </c>
      <c r="K65" s="17">
        <v>0.84699999999999998</v>
      </c>
    </row>
    <row r="66" spans="2:11">
      <c r="B66" s="122"/>
      <c r="C66" s="16">
        <v>32969</v>
      </c>
      <c r="D66" s="19">
        <v>42.694000000000003</v>
      </c>
      <c r="E66" s="18">
        <f t="shared" si="0"/>
        <v>1.1740850000000001E-4</v>
      </c>
      <c r="J66" s="3">
        <v>34613</v>
      </c>
      <c r="K66" s="17">
        <v>0.84599999999999997</v>
      </c>
    </row>
    <row r="67" spans="2:11">
      <c r="B67" s="122"/>
      <c r="C67" s="16">
        <v>32972</v>
      </c>
      <c r="D67" s="19">
        <v>42.741999999999997</v>
      </c>
      <c r="E67" s="18">
        <f t="shared" si="0"/>
        <v>1.175405E-4</v>
      </c>
      <c r="J67" s="3">
        <v>34614</v>
      </c>
      <c r="K67" s="17">
        <v>0.84399999999999997</v>
      </c>
    </row>
    <row r="68" spans="2:11">
      <c r="B68" s="122"/>
      <c r="C68" s="16">
        <v>32973</v>
      </c>
      <c r="D68" s="19">
        <v>43.46</v>
      </c>
      <c r="E68" s="18">
        <f t="shared" ref="E68:E131" si="1">(D68/1000^2)*2.75</f>
        <v>1.19515E-4</v>
      </c>
      <c r="J68" s="3">
        <v>34617</v>
      </c>
      <c r="K68" s="17">
        <v>0.83899999999999997</v>
      </c>
    </row>
    <row r="69" spans="2:11">
      <c r="B69" s="122"/>
      <c r="C69" s="16">
        <v>32974</v>
      </c>
      <c r="D69" s="19">
        <v>46.853000000000002</v>
      </c>
      <c r="E69" s="18">
        <f t="shared" si="1"/>
        <v>1.2884575E-4</v>
      </c>
      <c r="J69" s="3">
        <v>34618</v>
      </c>
      <c r="K69" s="17">
        <v>0.83499999999999996</v>
      </c>
    </row>
    <row r="70" spans="2:11">
      <c r="B70" s="122"/>
      <c r="C70" s="16">
        <v>32979</v>
      </c>
      <c r="D70" s="19">
        <v>49.39</v>
      </c>
      <c r="E70" s="18">
        <f t="shared" si="1"/>
        <v>1.358225E-4</v>
      </c>
      <c r="J70" s="3">
        <v>34620</v>
      </c>
      <c r="K70" s="17">
        <v>0.83599999999999997</v>
      </c>
    </row>
    <row r="71" spans="2:11">
      <c r="B71" s="122"/>
      <c r="C71" s="16">
        <v>32980</v>
      </c>
      <c r="D71" s="19">
        <v>52.305999999999997</v>
      </c>
      <c r="E71" s="18">
        <f t="shared" si="1"/>
        <v>1.438415E-4</v>
      </c>
      <c r="J71" s="3">
        <v>34621</v>
      </c>
      <c r="K71" s="17">
        <v>0.82899999999999996</v>
      </c>
    </row>
    <row r="72" spans="2:11">
      <c r="B72" s="122"/>
      <c r="C72" s="16">
        <v>32981</v>
      </c>
      <c r="D72" s="19">
        <v>51.466999999999999</v>
      </c>
      <c r="E72" s="18">
        <f t="shared" si="1"/>
        <v>1.4153424999999999E-4</v>
      </c>
      <c r="J72" s="3">
        <v>34624</v>
      </c>
      <c r="K72" s="17">
        <v>0.82899999999999996</v>
      </c>
    </row>
    <row r="73" spans="2:11">
      <c r="B73" s="122"/>
      <c r="C73" s="16">
        <v>32982</v>
      </c>
      <c r="D73" s="19">
        <v>51.484999999999999</v>
      </c>
      <c r="E73" s="18">
        <f t="shared" si="1"/>
        <v>1.4158374999999999E-4</v>
      </c>
      <c r="J73" s="3">
        <v>34625</v>
      </c>
      <c r="K73" s="17">
        <v>0.84699999999999998</v>
      </c>
    </row>
    <row r="74" spans="2:11">
      <c r="B74" s="122"/>
      <c r="C74" s="16">
        <v>32983</v>
      </c>
      <c r="D74" s="19">
        <v>51.405000000000001</v>
      </c>
      <c r="E74" s="18">
        <f t="shared" si="1"/>
        <v>1.4136374999999999E-4</v>
      </c>
      <c r="J74" s="3">
        <v>34626</v>
      </c>
      <c r="K74" s="17">
        <v>0.85299999999999998</v>
      </c>
    </row>
    <row r="75" spans="2:11">
      <c r="B75" s="122"/>
      <c r="C75" s="16">
        <v>32986</v>
      </c>
      <c r="D75" s="19">
        <v>51.268000000000001</v>
      </c>
      <c r="E75" s="18">
        <f t="shared" si="1"/>
        <v>1.40987E-4</v>
      </c>
      <c r="J75" s="3">
        <v>34627</v>
      </c>
      <c r="K75" s="17">
        <v>0.85599999999999998</v>
      </c>
    </row>
    <row r="76" spans="2:11">
      <c r="B76" s="122"/>
      <c r="C76" s="16">
        <v>32987</v>
      </c>
      <c r="D76" s="19">
        <v>51.154000000000003</v>
      </c>
      <c r="E76" s="18">
        <f t="shared" si="1"/>
        <v>1.4067350000000002E-4</v>
      </c>
      <c r="J76" s="3">
        <v>34628</v>
      </c>
      <c r="K76" s="17">
        <v>0.85299999999999998</v>
      </c>
    </row>
    <row r="77" spans="2:11">
      <c r="B77" s="122"/>
      <c r="C77" s="16">
        <v>32988</v>
      </c>
      <c r="D77" s="19">
        <v>51.207000000000001</v>
      </c>
      <c r="E77" s="18">
        <f t="shared" si="1"/>
        <v>1.4081925000000001E-4</v>
      </c>
      <c r="J77" s="3">
        <v>34631</v>
      </c>
      <c r="K77" s="17">
        <v>0.85299999999999998</v>
      </c>
    </row>
    <row r="78" spans="2:11">
      <c r="B78" s="122"/>
      <c r="C78" s="16">
        <v>32989</v>
      </c>
      <c r="D78" s="19">
        <v>51.292000000000002</v>
      </c>
      <c r="E78" s="18">
        <f t="shared" si="1"/>
        <v>1.4105300000000001E-4</v>
      </c>
      <c r="J78" s="3">
        <v>34632</v>
      </c>
      <c r="K78" s="17">
        <v>0.85399999999999998</v>
      </c>
    </row>
    <row r="79" spans="2:11">
      <c r="B79" s="122"/>
      <c r="C79" s="16">
        <v>32990</v>
      </c>
      <c r="D79" s="19">
        <v>51.185000000000002</v>
      </c>
      <c r="E79" s="18">
        <f t="shared" si="1"/>
        <v>1.4075875000000001E-4</v>
      </c>
      <c r="J79" s="3">
        <v>34633</v>
      </c>
      <c r="K79" s="17">
        <v>0.85599999999999998</v>
      </c>
    </row>
    <row r="80" spans="2:11">
      <c r="B80" s="122"/>
      <c r="C80" s="16">
        <v>32993</v>
      </c>
      <c r="D80" s="19">
        <v>51.243000000000002</v>
      </c>
      <c r="E80" s="18">
        <f t="shared" si="1"/>
        <v>1.4091825E-4</v>
      </c>
      <c r="J80" s="3">
        <v>34634</v>
      </c>
      <c r="K80" s="17">
        <v>0.85199999999999998</v>
      </c>
    </row>
    <row r="81" spans="2:11">
      <c r="B81" s="122"/>
      <c r="C81" s="16">
        <v>32995</v>
      </c>
      <c r="D81" s="19">
        <v>51.189</v>
      </c>
      <c r="E81" s="18">
        <f t="shared" si="1"/>
        <v>1.4076974999999999E-4</v>
      </c>
      <c r="J81" s="3">
        <v>34635</v>
      </c>
      <c r="K81" s="17">
        <v>0.85</v>
      </c>
    </row>
    <row r="82" spans="2:11">
      <c r="B82" s="122"/>
      <c r="C82" s="16">
        <v>32996</v>
      </c>
      <c r="D82" s="19">
        <v>51.33</v>
      </c>
      <c r="E82" s="18">
        <f t="shared" si="1"/>
        <v>1.411575E-4</v>
      </c>
      <c r="J82" s="3">
        <v>34638</v>
      </c>
      <c r="K82" s="17">
        <v>0.84599999999999997</v>
      </c>
    </row>
    <row r="83" spans="2:11">
      <c r="B83" s="122"/>
      <c r="C83" s="16">
        <v>32997</v>
      </c>
      <c r="D83" s="19">
        <v>51.143000000000001</v>
      </c>
      <c r="E83" s="18">
        <f t="shared" si="1"/>
        <v>1.4064325000000001E-4</v>
      </c>
      <c r="J83" s="3">
        <v>34641</v>
      </c>
      <c r="K83" s="17">
        <v>0.84599999999999997</v>
      </c>
    </row>
    <row r="84" spans="2:11">
      <c r="B84" s="122"/>
      <c r="C84" s="16">
        <v>33000</v>
      </c>
      <c r="D84" s="19">
        <v>51.173000000000002</v>
      </c>
      <c r="E84" s="18">
        <f t="shared" si="1"/>
        <v>1.4072575E-4</v>
      </c>
      <c r="J84" s="3">
        <v>34642</v>
      </c>
      <c r="K84" s="17">
        <v>0.84499999999999997</v>
      </c>
    </row>
    <row r="85" spans="2:11">
      <c r="B85" s="122"/>
      <c r="C85" s="16">
        <v>33001</v>
      </c>
      <c r="D85" s="19">
        <v>51.131999999999998</v>
      </c>
      <c r="E85" s="18">
        <f t="shared" si="1"/>
        <v>1.4061299999999999E-4</v>
      </c>
      <c r="J85" s="3">
        <v>34645</v>
      </c>
      <c r="K85" s="17">
        <v>0.84</v>
      </c>
    </row>
    <row r="86" spans="2:11">
      <c r="B86" s="122"/>
      <c r="C86" s="16">
        <v>33002</v>
      </c>
      <c r="D86" s="19">
        <v>51.133000000000003</v>
      </c>
      <c r="E86" s="18">
        <f t="shared" si="1"/>
        <v>1.4061575000000001E-4</v>
      </c>
      <c r="J86" s="3">
        <v>34646</v>
      </c>
      <c r="K86" s="17">
        <v>0.83399999999999996</v>
      </c>
    </row>
    <row r="87" spans="2:11">
      <c r="B87" s="122"/>
      <c r="C87" s="16">
        <v>33003</v>
      </c>
      <c r="D87" s="19">
        <v>51.23</v>
      </c>
      <c r="E87" s="18">
        <f t="shared" si="1"/>
        <v>1.4088249999999998E-4</v>
      </c>
      <c r="J87" s="3">
        <v>34647</v>
      </c>
      <c r="K87" s="17">
        <v>0.83099999999999996</v>
      </c>
    </row>
    <row r="88" spans="2:11">
      <c r="B88" s="122"/>
      <c r="C88" s="16">
        <v>33004</v>
      </c>
      <c r="D88" s="19">
        <v>51.19</v>
      </c>
      <c r="E88" s="18">
        <f t="shared" si="1"/>
        <v>1.4077249999999998E-4</v>
      </c>
      <c r="J88" s="3">
        <v>34648</v>
      </c>
      <c r="K88" s="17">
        <v>0.83399999999999996</v>
      </c>
    </row>
    <row r="89" spans="2:11">
      <c r="B89" s="122"/>
      <c r="C89" s="16">
        <v>33007</v>
      </c>
      <c r="D89" s="19">
        <v>51.131</v>
      </c>
      <c r="E89" s="18">
        <f t="shared" si="1"/>
        <v>1.4061025E-4</v>
      </c>
      <c r="J89" s="3">
        <v>34649</v>
      </c>
      <c r="K89" s="17">
        <v>0.83799999999999997</v>
      </c>
    </row>
    <row r="90" spans="2:11">
      <c r="B90" s="122"/>
      <c r="C90" s="16">
        <v>33008</v>
      </c>
      <c r="D90" s="19">
        <v>51.238999999999997</v>
      </c>
      <c r="E90" s="18">
        <f t="shared" si="1"/>
        <v>1.4090724999999999E-4</v>
      </c>
      <c r="J90" s="3">
        <v>34652</v>
      </c>
      <c r="K90" s="17">
        <v>0.83799999999999997</v>
      </c>
    </row>
    <row r="91" spans="2:11">
      <c r="B91" s="122"/>
      <c r="C91" s="16">
        <v>33009</v>
      </c>
      <c r="D91" s="19">
        <v>51.198</v>
      </c>
      <c r="E91" s="18">
        <f t="shared" si="1"/>
        <v>1.407945E-4</v>
      </c>
      <c r="J91" s="3">
        <v>34654</v>
      </c>
      <c r="K91" s="17">
        <v>0.83299999999999996</v>
      </c>
    </row>
    <row r="92" spans="2:11">
      <c r="B92" s="122"/>
      <c r="C92" s="16">
        <v>33010</v>
      </c>
      <c r="D92" s="19">
        <v>51.222999999999999</v>
      </c>
      <c r="E92" s="18">
        <f t="shared" si="1"/>
        <v>1.4086325E-4</v>
      </c>
      <c r="J92" s="3">
        <v>34655</v>
      </c>
      <c r="K92" s="17">
        <v>0.83299999999999996</v>
      </c>
    </row>
    <row r="93" spans="2:11">
      <c r="B93" s="122"/>
      <c r="C93" s="16">
        <v>33011</v>
      </c>
      <c r="D93" s="19">
        <v>51.357999999999997</v>
      </c>
      <c r="E93" s="18">
        <f t="shared" si="1"/>
        <v>1.4123449999999999E-4</v>
      </c>
      <c r="J93" s="3">
        <v>34656</v>
      </c>
      <c r="K93" s="17">
        <v>0.83599999999999997</v>
      </c>
    </row>
    <row r="94" spans="2:11">
      <c r="B94" s="122"/>
      <c r="C94" s="16">
        <v>33014</v>
      </c>
      <c r="D94" s="19">
        <v>51.505000000000003</v>
      </c>
      <c r="E94" s="18">
        <f t="shared" si="1"/>
        <v>1.4163875000000001E-4</v>
      </c>
      <c r="J94" s="3">
        <v>34659</v>
      </c>
      <c r="K94" s="17">
        <v>0.83499999999999996</v>
      </c>
    </row>
    <row r="95" spans="2:11">
      <c r="B95" s="122"/>
      <c r="C95" s="16">
        <v>33015</v>
      </c>
      <c r="D95" s="19">
        <v>51.835999999999999</v>
      </c>
      <c r="E95" s="18">
        <f t="shared" si="1"/>
        <v>1.4254899999999998E-4</v>
      </c>
      <c r="J95" s="3">
        <v>34660</v>
      </c>
      <c r="K95" s="17">
        <v>0.83599999999999997</v>
      </c>
    </row>
    <row r="96" spans="2:11">
      <c r="B96" s="122"/>
      <c r="C96" s="16">
        <v>33016</v>
      </c>
      <c r="D96" s="19">
        <v>52.536000000000001</v>
      </c>
      <c r="E96" s="18">
        <f t="shared" si="1"/>
        <v>1.4447400000000001E-4</v>
      </c>
      <c r="J96" s="3">
        <v>34661</v>
      </c>
      <c r="K96" s="17">
        <v>0.84299999999999997</v>
      </c>
    </row>
    <row r="97" spans="2:11">
      <c r="B97" s="122"/>
      <c r="C97" s="16">
        <v>33017</v>
      </c>
      <c r="D97" s="19">
        <v>52.857999999999997</v>
      </c>
      <c r="E97" s="18">
        <f t="shared" si="1"/>
        <v>1.453595E-4</v>
      </c>
      <c r="J97" s="3">
        <v>34662</v>
      </c>
      <c r="K97" s="17">
        <v>0.85399999999999998</v>
      </c>
    </row>
    <row r="98" spans="2:11">
      <c r="B98" s="122"/>
      <c r="C98" s="16">
        <v>33018</v>
      </c>
      <c r="D98" s="19">
        <v>54.350999999999999</v>
      </c>
      <c r="E98" s="18">
        <f t="shared" si="1"/>
        <v>1.4946525E-4</v>
      </c>
      <c r="J98" s="3">
        <v>34663</v>
      </c>
      <c r="K98" s="17">
        <v>0.85899999999999999</v>
      </c>
    </row>
    <row r="99" spans="2:11">
      <c r="B99" s="122"/>
      <c r="C99" s="16">
        <v>33021</v>
      </c>
      <c r="D99" s="19">
        <v>54.826000000000001</v>
      </c>
      <c r="E99" s="18">
        <f t="shared" si="1"/>
        <v>1.5077149999999999E-4</v>
      </c>
      <c r="J99" s="3">
        <v>34666</v>
      </c>
      <c r="K99" s="17">
        <v>0.85699999999999998</v>
      </c>
    </row>
    <row r="100" spans="2:11">
      <c r="B100" s="122"/>
      <c r="C100" s="16">
        <v>33022</v>
      </c>
      <c r="D100" s="19">
        <v>55.113999999999997</v>
      </c>
      <c r="E100" s="18">
        <f t="shared" si="1"/>
        <v>1.5156349999999999E-4</v>
      </c>
      <c r="J100" s="3">
        <v>34667</v>
      </c>
      <c r="K100" s="17">
        <v>0.85299999999999998</v>
      </c>
    </row>
    <row r="101" spans="2:11">
      <c r="B101" s="122"/>
      <c r="C101" s="16">
        <v>33023</v>
      </c>
      <c r="D101" s="19">
        <v>55.143000000000001</v>
      </c>
      <c r="E101" s="18">
        <f t="shared" si="1"/>
        <v>1.5164325E-4</v>
      </c>
      <c r="J101" s="3">
        <v>34668</v>
      </c>
      <c r="K101" s="17">
        <v>0.84499999999999997</v>
      </c>
    </row>
    <row r="102" spans="2:11">
      <c r="B102" s="122"/>
      <c r="C102" s="16">
        <v>33024</v>
      </c>
      <c r="D102" s="19">
        <v>55.219000000000001</v>
      </c>
      <c r="E102" s="18">
        <f t="shared" si="1"/>
        <v>1.5185225000000001E-4</v>
      </c>
      <c r="J102" s="3">
        <v>34670</v>
      </c>
      <c r="K102" s="17">
        <v>0.85699999999999998</v>
      </c>
    </row>
    <row r="103" spans="2:11">
      <c r="B103" s="122"/>
      <c r="C103" s="16">
        <v>33025</v>
      </c>
      <c r="D103" s="19">
        <v>55.081000000000003</v>
      </c>
      <c r="E103" s="18">
        <f t="shared" si="1"/>
        <v>1.5147275E-4</v>
      </c>
      <c r="J103" s="3">
        <v>34673</v>
      </c>
      <c r="K103" s="17">
        <v>0.85799999999999998</v>
      </c>
    </row>
    <row r="104" spans="2:11">
      <c r="B104" s="122"/>
      <c r="C104" s="16">
        <v>33028</v>
      </c>
      <c r="D104" s="19">
        <v>55.149000000000001</v>
      </c>
      <c r="E104" s="18">
        <f t="shared" si="1"/>
        <v>1.5165975000000002E-4</v>
      </c>
      <c r="J104" s="3">
        <v>34674</v>
      </c>
      <c r="K104" s="17">
        <v>0.84599999999999997</v>
      </c>
    </row>
    <row r="105" spans="2:11">
      <c r="B105" s="122"/>
      <c r="C105" s="16">
        <v>33029</v>
      </c>
      <c r="D105" s="19">
        <v>55.247</v>
      </c>
      <c r="E105" s="18">
        <f t="shared" si="1"/>
        <v>1.5192925000000001E-4</v>
      </c>
      <c r="J105" s="3">
        <v>34675</v>
      </c>
      <c r="K105" s="17">
        <v>0.84699999999999998</v>
      </c>
    </row>
    <row r="106" spans="2:11">
      <c r="B106" s="122"/>
      <c r="C106" s="16">
        <v>33030</v>
      </c>
      <c r="D106" s="19">
        <v>55.857999999999997</v>
      </c>
      <c r="E106" s="18">
        <f t="shared" si="1"/>
        <v>1.5360950000000001E-4</v>
      </c>
      <c r="J106" s="3">
        <v>34676</v>
      </c>
      <c r="K106" s="17">
        <v>0.84699999999999998</v>
      </c>
    </row>
    <row r="107" spans="2:11">
      <c r="B107" s="122"/>
      <c r="C107" s="16">
        <v>33031</v>
      </c>
      <c r="D107" s="19">
        <v>55.786999999999999</v>
      </c>
      <c r="E107" s="18">
        <f t="shared" si="1"/>
        <v>1.5341425E-4</v>
      </c>
      <c r="J107" s="3">
        <v>34677</v>
      </c>
      <c r="K107" s="17">
        <v>0.84799999999999998</v>
      </c>
    </row>
    <row r="108" spans="2:11">
      <c r="B108" s="122"/>
      <c r="C108" s="16">
        <v>33032</v>
      </c>
      <c r="D108" s="19">
        <v>55.747</v>
      </c>
      <c r="E108" s="18">
        <f t="shared" si="1"/>
        <v>1.5330425E-4</v>
      </c>
      <c r="J108" s="3">
        <v>34680</v>
      </c>
      <c r="K108" s="17">
        <v>0.84399999999999997</v>
      </c>
    </row>
    <row r="109" spans="2:11">
      <c r="B109" s="122"/>
      <c r="C109" s="16">
        <v>33035</v>
      </c>
      <c r="D109" s="19">
        <v>55.664999999999999</v>
      </c>
      <c r="E109" s="18">
        <f t="shared" si="1"/>
        <v>1.5307875E-4</v>
      </c>
      <c r="J109" s="3">
        <v>34681</v>
      </c>
      <c r="K109" s="17">
        <v>0.84299999999999997</v>
      </c>
    </row>
    <row r="110" spans="2:11">
      <c r="B110" s="122"/>
      <c r="C110" s="16">
        <v>33036</v>
      </c>
      <c r="D110" s="19">
        <v>55.66</v>
      </c>
      <c r="E110" s="18">
        <f t="shared" si="1"/>
        <v>1.53065E-4</v>
      </c>
      <c r="J110" s="3">
        <v>34682</v>
      </c>
      <c r="K110" s="17">
        <v>0.84699999999999998</v>
      </c>
    </row>
    <row r="111" spans="2:11">
      <c r="B111" s="122"/>
      <c r="C111" s="16">
        <v>33037</v>
      </c>
      <c r="D111" s="19">
        <v>55.674999999999997</v>
      </c>
      <c r="E111" s="18">
        <f t="shared" si="1"/>
        <v>1.5310625E-4</v>
      </c>
      <c r="J111" s="3">
        <v>34683</v>
      </c>
      <c r="K111" s="17">
        <v>0.85099999999999998</v>
      </c>
    </row>
    <row r="112" spans="2:11">
      <c r="B112" s="122"/>
      <c r="C112" s="16">
        <v>33039</v>
      </c>
      <c r="D112" s="19">
        <v>55.962000000000003</v>
      </c>
      <c r="E112" s="18">
        <f t="shared" si="1"/>
        <v>1.5389550000000001E-4</v>
      </c>
      <c r="J112" s="3">
        <v>34684</v>
      </c>
      <c r="K112" s="17">
        <v>0.84899999999999998</v>
      </c>
    </row>
    <row r="113" spans="2:11">
      <c r="B113" s="122"/>
      <c r="C113" s="16">
        <v>33042</v>
      </c>
      <c r="D113" s="19">
        <v>56.311</v>
      </c>
      <c r="E113" s="18">
        <f t="shared" si="1"/>
        <v>1.5485525E-4</v>
      </c>
      <c r="J113" s="3">
        <v>34687</v>
      </c>
      <c r="K113" s="17">
        <v>0.84799999999999998</v>
      </c>
    </row>
    <row r="114" spans="2:11">
      <c r="B114" s="122"/>
      <c r="C114" s="16">
        <v>33043</v>
      </c>
      <c r="D114" s="19">
        <v>56.671999999999997</v>
      </c>
      <c r="E114" s="18">
        <f t="shared" si="1"/>
        <v>1.5584799999999999E-4</v>
      </c>
      <c r="J114" s="3">
        <v>34688</v>
      </c>
      <c r="K114" s="17">
        <v>0.85</v>
      </c>
    </row>
    <row r="115" spans="2:11">
      <c r="B115" s="122"/>
      <c r="C115" s="16">
        <v>33044</v>
      </c>
      <c r="D115" s="19">
        <v>56.792999999999999</v>
      </c>
      <c r="E115" s="18">
        <f t="shared" si="1"/>
        <v>1.5618075E-4</v>
      </c>
      <c r="J115" s="3">
        <v>34689</v>
      </c>
      <c r="K115" s="17">
        <v>0.85299999999999998</v>
      </c>
    </row>
    <row r="116" spans="2:11">
      <c r="B116" s="122"/>
      <c r="C116" s="16">
        <v>33045</v>
      </c>
      <c r="D116" s="19">
        <v>57.137</v>
      </c>
      <c r="E116" s="18">
        <f t="shared" si="1"/>
        <v>1.5712674999999998E-4</v>
      </c>
      <c r="J116" s="3">
        <v>34690</v>
      </c>
      <c r="K116" s="17">
        <v>0.86</v>
      </c>
    </row>
    <row r="117" spans="2:11">
      <c r="B117" s="122"/>
      <c r="C117" s="16">
        <v>33046</v>
      </c>
      <c r="D117" s="19">
        <v>58.363</v>
      </c>
      <c r="E117" s="18">
        <f t="shared" si="1"/>
        <v>1.6049825E-4</v>
      </c>
      <c r="J117" s="3">
        <v>34691</v>
      </c>
      <c r="K117" s="17">
        <v>0.85499999999999998</v>
      </c>
    </row>
    <row r="118" spans="2:11">
      <c r="B118" s="122"/>
      <c r="C118" s="16">
        <v>33049</v>
      </c>
      <c r="D118" s="19">
        <v>59.872</v>
      </c>
      <c r="E118" s="18">
        <f t="shared" si="1"/>
        <v>1.6464799999999999E-4</v>
      </c>
      <c r="J118" s="3">
        <v>34694</v>
      </c>
      <c r="K118" s="17">
        <v>0.85</v>
      </c>
    </row>
    <row r="119" spans="2:11">
      <c r="B119" s="122"/>
      <c r="C119" s="16">
        <v>33050</v>
      </c>
      <c r="D119" s="19">
        <v>60.045999999999999</v>
      </c>
      <c r="E119" s="18">
        <f t="shared" si="1"/>
        <v>1.6512650000000001E-4</v>
      </c>
      <c r="J119" s="3">
        <v>34695</v>
      </c>
      <c r="K119" s="17">
        <v>0.85199999999999998</v>
      </c>
    </row>
    <row r="120" spans="2:11">
      <c r="B120" s="122"/>
      <c r="C120" s="16">
        <v>33051</v>
      </c>
      <c r="D120" s="19">
        <v>60.076999999999998</v>
      </c>
      <c r="E120" s="18">
        <f t="shared" si="1"/>
        <v>1.6521175E-4</v>
      </c>
      <c r="J120" s="3">
        <v>34696</v>
      </c>
      <c r="K120" s="17">
        <v>0.85599999999999998</v>
      </c>
    </row>
    <row r="121" spans="2:11">
      <c r="B121" s="122"/>
      <c r="C121" s="16">
        <v>33052</v>
      </c>
      <c r="D121" s="19">
        <v>60.198</v>
      </c>
      <c r="E121" s="18">
        <f t="shared" si="1"/>
        <v>1.6554450000000001E-4</v>
      </c>
      <c r="J121" s="3">
        <v>34697</v>
      </c>
      <c r="K121" s="17">
        <v>0.84799999999999998</v>
      </c>
    </row>
    <row r="122" spans="2:11">
      <c r="B122" s="122"/>
      <c r="C122" s="16">
        <v>33053</v>
      </c>
      <c r="D122" s="19">
        <v>61.021999999999998</v>
      </c>
      <c r="E122" s="18">
        <f t="shared" si="1"/>
        <v>1.6781049999999999E-4</v>
      </c>
      <c r="J122" s="3">
        <v>34701</v>
      </c>
      <c r="K122" s="17">
        <v>0.84499999999999997</v>
      </c>
    </row>
    <row r="123" spans="2:11">
      <c r="B123" s="122"/>
      <c r="C123" s="16">
        <v>33056</v>
      </c>
      <c r="D123" s="19">
        <v>62.018000000000001</v>
      </c>
      <c r="E123" s="18">
        <f t="shared" si="1"/>
        <v>1.7054949999999999E-4</v>
      </c>
      <c r="J123" s="3">
        <v>34702</v>
      </c>
      <c r="K123" s="17">
        <v>0.84599999999999997</v>
      </c>
    </row>
    <row r="124" spans="2:11">
      <c r="B124" s="122"/>
      <c r="C124" s="16">
        <v>33057</v>
      </c>
      <c r="D124" s="19">
        <v>62.372999999999998</v>
      </c>
      <c r="E124" s="18">
        <f t="shared" si="1"/>
        <v>1.7152574999999999E-4</v>
      </c>
      <c r="J124" s="3">
        <v>34703</v>
      </c>
      <c r="K124" s="17">
        <v>0.84599999999999997</v>
      </c>
    </row>
    <row r="125" spans="2:11">
      <c r="B125" s="122"/>
      <c r="C125" s="16">
        <v>33058</v>
      </c>
      <c r="D125" s="19">
        <v>63.055999999999997</v>
      </c>
      <c r="E125" s="18">
        <f t="shared" si="1"/>
        <v>1.73404E-4</v>
      </c>
      <c r="J125" s="3">
        <v>34704</v>
      </c>
      <c r="K125" s="17">
        <v>0.84399999999999997</v>
      </c>
    </row>
    <row r="126" spans="2:11">
      <c r="B126" s="122"/>
      <c r="C126" s="16">
        <v>33059</v>
      </c>
      <c r="D126" s="19">
        <v>66.040000000000006</v>
      </c>
      <c r="E126" s="18">
        <f t="shared" si="1"/>
        <v>1.8161000000000002E-4</v>
      </c>
      <c r="J126" s="3">
        <v>34705</v>
      </c>
      <c r="K126" s="17">
        <v>0.84099999999999997</v>
      </c>
    </row>
    <row r="127" spans="2:11">
      <c r="B127" s="122"/>
      <c r="C127" s="16">
        <v>33060</v>
      </c>
      <c r="D127" s="19">
        <v>66.311999999999998</v>
      </c>
      <c r="E127" s="18">
        <f t="shared" si="1"/>
        <v>1.82358E-4</v>
      </c>
      <c r="J127" s="3">
        <v>34708</v>
      </c>
      <c r="K127" s="17">
        <v>0.84599999999999997</v>
      </c>
    </row>
    <row r="128" spans="2:11">
      <c r="B128" s="122"/>
      <c r="C128" s="16">
        <v>33063</v>
      </c>
      <c r="D128" s="19">
        <v>65.994</v>
      </c>
      <c r="E128" s="18">
        <f t="shared" si="1"/>
        <v>1.814835E-4</v>
      </c>
      <c r="J128" s="3">
        <v>34709</v>
      </c>
      <c r="K128" s="17">
        <v>0.84799999999999998</v>
      </c>
    </row>
    <row r="129" spans="2:11">
      <c r="B129" s="122"/>
      <c r="C129" s="16">
        <v>33064</v>
      </c>
      <c r="D129" s="19">
        <v>65.906999999999996</v>
      </c>
      <c r="E129" s="18">
        <f t="shared" si="1"/>
        <v>1.8124424999999998E-4</v>
      </c>
      <c r="J129" s="3">
        <v>34710</v>
      </c>
      <c r="K129" s="17">
        <v>0.85099999999999998</v>
      </c>
    </row>
    <row r="130" spans="2:11">
      <c r="B130" s="122"/>
      <c r="C130" s="16">
        <v>33065</v>
      </c>
      <c r="D130" s="19">
        <v>65.984999999999999</v>
      </c>
      <c r="E130" s="18">
        <f t="shared" si="1"/>
        <v>1.8145874999999999E-4</v>
      </c>
      <c r="J130" s="3">
        <v>34711</v>
      </c>
      <c r="K130" s="17">
        <v>0.84599999999999997</v>
      </c>
    </row>
    <row r="131" spans="2:11">
      <c r="B131" s="122"/>
      <c r="C131" s="16">
        <v>33066</v>
      </c>
      <c r="D131" s="19">
        <v>65.894999999999996</v>
      </c>
      <c r="E131" s="18">
        <f t="shared" si="1"/>
        <v>1.8121124999999997E-4</v>
      </c>
      <c r="J131" s="3">
        <v>34712</v>
      </c>
      <c r="K131" s="17">
        <v>0.84699999999999998</v>
      </c>
    </row>
    <row r="132" spans="2:11">
      <c r="B132" s="122"/>
      <c r="C132" s="16">
        <v>33067</v>
      </c>
      <c r="D132" s="19">
        <v>66.251999999999995</v>
      </c>
      <c r="E132" s="18">
        <f t="shared" ref="E132:E195" si="2">(D132/1000^2)*2.75</f>
        <v>1.8219300000000001E-4</v>
      </c>
      <c r="J132" s="3">
        <v>34715</v>
      </c>
      <c r="K132" s="17">
        <v>0.85</v>
      </c>
    </row>
    <row r="133" spans="2:11">
      <c r="B133" s="122"/>
      <c r="C133" s="16">
        <v>33070</v>
      </c>
      <c r="D133" s="19">
        <v>66.614999999999995</v>
      </c>
      <c r="E133" s="18">
        <f t="shared" si="2"/>
        <v>1.8319125000000001E-4</v>
      </c>
      <c r="J133" s="3">
        <v>34716</v>
      </c>
      <c r="K133" s="17">
        <v>0.84599999999999997</v>
      </c>
    </row>
    <row r="134" spans="2:11">
      <c r="B134" s="122"/>
      <c r="C134" s="16">
        <v>33071</v>
      </c>
      <c r="D134" s="19">
        <v>66.531000000000006</v>
      </c>
      <c r="E134" s="18">
        <f t="shared" si="2"/>
        <v>1.8296025E-4</v>
      </c>
      <c r="J134" s="3">
        <v>34717</v>
      </c>
      <c r="K134" s="17">
        <v>0.84599999999999997</v>
      </c>
    </row>
    <row r="135" spans="2:11">
      <c r="B135" s="122"/>
      <c r="C135" s="16">
        <v>33072</v>
      </c>
      <c r="D135" s="19">
        <v>66.918999999999997</v>
      </c>
      <c r="E135" s="18">
        <f t="shared" si="2"/>
        <v>1.8402725E-4</v>
      </c>
      <c r="J135" s="3">
        <v>34718</v>
      </c>
      <c r="K135" s="17">
        <v>0.84799999999999998</v>
      </c>
    </row>
    <row r="136" spans="2:11">
      <c r="B136" s="122"/>
      <c r="C136" s="16">
        <v>33073</v>
      </c>
      <c r="D136" s="19">
        <v>67.295000000000002</v>
      </c>
      <c r="E136" s="18">
        <f t="shared" si="2"/>
        <v>1.8506124999999999E-4</v>
      </c>
      <c r="J136" s="3">
        <v>34719</v>
      </c>
      <c r="K136" s="17">
        <v>0.84799999999999998</v>
      </c>
    </row>
    <row r="137" spans="2:11">
      <c r="B137" s="122"/>
      <c r="C137" s="16">
        <v>33074</v>
      </c>
      <c r="D137" s="19">
        <v>67.906999999999996</v>
      </c>
      <c r="E137" s="18">
        <f t="shared" si="2"/>
        <v>1.8674425E-4</v>
      </c>
      <c r="J137" s="3">
        <v>34722</v>
      </c>
      <c r="K137" s="17">
        <v>0.85199999999999998</v>
      </c>
    </row>
    <row r="138" spans="2:11">
      <c r="B138" s="122"/>
      <c r="C138" s="16">
        <v>33077</v>
      </c>
      <c r="D138" s="19">
        <v>68.174999999999997</v>
      </c>
      <c r="E138" s="18">
        <f t="shared" si="2"/>
        <v>1.8748125000000001E-4</v>
      </c>
      <c r="J138" s="3">
        <v>34723</v>
      </c>
      <c r="K138" s="17">
        <v>0.85399999999999998</v>
      </c>
    </row>
    <row r="139" spans="2:11">
      <c r="B139" s="122"/>
      <c r="C139" s="16">
        <v>33078</v>
      </c>
      <c r="D139" s="19">
        <v>68.119</v>
      </c>
      <c r="E139" s="18">
        <f t="shared" si="2"/>
        <v>1.8732725000000002E-4</v>
      </c>
      <c r="J139" s="3">
        <v>34724</v>
      </c>
      <c r="K139" s="17">
        <v>0.85299999999999998</v>
      </c>
    </row>
    <row r="140" spans="2:11">
      <c r="B140" s="122"/>
      <c r="C140" s="16">
        <v>33079</v>
      </c>
      <c r="D140" s="19">
        <v>68.096999999999994</v>
      </c>
      <c r="E140" s="18">
        <f t="shared" si="2"/>
        <v>1.8726674999999999E-4</v>
      </c>
      <c r="J140" s="3">
        <v>34725</v>
      </c>
      <c r="K140" s="17">
        <v>0.84599999999999997</v>
      </c>
    </row>
    <row r="141" spans="2:11">
      <c r="B141" s="122"/>
      <c r="C141" s="16">
        <v>33080</v>
      </c>
      <c r="D141" s="19">
        <v>68.174000000000007</v>
      </c>
      <c r="E141" s="18">
        <f t="shared" si="2"/>
        <v>1.8747849999999999E-4</v>
      </c>
      <c r="J141" s="3">
        <v>34726</v>
      </c>
      <c r="K141" s="17">
        <v>0.84499999999999997</v>
      </c>
    </row>
    <row r="142" spans="2:11">
      <c r="B142" s="122"/>
      <c r="C142" s="16">
        <v>33081</v>
      </c>
      <c r="D142" s="19">
        <v>68.210999999999999</v>
      </c>
      <c r="E142" s="18">
        <f t="shared" si="2"/>
        <v>1.8758024999999999E-4</v>
      </c>
      <c r="J142" s="3">
        <v>34729</v>
      </c>
      <c r="K142" s="17">
        <v>0.84699999999999998</v>
      </c>
    </row>
    <row r="143" spans="2:11">
      <c r="B143" s="122"/>
      <c r="C143" s="16">
        <v>33084</v>
      </c>
      <c r="D143" s="19">
        <v>68.518000000000001</v>
      </c>
      <c r="E143" s="18">
        <f t="shared" si="2"/>
        <v>1.8842449999999998E-4</v>
      </c>
      <c r="J143" s="3">
        <v>34730</v>
      </c>
      <c r="K143" s="17">
        <v>0.84199999999999997</v>
      </c>
    </row>
    <row r="144" spans="2:11">
      <c r="B144" s="122"/>
      <c r="C144" s="16">
        <v>33085</v>
      </c>
      <c r="D144" s="19">
        <v>68.989999999999995</v>
      </c>
      <c r="E144" s="18">
        <f t="shared" si="2"/>
        <v>1.8972249999999998E-4</v>
      </c>
      <c r="J144" s="3">
        <v>34731</v>
      </c>
      <c r="K144" s="17">
        <v>0.84299999999999997</v>
      </c>
    </row>
    <row r="145" spans="2:11">
      <c r="B145" s="122"/>
      <c r="C145" s="16">
        <v>33086</v>
      </c>
      <c r="D145" s="19">
        <v>69.790000000000006</v>
      </c>
      <c r="E145" s="18">
        <f t="shared" si="2"/>
        <v>1.9192250000000003E-4</v>
      </c>
      <c r="J145" s="3">
        <v>34732</v>
      </c>
      <c r="K145" s="17">
        <v>0.84</v>
      </c>
    </row>
    <row r="146" spans="2:11">
      <c r="B146" s="122"/>
      <c r="C146" s="16">
        <v>33087</v>
      </c>
      <c r="D146" s="19">
        <v>70.814999999999998</v>
      </c>
      <c r="E146" s="18">
        <f t="shared" si="2"/>
        <v>1.9474124999999999E-4</v>
      </c>
      <c r="J146" s="3">
        <v>34733</v>
      </c>
      <c r="K146" s="17">
        <v>0.84</v>
      </c>
    </row>
    <row r="147" spans="2:11">
      <c r="B147" s="122"/>
      <c r="C147" s="16">
        <v>33088</v>
      </c>
      <c r="D147" s="19">
        <v>71.036000000000001</v>
      </c>
      <c r="E147" s="18">
        <f t="shared" si="2"/>
        <v>1.9534900000000002E-4</v>
      </c>
      <c r="J147" s="3">
        <v>34736</v>
      </c>
      <c r="K147" s="17">
        <v>0.83799999999999997</v>
      </c>
    </row>
    <row r="148" spans="2:11">
      <c r="B148" s="122"/>
      <c r="C148" s="16">
        <v>33091</v>
      </c>
      <c r="D148" s="19">
        <v>71.302999999999997</v>
      </c>
      <c r="E148" s="18">
        <f t="shared" si="2"/>
        <v>1.9608324999999998E-4</v>
      </c>
      <c r="J148" s="3">
        <v>34737</v>
      </c>
      <c r="K148" s="17">
        <v>0.83699999999999997</v>
      </c>
    </row>
    <row r="149" spans="2:11">
      <c r="B149" s="122"/>
      <c r="C149" s="16">
        <v>33092</v>
      </c>
      <c r="D149" s="19">
        <v>71.516999999999996</v>
      </c>
      <c r="E149" s="18">
        <f t="shared" si="2"/>
        <v>1.9667175E-4</v>
      </c>
      <c r="J149" s="3">
        <v>34738</v>
      </c>
      <c r="K149" s="17">
        <v>0.83599999999999997</v>
      </c>
    </row>
    <row r="150" spans="2:11">
      <c r="B150" s="122"/>
      <c r="C150" s="16">
        <v>33093</v>
      </c>
      <c r="D150" s="19">
        <v>71.561000000000007</v>
      </c>
      <c r="E150" s="18">
        <f t="shared" si="2"/>
        <v>1.9679275000000001E-4</v>
      </c>
      <c r="J150" s="3">
        <v>34739</v>
      </c>
      <c r="K150" s="17">
        <v>0.83399999999999996</v>
      </c>
    </row>
    <row r="151" spans="2:11">
      <c r="B151" s="122"/>
      <c r="C151" s="16">
        <v>33094</v>
      </c>
      <c r="D151" s="19">
        <v>71.576999999999998</v>
      </c>
      <c r="E151" s="18">
        <f t="shared" si="2"/>
        <v>1.9683675E-4</v>
      </c>
      <c r="J151" s="3">
        <v>34740</v>
      </c>
      <c r="K151" s="17">
        <v>0.83499999999999996</v>
      </c>
    </row>
    <row r="152" spans="2:11">
      <c r="B152" s="122"/>
      <c r="C152" s="16">
        <v>33095</v>
      </c>
      <c r="D152" s="19">
        <v>71.569999999999993</v>
      </c>
      <c r="E152" s="18">
        <f t="shared" si="2"/>
        <v>1.9681749999999999E-4</v>
      </c>
      <c r="J152" s="3">
        <v>34743</v>
      </c>
      <c r="K152" s="17">
        <v>0.83399999999999996</v>
      </c>
    </row>
    <row r="153" spans="2:11">
      <c r="B153" s="122"/>
      <c r="C153" s="16">
        <v>33098</v>
      </c>
      <c r="D153" s="19">
        <v>71.688000000000002</v>
      </c>
      <c r="E153" s="18">
        <f t="shared" si="2"/>
        <v>1.9714200000000003E-4</v>
      </c>
      <c r="J153" s="3">
        <v>34744</v>
      </c>
      <c r="K153" s="17">
        <v>0.83499999999999996</v>
      </c>
    </row>
    <row r="154" spans="2:11">
      <c r="B154" s="122"/>
      <c r="C154" s="16">
        <v>33099</v>
      </c>
      <c r="D154" s="19">
        <v>71.716999999999999</v>
      </c>
      <c r="E154" s="18">
        <f t="shared" si="2"/>
        <v>1.9722175000000001E-4</v>
      </c>
      <c r="J154" s="3">
        <v>34745</v>
      </c>
      <c r="K154" s="17">
        <v>0.83699999999999997</v>
      </c>
    </row>
    <row r="155" spans="2:11">
      <c r="B155" s="122"/>
      <c r="C155" s="16">
        <v>33100</v>
      </c>
      <c r="D155" s="19">
        <v>71.981999999999999</v>
      </c>
      <c r="E155" s="18">
        <f t="shared" si="2"/>
        <v>1.9795050000000002E-4</v>
      </c>
      <c r="J155" s="3">
        <v>34746</v>
      </c>
      <c r="K155" s="17">
        <v>0.84499999999999997</v>
      </c>
    </row>
    <row r="156" spans="2:11">
      <c r="B156" s="122"/>
      <c r="C156" s="16">
        <v>33101</v>
      </c>
      <c r="D156" s="19">
        <v>72.247</v>
      </c>
      <c r="E156" s="18">
        <f t="shared" si="2"/>
        <v>1.9867925E-4</v>
      </c>
      <c r="J156" s="3">
        <v>34747</v>
      </c>
      <c r="K156" s="17">
        <v>0.85</v>
      </c>
    </row>
    <row r="157" spans="2:11">
      <c r="B157" s="122"/>
      <c r="C157" s="16">
        <v>33102</v>
      </c>
      <c r="D157" s="19">
        <v>72.486000000000004</v>
      </c>
      <c r="E157" s="18">
        <f t="shared" si="2"/>
        <v>1.9933650000000003E-4</v>
      </c>
      <c r="J157" s="3">
        <v>34750</v>
      </c>
      <c r="K157" s="17">
        <v>0.84199999999999997</v>
      </c>
    </row>
    <row r="158" spans="2:11">
      <c r="B158" s="122"/>
      <c r="C158" s="16">
        <v>33105</v>
      </c>
      <c r="D158" s="19">
        <v>72.405000000000001</v>
      </c>
      <c r="E158" s="18">
        <f t="shared" si="2"/>
        <v>1.9911374999999999E-4</v>
      </c>
      <c r="J158" s="3">
        <v>34751</v>
      </c>
      <c r="K158" s="17">
        <v>0.84299999999999997</v>
      </c>
    </row>
    <row r="159" spans="2:11">
      <c r="B159" s="122"/>
      <c r="C159" s="16">
        <v>33106</v>
      </c>
      <c r="D159" s="19">
        <v>72.3</v>
      </c>
      <c r="E159" s="18">
        <f t="shared" si="2"/>
        <v>1.9882499999999999E-4</v>
      </c>
      <c r="J159" s="3">
        <v>34752</v>
      </c>
      <c r="K159" s="17">
        <v>0.84799999999999998</v>
      </c>
    </row>
    <row r="160" spans="2:11">
      <c r="B160" s="122"/>
      <c r="C160" s="16">
        <v>33107</v>
      </c>
      <c r="D160" s="19">
        <v>72.094999999999999</v>
      </c>
      <c r="E160" s="18">
        <f t="shared" si="2"/>
        <v>1.9826124999999998E-4</v>
      </c>
      <c r="J160" s="3">
        <v>34753</v>
      </c>
      <c r="K160" s="17">
        <v>0.84499999999999997</v>
      </c>
    </row>
    <row r="161" spans="2:11">
      <c r="B161" s="122"/>
      <c r="C161" s="16">
        <v>33108</v>
      </c>
      <c r="D161" s="19">
        <v>71.370999999999995</v>
      </c>
      <c r="E161" s="18">
        <f t="shared" si="2"/>
        <v>1.9627024999999997E-4</v>
      </c>
      <c r="J161" s="3">
        <v>34754</v>
      </c>
      <c r="K161" s="17">
        <v>0.85099999999999998</v>
      </c>
    </row>
    <row r="162" spans="2:11">
      <c r="B162" s="122"/>
      <c r="C162" s="16">
        <v>33109</v>
      </c>
      <c r="D162" s="19">
        <v>72.257000000000005</v>
      </c>
      <c r="E162" s="18">
        <f t="shared" si="2"/>
        <v>1.9870675000000003E-4</v>
      </c>
      <c r="J162" s="3">
        <v>34759</v>
      </c>
      <c r="K162" s="17">
        <v>0.85</v>
      </c>
    </row>
    <row r="163" spans="2:11">
      <c r="B163" s="122"/>
      <c r="C163" s="16">
        <v>33112</v>
      </c>
      <c r="D163" s="19">
        <v>72.349000000000004</v>
      </c>
      <c r="E163" s="18">
        <f t="shared" si="2"/>
        <v>1.9895975000000003E-4</v>
      </c>
      <c r="J163" s="3">
        <v>34760</v>
      </c>
      <c r="K163" s="17">
        <v>0.85299999999999998</v>
      </c>
    </row>
    <row r="164" spans="2:11">
      <c r="B164" s="122"/>
      <c r="C164" s="16">
        <v>33113</v>
      </c>
      <c r="D164" s="19">
        <v>72.438999999999993</v>
      </c>
      <c r="E164" s="18">
        <f t="shared" si="2"/>
        <v>1.9920724999999997E-4</v>
      </c>
      <c r="J164" s="3">
        <v>34761</v>
      </c>
      <c r="K164" s="17">
        <v>0.85799999999999998</v>
      </c>
    </row>
    <row r="165" spans="2:11">
      <c r="B165" s="122"/>
      <c r="C165" s="16">
        <v>33114</v>
      </c>
      <c r="D165" s="19">
        <v>72.260999999999996</v>
      </c>
      <c r="E165" s="18">
        <f t="shared" si="2"/>
        <v>1.9871774999999999E-4</v>
      </c>
      <c r="J165" s="3">
        <v>34764</v>
      </c>
      <c r="K165" s="17">
        <v>0.86799999999999999</v>
      </c>
    </row>
    <row r="166" spans="2:11">
      <c r="B166" s="122"/>
      <c r="C166" s="16">
        <v>33115</v>
      </c>
      <c r="D166" s="19">
        <v>71.962999999999994</v>
      </c>
      <c r="E166" s="18">
        <f t="shared" si="2"/>
        <v>1.9789824999999996E-4</v>
      </c>
      <c r="J166" s="3">
        <v>34765</v>
      </c>
      <c r="K166" s="17">
        <v>0.88600000000000001</v>
      </c>
    </row>
    <row r="167" spans="2:11">
      <c r="B167" s="122"/>
      <c r="C167" s="16">
        <v>33116</v>
      </c>
      <c r="D167" s="19">
        <v>71.674000000000007</v>
      </c>
      <c r="E167" s="18">
        <f t="shared" si="2"/>
        <v>1.9710350000000002E-4</v>
      </c>
      <c r="J167" s="3">
        <v>34766</v>
      </c>
      <c r="K167" s="17">
        <v>0.88600000000000001</v>
      </c>
    </row>
    <row r="168" spans="2:11">
      <c r="B168" s="122"/>
      <c r="C168" s="16">
        <v>33119</v>
      </c>
      <c r="D168" s="19">
        <v>70.853999999999999</v>
      </c>
      <c r="E168" s="18">
        <f t="shared" si="2"/>
        <v>1.948485E-4</v>
      </c>
      <c r="J168" s="3">
        <v>34767</v>
      </c>
      <c r="K168" s="17">
        <v>0.88800000000000001</v>
      </c>
    </row>
    <row r="169" spans="2:11">
      <c r="B169" s="122"/>
      <c r="C169" s="16">
        <v>33120</v>
      </c>
      <c r="D169" s="19">
        <v>69.552000000000007</v>
      </c>
      <c r="E169" s="18">
        <f t="shared" si="2"/>
        <v>1.91268E-4</v>
      </c>
      <c r="J169" s="3">
        <v>34768</v>
      </c>
      <c r="K169" s="17">
        <v>0.88</v>
      </c>
    </row>
    <row r="170" spans="2:11">
      <c r="B170" s="122"/>
      <c r="C170" s="16">
        <v>33121</v>
      </c>
      <c r="D170" s="19">
        <v>67.963999999999999</v>
      </c>
      <c r="E170" s="18">
        <f t="shared" si="2"/>
        <v>1.8690100000000001E-4</v>
      </c>
      <c r="J170" s="3">
        <v>34771</v>
      </c>
      <c r="K170" s="17">
        <v>0.88</v>
      </c>
    </row>
    <row r="171" spans="2:11">
      <c r="B171" s="122"/>
      <c r="C171" s="16">
        <v>33122</v>
      </c>
      <c r="D171" s="19">
        <v>68.103999999999999</v>
      </c>
      <c r="E171" s="18">
        <f t="shared" si="2"/>
        <v>1.87286E-4</v>
      </c>
      <c r="J171" s="3">
        <v>34772</v>
      </c>
      <c r="K171" s="17">
        <v>0.88100000000000001</v>
      </c>
    </row>
    <row r="172" spans="2:11">
      <c r="B172" s="122"/>
      <c r="C172" s="16">
        <v>33126</v>
      </c>
      <c r="D172" s="19">
        <v>67.917000000000002</v>
      </c>
      <c r="E172" s="18">
        <f t="shared" si="2"/>
        <v>1.8677175000000003E-4</v>
      </c>
      <c r="J172" s="3">
        <v>34773</v>
      </c>
      <c r="K172" s="17">
        <v>0.88400000000000001</v>
      </c>
    </row>
    <row r="173" spans="2:11">
      <c r="B173" s="122"/>
      <c r="C173" s="16">
        <v>33127</v>
      </c>
      <c r="D173" s="19">
        <v>67.747</v>
      </c>
      <c r="E173" s="18">
        <f t="shared" si="2"/>
        <v>1.8630425000000001E-4</v>
      </c>
      <c r="J173" s="3">
        <v>34774</v>
      </c>
      <c r="K173" s="17">
        <v>0.89500000000000002</v>
      </c>
    </row>
    <row r="174" spans="2:11">
      <c r="B174" s="122"/>
      <c r="C174" s="16">
        <v>33128</v>
      </c>
      <c r="D174" s="19">
        <v>70.326999999999998</v>
      </c>
      <c r="E174" s="18">
        <f t="shared" si="2"/>
        <v>1.9339924999999997E-4</v>
      </c>
      <c r="J174" s="3">
        <v>34775</v>
      </c>
      <c r="K174" s="17">
        <v>0.89</v>
      </c>
    </row>
    <row r="175" spans="2:11">
      <c r="B175" s="122"/>
      <c r="C175" s="16">
        <v>33129</v>
      </c>
      <c r="D175" s="19">
        <v>73.787000000000006</v>
      </c>
      <c r="E175" s="18">
        <f t="shared" si="2"/>
        <v>2.0291425000000001E-4</v>
      </c>
      <c r="J175" s="3">
        <v>34778</v>
      </c>
      <c r="K175" s="17">
        <v>0.90300000000000002</v>
      </c>
    </row>
    <row r="176" spans="2:11">
      <c r="B176" s="122"/>
      <c r="C176" s="16">
        <v>33130</v>
      </c>
      <c r="D176" s="19">
        <v>75.492999999999995</v>
      </c>
      <c r="E176" s="18">
        <f t="shared" si="2"/>
        <v>2.0760574999999996E-4</v>
      </c>
      <c r="J176" s="3">
        <v>34779</v>
      </c>
      <c r="K176" s="17">
        <v>0.90100000000000002</v>
      </c>
    </row>
    <row r="177" spans="2:11">
      <c r="B177" s="122"/>
      <c r="C177" s="16">
        <v>33133</v>
      </c>
      <c r="D177" s="19">
        <v>75.212999999999994</v>
      </c>
      <c r="E177" s="18">
        <f t="shared" si="2"/>
        <v>2.0683575000000001E-4</v>
      </c>
      <c r="J177" s="3">
        <v>34780</v>
      </c>
      <c r="K177" s="17">
        <v>0.90200000000000002</v>
      </c>
    </row>
    <row r="178" spans="2:11">
      <c r="B178" s="122"/>
      <c r="C178" s="16">
        <v>33134</v>
      </c>
      <c r="D178" s="19">
        <v>75.218000000000004</v>
      </c>
      <c r="E178" s="18">
        <f t="shared" si="2"/>
        <v>2.0684950000000001E-4</v>
      </c>
      <c r="J178" s="3">
        <v>34781</v>
      </c>
      <c r="K178" s="17">
        <v>0.91400000000000003</v>
      </c>
    </row>
    <row r="179" spans="2:11">
      <c r="B179" s="122"/>
      <c r="C179" s="16">
        <v>33135</v>
      </c>
      <c r="D179" s="19">
        <v>77.548000000000002</v>
      </c>
      <c r="E179" s="18">
        <f t="shared" si="2"/>
        <v>2.1325699999999998E-4</v>
      </c>
      <c r="J179" s="3">
        <v>34782</v>
      </c>
      <c r="K179" s="17">
        <v>0.90900000000000003</v>
      </c>
    </row>
    <row r="180" spans="2:11">
      <c r="B180" s="122"/>
      <c r="C180" s="16">
        <v>33136</v>
      </c>
      <c r="D180" s="19">
        <v>78.075000000000003</v>
      </c>
      <c r="E180" s="18">
        <f t="shared" si="2"/>
        <v>2.1470625E-4</v>
      </c>
      <c r="J180" s="3">
        <v>34785</v>
      </c>
      <c r="K180" s="17">
        <v>0.91</v>
      </c>
    </row>
    <row r="181" spans="2:11">
      <c r="B181" s="122"/>
      <c r="C181" s="16">
        <v>33137</v>
      </c>
      <c r="D181" s="19">
        <v>81.96</v>
      </c>
      <c r="E181" s="18">
        <f t="shared" si="2"/>
        <v>2.2538999999999998E-4</v>
      </c>
      <c r="J181" s="3">
        <v>34786</v>
      </c>
      <c r="K181" s="17">
        <v>0.91100000000000003</v>
      </c>
    </row>
    <row r="182" spans="2:11">
      <c r="B182" s="122"/>
      <c r="C182" s="16">
        <v>33140</v>
      </c>
      <c r="D182" s="19">
        <v>82.081000000000003</v>
      </c>
      <c r="E182" s="18">
        <f t="shared" si="2"/>
        <v>2.2572275000000002E-4</v>
      </c>
      <c r="J182" s="3">
        <v>34787</v>
      </c>
      <c r="K182" s="17">
        <v>0.90700000000000003</v>
      </c>
    </row>
    <row r="183" spans="2:11">
      <c r="B183" s="122"/>
      <c r="C183" s="16">
        <v>33141</v>
      </c>
      <c r="D183" s="19">
        <v>82.373999999999995</v>
      </c>
      <c r="E183" s="18">
        <f t="shared" si="2"/>
        <v>2.2652849999999999E-4</v>
      </c>
      <c r="J183" s="3">
        <v>34788</v>
      </c>
      <c r="K183" s="17">
        <v>0.90300000000000002</v>
      </c>
    </row>
    <row r="184" spans="2:11">
      <c r="B184" s="122"/>
      <c r="C184" s="16">
        <v>33142</v>
      </c>
      <c r="D184" s="19">
        <v>82.727999999999994</v>
      </c>
      <c r="E184" s="18">
        <f t="shared" si="2"/>
        <v>2.27502E-4</v>
      </c>
      <c r="J184" s="3">
        <v>34789</v>
      </c>
      <c r="K184" s="17">
        <v>0.89600000000000002</v>
      </c>
    </row>
    <row r="185" spans="2:11">
      <c r="B185" s="122"/>
      <c r="C185" s="16">
        <v>33143</v>
      </c>
      <c r="D185" s="19">
        <v>84.106999999999999</v>
      </c>
      <c r="E185" s="18">
        <f t="shared" si="2"/>
        <v>2.3129425E-4</v>
      </c>
      <c r="J185" s="3">
        <v>34792</v>
      </c>
      <c r="K185" s="17">
        <v>0.90200000000000002</v>
      </c>
    </row>
    <row r="186" spans="2:11">
      <c r="B186" s="122"/>
      <c r="C186" s="16">
        <v>33144</v>
      </c>
      <c r="D186" s="19">
        <v>84.222999999999999</v>
      </c>
      <c r="E186" s="18">
        <f t="shared" si="2"/>
        <v>2.3161324999999998E-4</v>
      </c>
      <c r="J186" s="3">
        <v>34793</v>
      </c>
      <c r="K186" s="17">
        <v>0.90100000000000002</v>
      </c>
    </row>
    <row r="187" spans="2:11">
      <c r="B187" s="122"/>
      <c r="C187" s="16">
        <v>33147</v>
      </c>
      <c r="D187" s="19">
        <v>84.715999999999994</v>
      </c>
      <c r="E187" s="18">
        <f t="shared" si="2"/>
        <v>2.3296899999999997E-4</v>
      </c>
      <c r="J187" s="3">
        <v>34794</v>
      </c>
      <c r="K187" s="17">
        <v>0.9</v>
      </c>
    </row>
    <row r="188" spans="2:11">
      <c r="B188" s="122"/>
      <c r="C188" s="16">
        <v>33148</v>
      </c>
      <c r="D188" s="19">
        <v>84.61</v>
      </c>
      <c r="E188" s="18">
        <f t="shared" si="2"/>
        <v>2.3267750000000002E-4</v>
      </c>
      <c r="J188" s="3">
        <v>34795</v>
      </c>
      <c r="K188" s="17">
        <v>0.89400000000000002</v>
      </c>
    </row>
    <row r="189" spans="2:11">
      <c r="B189" s="122"/>
      <c r="C189" s="16">
        <v>33150</v>
      </c>
      <c r="D189" s="19">
        <v>84.978999999999999</v>
      </c>
      <c r="E189" s="18">
        <f t="shared" si="2"/>
        <v>2.3369225E-4</v>
      </c>
      <c r="J189" s="3">
        <v>34796</v>
      </c>
      <c r="K189" s="17">
        <v>0.9</v>
      </c>
    </row>
    <row r="190" spans="2:11">
      <c r="B190" s="122"/>
      <c r="C190" s="16">
        <v>33151</v>
      </c>
      <c r="D190" s="19">
        <v>87.36</v>
      </c>
      <c r="E190" s="18">
        <f t="shared" si="2"/>
        <v>2.4024000000000002E-4</v>
      </c>
      <c r="J190" s="3">
        <v>34799</v>
      </c>
      <c r="K190" s="17">
        <v>0.89700000000000002</v>
      </c>
    </row>
    <row r="191" spans="2:11">
      <c r="B191" s="122"/>
      <c r="C191" s="16">
        <v>33155</v>
      </c>
      <c r="D191" s="19">
        <v>89.600999999999999</v>
      </c>
      <c r="E191" s="18">
        <f t="shared" si="2"/>
        <v>2.4640274999999999E-4</v>
      </c>
      <c r="J191" s="3">
        <v>34800</v>
      </c>
      <c r="K191" s="17">
        <v>0.90100000000000002</v>
      </c>
    </row>
    <row r="192" spans="2:11">
      <c r="B192" s="122"/>
      <c r="C192" s="16">
        <v>33156</v>
      </c>
      <c r="D192" s="19">
        <v>90.6</v>
      </c>
      <c r="E192" s="18">
        <f t="shared" si="2"/>
        <v>2.4914999999999996E-4</v>
      </c>
      <c r="J192" s="3">
        <v>34801</v>
      </c>
      <c r="K192" s="17">
        <v>0.90800000000000003</v>
      </c>
    </row>
    <row r="193" spans="2:11">
      <c r="B193" s="122"/>
      <c r="C193" s="16">
        <v>33157</v>
      </c>
      <c r="D193" s="19">
        <v>90.656999999999996</v>
      </c>
      <c r="E193" s="18">
        <f t="shared" si="2"/>
        <v>2.4930675000000001E-4</v>
      </c>
      <c r="J193" s="3">
        <v>34806</v>
      </c>
      <c r="K193" s="17">
        <v>0.90500000000000003</v>
      </c>
    </row>
    <row r="194" spans="2:11">
      <c r="B194" s="122"/>
      <c r="C194" s="16">
        <v>33158</v>
      </c>
      <c r="D194" s="19">
        <v>91.33</v>
      </c>
      <c r="E194" s="18">
        <f t="shared" si="2"/>
        <v>2.5115749999999996E-4</v>
      </c>
      <c r="J194" s="3">
        <v>34807</v>
      </c>
      <c r="K194" s="17">
        <v>0.90500000000000003</v>
      </c>
    </row>
    <row r="195" spans="2:11">
      <c r="B195" s="122"/>
      <c r="C195" s="16">
        <v>33161</v>
      </c>
      <c r="D195" s="19">
        <v>92.477000000000004</v>
      </c>
      <c r="E195" s="18">
        <f t="shared" si="2"/>
        <v>2.5431175E-4</v>
      </c>
      <c r="J195" s="3">
        <v>34808</v>
      </c>
      <c r="K195" s="17">
        <v>0.91400000000000003</v>
      </c>
    </row>
    <row r="196" spans="2:11">
      <c r="B196" s="122"/>
      <c r="C196" s="16">
        <v>33162</v>
      </c>
      <c r="D196" s="19">
        <v>92.992999999999995</v>
      </c>
      <c r="E196" s="18">
        <f t="shared" ref="E196:E259" si="3">(D196/1000^2)*2.75</f>
        <v>2.5573075E-4</v>
      </c>
      <c r="J196" s="3">
        <v>34809</v>
      </c>
      <c r="K196" s="17">
        <v>0.91800000000000004</v>
      </c>
    </row>
    <row r="197" spans="2:11">
      <c r="B197" s="122"/>
      <c r="C197" s="16">
        <v>33163</v>
      </c>
      <c r="D197" s="19">
        <v>94.179000000000002</v>
      </c>
      <c r="E197" s="18">
        <f t="shared" si="3"/>
        <v>2.5899225000000002E-4</v>
      </c>
      <c r="J197" s="3">
        <v>34813</v>
      </c>
      <c r="K197" s="17">
        <v>0.91300000000000003</v>
      </c>
    </row>
    <row r="198" spans="2:11">
      <c r="B198" s="122"/>
      <c r="C198" s="16">
        <v>33164</v>
      </c>
      <c r="D198" s="19">
        <v>95.649000000000001</v>
      </c>
      <c r="E198" s="18">
        <f t="shared" si="3"/>
        <v>2.6303475000000003E-4</v>
      </c>
      <c r="J198" s="3">
        <v>34814</v>
      </c>
      <c r="K198" s="17">
        <v>0.92100000000000004</v>
      </c>
    </row>
    <row r="199" spans="2:11">
      <c r="B199" s="122"/>
      <c r="C199" s="16">
        <v>33165</v>
      </c>
      <c r="D199" s="19">
        <v>99.168999999999997</v>
      </c>
      <c r="E199" s="18">
        <f t="shared" si="3"/>
        <v>2.7271475E-4</v>
      </c>
      <c r="J199" s="3">
        <v>34815</v>
      </c>
      <c r="K199" s="17">
        <v>0.91700000000000004</v>
      </c>
    </row>
    <row r="200" spans="2:11">
      <c r="B200" s="122"/>
      <c r="C200" s="16">
        <v>33168</v>
      </c>
      <c r="D200" s="19">
        <v>99.766000000000005</v>
      </c>
      <c r="E200" s="18">
        <f t="shared" si="3"/>
        <v>2.7435650000000002E-4</v>
      </c>
      <c r="J200" s="3">
        <v>34816</v>
      </c>
      <c r="K200" s="17">
        <v>0.91900000000000004</v>
      </c>
    </row>
    <row r="201" spans="2:11">
      <c r="B201" s="122"/>
      <c r="C201" s="16">
        <v>33169</v>
      </c>
      <c r="D201" s="19">
        <v>99.244</v>
      </c>
      <c r="E201" s="18">
        <f t="shared" si="3"/>
        <v>2.7292100000000003E-4</v>
      </c>
      <c r="J201" s="3">
        <v>34817</v>
      </c>
      <c r="K201" s="17">
        <v>0.91300000000000003</v>
      </c>
    </row>
    <row r="202" spans="2:11">
      <c r="B202" s="122"/>
      <c r="C202" s="16">
        <v>33170</v>
      </c>
      <c r="D202" s="19">
        <v>99.765000000000001</v>
      </c>
      <c r="E202" s="18">
        <f t="shared" si="3"/>
        <v>2.7435375000000001E-4</v>
      </c>
      <c r="J202" s="3">
        <v>34821</v>
      </c>
      <c r="K202" s="17">
        <v>0.91400000000000003</v>
      </c>
    </row>
    <row r="203" spans="2:11">
      <c r="B203" s="122"/>
      <c r="C203" s="16">
        <v>33171</v>
      </c>
      <c r="D203" s="19">
        <v>100.72</v>
      </c>
      <c r="E203" s="18">
        <f t="shared" si="3"/>
        <v>2.7698000000000002E-4</v>
      </c>
      <c r="J203" s="3">
        <v>34822</v>
      </c>
      <c r="K203" s="17">
        <v>0.90600000000000003</v>
      </c>
    </row>
    <row r="204" spans="2:11">
      <c r="B204" s="122"/>
      <c r="C204" s="16">
        <v>33172</v>
      </c>
      <c r="D204" s="19">
        <v>103.12</v>
      </c>
      <c r="E204" s="18">
        <f t="shared" si="3"/>
        <v>2.8358000000000002E-4</v>
      </c>
      <c r="J204" s="3">
        <v>34823</v>
      </c>
      <c r="K204" s="17">
        <v>0.90500000000000003</v>
      </c>
    </row>
    <row r="205" spans="2:11">
      <c r="B205" s="122"/>
      <c r="C205" s="16">
        <v>33175</v>
      </c>
      <c r="D205" s="19">
        <v>104.78</v>
      </c>
      <c r="E205" s="18">
        <f t="shared" si="3"/>
        <v>2.8814500000000001E-4</v>
      </c>
      <c r="J205" s="3">
        <v>34824</v>
      </c>
      <c r="K205" s="17">
        <v>0.90200000000000002</v>
      </c>
    </row>
    <row r="206" spans="2:11">
      <c r="B206" s="122"/>
      <c r="C206" s="16">
        <v>33176</v>
      </c>
      <c r="D206" s="19">
        <v>105.8</v>
      </c>
      <c r="E206" s="18">
        <f t="shared" si="3"/>
        <v>2.9095E-4</v>
      </c>
      <c r="J206" s="3">
        <v>34827</v>
      </c>
      <c r="K206" s="17">
        <v>0.89900000000000002</v>
      </c>
    </row>
    <row r="207" spans="2:11">
      <c r="B207" s="122"/>
      <c r="C207" s="16">
        <v>33177</v>
      </c>
      <c r="D207" s="19">
        <v>106.95</v>
      </c>
      <c r="E207" s="18">
        <f t="shared" si="3"/>
        <v>2.9411249999999997E-4</v>
      </c>
      <c r="J207" s="3">
        <v>34828</v>
      </c>
      <c r="K207" s="17">
        <v>0.89700000000000002</v>
      </c>
    </row>
    <row r="208" spans="2:11">
      <c r="B208" s="122"/>
      <c r="C208" s="16">
        <v>33178</v>
      </c>
      <c r="D208" s="19">
        <v>108.19</v>
      </c>
      <c r="E208" s="18">
        <f t="shared" si="3"/>
        <v>2.975225E-4</v>
      </c>
      <c r="J208" s="3">
        <v>34829</v>
      </c>
      <c r="K208" s="17">
        <v>0.89400000000000002</v>
      </c>
    </row>
    <row r="209" spans="2:11">
      <c r="B209" s="122"/>
      <c r="C209" s="16">
        <v>33182</v>
      </c>
      <c r="D209" s="19">
        <v>113.76</v>
      </c>
      <c r="E209" s="18">
        <f t="shared" si="3"/>
        <v>3.1284000000000005E-4</v>
      </c>
      <c r="J209" s="3">
        <v>34830</v>
      </c>
      <c r="K209" s="17">
        <v>0.89600000000000002</v>
      </c>
    </row>
    <row r="210" spans="2:11">
      <c r="B210" s="122"/>
      <c r="C210" s="16">
        <v>33183</v>
      </c>
      <c r="D210" s="19">
        <v>114.93</v>
      </c>
      <c r="E210" s="18">
        <f t="shared" si="3"/>
        <v>3.1605750000000002E-4</v>
      </c>
      <c r="J210" s="3">
        <v>34831</v>
      </c>
      <c r="K210" s="17">
        <v>0.89700000000000002</v>
      </c>
    </row>
    <row r="211" spans="2:11">
      <c r="B211" s="122"/>
      <c r="C211" s="16">
        <v>33184</v>
      </c>
      <c r="D211" s="19">
        <v>114.57</v>
      </c>
      <c r="E211" s="18">
        <f t="shared" si="3"/>
        <v>3.1506749999999999E-4</v>
      </c>
      <c r="J211" s="3">
        <v>34834</v>
      </c>
      <c r="K211" s="17">
        <v>0.89100000000000001</v>
      </c>
    </row>
    <row r="212" spans="2:11">
      <c r="B212" s="122"/>
      <c r="C212" s="16">
        <v>33185</v>
      </c>
      <c r="D212" s="19">
        <v>114.05</v>
      </c>
      <c r="E212" s="18">
        <f t="shared" si="3"/>
        <v>3.1363749999999997E-4</v>
      </c>
      <c r="J212" s="3">
        <v>34835</v>
      </c>
      <c r="K212" s="17">
        <v>0.89100000000000001</v>
      </c>
    </row>
    <row r="213" spans="2:11">
      <c r="B213" s="122"/>
      <c r="C213" s="16">
        <v>33186</v>
      </c>
      <c r="D213" s="19">
        <v>114.9</v>
      </c>
      <c r="E213" s="18">
        <f t="shared" si="3"/>
        <v>3.1597500000000002E-4</v>
      </c>
      <c r="J213" s="3">
        <v>34836</v>
      </c>
      <c r="K213" s="17">
        <v>0.89100000000000001</v>
      </c>
    </row>
    <row r="214" spans="2:11">
      <c r="B214" s="122"/>
      <c r="C214" s="16">
        <v>33189</v>
      </c>
      <c r="D214" s="19">
        <v>116.31</v>
      </c>
      <c r="E214" s="18">
        <f t="shared" si="3"/>
        <v>3.1985249999999998E-4</v>
      </c>
      <c r="J214" s="3">
        <v>34837</v>
      </c>
      <c r="K214" s="17">
        <v>0.89</v>
      </c>
    </row>
    <row r="215" spans="2:11">
      <c r="B215" s="122"/>
      <c r="C215" s="16">
        <v>33190</v>
      </c>
      <c r="D215" s="19">
        <v>118.08</v>
      </c>
      <c r="E215" s="18">
        <f t="shared" si="3"/>
        <v>3.2471999999999997E-4</v>
      </c>
      <c r="J215" s="3">
        <v>34838</v>
      </c>
      <c r="K215" s="17">
        <v>0.89100000000000001</v>
      </c>
    </row>
    <row r="216" spans="2:11">
      <c r="B216" s="122"/>
      <c r="C216" s="16">
        <v>33191</v>
      </c>
      <c r="D216" s="19">
        <v>118.24</v>
      </c>
      <c r="E216" s="18">
        <f t="shared" si="3"/>
        <v>3.2515999999999996E-4</v>
      </c>
      <c r="J216" s="3">
        <v>34841</v>
      </c>
      <c r="K216" s="17">
        <v>0.89</v>
      </c>
    </row>
    <row r="217" spans="2:11">
      <c r="B217" s="122"/>
      <c r="C217" s="16">
        <v>33193</v>
      </c>
      <c r="D217" s="19">
        <v>117.91</v>
      </c>
      <c r="E217" s="18">
        <f t="shared" si="3"/>
        <v>3.2425249999999998E-4</v>
      </c>
      <c r="J217" s="3">
        <v>34842</v>
      </c>
      <c r="K217" s="17">
        <v>0.89</v>
      </c>
    </row>
    <row r="218" spans="2:11">
      <c r="B218" s="122"/>
      <c r="C218" s="16">
        <v>33196</v>
      </c>
      <c r="D218" s="19">
        <v>118.73</v>
      </c>
      <c r="E218" s="18">
        <f t="shared" si="3"/>
        <v>3.2650750000000003E-4</v>
      </c>
      <c r="J218" s="3">
        <v>34843</v>
      </c>
      <c r="K218" s="17">
        <v>0.89</v>
      </c>
    </row>
    <row r="219" spans="2:11">
      <c r="B219" s="122"/>
      <c r="C219" s="16">
        <v>33197</v>
      </c>
      <c r="D219" s="19">
        <v>122.01</v>
      </c>
      <c r="E219" s="18">
        <f t="shared" si="3"/>
        <v>3.3552750000000002E-4</v>
      </c>
      <c r="J219" s="3">
        <v>34844</v>
      </c>
      <c r="K219" s="17">
        <v>0.89300000000000002</v>
      </c>
    </row>
    <row r="220" spans="2:11">
      <c r="B220" s="122"/>
      <c r="C220" s="16">
        <v>33198</v>
      </c>
      <c r="D220" s="19">
        <v>125.34</v>
      </c>
      <c r="E220" s="18">
        <f t="shared" si="3"/>
        <v>3.4468500000000007E-4</v>
      </c>
      <c r="J220" s="3">
        <v>34845</v>
      </c>
      <c r="K220" s="17">
        <v>0.89700000000000002</v>
      </c>
    </row>
    <row r="221" spans="2:11">
      <c r="B221" s="122"/>
      <c r="C221" s="16">
        <v>33199</v>
      </c>
      <c r="D221" s="19">
        <v>129.02000000000001</v>
      </c>
      <c r="E221" s="18">
        <f t="shared" si="3"/>
        <v>3.5480500000000003E-4</v>
      </c>
      <c r="J221" s="3">
        <v>34848</v>
      </c>
      <c r="K221" s="17">
        <v>0.90600000000000003</v>
      </c>
    </row>
    <row r="222" spans="2:11">
      <c r="B222" s="122"/>
      <c r="C222" s="16">
        <v>33200</v>
      </c>
      <c r="D222" s="19">
        <v>129.66</v>
      </c>
      <c r="E222" s="18">
        <f t="shared" si="3"/>
        <v>3.5656499999999999E-4</v>
      </c>
      <c r="J222" s="3">
        <v>34849</v>
      </c>
      <c r="K222" s="17">
        <v>0.90600000000000003</v>
      </c>
    </row>
    <row r="223" spans="2:11">
      <c r="B223" s="122"/>
      <c r="C223" s="16">
        <v>33203</v>
      </c>
      <c r="D223" s="19">
        <v>130.58000000000001</v>
      </c>
      <c r="E223" s="18">
        <f t="shared" si="3"/>
        <v>3.5909500000000003E-4</v>
      </c>
      <c r="J223" s="3">
        <v>34850</v>
      </c>
      <c r="K223" s="17">
        <v>0.90600000000000003</v>
      </c>
    </row>
    <row r="224" spans="2:11">
      <c r="B224" s="122"/>
      <c r="C224" s="16">
        <v>33204</v>
      </c>
      <c r="D224" s="19">
        <v>133.86000000000001</v>
      </c>
      <c r="E224" s="18">
        <f t="shared" si="3"/>
        <v>3.6811500000000008E-4</v>
      </c>
      <c r="J224" s="3">
        <v>34851</v>
      </c>
      <c r="K224" s="17">
        <v>0.90800000000000003</v>
      </c>
    </row>
    <row r="225" spans="2:11">
      <c r="B225" s="122"/>
      <c r="C225" s="16">
        <v>33205</v>
      </c>
      <c r="D225" s="19">
        <v>136.76</v>
      </c>
      <c r="E225" s="18">
        <f t="shared" si="3"/>
        <v>3.7608999999999993E-4</v>
      </c>
      <c r="J225" s="3">
        <v>34852</v>
      </c>
      <c r="K225" s="17">
        <v>0.90500000000000003</v>
      </c>
    </row>
    <row r="226" spans="2:11">
      <c r="B226" s="122"/>
      <c r="C226" s="16">
        <v>33206</v>
      </c>
      <c r="D226" s="19">
        <v>141.05000000000001</v>
      </c>
      <c r="E226" s="18">
        <f t="shared" si="3"/>
        <v>3.8788750000000002E-4</v>
      </c>
      <c r="J226" s="3">
        <v>34855</v>
      </c>
      <c r="K226" s="17">
        <v>0.90500000000000003</v>
      </c>
    </row>
    <row r="227" spans="2:11">
      <c r="B227" s="122"/>
      <c r="C227" s="16">
        <v>33207</v>
      </c>
      <c r="D227" s="19">
        <v>144.71</v>
      </c>
      <c r="E227" s="18">
        <f t="shared" si="3"/>
        <v>3.9795250000000004E-4</v>
      </c>
      <c r="J227" s="3">
        <v>34856</v>
      </c>
      <c r="K227" s="17">
        <v>0.90600000000000003</v>
      </c>
    </row>
    <row r="228" spans="2:11">
      <c r="B228" s="122"/>
      <c r="C228" s="16">
        <v>33210</v>
      </c>
      <c r="D228" s="19">
        <v>147.16999999999999</v>
      </c>
      <c r="E228" s="18">
        <f t="shared" si="3"/>
        <v>4.0471749999999998E-4</v>
      </c>
      <c r="J228" s="3">
        <v>34857</v>
      </c>
      <c r="K228" s="17">
        <v>0.91100000000000003</v>
      </c>
    </row>
    <row r="229" spans="2:11">
      <c r="B229" s="122"/>
      <c r="C229" s="16">
        <v>33211</v>
      </c>
      <c r="D229" s="19">
        <v>147.59</v>
      </c>
      <c r="E229" s="18">
        <f t="shared" si="3"/>
        <v>4.0587250000000005E-4</v>
      </c>
      <c r="J229" s="3">
        <v>34858</v>
      </c>
      <c r="K229" s="17">
        <v>0.91200000000000003</v>
      </c>
    </row>
    <row r="230" spans="2:11">
      <c r="B230" s="122"/>
      <c r="C230" s="16">
        <v>33212</v>
      </c>
      <c r="D230" s="19">
        <v>147.54</v>
      </c>
      <c r="E230" s="18">
        <f t="shared" si="3"/>
        <v>4.0573499999999995E-4</v>
      </c>
      <c r="J230" s="3">
        <v>34859</v>
      </c>
      <c r="K230" s="17">
        <v>0.91300000000000003</v>
      </c>
    </row>
    <row r="231" spans="2:11">
      <c r="B231" s="122"/>
      <c r="C231" s="16">
        <v>33213</v>
      </c>
      <c r="D231" s="19">
        <v>148.41999999999999</v>
      </c>
      <c r="E231" s="18">
        <f t="shared" si="3"/>
        <v>4.08155E-4</v>
      </c>
      <c r="J231" s="3">
        <v>34862</v>
      </c>
      <c r="K231" s="17">
        <v>0.91800000000000004</v>
      </c>
    </row>
    <row r="232" spans="2:11">
      <c r="B232" s="122"/>
      <c r="C232" s="16">
        <v>33214</v>
      </c>
      <c r="D232" s="19">
        <v>149.61000000000001</v>
      </c>
      <c r="E232" s="18">
        <f t="shared" si="3"/>
        <v>4.1142750000000008E-4</v>
      </c>
      <c r="J232" s="3">
        <v>34863</v>
      </c>
      <c r="K232" s="17">
        <v>0.91500000000000004</v>
      </c>
    </row>
    <row r="233" spans="2:11">
      <c r="B233" s="122"/>
      <c r="C233" s="16">
        <v>33217</v>
      </c>
      <c r="D233" s="19">
        <v>149.91999999999999</v>
      </c>
      <c r="E233" s="18">
        <f t="shared" si="3"/>
        <v>4.1227999999999995E-4</v>
      </c>
      <c r="J233" s="3">
        <v>34864</v>
      </c>
      <c r="K233" s="17">
        <v>0.90700000000000003</v>
      </c>
    </row>
    <row r="234" spans="2:11">
      <c r="B234" s="122"/>
      <c r="C234" s="16">
        <v>33218</v>
      </c>
      <c r="D234" s="19">
        <v>149.97999999999999</v>
      </c>
      <c r="E234" s="18">
        <f t="shared" si="3"/>
        <v>4.12445E-4</v>
      </c>
      <c r="J234" s="3">
        <v>34866</v>
      </c>
      <c r="K234" s="17">
        <v>0.90900000000000003</v>
      </c>
    </row>
    <row r="235" spans="2:11">
      <c r="B235" s="122"/>
      <c r="C235" s="16">
        <v>33219</v>
      </c>
      <c r="D235" s="19">
        <v>149.82</v>
      </c>
      <c r="E235" s="18">
        <f t="shared" si="3"/>
        <v>4.1200500000000001E-4</v>
      </c>
      <c r="J235" s="3">
        <v>34869</v>
      </c>
      <c r="K235" s="17">
        <v>0.91200000000000003</v>
      </c>
    </row>
    <row r="236" spans="2:11">
      <c r="B236" s="122"/>
      <c r="C236" s="16">
        <v>33220</v>
      </c>
      <c r="D236" s="19">
        <v>150.72999999999999</v>
      </c>
      <c r="E236" s="18">
        <f t="shared" si="3"/>
        <v>4.1450749999999995E-4</v>
      </c>
      <c r="J236" s="3">
        <v>34870</v>
      </c>
      <c r="K236" s="17">
        <v>0.91400000000000003</v>
      </c>
    </row>
    <row r="237" spans="2:11">
      <c r="B237" s="122"/>
      <c r="C237" s="16">
        <v>33221</v>
      </c>
      <c r="D237" s="19">
        <v>151.31</v>
      </c>
      <c r="E237" s="18">
        <f t="shared" si="3"/>
        <v>4.1610250000000002E-4</v>
      </c>
      <c r="J237" s="3">
        <v>34871</v>
      </c>
      <c r="K237" s="17">
        <v>0.91900000000000004</v>
      </c>
    </row>
    <row r="238" spans="2:11">
      <c r="B238" s="122"/>
      <c r="C238" s="16">
        <v>33224</v>
      </c>
      <c r="D238" s="19">
        <v>152.05000000000001</v>
      </c>
      <c r="E238" s="18">
        <f t="shared" si="3"/>
        <v>4.1813750000000002E-4</v>
      </c>
      <c r="J238" s="3">
        <v>34872</v>
      </c>
      <c r="K238" s="17">
        <v>0.92</v>
      </c>
    </row>
    <row r="239" spans="2:11">
      <c r="B239" s="122"/>
      <c r="C239" s="16">
        <v>33225</v>
      </c>
      <c r="D239" s="19">
        <v>153.63</v>
      </c>
      <c r="E239" s="18">
        <f t="shared" si="3"/>
        <v>4.2248250000000002E-4</v>
      </c>
      <c r="J239" s="3">
        <v>34873</v>
      </c>
      <c r="K239" s="17">
        <v>0.92</v>
      </c>
    </row>
    <row r="240" spans="2:11">
      <c r="B240" s="122"/>
      <c r="C240" s="16">
        <v>33226</v>
      </c>
      <c r="D240" s="19">
        <v>158.32</v>
      </c>
      <c r="E240" s="18">
        <f t="shared" si="3"/>
        <v>4.3537999999999997E-4</v>
      </c>
      <c r="J240" s="3">
        <v>34876</v>
      </c>
      <c r="K240" s="17">
        <v>0.91900000000000004</v>
      </c>
    </row>
    <row r="241" spans="2:11">
      <c r="B241" s="122"/>
      <c r="C241" s="16">
        <v>33227</v>
      </c>
      <c r="D241" s="19">
        <v>159.02000000000001</v>
      </c>
      <c r="E241" s="18">
        <f t="shared" si="3"/>
        <v>4.3730500000000003E-4</v>
      </c>
      <c r="J241" s="3">
        <v>34877</v>
      </c>
      <c r="K241" s="17">
        <v>0.92</v>
      </c>
    </row>
    <row r="242" spans="2:11">
      <c r="B242" s="122"/>
      <c r="C242" s="16">
        <v>33228</v>
      </c>
      <c r="D242" s="19">
        <v>160.88999999999999</v>
      </c>
      <c r="E242" s="18">
        <f t="shared" si="3"/>
        <v>4.4244749999999995E-4</v>
      </c>
      <c r="J242" s="3">
        <v>34878</v>
      </c>
      <c r="K242" s="17">
        <v>0.92</v>
      </c>
    </row>
    <row r="243" spans="2:11">
      <c r="B243" s="122"/>
      <c r="C243" s="16">
        <v>33231</v>
      </c>
      <c r="D243" s="19">
        <v>161.31</v>
      </c>
      <c r="E243" s="18">
        <f t="shared" si="3"/>
        <v>4.4360250000000003E-4</v>
      </c>
      <c r="J243" s="3">
        <v>34879</v>
      </c>
      <c r="K243" s="17">
        <v>0.92</v>
      </c>
    </row>
    <row r="244" spans="2:11">
      <c r="B244" s="122"/>
      <c r="C244" s="16">
        <v>33233</v>
      </c>
      <c r="D244" s="19">
        <v>163.88</v>
      </c>
      <c r="E244" s="18">
        <f t="shared" si="3"/>
        <v>4.5066999999999997E-4</v>
      </c>
      <c r="J244" s="3">
        <v>34880</v>
      </c>
      <c r="K244" s="17">
        <v>0.92200000000000004</v>
      </c>
    </row>
    <row r="245" spans="2:11">
      <c r="B245" s="122"/>
      <c r="C245" s="16">
        <v>33234</v>
      </c>
      <c r="D245" s="19">
        <v>165.89</v>
      </c>
      <c r="E245" s="18">
        <f t="shared" si="3"/>
        <v>4.5619749999999999E-4</v>
      </c>
      <c r="J245" s="3">
        <v>34883</v>
      </c>
      <c r="K245" s="17">
        <v>0.92</v>
      </c>
    </row>
    <row r="246" spans="2:11">
      <c r="B246" s="122"/>
      <c r="C246" s="16">
        <v>33235</v>
      </c>
      <c r="D246" s="19">
        <v>170.06</v>
      </c>
      <c r="E246" s="18">
        <f t="shared" si="3"/>
        <v>4.6766500000000003E-4</v>
      </c>
      <c r="J246" s="3">
        <v>34884</v>
      </c>
      <c r="K246" s="17">
        <v>0.92</v>
      </c>
    </row>
    <row r="247" spans="2:11">
      <c r="B247" s="122"/>
      <c r="C247" s="16">
        <v>33238</v>
      </c>
      <c r="D247" s="19">
        <v>170.06</v>
      </c>
      <c r="E247" s="18">
        <f t="shared" si="3"/>
        <v>4.6766500000000003E-4</v>
      </c>
      <c r="J247" s="3">
        <v>34885</v>
      </c>
      <c r="K247" s="17">
        <v>0.92200000000000004</v>
      </c>
    </row>
    <row r="248" spans="2:11">
      <c r="B248" s="122"/>
      <c r="C248" s="16">
        <v>33240</v>
      </c>
      <c r="D248" s="19">
        <v>172.6</v>
      </c>
      <c r="E248" s="18">
        <f t="shared" si="3"/>
        <v>4.7464999999999996E-4</v>
      </c>
      <c r="J248" s="3">
        <v>34886</v>
      </c>
      <c r="K248" s="17">
        <v>0.92500000000000004</v>
      </c>
    </row>
    <row r="249" spans="2:11">
      <c r="B249" s="122"/>
      <c r="C249" s="16">
        <v>33241</v>
      </c>
      <c r="D249" s="19">
        <v>173.39</v>
      </c>
      <c r="E249" s="18">
        <f t="shared" si="3"/>
        <v>4.7682249999999996E-4</v>
      </c>
      <c r="J249" s="3">
        <v>34887</v>
      </c>
      <c r="K249" s="17">
        <v>0.92500000000000004</v>
      </c>
    </row>
    <row r="250" spans="2:11">
      <c r="B250" s="122"/>
      <c r="C250" s="16">
        <v>33242</v>
      </c>
      <c r="D250" s="19">
        <v>174.31</v>
      </c>
      <c r="E250" s="18">
        <f t="shared" si="3"/>
        <v>4.7935250000000001E-4</v>
      </c>
      <c r="J250" s="3">
        <v>34890</v>
      </c>
      <c r="K250" s="17">
        <v>0.92500000000000004</v>
      </c>
    </row>
    <row r="251" spans="2:11">
      <c r="B251" s="122"/>
      <c r="C251" s="16">
        <v>33245</v>
      </c>
      <c r="D251" s="19">
        <v>177.28</v>
      </c>
      <c r="E251" s="18">
        <f t="shared" si="3"/>
        <v>4.8752000000000002E-4</v>
      </c>
      <c r="J251" s="3">
        <v>34891</v>
      </c>
      <c r="K251" s="17">
        <v>0.92500000000000004</v>
      </c>
    </row>
    <row r="252" spans="2:11">
      <c r="B252" s="122"/>
      <c r="C252" s="16">
        <v>33246</v>
      </c>
      <c r="D252" s="19">
        <v>181.06</v>
      </c>
      <c r="E252" s="18">
        <f t="shared" si="3"/>
        <v>4.9791500000000003E-4</v>
      </c>
      <c r="J252" s="3">
        <v>34892</v>
      </c>
      <c r="K252" s="17">
        <v>0.92500000000000004</v>
      </c>
    </row>
    <row r="253" spans="2:11">
      <c r="B253" s="122"/>
      <c r="C253" s="16">
        <v>33247</v>
      </c>
      <c r="D253" s="19">
        <v>182.3</v>
      </c>
      <c r="E253" s="18">
        <f t="shared" si="3"/>
        <v>5.0132500000000006E-4</v>
      </c>
      <c r="J253" s="3">
        <v>34893</v>
      </c>
      <c r="K253" s="17">
        <v>0.92600000000000005</v>
      </c>
    </row>
    <row r="254" spans="2:11">
      <c r="B254" s="122"/>
      <c r="C254" s="16">
        <v>33248</v>
      </c>
      <c r="D254" s="19">
        <v>183</v>
      </c>
      <c r="E254" s="18">
        <f t="shared" si="3"/>
        <v>5.0325000000000001E-4</v>
      </c>
      <c r="J254" s="3">
        <v>34894</v>
      </c>
      <c r="K254" s="17">
        <v>0.92600000000000005</v>
      </c>
    </row>
    <row r="255" spans="2:11">
      <c r="B255" s="122"/>
      <c r="C255" s="16">
        <v>33249</v>
      </c>
      <c r="D255" s="19">
        <v>183.6</v>
      </c>
      <c r="E255" s="18">
        <f t="shared" si="3"/>
        <v>5.0489999999999997E-4</v>
      </c>
      <c r="J255" s="3">
        <v>34897</v>
      </c>
      <c r="K255" s="17">
        <v>0.92800000000000005</v>
      </c>
    </row>
    <row r="256" spans="2:11">
      <c r="B256" s="122"/>
      <c r="C256" s="16">
        <v>33252</v>
      </c>
      <c r="D256" s="19">
        <v>187.98</v>
      </c>
      <c r="E256" s="18">
        <f t="shared" si="3"/>
        <v>5.1694499999999999E-4</v>
      </c>
      <c r="J256" s="3">
        <v>34898</v>
      </c>
      <c r="K256" s="17">
        <v>0.92900000000000005</v>
      </c>
    </row>
    <row r="257" spans="2:11">
      <c r="B257" s="122"/>
      <c r="C257" s="16">
        <v>33253</v>
      </c>
      <c r="D257" s="19">
        <v>190.47</v>
      </c>
      <c r="E257" s="18">
        <f t="shared" si="3"/>
        <v>5.2379249999999998E-4</v>
      </c>
      <c r="J257" s="3">
        <v>34899</v>
      </c>
      <c r="K257" s="17">
        <v>0.92900000000000005</v>
      </c>
    </row>
    <row r="258" spans="2:11">
      <c r="B258" s="122"/>
      <c r="C258" s="16">
        <v>33254</v>
      </c>
      <c r="D258" s="19">
        <v>195.08</v>
      </c>
      <c r="E258" s="18">
        <f t="shared" si="3"/>
        <v>5.3647000000000005E-4</v>
      </c>
      <c r="J258" s="3">
        <v>34900</v>
      </c>
      <c r="K258" s="17">
        <v>0.92900000000000005</v>
      </c>
    </row>
    <row r="259" spans="2:11">
      <c r="B259" s="122"/>
      <c r="C259" s="16">
        <v>33255</v>
      </c>
      <c r="D259" s="19">
        <v>197.46</v>
      </c>
      <c r="E259" s="18">
        <f t="shared" si="3"/>
        <v>5.4301499999999999E-4</v>
      </c>
      <c r="J259" s="3">
        <v>34901</v>
      </c>
      <c r="K259" s="17">
        <v>0.93400000000000005</v>
      </c>
    </row>
    <row r="260" spans="2:11">
      <c r="B260" s="122"/>
      <c r="C260" s="16">
        <v>33256</v>
      </c>
      <c r="D260" s="19">
        <v>200.01</v>
      </c>
      <c r="E260" s="18">
        <f t="shared" ref="E260:E323" si="4">(D260/1000^2)*2.75</f>
        <v>5.5002749999999998E-4</v>
      </c>
      <c r="J260" s="3">
        <v>34904</v>
      </c>
      <c r="K260" s="17">
        <v>0.93400000000000005</v>
      </c>
    </row>
    <row r="261" spans="2:11">
      <c r="B261" s="122"/>
      <c r="C261" s="16">
        <v>33259</v>
      </c>
      <c r="D261" s="19">
        <v>199.76</v>
      </c>
      <c r="E261" s="18">
        <f t="shared" si="4"/>
        <v>5.4933999999999994E-4</v>
      </c>
      <c r="J261" s="3">
        <v>34905</v>
      </c>
      <c r="K261" s="17">
        <v>0.93600000000000005</v>
      </c>
    </row>
    <row r="262" spans="2:11">
      <c r="B262" s="122"/>
      <c r="C262" s="16">
        <v>33260</v>
      </c>
      <c r="D262" s="19">
        <v>198.18</v>
      </c>
      <c r="E262" s="18">
        <f t="shared" si="4"/>
        <v>5.4499500000000005E-4</v>
      </c>
      <c r="J262" s="3">
        <v>34906</v>
      </c>
      <c r="K262" s="17">
        <v>0.93600000000000005</v>
      </c>
    </row>
    <row r="263" spans="2:11">
      <c r="B263" s="122"/>
      <c r="C263" s="16">
        <v>33261</v>
      </c>
      <c r="D263" s="19">
        <v>198.31</v>
      </c>
      <c r="E263" s="18">
        <f t="shared" si="4"/>
        <v>5.4535249999999999E-4</v>
      </c>
      <c r="J263" s="3">
        <v>34907</v>
      </c>
      <c r="K263" s="17">
        <v>0.93700000000000006</v>
      </c>
    </row>
    <row r="264" spans="2:11">
      <c r="B264" s="122"/>
      <c r="C264" s="16">
        <v>33262</v>
      </c>
      <c r="D264" s="19">
        <v>198.97</v>
      </c>
      <c r="E264" s="18">
        <f t="shared" si="4"/>
        <v>5.4716750000000005E-4</v>
      </c>
      <c r="J264" s="3">
        <v>34908</v>
      </c>
      <c r="K264" s="17">
        <v>0.93700000000000006</v>
      </c>
    </row>
    <row r="265" spans="2:11">
      <c r="B265" s="122"/>
      <c r="C265" s="16">
        <v>33263</v>
      </c>
      <c r="D265" s="19">
        <v>201.51</v>
      </c>
      <c r="E265" s="18">
        <f t="shared" si="4"/>
        <v>5.5415249999999998E-4</v>
      </c>
      <c r="J265" s="3">
        <v>34911</v>
      </c>
      <c r="K265" s="17">
        <v>0.93600000000000005</v>
      </c>
    </row>
    <row r="266" spans="2:11">
      <c r="B266" s="122"/>
      <c r="C266" s="16">
        <v>33266</v>
      </c>
      <c r="D266" s="19">
        <v>206.27</v>
      </c>
      <c r="E266" s="18">
        <f t="shared" si="4"/>
        <v>5.6724250000000009E-4</v>
      </c>
      <c r="J266" s="3">
        <v>34912</v>
      </c>
      <c r="K266" s="17">
        <v>0.93600000000000005</v>
      </c>
    </row>
    <row r="267" spans="2:11">
      <c r="B267" s="122"/>
      <c r="C267" s="16">
        <v>33267</v>
      </c>
      <c r="D267" s="19">
        <v>212.31</v>
      </c>
      <c r="E267" s="18">
        <f t="shared" si="4"/>
        <v>5.838525E-4</v>
      </c>
      <c r="J267" s="3">
        <v>34913</v>
      </c>
      <c r="K267" s="17">
        <v>0.93600000000000005</v>
      </c>
    </row>
    <row r="268" spans="2:11">
      <c r="B268" s="122"/>
      <c r="C268" s="16">
        <v>33268</v>
      </c>
      <c r="D268" s="19">
        <v>216.17</v>
      </c>
      <c r="E268" s="18">
        <f t="shared" si="4"/>
        <v>5.9446749999999995E-4</v>
      </c>
      <c r="J268" s="3">
        <v>34914</v>
      </c>
      <c r="K268" s="17">
        <v>0.93600000000000005</v>
      </c>
    </row>
    <row r="269" spans="2:11">
      <c r="B269" s="122"/>
      <c r="C269" s="16">
        <v>33269</v>
      </c>
      <c r="D269" s="19">
        <v>220.14</v>
      </c>
      <c r="E269" s="18">
        <f t="shared" si="4"/>
        <v>6.0538499999999995E-4</v>
      </c>
      <c r="J269" s="3">
        <v>34915</v>
      </c>
      <c r="K269" s="17">
        <v>0.93600000000000005</v>
      </c>
    </row>
    <row r="270" spans="2:11">
      <c r="B270" s="122"/>
      <c r="C270" s="16">
        <v>33273</v>
      </c>
      <c r="D270" s="19">
        <v>221.34</v>
      </c>
      <c r="E270" s="18">
        <f t="shared" si="4"/>
        <v>6.0868499999999998E-4</v>
      </c>
      <c r="J270" s="3">
        <v>34918</v>
      </c>
      <c r="K270" s="17">
        <v>0.93600000000000005</v>
      </c>
    </row>
    <row r="271" spans="2:11">
      <c r="B271" s="122"/>
      <c r="C271" s="16">
        <v>33274</v>
      </c>
      <c r="D271" s="19">
        <v>220.77</v>
      </c>
      <c r="E271" s="18">
        <f t="shared" si="4"/>
        <v>6.0711750000000007E-4</v>
      </c>
      <c r="J271" s="3">
        <v>34919</v>
      </c>
      <c r="K271" s="17">
        <v>0.93600000000000005</v>
      </c>
    </row>
    <row r="272" spans="2:11">
      <c r="B272" s="122"/>
      <c r="C272" s="16">
        <v>33275</v>
      </c>
      <c r="D272" s="19">
        <v>220.42</v>
      </c>
      <c r="E272" s="18">
        <f t="shared" si="4"/>
        <v>6.0615499999999993E-4</v>
      </c>
      <c r="J272" s="3">
        <v>34920</v>
      </c>
      <c r="K272" s="17">
        <v>0.93600000000000005</v>
      </c>
    </row>
    <row r="273" spans="2:11">
      <c r="B273" s="122"/>
      <c r="C273" s="16">
        <v>33276</v>
      </c>
      <c r="D273" s="19">
        <v>221</v>
      </c>
      <c r="E273" s="18">
        <f t="shared" si="4"/>
        <v>6.0775E-4</v>
      </c>
      <c r="J273" s="3">
        <v>34921</v>
      </c>
      <c r="K273" s="17">
        <v>0.93600000000000005</v>
      </c>
    </row>
    <row r="274" spans="2:11">
      <c r="B274" s="122"/>
      <c r="C274" s="16">
        <v>33277</v>
      </c>
      <c r="D274" s="19">
        <v>221.41</v>
      </c>
      <c r="E274" s="18">
        <f t="shared" si="4"/>
        <v>6.0887750000000003E-4</v>
      </c>
      <c r="J274" s="3">
        <v>34922</v>
      </c>
      <c r="K274" s="17">
        <v>0.93700000000000006</v>
      </c>
    </row>
    <row r="275" spans="2:11">
      <c r="B275" s="122"/>
      <c r="C275" s="16">
        <v>33282</v>
      </c>
      <c r="D275" s="19">
        <v>222.09</v>
      </c>
      <c r="E275" s="18">
        <f t="shared" si="4"/>
        <v>6.1074749999999998E-4</v>
      </c>
      <c r="J275" s="3">
        <v>34925</v>
      </c>
      <c r="K275" s="17">
        <v>0.94099999999999995</v>
      </c>
    </row>
    <row r="276" spans="2:11">
      <c r="B276" s="122"/>
      <c r="C276" s="16">
        <v>33283</v>
      </c>
      <c r="D276" s="19">
        <v>221.3</v>
      </c>
      <c r="E276" s="18">
        <f t="shared" si="4"/>
        <v>6.0857500000000009E-4</v>
      </c>
      <c r="J276" s="3">
        <v>34926</v>
      </c>
      <c r="K276" s="17">
        <v>0.94199999999999995</v>
      </c>
    </row>
    <row r="277" spans="2:11">
      <c r="B277" s="122"/>
      <c r="C277" s="16">
        <v>33284</v>
      </c>
      <c r="D277" s="19">
        <v>221.56</v>
      </c>
      <c r="E277" s="18">
        <f t="shared" si="4"/>
        <v>6.0929000000000007E-4</v>
      </c>
      <c r="J277" s="3">
        <v>34927</v>
      </c>
      <c r="K277" s="17">
        <v>0.94199999999999995</v>
      </c>
    </row>
    <row r="278" spans="2:11">
      <c r="B278" s="122"/>
      <c r="C278" s="16">
        <v>33287</v>
      </c>
      <c r="D278" s="19">
        <v>220.94</v>
      </c>
      <c r="E278" s="18">
        <f t="shared" si="4"/>
        <v>6.07585E-4</v>
      </c>
      <c r="J278" s="3">
        <v>34928</v>
      </c>
      <c r="K278" s="17">
        <v>0.94199999999999995</v>
      </c>
    </row>
    <row r="279" spans="2:11">
      <c r="B279" s="122"/>
      <c r="C279" s="16">
        <v>33288</v>
      </c>
      <c r="D279" s="19">
        <v>220.75</v>
      </c>
      <c r="E279" s="18">
        <f t="shared" si="4"/>
        <v>6.0706249999999996E-4</v>
      </c>
      <c r="J279" s="3">
        <v>34929</v>
      </c>
      <c r="K279" s="17">
        <v>0.94299999999999995</v>
      </c>
    </row>
    <row r="280" spans="2:11">
      <c r="B280" s="122"/>
      <c r="C280" s="16">
        <v>33289</v>
      </c>
      <c r="D280" s="19">
        <v>221.72</v>
      </c>
      <c r="E280" s="18">
        <f t="shared" si="4"/>
        <v>6.0973000000000006E-4</v>
      </c>
      <c r="J280" s="3">
        <v>34932</v>
      </c>
      <c r="K280" s="17">
        <v>0.94199999999999995</v>
      </c>
    </row>
    <row r="281" spans="2:11">
      <c r="B281" s="122"/>
      <c r="C281" s="16">
        <v>33290</v>
      </c>
      <c r="D281" s="19">
        <v>221.66</v>
      </c>
      <c r="E281" s="18">
        <f t="shared" si="4"/>
        <v>6.0956499999999995E-4</v>
      </c>
      <c r="J281" s="3">
        <v>34933</v>
      </c>
      <c r="K281" s="17">
        <v>0.94399999999999995</v>
      </c>
    </row>
    <row r="282" spans="2:11">
      <c r="B282" s="122"/>
      <c r="C282" s="16">
        <v>33291</v>
      </c>
      <c r="D282" s="19">
        <v>222.05</v>
      </c>
      <c r="E282" s="18">
        <f t="shared" si="4"/>
        <v>6.1063749999999998E-4</v>
      </c>
      <c r="J282" s="3">
        <v>34934</v>
      </c>
      <c r="K282" s="17">
        <v>0.94699999999999995</v>
      </c>
    </row>
    <row r="283" spans="2:11">
      <c r="B283" s="122"/>
      <c r="C283" s="16">
        <v>33294</v>
      </c>
      <c r="D283" s="19">
        <v>222.62</v>
      </c>
      <c r="E283" s="18">
        <f t="shared" si="4"/>
        <v>6.12205E-4</v>
      </c>
      <c r="J283" s="3">
        <v>34935</v>
      </c>
      <c r="K283" s="17">
        <v>0.94699999999999995</v>
      </c>
    </row>
    <row r="284" spans="2:11">
      <c r="B284" s="122"/>
      <c r="C284" s="16">
        <v>33295</v>
      </c>
      <c r="D284" s="19">
        <v>223.17</v>
      </c>
      <c r="E284" s="18">
        <f t="shared" si="4"/>
        <v>6.1371750000000001E-4</v>
      </c>
      <c r="J284" s="3">
        <v>34936</v>
      </c>
      <c r="K284" s="17">
        <v>0.94799999999999995</v>
      </c>
    </row>
    <row r="285" spans="2:11">
      <c r="B285" s="122"/>
      <c r="C285" s="16">
        <v>33296</v>
      </c>
      <c r="D285" s="19">
        <v>223.63</v>
      </c>
      <c r="E285" s="18">
        <f t="shared" si="4"/>
        <v>6.1498249999999998E-4</v>
      </c>
      <c r="J285" s="3">
        <v>34939</v>
      </c>
      <c r="K285" s="17">
        <v>0.94899999999999995</v>
      </c>
    </row>
    <row r="286" spans="2:11">
      <c r="B286" s="122"/>
      <c r="C286" s="16">
        <v>33297</v>
      </c>
      <c r="D286" s="19">
        <v>223.43</v>
      </c>
      <c r="E286" s="18">
        <f t="shared" si="4"/>
        <v>6.144325E-4</v>
      </c>
      <c r="J286" s="3">
        <v>34940</v>
      </c>
      <c r="K286" s="17">
        <v>0.95099999999999996</v>
      </c>
    </row>
    <row r="287" spans="2:11">
      <c r="B287" s="122"/>
      <c r="C287" s="16">
        <v>33298</v>
      </c>
      <c r="D287" s="19">
        <v>224.67</v>
      </c>
      <c r="E287" s="18">
        <f t="shared" si="4"/>
        <v>6.1784249999999991E-4</v>
      </c>
      <c r="J287" s="3">
        <v>34941</v>
      </c>
      <c r="K287" s="17">
        <v>0.95099999999999996</v>
      </c>
    </row>
    <row r="288" spans="2:11">
      <c r="B288" s="122"/>
      <c r="C288" s="16">
        <v>33301</v>
      </c>
      <c r="D288" s="19">
        <v>226.11</v>
      </c>
      <c r="E288" s="18">
        <f t="shared" si="4"/>
        <v>6.2180250000000003E-4</v>
      </c>
      <c r="J288" s="3">
        <v>34942</v>
      </c>
      <c r="K288" s="17">
        <v>0.95099999999999996</v>
      </c>
    </row>
    <row r="289" spans="2:11">
      <c r="B289" s="122"/>
      <c r="C289" s="16">
        <v>33302</v>
      </c>
      <c r="D289" s="19">
        <v>225.66</v>
      </c>
      <c r="E289" s="18">
        <f t="shared" si="4"/>
        <v>6.2056500000000001E-4</v>
      </c>
      <c r="J289" s="3">
        <v>34943</v>
      </c>
      <c r="K289" s="17">
        <v>0.95099999999999996</v>
      </c>
    </row>
    <row r="290" spans="2:11">
      <c r="B290" s="122"/>
      <c r="C290" s="16">
        <v>33303</v>
      </c>
      <c r="D290" s="19">
        <v>225.97</v>
      </c>
      <c r="E290" s="18">
        <f t="shared" si="4"/>
        <v>6.2141750000000004E-4</v>
      </c>
      <c r="J290" s="3">
        <v>34946</v>
      </c>
      <c r="K290" s="17">
        <v>0.94899999999999995</v>
      </c>
    </row>
    <row r="291" spans="2:11">
      <c r="B291" s="122"/>
      <c r="C291" s="16">
        <v>33304</v>
      </c>
      <c r="D291" s="19">
        <v>226.34</v>
      </c>
      <c r="E291" s="18">
        <f t="shared" si="4"/>
        <v>6.2243499999999996E-4</v>
      </c>
      <c r="J291" s="3">
        <v>34947</v>
      </c>
      <c r="K291" s="17">
        <v>0.94899999999999995</v>
      </c>
    </row>
    <row r="292" spans="2:11">
      <c r="B292" s="122"/>
      <c r="C292" s="16">
        <v>33305</v>
      </c>
      <c r="D292" s="19">
        <v>226.48</v>
      </c>
      <c r="E292" s="18">
        <f t="shared" si="4"/>
        <v>6.2281999999999995E-4</v>
      </c>
      <c r="J292" s="3">
        <v>34948</v>
      </c>
      <c r="K292" s="17">
        <v>0.94899999999999995</v>
      </c>
    </row>
    <row r="293" spans="2:11">
      <c r="B293" s="122"/>
      <c r="C293" s="16">
        <v>33308</v>
      </c>
      <c r="D293" s="19">
        <v>227.4</v>
      </c>
      <c r="E293" s="18">
        <f t="shared" si="4"/>
        <v>6.2534999999999999E-4</v>
      </c>
      <c r="J293" s="3">
        <v>34950</v>
      </c>
      <c r="K293" s="17">
        <v>0.95099999999999996</v>
      </c>
    </row>
    <row r="294" spans="2:11">
      <c r="B294" s="122"/>
      <c r="C294" s="16">
        <v>33309</v>
      </c>
      <c r="D294" s="19">
        <v>228.08</v>
      </c>
      <c r="E294" s="18">
        <f t="shared" si="4"/>
        <v>6.2722000000000006E-4</v>
      </c>
      <c r="J294" s="3">
        <v>34953</v>
      </c>
      <c r="K294" s="17">
        <v>0.95199999999999996</v>
      </c>
    </row>
    <row r="295" spans="2:11">
      <c r="B295" s="122"/>
      <c r="C295" s="16">
        <v>33310</v>
      </c>
      <c r="D295" s="19">
        <v>228.75</v>
      </c>
      <c r="E295" s="18">
        <f t="shared" si="4"/>
        <v>6.2906250000000006E-4</v>
      </c>
      <c r="J295" s="3">
        <v>34954</v>
      </c>
      <c r="K295" s="17">
        <v>0.95199999999999996</v>
      </c>
    </row>
    <row r="296" spans="2:11">
      <c r="B296" s="122"/>
      <c r="C296" s="16">
        <v>33311</v>
      </c>
      <c r="D296" s="19">
        <v>229.27</v>
      </c>
      <c r="E296" s="18">
        <f t="shared" si="4"/>
        <v>6.3049250000000003E-4</v>
      </c>
      <c r="J296" s="3">
        <v>34955</v>
      </c>
      <c r="K296" s="17">
        <v>0.95299999999999996</v>
      </c>
    </row>
    <row r="297" spans="2:11">
      <c r="B297" s="122"/>
      <c r="C297" s="16">
        <v>33312</v>
      </c>
      <c r="D297" s="19">
        <v>229.15</v>
      </c>
      <c r="E297" s="18">
        <f t="shared" si="4"/>
        <v>6.3016250000000004E-4</v>
      </c>
      <c r="J297" s="3">
        <v>34956</v>
      </c>
      <c r="K297" s="17">
        <v>0.95299999999999996</v>
      </c>
    </row>
    <row r="298" spans="2:11">
      <c r="B298" s="122"/>
      <c r="C298" s="16">
        <v>33315</v>
      </c>
      <c r="D298" s="19">
        <v>230.11</v>
      </c>
      <c r="E298" s="18">
        <f t="shared" si="4"/>
        <v>6.3280249999999997E-4</v>
      </c>
      <c r="J298" s="3">
        <v>34957</v>
      </c>
      <c r="K298" s="17">
        <v>0.95299999999999996</v>
      </c>
    </row>
    <row r="299" spans="2:11">
      <c r="B299" s="122"/>
      <c r="C299" s="16">
        <v>33316</v>
      </c>
      <c r="D299" s="19">
        <v>231.15</v>
      </c>
      <c r="E299" s="18">
        <f t="shared" si="4"/>
        <v>6.3566250000000001E-4</v>
      </c>
      <c r="J299" s="3">
        <v>34960</v>
      </c>
      <c r="K299" s="17">
        <v>0.95299999999999996</v>
      </c>
    </row>
    <row r="300" spans="2:11">
      <c r="B300" s="122"/>
      <c r="C300" s="16">
        <v>33317</v>
      </c>
      <c r="D300" s="19">
        <v>233.43</v>
      </c>
      <c r="E300" s="18">
        <f t="shared" si="4"/>
        <v>6.4193250000000007E-4</v>
      </c>
      <c r="J300" s="3">
        <v>34961</v>
      </c>
      <c r="K300" s="17">
        <v>0.95299999999999996</v>
      </c>
    </row>
    <row r="301" spans="2:11">
      <c r="B301" s="122"/>
      <c r="C301" s="16">
        <v>33318</v>
      </c>
      <c r="D301" s="19">
        <v>233.5</v>
      </c>
      <c r="E301" s="18">
        <f t="shared" si="4"/>
        <v>6.4212500000000001E-4</v>
      </c>
      <c r="J301" s="3">
        <v>34962</v>
      </c>
      <c r="K301" s="17">
        <v>0.95399999999999996</v>
      </c>
    </row>
    <row r="302" spans="2:11">
      <c r="B302" s="122"/>
      <c r="C302" s="16">
        <v>33319</v>
      </c>
      <c r="D302" s="19">
        <v>234.28</v>
      </c>
      <c r="E302" s="18">
        <f t="shared" si="4"/>
        <v>6.4427000000000006E-4</v>
      </c>
      <c r="J302" s="3">
        <v>34963</v>
      </c>
      <c r="K302" s="17">
        <v>0.95399999999999996</v>
      </c>
    </row>
    <row r="303" spans="2:11">
      <c r="B303" s="122"/>
      <c r="C303" s="16">
        <v>33322</v>
      </c>
      <c r="D303" s="19">
        <v>235.6</v>
      </c>
      <c r="E303" s="18">
        <f t="shared" si="4"/>
        <v>6.4789999999999997E-4</v>
      </c>
      <c r="J303" s="3">
        <v>34964</v>
      </c>
      <c r="K303" s="17">
        <v>0.95399999999999996</v>
      </c>
    </row>
    <row r="304" spans="2:11">
      <c r="B304" s="122"/>
      <c r="C304" s="16">
        <v>33323</v>
      </c>
      <c r="D304" s="19">
        <v>236.74</v>
      </c>
      <c r="E304" s="18">
        <f t="shared" si="4"/>
        <v>6.51035E-4</v>
      </c>
      <c r="J304" s="3">
        <v>34967</v>
      </c>
      <c r="K304" s="17">
        <v>0.95399999999999996</v>
      </c>
    </row>
    <row r="305" spans="2:11">
      <c r="B305" s="122"/>
      <c r="C305" s="16">
        <v>33324</v>
      </c>
      <c r="D305" s="19">
        <v>238.93</v>
      </c>
      <c r="E305" s="18">
        <f t="shared" si="4"/>
        <v>6.5705750000000002E-4</v>
      </c>
      <c r="J305" s="3">
        <v>34968</v>
      </c>
      <c r="K305" s="17">
        <v>0.95499999999999996</v>
      </c>
    </row>
    <row r="306" spans="2:11">
      <c r="B306" s="122"/>
      <c r="C306" s="16">
        <v>33329</v>
      </c>
      <c r="D306" s="19">
        <v>241.83</v>
      </c>
      <c r="E306" s="18">
        <f t="shared" si="4"/>
        <v>6.6503250000000003E-4</v>
      </c>
      <c r="J306" s="3">
        <v>34969</v>
      </c>
      <c r="K306" s="17">
        <v>0.95599999999999996</v>
      </c>
    </row>
    <row r="307" spans="2:11">
      <c r="B307" s="122"/>
      <c r="C307" s="16">
        <v>33330</v>
      </c>
      <c r="D307" s="19">
        <v>244.74</v>
      </c>
      <c r="E307" s="18">
        <f t="shared" si="4"/>
        <v>6.73035E-4</v>
      </c>
      <c r="J307" s="3">
        <v>34970</v>
      </c>
      <c r="K307" s="17">
        <v>0.95599999999999996</v>
      </c>
    </row>
    <row r="308" spans="2:11">
      <c r="B308" s="122"/>
      <c r="C308" s="16">
        <v>33331</v>
      </c>
      <c r="D308" s="19">
        <v>246.14</v>
      </c>
      <c r="E308" s="18">
        <f t="shared" si="4"/>
        <v>6.7688500000000001E-4</v>
      </c>
      <c r="J308" s="3">
        <v>34971</v>
      </c>
      <c r="K308" s="17">
        <v>0.95399999999999996</v>
      </c>
    </row>
    <row r="309" spans="2:11">
      <c r="B309" s="122"/>
      <c r="C309" s="16">
        <v>33332</v>
      </c>
      <c r="D309" s="19">
        <v>245.96</v>
      </c>
      <c r="E309" s="18">
        <f t="shared" si="4"/>
        <v>6.7638999999999991E-4</v>
      </c>
      <c r="J309" s="3">
        <v>34974</v>
      </c>
      <c r="K309" s="17">
        <v>0.95499999999999996</v>
      </c>
    </row>
    <row r="310" spans="2:11">
      <c r="B310" s="122"/>
      <c r="C310" s="16">
        <v>33333</v>
      </c>
      <c r="D310" s="19">
        <v>246.06</v>
      </c>
      <c r="E310" s="18">
        <f t="shared" si="4"/>
        <v>6.7666499999999991E-4</v>
      </c>
      <c r="J310" s="3">
        <v>34975</v>
      </c>
      <c r="K310" s="17">
        <v>0.95799999999999996</v>
      </c>
    </row>
    <row r="311" spans="2:11">
      <c r="B311" s="122"/>
      <c r="C311" s="16">
        <v>33336</v>
      </c>
      <c r="D311" s="19">
        <v>246.89</v>
      </c>
      <c r="E311" s="18">
        <f t="shared" si="4"/>
        <v>6.7894750000000001E-4</v>
      </c>
      <c r="J311" s="3">
        <v>34976</v>
      </c>
      <c r="K311" s="17">
        <v>0.95799999999999996</v>
      </c>
    </row>
    <row r="312" spans="2:11">
      <c r="B312" s="122"/>
      <c r="C312" s="16">
        <v>33337</v>
      </c>
      <c r="D312" s="19">
        <v>248.53</v>
      </c>
      <c r="E312" s="18">
        <f t="shared" si="4"/>
        <v>6.8345750000000001E-4</v>
      </c>
      <c r="J312" s="3">
        <v>34977</v>
      </c>
      <c r="K312" s="17">
        <v>0.95799999999999996</v>
      </c>
    </row>
    <row r="313" spans="2:11">
      <c r="B313" s="122"/>
      <c r="C313" s="16">
        <v>33338</v>
      </c>
      <c r="D313" s="19">
        <v>249.81</v>
      </c>
      <c r="E313" s="18">
        <f t="shared" si="4"/>
        <v>6.8697750000000003E-4</v>
      </c>
      <c r="J313" s="3">
        <v>34978</v>
      </c>
      <c r="K313" s="17">
        <v>0.95899999999999996</v>
      </c>
    </row>
    <row r="314" spans="2:11">
      <c r="B314" s="122"/>
      <c r="C314" s="16">
        <v>33339</v>
      </c>
      <c r="D314" s="19">
        <v>250.41</v>
      </c>
      <c r="E314" s="18">
        <f t="shared" si="4"/>
        <v>6.8862749999999999E-4</v>
      </c>
      <c r="J314" s="3">
        <v>34981</v>
      </c>
      <c r="K314" s="17">
        <v>0.95799999999999996</v>
      </c>
    </row>
    <row r="315" spans="2:11">
      <c r="B315" s="122"/>
      <c r="C315" s="16">
        <v>33340</v>
      </c>
      <c r="D315" s="19">
        <v>251.06</v>
      </c>
      <c r="E315" s="18">
        <f t="shared" si="4"/>
        <v>6.90415E-4</v>
      </c>
      <c r="J315" s="3">
        <v>34982</v>
      </c>
      <c r="K315" s="17">
        <v>0.95799999999999996</v>
      </c>
    </row>
    <row r="316" spans="2:11">
      <c r="B316" s="122"/>
      <c r="C316" s="16">
        <v>33343</v>
      </c>
      <c r="D316" s="19">
        <v>251.37</v>
      </c>
      <c r="E316" s="18">
        <f t="shared" si="4"/>
        <v>6.9126750000000003E-4</v>
      </c>
      <c r="J316" s="3">
        <v>34983</v>
      </c>
      <c r="K316" s="17">
        <v>0.95799999999999996</v>
      </c>
    </row>
    <row r="317" spans="2:11">
      <c r="B317" s="122"/>
      <c r="C317" s="16">
        <v>33344</v>
      </c>
      <c r="D317" s="19">
        <v>252.83</v>
      </c>
      <c r="E317" s="18">
        <f t="shared" si="4"/>
        <v>6.9528250000000004E-4</v>
      </c>
      <c r="J317" s="3">
        <v>34985</v>
      </c>
      <c r="K317" s="17">
        <v>0.95799999999999996</v>
      </c>
    </row>
    <row r="318" spans="2:11">
      <c r="B318" s="122"/>
      <c r="C318" s="16">
        <v>33345</v>
      </c>
      <c r="D318" s="19">
        <v>253.57</v>
      </c>
      <c r="E318" s="18">
        <f t="shared" si="4"/>
        <v>6.9731749999999999E-4</v>
      </c>
      <c r="J318" s="3">
        <v>34988</v>
      </c>
      <c r="K318" s="17">
        <v>0.95799999999999996</v>
      </c>
    </row>
    <row r="319" spans="2:11">
      <c r="B319" s="122"/>
      <c r="C319" s="16">
        <v>33346</v>
      </c>
      <c r="D319" s="19">
        <v>255.08</v>
      </c>
      <c r="E319" s="18">
        <f t="shared" si="4"/>
        <v>7.0147000000000004E-4</v>
      </c>
      <c r="J319" s="3">
        <v>34989</v>
      </c>
      <c r="K319" s="17">
        <v>0.95799999999999996</v>
      </c>
    </row>
    <row r="320" spans="2:11">
      <c r="B320" s="122"/>
      <c r="C320" s="16">
        <v>33347</v>
      </c>
      <c r="D320" s="19">
        <v>255.74</v>
      </c>
      <c r="E320" s="18">
        <f t="shared" si="4"/>
        <v>7.03285E-4</v>
      </c>
      <c r="J320" s="3">
        <v>34990</v>
      </c>
      <c r="K320" s="17">
        <v>0.95899999999999996</v>
      </c>
    </row>
    <row r="321" spans="2:11">
      <c r="B321" s="122"/>
      <c r="C321" s="16">
        <v>33350</v>
      </c>
      <c r="D321" s="19">
        <v>255.93</v>
      </c>
      <c r="E321" s="18">
        <f t="shared" si="4"/>
        <v>7.0380750000000004E-4</v>
      </c>
      <c r="J321" s="3">
        <v>34991</v>
      </c>
      <c r="K321" s="17">
        <v>0.95899999999999996</v>
      </c>
    </row>
    <row r="322" spans="2:11">
      <c r="B322" s="122"/>
      <c r="C322" s="16">
        <v>33351</v>
      </c>
      <c r="D322" s="19">
        <v>256.2</v>
      </c>
      <c r="E322" s="18">
        <f t="shared" si="4"/>
        <v>7.0454999999999997E-4</v>
      </c>
      <c r="J322" s="3">
        <v>34992</v>
      </c>
      <c r="K322" s="17">
        <v>0.96099999999999997</v>
      </c>
    </row>
    <row r="323" spans="2:11">
      <c r="B323" s="122"/>
      <c r="C323" s="16">
        <v>33352</v>
      </c>
      <c r="D323" s="19">
        <v>257.22000000000003</v>
      </c>
      <c r="E323" s="18">
        <f t="shared" si="4"/>
        <v>7.0735500000000001E-4</v>
      </c>
      <c r="J323" s="3">
        <v>34995</v>
      </c>
      <c r="K323" s="17">
        <v>0.96099999999999997</v>
      </c>
    </row>
    <row r="324" spans="2:11">
      <c r="B324" s="122"/>
      <c r="C324" s="16">
        <v>33353</v>
      </c>
      <c r="D324" s="19">
        <v>258.33999999999997</v>
      </c>
      <c r="E324" s="18">
        <f t="shared" ref="E324:E387" si="5">(D324/1000^2)*2.75</f>
        <v>7.1043499999999993E-4</v>
      </c>
      <c r="J324" s="3">
        <v>34996</v>
      </c>
      <c r="K324" s="17">
        <v>0.96099999999999997</v>
      </c>
    </row>
    <row r="325" spans="2:11">
      <c r="B325" s="122"/>
      <c r="C325" s="16">
        <v>33354</v>
      </c>
      <c r="D325" s="19">
        <v>258.95</v>
      </c>
      <c r="E325" s="18">
        <f t="shared" si="5"/>
        <v>7.1211249999999994E-4</v>
      </c>
      <c r="J325" s="3">
        <v>34997</v>
      </c>
      <c r="K325" s="17">
        <v>0.96099999999999997</v>
      </c>
    </row>
    <row r="326" spans="2:11">
      <c r="B326" s="122"/>
      <c r="C326" s="16">
        <v>33357</v>
      </c>
      <c r="D326" s="19">
        <v>260.47000000000003</v>
      </c>
      <c r="E326" s="18">
        <f t="shared" si="5"/>
        <v>7.1629250000000005E-4</v>
      </c>
      <c r="J326" s="3">
        <v>34998</v>
      </c>
      <c r="K326" s="17">
        <v>0.96199999999999997</v>
      </c>
    </row>
    <row r="327" spans="2:11">
      <c r="B327" s="122"/>
      <c r="C327" s="16">
        <v>33358</v>
      </c>
      <c r="D327" s="19">
        <v>260.73</v>
      </c>
      <c r="E327" s="18">
        <f t="shared" si="5"/>
        <v>7.1700750000000014E-4</v>
      </c>
      <c r="J327" s="3">
        <v>34999</v>
      </c>
      <c r="K327" s="17">
        <v>0.96199999999999997</v>
      </c>
    </row>
    <row r="328" spans="2:11">
      <c r="B328" s="122"/>
      <c r="C328" s="16">
        <v>33360</v>
      </c>
      <c r="D328" s="19">
        <v>261.77999999999997</v>
      </c>
      <c r="E328" s="18">
        <f t="shared" si="5"/>
        <v>7.1989499999999991E-4</v>
      </c>
      <c r="J328" s="3">
        <v>35002</v>
      </c>
      <c r="K328" s="17">
        <v>0.96099999999999997</v>
      </c>
    </row>
    <row r="329" spans="2:11">
      <c r="B329" s="122"/>
      <c r="C329" s="16">
        <v>33361</v>
      </c>
      <c r="D329" s="19">
        <v>262.13</v>
      </c>
      <c r="E329" s="18">
        <f t="shared" si="5"/>
        <v>7.2085750000000005E-4</v>
      </c>
      <c r="J329" s="3">
        <v>35003</v>
      </c>
      <c r="K329" s="17">
        <v>0.96099999999999997</v>
      </c>
    </row>
    <row r="330" spans="2:11">
      <c r="B330" s="122"/>
      <c r="C330" s="16">
        <v>33364</v>
      </c>
      <c r="D330" s="19">
        <v>263.10000000000002</v>
      </c>
      <c r="E330" s="18">
        <f t="shared" si="5"/>
        <v>7.2352500000000004E-4</v>
      </c>
      <c r="J330" s="3">
        <v>35004</v>
      </c>
      <c r="K330" s="17">
        <v>0.96299999999999997</v>
      </c>
    </row>
    <row r="331" spans="2:11">
      <c r="B331" s="122"/>
      <c r="C331" s="16">
        <v>33365</v>
      </c>
      <c r="D331" s="19">
        <v>264.01</v>
      </c>
      <c r="E331" s="18">
        <f t="shared" si="5"/>
        <v>7.2602750000000003E-4</v>
      </c>
      <c r="J331" s="3">
        <v>35006</v>
      </c>
      <c r="K331" s="17">
        <v>0.96199999999999997</v>
      </c>
    </row>
    <row r="332" spans="2:11">
      <c r="B332" s="122"/>
      <c r="C332" s="16">
        <v>33366</v>
      </c>
      <c r="D332" s="19">
        <v>264.94</v>
      </c>
      <c r="E332" s="18">
        <f t="shared" si="5"/>
        <v>7.2858500000000002E-4</v>
      </c>
      <c r="J332" s="3">
        <v>35009</v>
      </c>
      <c r="K332" s="17">
        <v>0.96199999999999997</v>
      </c>
    </row>
    <row r="333" spans="2:11">
      <c r="B333" s="122"/>
      <c r="C333" s="16">
        <v>33367</v>
      </c>
      <c r="D333" s="19">
        <v>267.43</v>
      </c>
      <c r="E333" s="18">
        <f t="shared" si="5"/>
        <v>7.3543250000000012E-4</v>
      </c>
      <c r="J333" s="3">
        <v>35010</v>
      </c>
      <c r="K333" s="17">
        <v>0.96099999999999997</v>
      </c>
    </row>
    <row r="334" spans="2:11">
      <c r="B334" s="122"/>
      <c r="C334" s="16">
        <v>33368</v>
      </c>
      <c r="D334" s="19">
        <v>269.81</v>
      </c>
      <c r="E334" s="18">
        <f t="shared" si="5"/>
        <v>7.4197749999999995E-4</v>
      </c>
      <c r="J334" s="3">
        <v>35011</v>
      </c>
      <c r="K334" s="17">
        <v>0.96099999999999997</v>
      </c>
    </row>
    <row r="335" spans="2:11">
      <c r="B335" s="122"/>
      <c r="C335" s="16">
        <v>33371</v>
      </c>
      <c r="D335" s="19">
        <v>269.14999999999998</v>
      </c>
      <c r="E335" s="18">
        <f t="shared" si="5"/>
        <v>7.4016249999999989E-4</v>
      </c>
      <c r="J335" s="3">
        <v>35012</v>
      </c>
      <c r="K335" s="17">
        <v>0.96099999999999997</v>
      </c>
    </row>
    <row r="336" spans="2:11">
      <c r="B336" s="122"/>
      <c r="C336" s="16">
        <v>33372</v>
      </c>
      <c r="D336" s="19">
        <v>270.69</v>
      </c>
      <c r="E336" s="18">
        <f t="shared" si="5"/>
        <v>7.4439749999999989E-4</v>
      </c>
      <c r="J336" s="3">
        <v>35013</v>
      </c>
      <c r="K336" s="17">
        <v>0.96099999999999997</v>
      </c>
    </row>
    <row r="337" spans="2:11">
      <c r="B337" s="122"/>
      <c r="C337" s="16">
        <v>33373</v>
      </c>
      <c r="D337" s="19">
        <v>272.69</v>
      </c>
      <c r="E337" s="18">
        <f t="shared" si="5"/>
        <v>7.4989750000000008E-4</v>
      </c>
      <c r="J337" s="3">
        <v>35016</v>
      </c>
      <c r="K337" s="17">
        <v>0.96199999999999997</v>
      </c>
    </row>
    <row r="338" spans="2:11">
      <c r="B338" s="122"/>
      <c r="C338" s="16">
        <v>33374</v>
      </c>
      <c r="D338" s="19">
        <v>273.95999999999998</v>
      </c>
      <c r="E338" s="18">
        <f t="shared" si="5"/>
        <v>7.5338999999999983E-4</v>
      </c>
      <c r="J338" s="3">
        <v>35017</v>
      </c>
      <c r="K338" s="17">
        <v>0.96199999999999997</v>
      </c>
    </row>
    <row r="339" spans="2:11">
      <c r="B339" s="122"/>
      <c r="C339" s="16">
        <v>33375</v>
      </c>
      <c r="D339" s="19">
        <v>275.14</v>
      </c>
      <c r="E339" s="18">
        <f t="shared" si="5"/>
        <v>7.5663499999999997E-4</v>
      </c>
      <c r="J339" s="3">
        <v>35019</v>
      </c>
      <c r="K339" s="17">
        <v>0.96199999999999997</v>
      </c>
    </row>
    <row r="340" spans="2:11">
      <c r="B340" s="122"/>
      <c r="C340" s="16">
        <v>33378</v>
      </c>
      <c r="D340" s="19">
        <v>275.10000000000002</v>
      </c>
      <c r="E340" s="18">
        <f t="shared" si="5"/>
        <v>7.5652500000000008E-4</v>
      </c>
      <c r="J340" s="3">
        <v>35020</v>
      </c>
      <c r="K340" s="17">
        <v>0.96199999999999997</v>
      </c>
    </row>
    <row r="341" spans="2:11">
      <c r="B341" s="122"/>
      <c r="C341" s="16">
        <v>33379</v>
      </c>
      <c r="D341" s="19">
        <v>276.24</v>
      </c>
      <c r="E341" s="18">
        <f t="shared" si="5"/>
        <v>7.5966000000000011E-4</v>
      </c>
      <c r="J341" s="3">
        <v>35023</v>
      </c>
      <c r="K341" s="17">
        <v>0.96199999999999997</v>
      </c>
    </row>
    <row r="342" spans="2:11">
      <c r="B342" s="122"/>
      <c r="C342" s="16">
        <v>33380</v>
      </c>
      <c r="D342" s="19">
        <v>277.08</v>
      </c>
      <c r="E342" s="18">
        <f t="shared" si="5"/>
        <v>7.6196999999999994E-4</v>
      </c>
      <c r="J342" s="3">
        <v>35024</v>
      </c>
      <c r="K342" s="17">
        <v>0.96299999999999997</v>
      </c>
    </row>
    <row r="343" spans="2:11">
      <c r="B343" s="122"/>
      <c r="C343" s="16">
        <v>33381</v>
      </c>
      <c r="D343" s="19">
        <v>278.39</v>
      </c>
      <c r="E343" s="18">
        <f t="shared" si="5"/>
        <v>7.6557250000000002E-4</v>
      </c>
      <c r="J343" s="3">
        <v>35025</v>
      </c>
      <c r="K343" s="17">
        <v>0.96399999999999997</v>
      </c>
    </row>
    <row r="344" spans="2:11">
      <c r="B344" s="122"/>
      <c r="C344" s="16">
        <v>33382</v>
      </c>
      <c r="D344" s="19">
        <v>279.58999999999997</v>
      </c>
      <c r="E344" s="18">
        <f t="shared" si="5"/>
        <v>7.6887249999999993E-4</v>
      </c>
      <c r="J344" s="3">
        <v>35026</v>
      </c>
      <c r="K344" s="17">
        <v>0.96399999999999997</v>
      </c>
    </row>
    <row r="345" spans="2:11">
      <c r="B345" s="122"/>
      <c r="C345" s="16">
        <v>33385</v>
      </c>
      <c r="D345" s="19">
        <v>281.14</v>
      </c>
      <c r="E345" s="18">
        <f t="shared" si="5"/>
        <v>7.7313499999999999E-4</v>
      </c>
      <c r="J345" s="3">
        <v>35027</v>
      </c>
      <c r="K345" s="17">
        <v>0.96499999999999997</v>
      </c>
    </row>
    <row r="346" spans="2:11">
      <c r="B346" s="122"/>
      <c r="C346" s="16">
        <v>33386</v>
      </c>
      <c r="D346" s="19">
        <v>282.20999999999998</v>
      </c>
      <c r="E346" s="18">
        <f t="shared" si="5"/>
        <v>7.7607749999999997E-4</v>
      </c>
      <c r="J346" s="3">
        <v>35030</v>
      </c>
      <c r="K346" s="17">
        <v>0.96399999999999997</v>
      </c>
    </row>
    <row r="347" spans="2:11">
      <c r="B347" s="122"/>
      <c r="C347" s="16">
        <v>33387</v>
      </c>
      <c r="D347" s="19">
        <v>283.24</v>
      </c>
      <c r="E347" s="18">
        <f t="shared" si="5"/>
        <v>7.7891000000000006E-4</v>
      </c>
      <c r="J347" s="3">
        <v>35031</v>
      </c>
      <c r="K347" s="17">
        <v>0.96399999999999997</v>
      </c>
    </row>
    <row r="348" spans="2:11">
      <c r="B348" s="122"/>
      <c r="C348" s="16">
        <v>33389</v>
      </c>
      <c r="D348" s="19">
        <v>284.7</v>
      </c>
      <c r="E348" s="18">
        <f t="shared" si="5"/>
        <v>7.8292499999999996E-4</v>
      </c>
      <c r="J348" s="3">
        <v>35032</v>
      </c>
      <c r="K348" s="17">
        <v>0.96399999999999997</v>
      </c>
    </row>
    <row r="349" spans="2:11">
      <c r="B349" s="122"/>
      <c r="C349" s="16">
        <v>33392</v>
      </c>
      <c r="D349" s="19">
        <v>286.01</v>
      </c>
      <c r="E349" s="18">
        <f t="shared" si="5"/>
        <v>7.8652750000000003E-4</v>
      </c>
      <c r="J349" s="3">
        <v>35033</v>
      </c>
      <c r="K349" s="17">
        <v>0.96599999999999997</v>
      </c>
    </row>
    <row r="350" spans="2:11">
      <c r="B350" s="122"/>
      <c r="C350" s="16">
        <v>33393</v>
      </c>
      <c r="D350" s="19">
        <v>287.11</v>
      </c>
      <c r="E350" s="18">
        <f t="shared" si="5"/>
        <v>7.8955250000000007E-4</v>
      </c>
      <c r="J350" s="3">
        <v>35034</v>
      </c>
      <c r="K350" s="17">
        <v>0.96599999999999997</v>
      </c>
    </row>
    <row r="351" spans="2:11">
      <c r="B351" s="122"/>
      <c r="C351" s="16">
        <v>33394</v>
      </c>
      <c r="D351" s="19">
        <v>288.41000000000003</v>
      </c>
      <c r="E351" s="18">
        <f t="shared" si="5"/>
        <v>7.9312749999999998E-4</v>
      </c>
      <c r="J351" s="3">
        <v>35037</v>
      </c>
      <c r="K351" s="17">
        <v>0.96599999999999997</v>
      </c>
    </row>
    <row r="352" spans="2:11">
      <c r="B352" s="122"/>
      <c r="C352" s="16">
        <v>33395</v>
      </c>
      <c r="D352" s="19">
        <v>288.94</v>
      </c>
      <c r="E352" s="18">
        <f t="shared" si="5"/>
        <v>7.94585E-4</v>
      </c>
      <c r="J352" s="3">
        <v>35038</v>
      </c>
      <c r="K352" s="17">
        <v>0.96599999999999997</v>
      </c>
    </row>
    <row r="353" spans="2:11">
      <c r="B353" s="122"/>
      <c r="C353" s="16">
        <v>33396</v>
      </c>
      <c r="D353" s="19">
        <v>289.88</v>
      </c>
      <c r="E353" s="18">
        <f t="shared" si="5"/>
        <v>7.9717000000000004E-4</v>
      </c>
      <c r="J353" s="3">
        <v>35039</v>
      </c>
      <c r="K353" s="17">
        <v>0.96599999999999997</v>
      </c>
    </row>
    <row r="354" spans="2:11">
      <c r="B354" s="122"/>
      <c r="C354" s="16">
        <v>33399</v>
      </c>
      <c r="D354" s="19">
        <v>291.31</v>
      </c>
      <c r="E354" s="18">
        <f t="shared" si="5"/>
        <v>8.011025000000001E-4</v>
      </c>
      <c r="J354" s="3">
        <v>35040</v>
      </c>
      <c r="K354" s="17">
        <v>0.96599999999999997</v>
      </c>
    </row>
    <row r="355" spans="2:11">
      <c r="B355" s="122"/>
      <c r="C355" s="16">
        <v>33400</v>
      </c>
      <c r="D355" s="19">
        <v>292.14999999999998</v>
      </c>
      <c r="E355" s="18">
        <f t="shared" si="5"/>
        <v>8.0341249999999994E-4</v>
      </c>
      <c r="J355" s="3">
        <v>35041</v>
      </c>
      <c r="K355" s="17">
        <v>0.96599999999999997</v>
      </c>
    </row>
    <row r="356" spans="2:11">
      <c r="B356" s="122"/>
      <c r="C356" s="16">
        <v>33401</v>
      </c>
      <c r="D356" s="19">
        <v>293.35000000000002</v>
      </c>
      <c r="E356" s="18">
        <f t="shared" si="5"/>
        <v>8.0671249999999996E-4</v>
      </c>
      <c r="J356" s="3">
        <v>35044</v>
      </c>
      <c r="K356" s="17">
        <v>0.96599999999999997</v>
      </c>
    </row>
    <row r="357" spans="2:11">
      <c r="B357" s="122"/>
      <c r="C357" s="16">
        <v>33402</v>
      </c>
      <c r="D357" s="19">
        <v>294.64999999999998</v>
      </c>
      <c r="E357" s="18">
        <f t="shared" si="5"/>
        <v>8.1028749999999998E-4</v>
      </c>
      <c r="J357" s="3">
        <v>35045</v>
      </c>
      <c r="K357" s="17">
        <v>0.96599999999999997</v>
      </c>
    </row>
    <row r="358" spans="2:11">
      <c r="B358" s="122"/>
      <c r="C358" s="16">
        <v>33403</v>
      </c>
      <c r="D358" s="19">
        <v>296.06</v>
      </c>
      <c r="E358" s="18">
        <f t="shared" si="5"/>
        <v>8.1416500000000005E-4</v>
      </c>
      <c r="J358" s="3">
        <v>35046</v>
      </c>
      <c r="K358" s="17">
        <v>0.96699999999999997</v>
      </c>
    </row>
    <row r="359" spans="2:11">
      <c r="B359" s="122"/>
      <c r="C359" s="16">
        <v>33406</v>
      </c>
      <c r="D359" s="19">
        <v>297.95999999999998</v>
      </c>
      <c r="E359" s="18">
        <f t="shared" si="5"/>
        <v>8.1939000000000003E-4</v>
      </c>
      <c r="J359" s="3">
        <v>35047</v>
      </c>
      <c r="K359" s="17">
        <v>0.96699999999999997</v>
      </c>
    </row>
    <row r="360" spans="2:11">
      <c r="B360" s="122"/>
      <c r="C360" s="16">
        <v>33407</v>
      </c>
      <c r="D360" s="19">
        <v>300.11</v>
      </c>
      <c r="E360" s="18">
        <f t="shared" si="5"/>
        <v>8.2530250000000004E-4</v>
      </c>
      <c r="J360" s="3">
        <v>35048</v>
      </c>
      <c r="K360" s="17">
        <v>0.96699999999999997</v>
      </c>
    </row>
    <row r="361" spans="2:11">
      <c r="B361" s="122"/>
      <c r="C361" s="16">
        <v>33408</v>
      </c>
      <c r="D361" s="19">
        <v>301.02</v>
      </c>
      <c r="E361" s="18">
        <f t="shared" si="5"/>
        <v>8.2780499999999993E-4</v>
      </c>
      <c r="J361" s="3">
        <v>35051</v>
      </c>
      <c r="K361" s="17">
        <v>0.96799999999999997</v>
      </c>
    </row>
    <row r="362" spans="2:11">
      <c r="B362" s="122"/>
      <c r="C362" s="16">
        <v>33409</v>
      </c>
      <c r="D362" s="19">
        <v>301.95999999999998</v>
      </c>
      <c r="E362" s="18">
        <f t="shared" si="5"/>
        <v>8.3038999999999997E-4</v>
      </c>
      <c r="J362" s="3">
        <v>35052</v>
      </c>
      <c r="K362" s="17">
        <v>0.96699999999999997</v>
      </c>
    </row>
    <row r="363" spans="2:11">
      <c r="B363" s="122"/>
      <c r="C363" s="16">
        <v>33410</v>
      </c>
      <c r="D363" s="19">
        <v>303.33</v>
      </c>
      <c r="E363" s="18">
        <f t="shared" si="5"/>
        <v>8.3415749999999993E-4</v>
      </c>
      <c r="J363" s="3">
        <v>35053</v>
      </c>
      <c r="K363" s="17">
        <v>0.96799999999999997</v>
      </c>
    </row>
    <row r="364" spans="2:11">
      <c r="B364" s="122"/>
      <c r="C364" s="16">
        <v>33413</v>
      </c>
      <c r="D364" s="19">
        <v>305.36</v>
      </c>
      <c r="E364" s="18">
        <f t="shared" si="5"/>
        <v>8.3974000000000006E-4</v>
      </c>
      <c r="J364" s="3">
        <v>35054</v>
      </c>
      <c r="K364" s="17">
        <v>0.96899999999999997</v>
      </c>
    </row>
    <row r="365" spans="2:11">
      <c r="B365" s="122"/>
      <c r="C365" s="16">
        <v>33414</v>
      </c>
      <c r="D365" s="19">
        <v>307.14</v>
      </c>
      <c r="E365" s="18">
        <f t="shared" si="5"/>
        <v>8.4463499999999994E-4</v>
      </c>
      <c r="J365" s="3">
        <v>35055</v>
      </c>
      <c r="K365" s="17">
        <v>0.97</v>
      </c>
    </row>
    <row r="366" spans="2:11">
      <c r="B366" s="122"/>
      <c r="C366" s="16">
        <v>33415</v>
      </c>
      <c r="D366" s="19">
        <v>309.22000000000003</v>
      </c>
      <c r="E366" s="18">
        <f t="shared" si="5"/>
        <v>8.5035500000000012E-4</v>
      </c>
      <c r="J366" s="3">
        <v>35059</v>
      </c>
      <c r="K366" s="17">
        <v>0.97</v>
      </c>
    </row>
    <row r="367" spans="2:11">
      <c r="B367" s="122"/>
      <c r="C367" s="16">
        <v>33416</v>
      </c>
      <c r="D367" s="19">
        <v>311.23</v>
      </c>
      <c r="E367" s="18">
        <f t="shared" si="5"/>
        <v>8.5588250000000004E-4</v>
      </c>
      <c r="J367" s="3">
        <v>35060</v>
      </c>
      <c r="K367" s="17">
        <v>0.97</v>
      </c>
    </row>
    <row r="368" spans="2:11">
      <c r="B368" s="122"/>
      <c r="C368" s="16">
        <v>33417</v>
      </c>
      <c r="D368" s="19">
        <v>312.22000000000003</v>
      </c>
      <c r="E368" s="18">
        <f t="shared" si="5"/>
        <v>8.5860500000000013E-4</v>
      </c>
      <c r="J368" s="3">
        <v>35061</v>
      </c>
      <c r="K368" s="17">
        <v>0.97199999999999998</v>
      </c>
    </row>
    <row r="369" spans="2:11">
      <c r="B369" s="122"/>
      <c r="C369" s="16">
        <v>33420</v>
      </c>
      <c r="D369" s="19">
        <v>313.37</v>
      </c>
      <c r="E369" s="18">
        <f t="shared" si="5"/>
        <v>8.617675E-4</v>
      </c>
      <c r="J369" s="3">
        <v>35062</v>
      </c>
      <c r="K369" s="17">
        <v>0.97199999999999998</v>
      </c>
    </row>
    <row r="370" spans="2:11">
      <c r="B370" s="122"/>
      <c r="C370" s="16">
        <v>33421</v>
      </c>
      <c r="D370" s="19">
        <v>314.72000000000003</v>
      </c>
      <c r="E370" s="18">
        <f t="shared" si="5"/>
        <v>8.6548000000000018E-4</v>
      </c>
      <c r="J370" s="3">
        <v>35066</v>
      </c>
      <c r="K370" s="17">
        <v>0.97199999999999998</v>
      </c>
    </row>
    <row r="371" spans="2:11">
      <c r="B371" s="122"/>
      <c r="C371" s="16">
        <v>33422</v>
      </c>
      <c r="D371" s="19">
        <v>315.49</v>
      </c>
      <c r="E371" s="18">
        <f t="shared" si="5"/>
        <v>8.6759750000000007E-4</v>
      </c>
      <c r="J371" s="3">
        <v>35067</v>
      </c>
      <c r="K371" s="17">
        <v>0.97199999999999998</v>
      </c>
    </row>
    <row r="372" spans="2:11">
      <c r="B372" s="122"/>
      <c r="C372" s="16">
        <v>33423</v>
      </c>
      <c r="D372" s="19">
        <v>317.24</v>
      </c>
      <c r="E372" s="18">
        <f t="shared" si="5"/>
        <v>8.7241E-4</v>
      </c>
      <c r="J372" s="3">
        <v>35068</v>
      </c>
      <c r="K372" s="17">
        <v>0.97199999999999998</v>
      </c>
    </row>
    <row r="373" spans="2:11">
      <c r="B373" s="122"/>
      <c r="C373" s="16">
        <v>33424</v>
      </c>
      <c r="D373" s="19">
        <v>318.64</v>
      </c>
      <c r="E373" s="18">
        <f t="shared" si="5"/>
        <v>8.7625999999999991E-4</v>
      </c>
      <c r="J373" s="3">
        <v>35069</v>
      </c>
      <c r="K373" s="17">
        <v>0.97199999999999998</v>
      </c>
    </row>
    <row r="374" spans="2:11">
      <c r="B374" s="122"/>
      <c r="C374" s="16">
        <v>33427</v>
      </c>
      <c r="D374" s="19">
        <v>320.47000000000003</v>
      </c>
      <c r="E374" s="18">
        <f t="shared" si="5"/>
        <v>8.8129250000000016E-4</v>
      </c>
      <c r="J374" s="3">
        <v>35072</v>
      </c>
      <c r="K374" s="17">
        <v>0.97199999999999998</v>
      </c>
    </row>
    <row r="375" spans="2:11">
      <c r="B375" s="122"/>
      <c r="C375" s="16">
        <v>33428</v>
      </c>
      <c r="D375" s="19">
        <v>321.95</v>
      </c>
      <c r="E375" s="18">
        <f t="shared" si="5"/>
        <v>8.8536249999999995E-4</v>
      </c>
      <c r="J375" s="3">
        <v>35073</v>
      </c>
      <c r="K375" s="17">
        <v>0.97199999999999998</v>
      </c>
    </row>
    <row r="376" spans="2:11">
      <c r="B376" s="122"/>
      <c r="C376" s="16">
        <v>33429</v>
      </c>
      <c r="D376" s="19">
        <v>323.23</v>
      </c>
      <c r="E376" s="18">
        <f t="shared" si="5"/>
        <v>8.8888250000000008E-4</v>
      </c>
      <c r="J376" s="3">
        <v>35074</v>
      </c>
      <c r="K376" s="17">
        <v>0.97199999999999998</v>
      </c>
    </row>
    <row r="377" spans="2:11">
      <c r="B377" s="122"/>
      <c r="C377" s="16">
        <v>33430</v>
      </c>
      <c r="D377" s="19">
        <v>324.18</v>
      </c>
      <c r="E377" s="18">
        <f t="shared" si="5"/>
        <v>8.9149500000000007E-4</v>
      </c>
      <c r="J377" s="3">
        <v>35075</v>
      </c>
      <c r="K377" s="17">
        <v>0.97299999999999998</v>
      </c>
    </row>
    <row r="378" spans="2:11">
      <c r="B378" s="122"/>
      <c r="C378" s="16">
        <v>33431</v>
      </c>
      <c r="D378" s="19">
        <v>325.36</v>
      </c>
      <c r="E378" s="18">
        <f t="shared" si="5"/>
        <v>8.9473999999999999E-4</v>
      </c>
      <c r="J378" s="3">
        <v>35076</v>
      </c>
      <c r="K378" s="17">
        <v>0.97299999999999998</v>
      </c>
    </row>
    <row r="379" spans="2:11">
      <c r="B379" s="122"/>
      <c r="C379" s="16">
        <v>33434</v>
      </c>
      <c r="D379" s="19">
        <v>326.52999999999997</v>
      </c>
      <c r="E379" s="18">
        <f t="shared" si="5"/>
        <v>8.9795749999999985E-4</v>
      </c>
      <c r="J379" s="3">
        <v>35079</v>
      </c>
      <c r="K379" s="17">
        <v>0.97199999999999998</v>
      </c>
    </row>
    <row r="380" spans="2:11">
      <c r="B380" s="122"/>
      <c r="C380" s="16">
        <v>33435</v>
      </c>
      <c r="D380" s="19">
        <v>328.41</v>
      </c>
      <c r="E380" s="18">
        <f t="shared" si="5"/>
        <v>9.0312750000000005E-4</v>
      </c>
      <c r="J380" s="3">
        <v>35080</v>
      </c>
      <c r="K380" s="17">
        <v>0.97199999999999998</v>
      </c>
    </row>
    <row r="381" spans="2:11">
      <c r="B381" s="122"/>
      <c r="C381" s="16">
        <v>33436</v>
      </c>
      <c r="D381" s="19">
        <v>329.66</v>
      </c>
      <c r="E381" s="18">
        <f t="shared" si="5"/>
        <v>9.0656500000000002E-4</v>
      </c>
      <c r="J381" s="3">
        <v>35081</v>
      </c>
      <c r="K381" s="17">
        <v>0.97199999999999998</v>
      </c>
    </row>
    <row r="382" spans="2:11">
      <c r="B382" s="122"/>
      <c r="C382" s="16">
        <v>33437</v>
      </c>
      <c r="D382" s="19">
        <v>330.99</v>
      </c>
      <c r="E382" s="18">
        <f t="shared" si="5"/>
        <v>9.1022250000000009E-4</v>
      </c>
      <c r="J382" s="3">
        <v>35082</v>
      </c>
      <c r="K382" s="17">
        <v>0.97199999999999998</v>
      </c>
    </row>
    <row r="383" spans="2:11">
      <c r="B383" s="122"/>
      <c r="C383" s="16">
        <v>33438</v>
      </c>
      <c r="D383" s="19">
        <v>332.52</v>
      </c>
      <c r="E383" s="18">
        <f t="shared" si="5"/>
        <v>9.1442999999999993E-4</v>
      </c>
      <c r="J383" s="3">
        <v>35083</v>
      </c>
      <c r="K383" s="17">
        <v>0.97299999999999998</v>
      </c>
    </row>
    <row r="384" spans="2:11">
      <c r="B384" s="122"/>
      <c r="C384" s="16">
        <v>33441</v>
      </c>
      <c r="D384" s="19">
        <v>334.1</v>
      </c>
      <c r="E384" s="18">
        <f t="shared" si="5"/>
        <v>9.1877500000000015E-4</v>
      </c>
      <c r="J384" s="3">
        <v>35086</v>
      </c>
      <c r="K384" s="17">
        <v>0.97399999999999998</v>
      </c>
    </row>
    <row r="385" spans="2:11">
      <c r="B385" s="122"/>
      <c r="C385" s="16">
        <v>33442</v>
      </c>
      <c r="D385" s="19">
        <v>335.99</v>
      </c>
      <c r="E385" s="18">
        <f t="shared" si="5"/>
        <v>9.2397249999999996E-4</v>
      </c>
      <c r="J385" s="3">
        <v>35087</v>
      </c>
      <c r="K385" s="17">
        <v>0.97599999999999998</v>
      </c>
    </row>
    <row r="386" spans="2:11">
      <c r="B386" s="122"/>
      <c r="C386" s="16">
        <v>33443</v>
      </c>
      <c r="D386" s="19">
        <v>337.75</v>
      </c>
      <c r="E386" s="18">
        <f t="shared" si="5"/>
        <v>9.2881249999999995E-4</v>
      </c>
      <c r="J386" s="3">
        <v>35088</v>
      </c>
      <c r="K386" s="17">
        <v>0.97599999999999998</v>
      </c>
    </row>
    <row r="387" spans="2:11">
      <c r="B387" s="122"/>
      <c r="C387" s="16">
        <v>33444</v>
      </c>
      <c r="D387" s="19">
        <v>339.58</v>
      </c>
      <c r="E387" s="18">
        <f t="shared" si="5"/>
        <v>9.3384499999999988E-4</v>
      </c>
      <c r="J387" s="3">
        <v>35089</v>
      </c>
      <c r="K387" s="17">
        <v>0.97599999999999998</v>
      </c>
    </row>
    <row r="388" spans="2:11">
      <c r="B388" s="122"/>
      <c r="C388" s="16">
        <v>33445</v>
      </c>
      <c r="D388" s="19">
        <v>340.96</v>
      </c>
      <c r="E388" s="18">
        <f t="shared" ref="E388:E451" si="6">(D388/1000^2)*2.75</f>
        <v>9.3763999999999989E-4</v>
      </c>
      <c r="J388" s="3">
        <v>35090</v>
      </c>
      <c r="K388" s="17">
        <v>0.97799999999999998</v>
      </c>
    </row>
    <row r="389" spans="2:11">
      <c r="B389" s="122"/>
      <c r="C389" s="16">
        <v>33448</v>
      </c>
      <c r="D389" s="19">
        <v>342.69</v>
      </c>
      <c r="E389" s="18">
        <f t="shared" si="6"/>
        <v>9.4239749999999994E-4</v>
      </c>
      <c r="J389" s="3">
        <v>35093</v>
      </c>
      <c r="K389" s="17">
        <v>0.97799999999999998</v>
      </c>
    </row>
    <row r="390" spans="2:11">
      <c r="B390" s="122"/>
      <c r="C390" s="16">
        <v>33449</v>
      </c>
      <c r="D390" s="19">
        <v>344.8</v>
      </c>
      <c r="E390" s="18">
        <f t="shared" si="6"/>
        <v>9.4820000000000006E-4</v>
      </c>
      <c r="J390" s="3">
        <v>35094</v>
      </c>
      <c r="K390" s="17">
        <v>0.97799999999999998</v>
      </c>
    </row>
    <row r="391" spans="2:11">
      <c r="B391" s="122"/>
      <c r="C391" s="16">
        <v>33450</v>
      </c>
      <c r="D391" s="19">
        <v>346.57</v>
      </c>
      <c r="E391" s="18">
        <f t="shared" si="6"/>
        <v>9.530675E-4</v>
      </c>
      <c r="J391" s="3">
        <v>35095</v>
      </c>
      <c r="K391" s="17">
        <v>0.97799999999999998</v>
      </c>
    </row>
    <row r="392" spans="2:11">
      <c r="B392" s="122"/>
      <c r="C392" s="16">
        <v>33451</v>
      </c>
      <c r="D392" s="19">
        <v>348.84</v>
      </c>
      <c r="E392" s="18">
        <f t="shared" si="6"/>
        <v>9.5931E-4</v>
      </c>
      <c r="J392" s="3">
        <v>35096</v>
      </c>
      <c r="K392" s="17">
        <v>0.97799999999999998</v>
      </c>
    </row>
    <row r="393" spans="2:11">
      <c r="B393" s="122"/>
      <c r="C393" s="16">
        <v>33452</v>
      </c>
      <c r="D393" s="19">
        <v>351.19</v>
      </c>
      <c r="E393" s="18">
        <f t="shared" si="6"/>
        <v>9.6577249999999989E-4</v>
      </c>
      <c r="J393" s="3">
        <v>35097</v>
      </c>
      <c r="K393" s="17">
        <v>0.97799999999999998</v>
      </c>
    </row>
    <row r="394" spans="2:11">
      <c r="B394" s="122"/>
      <c r="C394" s="16">
        <v>33455</v>
      </c>
      <c r="D394" s="19">
        <v>353.18</v>
      </c>
      <c r="E394" s="18">
        <f t="shared" si="6"/>
        <v>9.7124500000000014E-4</v>
      </c>
      <c r="J394" s="3">
        <v>35100</v>
      </c>
      <c r="K394" s="17">
        <v>0.97799999999999998</v>
      </c>
    </row>
    <row r="395" spans="2:11">
      <c r="B395" s="122"/>
      <c r="C395" s="16">
        <v>33456</v>
      </c>
      <c r="D395" s="19">
        <v>354.93</v>
      </c>
      <c r="E395" s="18">
        <f t="shared" si="6"/>
        <v>9.7605749999999996E-4</v>
      </c>
      <c r="J395" s="3">
        <v>35101</v>
      </c>
      <c r="K395" s="17">
        <v>0.97799999999999998</v>
      </c>
    </row>
    <row r="396" spans="2:11">
      <c r="B396" s="122"/>
      <c r="C396" s="16">
        <v>33457</v>
      </c>
      <c r="D396" s="19">
        <v>356.81</v>
      </c>
      <c r="E396" s="18">
        <f t="shared" si="6"/>
        <v>9.8122750000000005E-4</v>
      </c>
      <c r="J396" s="3">
        <v>35102</v>
      </c>
      <c r="K396" s="17">
        <v>0.97799999999999998</v>
      </c>
    </row>
    <row r="397" spans="2:11">
      <c r="B397" s="122"/>
      <c r="C397" s="16">
        <v>33458</v>
      </c>
      <c r="D397" s="19">
        <v>358.96</v>
      </c>
      <c r="E397" s="18">
        <f t="shared" si="6"/>
        <v>9.8713999999999985E-4</v>
      </c>
      <c r="J397" s="3">
        <v>35103</v>
      </c>
      <c r="K397" s="17">
        <v>0.97799999999999998</v>
      </c>
    </row>
    <row r="398" spans="2:11">
      <c r="B398" s="122"/>
      <c r="C398" s="16">
        <v>33459</v>
      </c>
      <c r="D398" s="19">
        <v>361.07</v>
      </c>
      <c r="E398" s="18">
        <f t="shared" si="6"/>
        <v>9.9294250000000008E-4</v>
      </c>
      <c r="J398" s="3">
        <v>35104</v>
      </c>
      <c r="K398" s="17">
        <v>0.97799999999999998</v>
      </c>
    </row>
    <row r="399" spans="2:11">
      <c r="B399" s="122"/>
      <c r="C399" s="16">
        <v>33462</v>
      </c>
      <c r="D399" s="19">
        <v>363.04</v>
      </c>
      <c r="E399" s="18">
        <f t="shared" si="6"/>
        <v>9.9836E-4</v>
      </c>
      <c r="J399" s="3">
        <v>35107</v>
      </c>
      <c r="K399" s="17">
        <v>0.97799999999999998</v>
      </c>
    </row>
    <row r="400" spans="2:11">
      <c r="B400" s="122"/>
      <c r="C400" s="16">
        <v>33463</v>
      </c>
      <c r="D400" s="19">
        <v>365.91</v>
      </c>
      <c r="E400" s="18">
        <f t="shared" si="6"/>
        <v>1.0062525E-3</v>
      </c>
      <c r="J400" s="3">
        <v>35108</v>
      </c>
      <c r="K400" s="17">
        <v>0.98</v>
      </c>
    </row>
    <row r="401" spans="2:11">
      <c r="B401" s="122"/>
      <c r="C401" s="16">
        <v>33464</v>
      </c>
      <c r="D401" s="19">
        <v>368.76</v>
      </c>
      <c r="E401" s="18">
        <f t="shared" si="6"/>
        <v>1.01409E-3</v>
      </c>
      <c r="J401" s="3">
        <v>35109</v>
      </c>
      <c r="K401" s="17">
        <v>0.98099999999999998</v>
      </c>
    </row>
    <row r="402" spans="2:11">
      <c r="B402" s="122"/>
      <c r="C402" s="16">
        <v>33465</v>
      </c>
      <c r="D402" s="19">
        <v>370.09</v>
      </c>
      <c r="E402" s="18">
        <f t="shared" si="6"/>
        <v>1.0177474999999998E-3</v>
      </c>
      <c r="J402" s="3">
        <v>35110</v>
      </c>
      <c r="K402" s="17">
        <v>0.98299999999999998</v>
      </c>
    </row>
    <row r="403" spans="2:11">
      <c r="B403" s="122"/>
      <c r="C403" s="16">
        <v>33466</v>
      </c>
      <c r="D403" s="19">
        <v>372.27</v>
      </c>
      <c r="E403" s="18">
        <f t="shared" si="6"/>
        <v>1.0237425E-3</v>
      </c>
      <c r="J403" s="3">
        <v>35111</v>
      </c>
      <c r="K403" s="17">
        <v>0.98299999999999998</v>
      </c>
    </row>
    <row r="404" spans="2:11">
      <c r="B404" s="122"/>
      <c r="C404" s="16">
        <v>33469</v>
      </c>
      <c r="D404" s="19">
        <v>374.34</v>
      </c>
      <c r="E404" s="18">
        <f t="shared" si="6"/>
        <v>1.029435E-3</v>
      </c>
      <c r="J404" s="3">
        <v>35116</v>
      </c>
      <c r="K404" s="17">
        <v>0.98199999999999998</v>
      </c>
    </row>
    <row r="405" spans="2:11">
      <c r="B405" s="122"/>
      <c r="C405" s="16">
        <v>33470</v>
      </c>
      <c r="D405" s="19">
        <v>376.84</v>
      </c>
      <c r="E405" s="18">
        <f t="shared" si="6"/>
        <v>1.0363099999999999E-3</v>
      </c>
      <c r="J405" s="3">
        <v>35117</v>
      </c>
      <c r="K405" s="17">
        <v>0.98199999999999998</v>
      </c>
    </row>
    <row r="406" spans="2:11">
      <c r="B406" s="122"/>
      <c r="C406" s="16">
        <v>33471</v>
      </c>
      <c r="D406" s="19">
        <v>379.22</v>
      </c>
      <c r="E406" s="18">
        <f t="shared" si="6"/>
        <v>1.0428550000000001E-3</v>
      </c>
      <c r="J406" s="3">
        <v>35118</v>
      </c>
      <c r="K406" s="17">
        <v>0.98199999999999998</v>
      </c>
    </row>
    <row r="407" spans="2:11">
      <c r="B407" s="122"/>
      <c r="C407" s="16">
        <v>33472</v>
      </c>
      <c r="D407" s="19">
        <v>381.73</v>
      </c>
      <c r="E407" s="18">
        <f t="shared" si="6"/>
        <v>1.0497575000000001E-3</v>
      </c>
      <c r="J407" s="3">
        <v>35121</v>
      </c>
      <c r="K407" s="17">
        <v>0.98299999999999998</v>
      </c>
    </row>
    <row r="408" spans="2:11">
      <c r="B408" s="122"/>
      <c r="C408" s="16">
        <v>33473</v>
      </c>
      <c r="D408" s="19">
        <v>383.79</v>
      </c>
      <c r="E408" s="18">
        <f t="shared" si="6"/>
        <v>1.0554225E-3</v>
      </c>
      <c r="J408" s="3">
        <v>35122</v>
      </c>
      <c r="K408" s="17">
        <v>0.98399999999999999</v>
      </c>
    </row>
    <row r="409" spans="2:11">
      <c r="B409" s="122"/>
      <c r="C409" s="16">
        <v>33476</v>
      </c>
      <c r="D409" s="19">
        <v>384.82</v>
      </c>
      <c r="E409" s="18">
        <f t="shared" si="6"/>
        <v>1.0582550000000001E-3</v>
      </c>
      <c r="J409" s="3">
        <v>35123</v>
      </c>
      <c r="K409" s="17">
        <v>0.98299999999999998</v>
      </c>
    </row>
    <row r="410" spans="2:11">
      <c r="B410" s="122"/>
      <c r="C410" s="16">
        <v>33477</v>
      </c>
      <c r="D410" s="19">
        <v>386.9</v>
      </c>
      <c r="E410" s="18">
        <f t="shared" si="6"/>
        <v>1.063975E-3</v>
      </c>
      <c r="J410" s="3">
        <v>35124</v>
      </c>
      <c r="K410" s="17">
        <v>0.98399999999999999</v>
      </c>
    </row>
    <row r="411" spans="2:11">
      <c r="B411" s="122"/>
      <c r="C411" s="16">
        <v>33478</v>
      </c>
      <c r="D411" s="19">
        <v>388.95</v>
      </c>
      <c r="E411" s="18">
        <f t="shared" si="6"/>
        <v>1.0696124999999999E-3</v>
      </c>
      <c r="J411" s="3">
        <v>35125</v>
      </c>
      <c r="K411" s="17">
        <v>0.98399999999999999</v>
      </c>
    </row>
    <row r="412" spans="2:11">
      <c r="B412" s="122"/>
      <c r="C412" s="16">
        <v>33479</v>
      </c>
      <c r="D412" s="19">
        <v>392.82</v>
      </c>
      <c r="E412" s="18">
        <f t="shared" si="6"/>
        <v>1.080255E-3</v>
      </c>
      <c r="J412" s="3">
        <v>35128</v>
      </c>
      <c r="K412" s="17">
        <v>0.98299999999999998</v>
      </c>
    </row>
    <row r="413" spans="2:11">
      <c r="B413" s="122"/>
      <c r="C413" s="16">
        <v>33480</v>
      </c>
      <c r="D413" s="19">
        <v>393.76</v>
      </c>
      <c r="E413" s="18">
        <f t="shared" si="6"/>
        <v>1.0828400000000001E-3</v>
      </c>
      <c r="J413" s="3">
        <v>35129</v>
      </c>
      <c r="K413" s="17">
        <v>0.98299999999999998</v>
      </c>
    </row>
    <row r="414" spans="2:11">
      <c r="B414" s="122"/>
      <c r="C414" s="16">
        <v>33483</v>
      </c>
      <c r="D414" s="19">
        <v>397.19</v>
      </c>
      <c r="E414" s="18">
        <f t="shared" si="6"/>
        <v>1.0922725E-3</v>
      </c>
      <c r="J414" s="3">
        <v>35130</v>
      </c>
      <c r="K414" s="17">
        <v>0.98299999999999998</v>
      </c>
    </row>
    <row r="415" spans="2:11">
      <c r="B415" s="122"/>
      <c r="C415" s="16">
        <v>33484</v>
      </c>
      <c r="D415" s="19">
        <v>399.58</v>
      </c>
      <c r="E415" s="18">
        <f t="shared" si="6"/>
        <v>1.098845E-3</v>
      </c>
      <c r="J415" s="3">
        <v>35131</v>
      </c>
      <c r="K415" s="17">
        <v>0.98399999999999999</v>
      </c>
    </row>
    <row r="416" spans="2:11">
      <c r="B416" s="122"/>
      <c r="C416" s="16">
        <v>33485</v>
      </c>
      <c r="D416" s="19">
        <v>402.84</v>
      </c>
      <c r="E416" s="18">
        <f t="shared" si="6"/>
        <v>1.1078099999999999E-3</v>
      </c>
      <c r="J416" s="3">
        <v>35132</v>
      </c>
      <c r="K416" s="17">
        <v>0.98399999999999999</v>
      </c>
    </row>
    <row r="417" spans="2:11">
      <c r="B417" s="122"/>
      <c r="C417" s="16">
        <v>33486</v>
      </c>
      <c r="D417" s="19">
        <v>405.39</v>
      </c>
      <c r="E417" s="18">
        <f t="shared" si="6"/>
        <v>1.1148225000000001E-3</v>
      </c>
      <c r="J417" s="3">
        <v>35135</v>
      </c>
      <c r="K417" s="17">
        <v>0.98399999999999999</v>
      </c>
    </row>
    <row r="418" spans="2:11">
      <c r="B418" s="122"/>
      <c r="C418" s="16">
        <v>33487</v>
      </c>
      <c r="D418" s="19">
        <v>407.37</v>
      </c>
      <c r="E418" s="18">
        <f t="shared" si="6"/>
        <v>1.1202675E-3</v>
      </c>
      <c r="J418" s="3">
        <v>35136</v>
      </c>
      <c r="K418" s="17">
        <v>0.98399999999999999</v>
      </c>
    </row>
    <row r="419" spans="2:11">
      <c r="B419" s="122"/>
      <c r="C419" s="16">
        <v>33490</v>
      </c>
      <c r="D419" s="19">
        <v>411.5</v>
      </c>
      <c r="E419" s="18">
        <f t="shared" si="6"/>
        <v>1.1316249999999998E-3</v>
      </c>
      <c r="J419" s="3">
        <v>35137</v>
      </c>
      <c r="K419" s="17">
        <v>0.98499999999999999</v>
      </c>
    </row>
    <row r="420" spans="2:11">
      <c r="B420" s="122"/>
      <c r="C420" s="16">
        <v>33491</v>
      </c>
      <c r="D420" s="19">
        <v>414.44</v>
      </c>
      <c r="E420" s="18">
        <f t="shared" si="6"/>
        <v>1.1397100000000002E-3</v>
      </c>
      <c r="J420" s="3">
        <v>35138</v>
      </c>
      <c r="K420" s="17">
        <v>0.98599999999999999</v>
      </c>
    </row>
    <row r="421" spans="2:11">
      <c r="B421" s="122"/>
      <c r="C421" s="16">
        <v>33492</v>
      </c>
      <c r="D421" s="19">
        <v>417.64</v>
      </c>
      <c r="E421" s="18">
        <f t="shared" si="6"/>
        <v>1.1485099999999999E-3</v>
      </c>
      <c r="J421" s="3">
        <v>35139</v>
      </c>
      <c r="K421" s="17">
        <v>0.98599999999999999</v>
      </c>
    </row>
    <row r="422" spans="2:11">
      <c r="B422" s="122"/>
      <c r="C422" s="16">
        <v>33493</v>
      </c>
      <c r="D422" s="19">
        <v>421.64</v>
      </c>
      <c r="E422" s="18">
        <f t="shared" si="6"/>
        <v>1.1595099999999999E-3</v>
      </c>
      <c r="J422" s="3">
        <v>35142</v>
      </c>
      <c r="K422" s="17">
        <v>0.98599999999999999</v>
      </c>
    </row>
    <row r="423" spans="2:11">
      <c r="B423" s="122"/>
      <c r="C423" s="16">
        <v>33494</v>
      </c>
      <c r="D423" s="19">
        <v>425.87</v>
      </c>
      <c r="E423" s="18">
        <f t="shared" si="6"/>
        <v>1.1711425E-3</v>
      </c>
      <c r="J423" s="3">
        <v>35143</v>
      </c>
      <c r="K423" s="17">
        <v>0.98599999999999999</v>
      </c>
    </row>
    <row r="424" spans="2:11">
      <c r="B424" s="122"/>
      <c r="C424" s="16">
        <v>33497</v>
      </c>
      <c r="D424" s="19">
        <v>429</v>
      </c>
      <c r="E424" s="18">
        <f t="shared" si="6"/>
        <v>1.17975E-3</v>
      </c>
      <c r="J424" s="3">
        <v>35144</v>
      </c>
      <c r="K424" s="17">
        <v>0.98799999999999999</v>
      </c>
    </row>
    <row r="425" spans="2:11">
      <c r="B425" s="122"/>
      <c r="C425" s="16">
        <v>33498</v>
      </c>
      <c r="D425" s="19">
        <v>432.24</v>
      </c>
      <c r="E425" s="18">
        <f t="shared" si="6"/>
        <v>1.18866E-3</v>
      </c>
      <c r="J425" s="3">
        <v>35145</v>
      </c>
      <c r="K425" s="17">
        <v>0.98699999999999999</v>
      </c>
    </row>
    <row r="426" spans="2:11">
      <c r="B426" s="122"/>
      <c r="C426" s="16">
        <v>33499</v>
      </c>
      <c r="D426" s="19">
        <v>436.46</v>
      </c>
      <c r="E426" s="18">
        <f t="shared" si="6"/>
        <v>1.2002650000000001E-3</v>
      </c>
      <c r="J426" s="3">
        <v>35146</v>
      </c>
      <c r="K426" s="17">
        <v>0.98699999999999999</v>
      </c>
    </row>
    <row r="427" spans="2:11">
      <c r="B427" s="122"/>
      <c r="C427" s="16">
        <v>33500</v>
      </c>
      <c r="D427" s="19">
        <v>439.13</v>
      </c>
      <c r="E427" s="18">
        <f t="shared" si="6"/>
        <v>1.2076075E-3</v>
      </c>
      <c r="J427" s="3">
        <v>35149</v>
      </c>
      <c r="K427" s="17">
        <v>0.98699999999999999</v>
      </c>
    </row>
    <row r="428" spans="2:11">
      <c r="B428" s="122"/>
      <c r="C428" s="16">
        <v>33501</v>
      </c>
      <c r="D428" s="19">
        <v>442.11</v>
      </c>
      <c r="E428" s="18">
        <f t="shared" si="6"/>
        <v>1.2158024999999999E-3</v>
      </c>
      <c r="J428" s="3">
        <v>35150</v>
      </c>
      <c r="K428" s="17">
        <v>0.98799999999999999</v>
      </c>
    </row>
    <row r="429" spans="2:11">
      <c r="B429" s="122"/>
      <c r="C429" s="16">
        <v>33504</v>
      </c>
      <c r="D429" s="19">
        <v>445.82</v>
      </c>
      <c r="E429" s="18">
        <f t="shared" si="6"/>
        <v>1.2260050000000001E-3</v>
      </c>
      <c r="J429" s="3">
        <v>35151</v>
      </c>
      <c r="K429" s="17">
        <v>0.98799999999999999</v>
      </c>
    </row>
    <row r="430" spans="2:11">
      <c r="B430" s="122"/>
      <c r="C430" s="16">
        <v>33505</v>
      </c>
      <c r="D430" s="19">
        <v>449.35</v>
      </c>
      <c r="E430" s="18">
        <f t="shared" si="6"/>
        <v>1.2357125000000001E-3</v>
      </c>
      <c r="J430" s="3">
        <v>35152</v>
      </c>
      <c r="K430" s="17">
        <v>0.98799999999999999</v>
      </c>
    </row>
    <row r="431" spans="2:11">
      <c r="B431" s="122"/>
      <c r="C431" s="16">
        <v>33506</v>
      </c>
      <c r="D431" s="19">
        <v>452.61</v>
      </c>
      <c r="E431" s="18">
        <f t="shared" si="6"/>
        <v>1.2446775E-3</v>
      </c>
      <c r="J431" s="3">
        <v>35153</v>
      </c>
      <c r="K431" s="17">
        <v>0.98799999999999999</v>
      </c>
    </row>
    <row r="432" spans="2:11">
      <c r="B432" s="122"/>
      <c r="C432" s="16">
        <v>33507</v>
      </c>
      <c r="D432" s="19">
        <v>454.21</v>
      </c>
      <c r="E432" s="18">
        <f t="shared" si="6"/>
        <v>1.2490774999999999E-3</v>
      </c>
      <c r="J432" s="3">
        <v>35156</v>
      </c>
      <c r="K432" s="17">
        <v>0.98799999999999999</v>
      </c>
    </row>
    <row r="433" spans="2:11">
      <c r="B433" s="122"/>
      <c r="C433" s="16">
        <v>33508</v>
      </c>
      <c r="D433" s="19">
        <v>458.65</v>
      </c>
      <c r="E433" s="18">
        <f t="shared" si="6"/>
        <v>1.2612874999999998E-3</v>
      </c>
      <c r="J433" s="3">
        <v>35157</v>
      </c>
      <c r="K433" s="17">
        <v>0.98699999999999999</v>
      </c>
    </row>
    <row r="434" spans="2:11">
      <c r="B434" s="122"/>
      <c r="C434" s="16">
        <v>33511</v>
      </c>
      <c r="D434" s="19">
        <v>464.93</v>
      </c>
      <c r="E434" s="18">
        <f t="shared" si="6"/>
        <v>1.2785575E-3</v>
      </c>
      <c r="J434" s="3">
        <v>35158</v>
      </c>
      <c r="K434" s="17">
        <v>0.98699999999999999</v>
      </c>
    </row>
    <row r="435" spans="2:11">
      <c r="B435" s="122"/>
      <c r="C435" s="16">
        <v>33512</v>
      </c>
      <c r="D435" s="19">
        <v>530.66</v>
      </c>
      <c r="E435" s="18">
        <f t="shared" si="6"/>
        <v>1.4593149999999999E-3</v>
      </c>
      <c r="J435" s="3">
        <v>35163</v>
      </c>
      <c r="K435" s="17">
        <v>0.98699999999999999</v>
      </c>
    </row>
    <row r="436" spans="2:11">
      <c r="B436" s="122"/>
      <c r="C436" s="16">
        <v>33513</v>
      </c>
      <c r="D436" s="19">
        <v>536.99</v>
      </c>
      <c r="E436" s="18">
        <f t="shared" si="6"/>
        <v>1.4767224999999999E-3</v>
      </c>
      <c r="J436" s="3">
        <v>35164</v>
      </c>
      <c r="K436" s="17">
        <v>0.98799999999999999</v>
      </c>
    </row>
    <row r="437" spans="2:11">
      <c r="B437" s="122"/>
      <c r="C437" s="16">
        <v>33514</v>
      </c>
      <c r="D437" s="19">
        <v>540.6</v>
      </c>
      <c r="E437" s="18">
        <f t="shared" si="6"/>
        <v>1.48665E-3</v>
      </c>
      <c r="J437" s="3">
        <v>35165</v>
      </c>
      <c r="K437" s="17">
        <v>0.98899999999999999</v>
      </c>
    </row>
    <row r="438" spans="2:11">
      <c r="B438" s="122"/>
      <c r="C438" s="16">
        <v>33515</v>
      </c>
      <c r="D438" s="19">
        <v>544.17999999999995</v>
      </c>
      <c r="E438" s="18">
        <f t="shared" si="6"/>
        <v>1.4964949999999998E-3</v>
      </c>
      <c r="J438" s="3">
        <v>35166</v>
      </c>
      <c r="K438" s="17">
        <v>0.99</v>
      </c>
    </row>
    <row r="439" spans="2:11">
      <c r="B439" s="122"/>
      <c r="C439" s="16">
        <v>33518</v>
      </c>
      <c r="D439" s="19">
        <v>547.39</v>
      </c>
      <c r="E439" s="18">
        <f t="shared" si="6"/>
        <v>1.5053225000000001E-3</v>
      </c>
      <c r="J439" s="3">
        <v>35167</v>
      </c>
      <c r="K439" s="17">
        <v>0.99</v>
      </c>
    </row>
    <row r="440" spans="2:11">
      <c r="B440" s="122"/>
      <c r="C440" s="16">
        <v>33519</v>
      </c>
      <c r="D440" s="19">
        <v>553.21</v>
      </c>
      <c r="E440" s="18">
        <f t="shared" si="6"/>
        <v>1.5213275000000002E-3</v>
      </c>
      <c r="J440" s="3">
        <v>35170</v>
      </c>
      <c r="K440" s="17">
        <v>0.98899999999999999</v>
      </c>
    </row>
    <row r="441" spans="2:11">
      <c r="B441" s="122"/>
      <c r="C441" s="16">
        <v>33520</v>
      </c>
      <c r="D441" s="19">
        <v>558.25</v>
      </c>
      <c r="E441" s="18">
        <f t="shared" si="6"/>
        <v>1.5351875000000001E-3</v>
      </c>
      <c r="J441" s="3">
        <v>35171</v>
      </c>
      <c r="K441" s="17">
        <v>0.99</v>
      </c>
    </row>
    <row r="442" spans="2:11">
      <c r="B442" s="122"/>
      <c r="C442" s="16">
        <v>33521</v>
      </c>
      <c r="D442" s="19">
        <v>562.48</v>
      </c>
      <c r="E442" s="18">
        <f t="shared" si="6"/>
        <v>1.54682E-3</v>
      </c>
      <c r="J442" s="3">
        <v>35172</v>
      </c>
      <c r="K442" s="17">
        <v>0.99</v>
      </c>
    </row>
    <row r="443" spans="2:11">
      <c r="B443" s="122"/>
      <c r="C443" s="16">
        <v>33522</v>
      </c>
      <c r="D443" s="19">
        <v>566.5</v>
      </c>
      <c r="E443" s="18">
        <f t="shared" si="6"/>
        <v>1.5578749999999998E-3</v>
      </c>
      <c r="J443" s="3">
        <v>35173</v>
      </c>
      <c r="K443" s="17">
        <v>0.98899999999999999</v>
      </c>
    </row>
    <row r="444" spans="2:11">
      <c r="B444" s="122"/>
      <c r="C444" s="16">
        <v>33525</v>
      </c>
      <c r="D444" s="19">
        <v>572.27</v>
      </c>
      <c r="E444" s="18">
        <f t="shared" si="6"/>
        <v>1.5737424999999999E-3</v>
      </c>
      <c r="J444" s="3">
        <v>35174</v>
      </c>
      <c r="K444" s="17">
        <v>0.99099999999999999</v>
      </c>
    </row>
    <row r="445" spans="2:11">
      <c r="B445" s="122"/>
      <c r="C445" s="16">
        <v>33526</v>
      </c>
      <c r="D445" s="19">
        <v>577.23</v>
      </c>
      <c r="E445" s="18">
        <f t="shared" si="6"/>
        <v>1.5873825E-3</v>
      </c>
      <c r="J445" s="3">
        <v>35177</v>
      </c>
      <c r="K445" s="17">
        <v>0.99099999999999999</v>
      </c>
    </row>
    <row r="446" spans="2:11">
      <c r="B446" s="122"/>
      <c r="C446" s="16">
        <v>33527</v>
      </c>
      <c r="D446" s="19">
        <v>581.77</v>
      </c>
      <c r="E446" s="18">
        <f t="shared" si="6"/>
        <v>1.5998675E-3</v>
      </c>
      <c r="J446" s="3">
        <v>35178</v>
      </c>
      <c r="K446" s="17">
        <v>0.99099999999999999</v>
      </c>
    </row>
    <row r="447" spans="2:11">
      <c r="B447" s="122"/>
      <c r="C447" s="16">
        <v>33528</v>
      </c>
      <c r="D447" s="19">
        <v>586.32000000000005</v>
      </c>
      <c r="E447" s="18">
        <f t="shared" si="6"/>
        <v>1.6123800000000003E-3</v>
      </c>
      <c r="J447" s="3">
        <v>35179</v>
      </c>
      <c r="K447" s="17">
        <v>0.99099999999999999</v>
      </c>
    </row>
    <row r="448" spans="2:11">
      <c r="B448" s="122"/>
      <c r="C448" s="16">
        <v>33529</v>
      </c>
      <c r="D448" s="19">
        <v>590.9</v>
      </c>
      <c r="E448" s="18">
        <f t="shared" si="6"/>
        <v>1.6249750000000001E-3</v>
      </c>
      <c r="J448" s="3">
        <v>35180</v>
      </c>
      <c r="K448" s="17">
        <v>0.99099999999999999</v>
      </c>
    </row>
    <row r="449" spans="2:11">
      <c r="B449" s="122"/>
      <c r="C449" s="16">
        <v>33532</v>
      </c>
      <c r="D449" s="19">
        <v>598.21</v>
      </c>
      <c r="E449" s="18">
        <f t="shared" si="6"/>
        <v>1.6450775000000002E-3</v>
      </c>
      <c r="J449" s="3">
        <v>35181</v>
      </c>
      <c r="K449" s="17">
        <v>0.99199999999999999</v>
      </c>
    </row>
    <row r="450" spans="2:11">
      <c r="B450" s="122"/>
      <c r="C450" s="16">
        <v>33533</v>
      </c>
      <c r="D450" s="19">
        <v>604.99</v>
      </c>
      <c r="E450" s="18">
        <f t="shared" si="6"/>
        <v>1.6637225E-3</v>
      </c>
      <c r="J450" s="3">
        <v>35184</v>
      </c>
      <c r="K450" s="17">
        <v>0.99199999999999999</v>
      </c>
    </row>
    <row r="451" spans="2:11">
      <c r="B451" s="122"/>
      <c r="C451" s="16">
        <v>33534</v>
      </c>
      <c r="D451" s="19">
        <v>608.04999999999995</v>
      </c>
      <c r="E451" s="18">
        <f t="shared" si="6"/>
        <v>1.6721374999999999E-3</v>
      </c>
      <c r="J451" s="3">
        <v>35185</v>
      </c>
      <c r="K451" s="17">
        <v>0.99199999999999999</v>
      </c>
    </row>
    <row r="452" spans="2:11">
      <c r="B452" s="122"/>
      <c r="C452" s="16">
        <v>33535</v>
      </c>
      <c r="D452" s="19">
        <v>613.66999999999996</v>
      </c>
      <c r="E452" s="18">
        <f t="shared" ref="E452:E515" si="7">(D452/1000^2)*2.75</f>
        <v>1.6875924999999999E-3</v>
      </c>
      <c r="J452" s="3">
        <v>35187</v>
      </c>
      <c r="K452" s="17">
        <v>0.99199999999999999</v>
      </c>
    </row>
    <row r="453" spans="2:11">
      <c r="B453" s="122"/>
      <c r="C453" s="16">
        <v>33536</v>
      </c>
      <c r="D453" s="19">
        <v>620.39</v>
      </c>
      <c r="E453" s="18">
        <f t="shared" si="7"/>
        <v>1.7060724999999998E-3</v>
      </c>
      <c r="J453" s="3">
        <v>35219</v>
      </c>
      <c r="K453" s="17">
        <v>0.998</v>
      </c>
    </row>
    <row r="454" spans="2:11">
      <c r="B454" s="122"/>
      <c r="C454" s="16">
        <v>33539</v>
      </c>
      <c r="D454" s="19">
        <v>622.59</v>
      </c>
      <c r="E454" s="18">
        <f t="shared" si="7"/>
        <v>1.7121225000000001E-3</v>
      </c>
      <c r="J454" s="3">
        <v>35220</v>
      </c>
      <c r="K454" s="17">
        <v>0.998</v>
      </c>
    </row>
    <row r="455" spans="2:11">
      <c r="B455" s="122"/>
      <c r="C455" s="16">
        <v>33540</v>
      </c>
      <c r="D455" s="19">
        <v>628.99</v>
      </c>
      <c r="E455" s="18">
        <f t="shared" si="7"/>
        <v>1.7297225000000001E-3</v>
      </c>
      <c r="J455" s="3">
        <v>35221</v>
      </c>
      <c r="K455" s="17">
        <v>0.998</v>
      </c>
    </row>
    <row r="456" spans="2:11">
      <c r="B456" s="122"/>
      <c r="C456" s="16">
        <v>33541</v>
      </c>
      <c r="D456" s="19">
        <v>637.94000000000005</v>
      </c>
      <c r="E456" s="18">
        <f t="shared" si="7"/>
        <v>1.7543350000000001E-3</v>
      </c>
      <c r="J456" s="3">
        <v>35223</v>
      </c>
      <c r="K456" s="17">
        <v>0.998</v>
      </c>
    </row>
    <row r="457" spans="2:11">
      <c r="B457" s="122"/>
      <c r="C457" s="16">
        <v>33542</v>
      </c>
      <c r="D457" s="19">
        <v>645.02</v>
      </c>
      <c r="E457" s="18">
        <f t="shared" si="7"/>
        <v>1.7738049999999998E-3</v>
      </c>
      <c r="J457" s="3">
        <v>35226</v>
      </c>
      <c r="K457" s="17">
        <v>0.999</v>
      </c>
    </row>
    <row r="458" spans="2:11">
      <c r="B458" s="122"/>
      <c r="C458" s="16">
        <v>33543</v>
      </c>
      <c r="D458" s="19">
        <v>650.57000000000005</v>
      </c>
      <c r="E458" s="18">
        <f t="shared" si="7"/>
        <v>1.7890675000000003E-3</v>
      </c>
      <c r="J458" s="3">
        <v>35227</v>
      </c>
      <c r="K458" s="17">
        <v>0.999</v>
      </c>
    </row>
    <row r="459" spans="2:11">
      <c r="B459" s="122"/>
      <c r="C459" s="16">
        <v>33546</v>
      </c>
      <c r="D459" s="19">
        <v>661.02</v>
      </c>
      <c r="E459" s="18">
        <f t="shared" si="7"/>
        <v>1.817805E-3</v>
      </c>
      <c r="J459" s="3">
        <v>35228</v>
      </c>
      <c r="K459" s="17">
        <v>1</v>
      </c>
    </row>
    <row r="460" spans="2:11">
      <c r="B460" s="122"/>
      <c r="C460" s="16">
        <v>33547</v>
      </c>
      <c r="D460" s="19">
        <v>668.68</v>
      </c>
      <c r="E460" s="18">
        <f t="shared" si="7"/>
        <v>1.8388699999999998E-3</v>
      </c>
      <c r="J460" s="3">
        <v>35229</v>
      </c>
      <c r="K460" s="17">
        <v>1</v>
      </c>
    </row>
    <row r="461" spans="2:11">
      <c r="B461" s="122"/>
      <c r="C461" s="16">
        <v>33548</v>
      </c>
      <c r="D461" s="19">
        <v>677</v>
      </c>
      <c r="E461" s="18">
        <f t="shared" si="7"/>
        <v>1.8617499999999999E-3</v>
      </c>
      <c r="J461" s="3">
        <v>35230</v>
      </c>
      <c r="K461" s="17">
        <v>1.0009999999999999</v>
      </c>
    </row>
    <row r="462" spans="2:11">
      <c r="B462" s="122"/>
      <c r="C462" s="16">
        <v>33549</v>
      </c>
      <c r="D462" s="19">
        <v>689.35</v>
      </c>
      <c r="E462" s="18">
        <f t="shared" si="7"/>
        <v>1.8957125000000001E-3</v>
      </c>
      <c r="J462" s="3">
        <v>35233</v>
      </c>
      <c r="K462" s="17">
        <v>1.0009999999999999</v>
      </c>
    </row>
    <row r="463" spans="2:11">
      <c r="B463" s="122"/>
      <c r="C463" s="16">
        <v>33550</v>
      </c>
      <c r="D463" s="19">
        <v>695.7</v>
      </c>
      <c r="E463" s="18">
        <f t="shared" si="7"/>
        <v>1.913175E-3</v>
      </c>
      <c r="J463" s="3">
        <v>35234</v>
      </c>
      <c r="K463" s="17">
        <v>1.0009999999999999</v>
      </c>
    </row>
    <row r="464" spans="2:11">
      <c r="B464" s="122"/>
      <c r="C464" s="16">
        <v>33553</v>
      </c>
      <c r="D464" s="19">
        <v>705.21</v>
      </c>
      <c r="E464" s="18">
        <f t="shared" si="7"/>
        <v>1.9393275000000002E-3</v>
      </c>
      <c r="J464" s="3">
        <v>35235</v>
      </c>
      <c r="K464" s="17">
        <v>1.002</v>
      </c>
    </row>
    <row r="465" spans="2:11">
      <c r="B465" s="122"/>
      <c r="C465" s="16">
        <v>33554</v>
      </c>
      <c r="D465" s="19">
        <v>712.81</v>
      </c>
      <c r="E465" s="18">
        <f t="shared" si="7"/>
        <v>1.9602274999999999E-3</v>
      </c>
      <c r="J465" s="3">
        <v>35236</v>
      </c>
      <c r="K465" s="17">
        <v>1.002</v>
      </c>
    </row>
    <row r="466" spans="2:11">
      <c r="B466" s="122"/>
      <c r="C466" s="16">
        <v>33555</v>
      </c>
      <c r="D466" s="19">
        <v>720.83</v>
      </c>
      <c r="E466" s="18">
        <f t="shared" si="7"/>
        <v>1.9822824999999999E-3</v>
      </c>
      <c r="J466" s="3">
        <v>35237</v>
      </c>
      <c r="K466" s="17">
        <v>1.0029999999999999</v>
      </c>
    </row>
    <row r="467" spans="2:11">
      <c r="B467" s="122"/>
      <c r="C467" s="16">
        <v>33556</v>
      </c>
      <c r="D467" s="19">
        <v>731.57</v>
      </c>
      <c r="E467" s="18">
        <f t="shared" si="7"/>
        <v>2.0118175000000001E-3</v>
      </c>
      <c r="J467" s="3">
        <v>35240</v>
      </c>
      <c r="K467" s="17">
        <v>1.0029999999999999</v>
      </c>
    </row>
    <row r="468" spans="2:11">
      <c r="B468" s="122"/>
      <c r="C468" s="16">
        <v>33560</v>
      </c>
      <c r="D468" s="19">
        <v>742.14</v>
      </c>
      <c r="E468" s="18">
        <f t="shared" si="7"/>
        <v>2.0408850000000001E-3</v>
      </c>
      <c r="J468" s="3">
        <v>35241</v>
      </c>
      <c r="K468" s="17">
        <v>1.002</v>
      </c>
    </row>
    <row r="469" spans="2:11">
      <c r="B469" s="122"/>
      <c r="C469" s="16">
        <v>33561</v>
      </c>
      <c r="D469" s="19">
        <v>751.63</v>
      </c>
      <c r="E469" s="18">
        <f t="shared" si="7"/>
        <v>2.0669824999999999E-3</v>
      </c>
      <c r="J469" s="3">
        <v>35242</v>
      </c>
      <c r="K469" s="17">
        <v>1.0029999999999999</v>
      </c>
    </row>
    <row r="470" spans="2:11">
      <c r="B470" s="122"/>
      <c r="C470" s="16">
        <v>33562</v>
      </c>
      <c r="D470" s="19">
        <v>762.21</v>
      </c>
      <c r="E470" s="18">
        <f t="shared" si="7"/>
        <v>2.0960775000000002E-3</v>
      </c>
      <c r="J470" s="3">
        <v>35243</v>
      </c>
      <c r="K470" s="17">
        <v>1.0029999999999999</v>
      </c>
    </row>
    <row r="471" spans="2:11">
      <c r="B471" s="122"/>
      <c r="C471" s="16">
        <v>33563</v>
      </c>
      <c r="D471" s="19">
        <v>773.62</v>
      </c>
      <c r="E471" s="18">
        <f t="shared" si="7"/>
        <v>2.1274550000000003E-3</v>
      </c>
      <c r="J471" s="3">
        <v>35244</v>
      </c>
      <c r="K471" s="17">
        <v>1.004</v>
      </c>
    </row>
    <row r="472" spans="2:11">
      <c r="B472" s="122"/>
      <c r="C472" s="16">
        <v>33564</v>
      </c>
      <c r="D472" s="19">
        <v>783.67</v>
      </c>
      <c r="E472" s="18">
        <f t="shared" si="7"/>
        <v>2.1550925000000001E-3</v>
      </c>
      <c r="J472" s="3">
        <v>35247</v>
      </c>
      <c r="K472" s="17">
        <v>1.004</v>
      </c>
    </row>
    <row r="473" spans="2:11">
      <c r="B473" s="122"/>
      <c r="C473" s="16">
        <v>33567</v>
      </c>
      <c r="D473" s="19">
        <v>794.75</v>
      </c>
      <c r="E473" s="18">
        <f t="shared" si="7"/>
        <v>2.1855625E-3</v>
      </c>
      <c r="J473" s="3">
        <v>35248</v>
      </c>
      <c r="K473" s="17">
        <v>1.0049999999999999</v>
      </c>
    </row>
    <row r="474" spans="2:11">
      <c r="B474" s="122"/>
      <c r="C474" s="16">
        <v>33568</v>
      </c>
      <c r="D474" s="19">
        <v>805</v>
      </c>
      <c r="E474" s="18">
        <f t="shared" si="7"/>
        <v>2.21375E-3</v>
      </c>
      <c r="J474" s="3">
        <v>35249</v>
      </c>
      <c r="K474" s="17">
        <v>1.0049999999999999</v>
      </c>
    </row>
    <row r="475" spans="2:11">
      <c r="B475" s="122"/>
      <c r="C475" s="16">
        <v>33569</v>
      </c>
      <c r="D475" s="19">
        <v>816.05</v>
      </c>
      <c r="E475" s="18">
        <f t="shared" si="7"/>
        <v>2.2441375E-3</v>
      </c>
      <c r="J475" s="3">
        <v>35250</v>
      </c>
      <c r="K475" s="17">
        <v>1.004</v>
      </c>
    </row>
    <row r="476" spans="2:11">
      <c r="B476" s="122"/>
      <c r="C476" s="16">
        <v>33570</v>
      </c>
      <c r="D476" s="19">
        <v>825.13</v>
      </c>
      <c r="E476" s="18">
        <f t="shared" si="7"/>
        <v>2.2691075E-3</v>
      </c>
      <c r="J476" s="3">
        <v>35251</v>
      </c>
      <c r="K476" s="17">
        <v>1.004</v>
      </c>
    </row>
    <row r="477" spans="2:11">
      <c r="B477" s="122"/>
      <c r="C477" s="16">
        <v>33571</v>
      </c>
      <c r="D477" s="19">
        <v>840.4</v>
      </c>
      <c r="E477" s="18">
        <f t="shared" si="7"/>
        <v>2.3111E-3</v>
      </c>
      <c r="J477" s="3">
        <v>35254</v>
      </c>
      <c r="K477" s="17">
        <v>1.004</v>
      </c>
    </row>
    <row r="478" spans="2:11">
      <c r="B478" s="122"/>
      <c r="C478" s="16">
        <v>33574</v>
      </c>
      <c r="D478" s="19">
        <v>850.6</v>
      </c>
      <c r="E478" s="18">
        <f t="shared" si="7"/>
        <v>2.3391500000000003E-3</v>
      </c>
      <c r="J478" s="3">
        <v>35255</v>
      </c>
      <c r="K478" s="17">
        <v>1.0049999999999999</v>
      </c>
    </row>
    <row r="479" spans="2:11">
      <c r="B479" s="122"/>
      <c r="C479" s="16">
        <v>33575</v>
      </c>
      <c r="D479" s="19">
        <v>861.2</v>
      </c>
      <c r="E479" s="18">
        <f t="shared" si="7"/>
        <v>2.3682999999999998E-3</v>
      </c>
      <c r="J479" s="3">
        <v>35256</v>
      </c>
      <c r="K479" s="17">
        <v>1.0049999999999999</v>
      </c>
    </row>
    <row r="480" spans="2:11">
      <c r="B480" s="122"/>
      <c r="C480" s="16">
        <v>33576</v>
      </c>
      <c r="D480" s="19">
        <v>871.75</v>
      </c>
      <c r="E480" s="18">
        <f t="shared" si="7"/>
        <v>2.3973125000000001E-3</v>
      </c>
      <c r="J480" s="3">
        <v>35257</v>
      </c>
      <c r="K480" s="17">
        <v>1.0049999999999999</v>
      </c>
    </row>
    <row r="481" spans="2:11">
      <c r="B481" s="122"/>
      <c r="C481" s="16">
        <v>33577</v>
      </c>
      <c r="D481" s="19">
        <v>882.5</v>
      </c>
      <c r="E481" s="18">
        <f t="shared" si="7"/>
        <v>2.4268750000000002E-3</v>
      </c>
      <c r="J481" s="3">
        <v>35258</v>
      </c>
      <c r="K481" s="17">
        <v>1.0049999999999999</v>
      </c>
    </row>
    <row r="482" spans="2:11">
      <c r="B482" s="122"/>
      <c r="C482" s="16">
        <v>33578</v>
      </c>
      <c r="D482" s="19">
        <v>893.15</v>
      </c>
      <c r="E482" s="18">
        <f t="shared" si="7"/>
        <v>2.4561625000000002E-3</v>
      </c>
      <c r="J482" s="3">
        <v>35261</v>
      </c>
      <c r="K482" s="17">
        <v>1.006</v>
      </c>
    </row>
    <row r="483" spans="2:11">
      <c r="B483" s="122"/>
      <c r="C483" s="16">
        <v>33581</v>
      </c>
      <c r="D483" s="19">
        <v>903.6</v>
      </c>
      <c r="E483" s="18">
        <f t="shared" si="7"/>
        <v>2.4849E-3</v>
      </c>
      <c r="J483" s="3">
        <v>35262</v>
      </c>
      <c r="K483" s="17">
        <v>1.006</v>
      </c>
    </row>
    <row r="484" spans="2:11">
      <c r="B484" s="122"/>
      <c r="C484" s="16">
        <v>33582</v>
      </c>
      <c r="D484" s="19">
        <v>913.9</v>
      </c>
      <c r="E484" s="18">
        <f t="shared" si="7"/>
        <v>2.513225E-3</v>
      </c>
      <c r="J484" s="3">
        <v>35263</v>
      </c>
      <c r="K484" s="17">
        <v>1.006</v>
      </c>
    </row>
    <row r="485" spans="2:11">
      <c r="B485" s="122"/>
      <c r="C485" s="16">
        <v>33583</v>
      </c>
      <c r="D485" s="19">
        <v>924.7</v>
      </c>
      <c r="E485" s="18">
        <f t="shared" si="7"/>
        <v>2.5429250000000001E-3</v>
      </c>
      <c r="J485" s="3">
        <v>35264</v>
      </c>
      <c r="K485" s="17">
        <v>1.0069999999999999</v>
      </c>
    </row>
    <row r="486" spans="2:11">
      <c r="B486" s="122"/>
      <c r="C486" s="16">
        <v>33584</v>
      </c>
      <c r="D486" s="19">
        <v>935.25</v>
      </c>
      <c r="E486" s="18">
        <f t="shared" si="7"/>
        <v>2.5719375E-3</v>
      </c>
      <c r="J486" s="3">
        <v>35265</v>
      </c>
      <c r="K486" s="17">
        <v>1.0069999999999999</v>
      </c>
    </row>
    <row r="487" spans="2:11">
      <c r="B487" s="122"/>
      <c r="C487" s="16">
        <v>33585</v>
      </c>
      <c r="D487" s="19">
        <v>945.85</v>
      </c>
      <c r="E487" s="18">
        <f t="shared" si="7"/>
        <v>2.6010874999999999E-3</v>
      </c>
      <c r="J487" s="3">
        <v>35268</v>
      </c>
      <c r="K487" s="17">
        <v>1.0069999999999999</v>
      </c>
    </row>
    <row r="488" spans="2:11">
      <c r="B488" s="122"/>
      <c r="C488" s="16">
        <v>33588</v>
      </c>
      <c r="D488" s="19">
        <v>956.45</v>
      </c>
      <c r="E488" s="18">
        <f t="shared" si="7"/>
        <v>2.6302375000000003E-3</v>
      </c>
      <c r="J488" s="3">
        <v>35269</v>
      </c>
      <c r="K488" s="17">
        <v>1.0069999999999999</v>
      </c>
    </row>
    <row r="489" spans="2:11">
      <c r="B489" s="122"/>
      <c r="C489" s="16">
        <v>33589</v>
      </c>
      <c r="D489" s="19">
        <v>967.55</v>
      </c>
      <c r="E489" s="18">
        <f t="shared" si="7"/>
        <v>2.6607624999999998E-3</v>
      </c>
      <c r="J489" s="3">
        <v>35270</v>
      </c>
      <c r="K489" s="17">
        <v>1.008</v>
      </c>
    </row>
    <row r="490" spans="2:11">
      <c r="B490" s="122"/>
      <c r="C490" s="16">
        <v>33590</v>
      </c>
      <c r="D490" s="19">
        <v>978.45</v>
      </c>
      <c r="E490" s="18">
        <f t="shared" si="7"/>
        <v>2.6907375000000001E-3</v>
      </c>
      <c r="J490" s="3">
        <v>35271</v>
      </c>
      <c r="K490" s="17">
        <v>1.008</v>
      </c>
    </row>
    <row r="491" spans="2:11">
      <c r="B491" s="122"/>
      <c r="C491" s="16">
        <v>33591</v>
      </c>
      <c r="D491" s="19">
        <v>989.45</v>
      </c>
      <c r="E491" s="18">
        <f t="shared" si="7"/>
        <v>2.7209875E-3</v>
      </c>
      <c r="J491" s="3">
        <v>35272</v>
      </c>
      <c r="K491" s="17">
        <v>1.0089999999999999</v>
      </c>
    </row>
    <row r="492" spans="2:11">
      <c r="B492" s="122"/>
      <c r="C492" s="16">
        <v>33592</v>
      </c>
      <c r="D492" s="19">
        <v>1000.45</v>
      </c>
      <c r="E492" s="18">
        <f t="shared" si="7"/>
        <v>2.7512374999999999E-3</v>
      </c>
      <c r="J492" s="3">
        <v>35275</v>
      </c>
      <c r="K492" s="17">
        <v>1.0089999999999999</v>
      </c>
    </row>
    <row r="493" spans="2:11">
      <c r="B493" s="122"/>
      <c r="C493" s="16">
        <v>33595</v>
      </c>
      <c r="D493" s="19">
        <v>1011.6</v>
      </c>
      <c r="E493" s="18">
        <f t="shared" si="7"/>
        <v>2.7819000000000003E-3</v>
      </c>
      <c r="J493" s="3">
        <v>35276</v>
      </c>
      <c r="K493" s="17">
        <v>1.01</v>
      </c>
    </row>
    <row r="494" spans="2:11">
      <c r="B494" s="122"/>
      <c r="C494" s="16">
        <v>33596</v>
      </c>
      <c r="D494" s="19">
        <v>1023.9</v>
      </c>
      <c r="E494" s="18">
        <f t="shared" si="7"/>
        <v>2.8157249999999998E-3</v>
      </c>
      <c r="J494" s="3">
        <v>35277</v>
      </c>
      <c r="K494" s="17">
        <v>1.0109999999999999</v>
      </c>
    </row>
    <row r="495" spans="2:11">
      <c r="B495" s="122"/>
      <c r="C495" s="16">
        <v>33598</v>
      </c>
      <c r="D495" s="19">
        <v>1033.9000000000001</v>
      </c>
      <c r="E495" s="18">
        <f t="shared" si="7"/>
        <v>2.8432250000000004E-3</v>
      </c>
      <c r="J495" s="3">
        <v>35278</v>
      </c>
      <c r="K495" s="17">
        <v>1.01</v>
      </c>
    </row>
    <row r="496" spans="2:11">
      <c r="B496" s="122"/>
      <c r="C496" s="16">
        <v>33599</v>
      </c>
      <c r="D496" s="19">
        <v>1045.0999999999999</v>
      </c>
      <c r="E496" s="18">
        <f t="shared" si="7"/>
        <v>2.8740250000000001E-3</v>
      </c>
      <c r="J496" s="3">
        <v>35279</v>
      </c>
      <c r="K496" s="17">
        <v>1.01</v>
      </c>
    </row>
    <row r="497" spans="2:11">
      <c r="B497" s="122"/>
      <c r="C497" s="16">
        <v>33602</v>
      </c>
      <c r="D497" s="19">
        <v>1057.2</v>
      </c>
      <c r="E497" s="18">
        <f t="shared" si="7"/>
        <v>2.9073000000000002E-3</v>
      </c>
      <c r="J497" s="3">
        <v>35282</v>
      </c>
      <c r="K497" s="17">
        <v>1.01</v>
      </c>
    </row>
    <row r="498" spans="2:11">
      <c r="B498" s="122"/>
      <c r="C498" s="16">
        <v>33603</v>
      </c>
      <c r="D498" s="19">
        <v>1068.8</v>
      </c>
      <c r="E498" s="18">
        <f t="shared" si="7"/>
        <v>2.9391999999999999E-3</v>
      </c>
      <c r="J498" s="3">
        <v>35283</v>
      </c>
      <c r="K498" s="17">
        <v>1.01</v>
      </c>
    </row>
    <row r="499" spans="2:11">
      <c r="B499" s="122"/>
      <c r="C499" s="16">
        <v>33605</v>
      </c>
      <c r="D499" s="19">
        <v>1079.4000000000001</v>
      </c>
      <c r="E499" s="18">
        <f t="shared" si="7"/>
        <v>2.9683500000000002E-3</v>
      </c>
      <c r="J499" s="3">
        <v>35284</v>
      </c>
      <c r="K499" s="17">
        <v>1.0109999999999999</v>
      </c>
    </row>
    <row r="500" spans="2:11">
      <c r="B500" s="122"/>
      <c r="C500" s="16">
        <v>33606</v>
      </c>
      <c r="D500" s="19">
        <v>1090.0999999999999</v>
      </c>
      <c r="E500" s="18">
        <f t="shared" si="7"/>
        <v>2.9977749999999998E-3</v>
      </c>
      <c r="J500" s="3">
        <v>35285</v>
      </c>
      <c r="K500" s="17">
        <v>1.0109999999999999</v>
      </c>
    </row>
    <row r="501" spans="2:11">
      <c r="B501" s="122"/>
      <c r="C501" s="16">
        <v>33609</v>
      </c>
      <c r="D501" s="19">
        <v>1100.9000000000001</v>
      </c>
      <c r="E501" s="18">
        <f t="shared" si="7"/>
        <v>3.0274750000000004E-3</v>
      </c>
      <c r="J501" s="3">
        <v>35286</v>
      </c>
      <c r="K501" s="17">
        <v>1.0109999999999999</v>
      </c>
    </row>
    <row r="502" spans="2:11">
      <c r="B502" s="122"/>
      <c r="C502" s="16">
        <v>33610</v>
      </c>
      <c r="D502" s="19">
        <v>1111.55</v>
      </c>
      <c r="E502" s="18">
        <f t="shared" si="7"/>
        <v>3.0567624999999999E-3</v>
      </c>
      <c r="J502" s="3">
        <v>35289</v>
      </c>
      <c r="K502" s="17">
        <v>1.012</v>
      </c>
    </row>
    <row r="503" spans="2:11">
      <c r="B503" s="122"/>
      <c r="C503" s="16">
        <v>33611</v>
      </c>
      <c r="D503" s="19">
        <v>1122.2</v>
      </c>
      <c r="E503" s="18">
        <f t="shared" si="7"/>
        <v>3.0860500000000003E-3</v>
      </c>
      <c r="J503" s="3">
        <v>35290</v>
      </c>
      <c r="K503" s="17">
        <v>1.012</v>
      </c>
    </row>
    <row r="504" spans="2:11">
      <c r="B504" s="122"/>
      <c r="C504" s="16">
        <v>33612</v>
      </c>
      <c r="D504" s="19">
        <v>1133</v>
      </c>
      <c r="E504" s="18">
        <f t="shared" si="7"/>
        <v>3.1157499999999996E-3</v>
      </c>
      <c r="J504" s="3">
        <v>35291</v>
      </c>
      <c r="K504" s="17">
        <v>1.012</v>
      </c>
    </row>
    <row r="505" spans="2:11">
      <c r="B505" s="122"/>
      <c r="C505" s="16">
        <v>33613</v>
      </c>
      <c r="D505" s="19">
        <v>1143.8499999999999</v>
      </c>
      <c r="E505" s="18">
        <f t="shared" si="7"/>
        <v>3.1455874999999998E-3</v>
      </c>
      <c r="J505" s="3">
        <v>35292</v>
      </c>
      <c r="K505" s="17">
        <v>1.0129999999999999</v>
      </c>
    </row>
    <row r="506" spans="2:11">
      <c r="B506" s="122"/>
      <c r="C506" s="16">
        <v>33616</v>
      </c>
      <c r="D506" s="19">
        <v>1155.5999999999999</v>
      </c>
      <c r="E506" s="18">
        <f t="shared" si="7"/>
        <v>3.1778999999999996E-3</v>
      </c>
      <c r="J506" s="3">
        <v>35293</v>
      </c>
      <c r="K506" s="17">
        <v>1.0129999999999999</v>
      </c>
    </row>
    <row r="507" spans="2:11">
      <c r="B507" s="122"/>
      <c r="C507" s="16">
        <v>33617</v>
      </c>
      <c r="D507" s="19">
        <v>1167</v>
      </c>
      <c r="E507" s="18">
        <f t="shared" si="7"/>
        <v>3.2092500000000003E-3</v>
      </c>
      <c r="J507" s="3">
        <v>35296</v>
      </c>
      <c r="K507" s="17">
        <v>1.0129999999999999</v>
      </c>
    </row>
    <row r="508" spans="2:11">
      <c r="B508" s="122"/>
      <c r="C508" s="16">
        <v>33618</v>
      </c>
      <c r="D508" s="19">
        <v>1179.05</v>
      </c>
      <c r="E508" s="18">
        <f t="shared" si="7"/>
        <v>3.2423874999999995E-3</v>
      </c>
      <c r="J508" s="3">
        <v>35297</v>
      </c>
      <c r="K508" s="17">
        <v>1.014</v>
      </c>
    </row>
    <row r="509" spans="2:11">
      <c r="B509" s="122"/>
      <c r="C509" s="16">
        <v>33619</v>
      </c>
      <c r="D509" s="19">
        <v>1202.2</v>
      </c>
      <c r="E509" s="18">
        <f t="shared" si="7"/>
        <v>3.30605E-3</v>
      </c>
      <c r="J509" s="3">
        <v>35298</v>
      </c>
      <c r="K509" s="17">
        <v>1.014</v>
      </c>
    </row>
    <row r="510" spans="2:11">
      <c r="B510" s="122"/>
      <c r="C510" s="16">
        <v>33620</v>
      </c>
      <c r="D510" s="19">
        <v>1201.6500000000001</v>
      </c>
      <c r="E510" s="18">
        <f t="shared" si="7"/>
        <v>3.3045375000000004E-3</v>
      </c>
      <c r="J510" s="3">
        <v>35299</v>
      </c>
      <c r="K510" s="17">
        <v>1.014</v>
      </c>
    </row>
    <row r="511" spans="2:11">
      <c r="B511" s="122"/>
      <c r="C511" s="16">
        <v>33623</v>
      </c>
      <c r="D511" s="19">
        <v>1213.0999999999999</v>
      </c>
      <c r="E511" s="18">
        <f t="shared" si="7"/>
        <v>3.3360249999999998E-3</v>
      </c>
      <c r="J511" s="3">
        <v>35300</v>
      </c>
      <c r="K511" s="17">
        <v>1.0149999999999999</v>
      </c>
    </row>
    <row r="512" spans="2:11">
      <c r="B512" s="122"/>
      <c r="C512" s="16">
        <v>33624</v>
      </c>
      <c r="D512" s="19">
        <v>1224.4000000000001</v>
      </c>
      <c r="E512" s="18">
        <f t="shared" si="7"/>
        <v>3.3671E-3</v>
      </c>
      <c r="J512" s="3">
        <v>35303</v>
      </c>
      <c r="K512" s="17">
        <v>1.0149999999999999</v>
      </c>
    </row>
    <row r="513" spans="2:11">
      <c r="B513" s="122"/>
      <c r="C513" s="16">
        <v>33625</v>
      </c>
      <c r="D513" s="19">
        <v>1235.9000000000001</v>
      </c>
      <c r="E513" s="18">
        <f t="shared" si="7"/>
        <v>3.398725E-3</v>
      </c>
      <c r="J513" s="3">
        <v>35304</v>
      </c>
      <c r="K513" s="17">
        <v>1.0149999999999999</v>
      </c>
    </row>
    <row r="514" spans="2:11">
      <c r="B514" s="122"/>
      <c r="C514" s="16">
        <v>33626</v>
      </c>
      <c r="D514" s="19">
        <v>1247.55</v>
      </c>
      <c r="E514" s="18">
        <f t="shared" si="7"/>
        <v>3.4307625000000001E-3</v>
      </c>
      <c r="J514" s="3">
        <v>35305</v>
      </c>
      <c r="K514" s="17">
        <v>1.016</v>
      </c>
    </row>
    <row r="515" spans="2:11">
      <c r="B515" s="122"/>
      <c r="C515" s="16">
        <v>33627</v>
      </c>
      <c r="D515" s="19">
        <v>1259.2</v>
      </c>
      <c r="E515" s="18">
        <f t="shared" si="7"/>
        <v>3.4628000000000003E-3</v>
      </c>
      <c r="J515" s="3">
        <v>35306</v>
      </c>
      <c r="K515" s="17">
        <v>1.016</v>
      </c>
    </row>
    <row r="516" spans="2:11">
      <c r="B516" s="122"/>
      <c r="C516" s="16">
        <v>33630</v>
      </c>
      <c r="D516" s="19">
        <v>1270.9000000000001</v>
      </c>
      <c r="E516" s="18">
        <f t="shared" ref="E516:E579" si="8">(D516/1000^2)*2.75</f>
        <v>3.4949750000000004E-3</v>
      </c>
      <c r="J516" s="3">
        <v>35307</v>
      </c>
      <c r="K516" s="17">
        <v>1.016</v>
      </c>
    </row>
    <row r="517" spans="2:11">
      <c r="B517" s="122"/>
      <c r="C517" s="16">
        <v>33631</v>
      </c>
      <c r="D517" s="19">
        <v>1282.5999999999999</v>
      </c>
      <c r="E517" s="18">
        <f t="shared" si="8"/>
        <v>3.5271499999999997E-3</v>
      </c>
      <c r="J517" s="3">
        <v>35310</v>
      </c>
      <c r="K517" s="17">
        <v>1.016</v>
      </c>
    </row>
    <row r="518" spans="2:11">
      <c r="B518" s="122"/>
      <c r="C518" s="16">
        <v>33632</v>
      </c>
      <c r="D518" s="19">
        <v>1295.3499999999999</v>
      </c>
      <c r="E518" s="18">
        <f t="shared" si="8"/>
        <v>3.5622125000000001E-3</v>
      </c>
      <c r="J518" s="3">
        <v>35311</v>
      </c>
      <c r="K518" s="17">
        <v>1.016</v>
      </c>
    </row>
    <row r="519" spans="2:11">
      <c r="B519" s="122"/>
      <c r="C519" s="16">
        <v>33633</v>
      </c>
      <c r="D519" s="19">
        <v>1307.3499999999999</v>
      </c>
      <c r="E519" s="18">
        <f t="shared" si="8"/>
        <v>3.5952124999999997E-3</v>
      </c>
      <c r="J519" s="3">
        <v>35312</v>
      </c>
      <c r="K519" s="17">
        <v>1.0169999999999999</v>
      </c>
    </row>
    <row r="520" spans="2:11">
      <c r="B520" s="122"/>
      <c r="C520" s="16">
        <v>33634</v>
      </c>
      <c r="D520" s="19">
        <v>1319.45</v>
      </c>
      <c r="E520" s="18">
        <f t="shared" si="8"/>
        <v>3.6284874999999999E-3</v>
      </c>
      <c r="J520" s="3">
        <v>35313</v>
      </c>
      <c r="K520" s="17">
        <v>1.0169999999999999</v>
      </c>
    </row>
    <row r="521" spans="2:11">
      <c r="B521" s="122"/>
      <c r="C521" s="16">
        <v>33637</v>
      </c>
      <c r="D521" s="19">
        <v>1333.25</v>
      </c>
      <c r="E521" s="18">
        <f t="shared" si="8"/>
        <v>3.6664375E-3</v>
      </c>
      <c r="J521" s="3">
        <v>35314</v>
      </c>
      <c r="K521" s="17">
        <v>1.0169999999999999</v>
      </c>
    </row>
    <row r="522" spans="2:11">
      <c r="B522" s="122"/>
      <c r="C522" s="16">
        <v>33638</v>
      </c>
      <c r="D522" s="19">
        <v>1346.9</v>
      </c>
      <c r="E522" s="18">
        <f t="shared" si="8"/>
        <v>3.703975E-3</v>
      </c>
      <c r="J522" s="3">
        <v>35317</v>
      </c>
      <c r="K522" s="17">
        <v>1.0189999999999999</v>
      </c>
    </row>
    <row r="523" spans="2:11">
      <c r="B523" s="122"/>
      <c r="C523" s="16">
        <v>33639</v>
      </c>
      <c r="D523" s="19">
        <v>1360.8</v>
      </c>
      <c r="E523" s="18">
        <f t="shared" si="8"/>
        <v>3.7421999999999998E-3</v>
      </c>
      <c r="J523" s="3">
        <v>35318</v>
      </c>
      <c r="K523" s="17">
        <v>1.02</v>
      </c>
    </row>
    <row r="524" spans="2:11">
      <c r="B524" s="122"/>
      <c r="C524" s="16">
        <v>33640</v>
      </c>
      <c r="D524" s="19">
        <v>1376</v>
      </c>
      <c r="E524" s="18">
        <f t="shared" si="8"/>
        <v>3.784E-3</v>
      </c>
      <c r="J524" s="3">
        <v>35319</v>
      </c>
      <c r="K524" s="17">
        <v>1.018</v>
      </c>
    </row>
    <row r="525" spans="2:11">
      <c r="B525" s="122"/>
      <c r="C525" s="16">
        <v>33641</v>
      </c>
      <c r="D525" s="19">
        <v>1390.95</v>
      </c>
      <c r="E525" s="18">
        <f t="shared" si="8"/>
        <v>3.8251125E-3</v>
      </c>
      <c r="J525" s="3">
        <v>35320</v>
      </c>
      <c r="K525" s="17">
        <v>1.0189999999999999</v>
      </c>
    </row>
    <row r="526" spans="2:11">
      <c r="B526" s="122"/>
      <c r="C526" s="16">
        <v>33644</v>
      </c>
      <c r="D526" s="19">
        <v>1405.7</v>
      </c>
      <c r="E526" s="18">
        <f t="shared" si="8"/>
        <v>3.8656749999999998E-3</v>
      </c>
      <c r="J526" s="3">
        <v>35321</v>
      </c>
      <c r="K526" s="17">
        <v>1.02</v>
      </c>
    </row>
    <row r="527" spans="2:11">
      <c r="B527" s="122"/>
      <c r="C527" s="16">
        <v>33645</v>
      </c>
      <c r="D527" s="19">
        <v>1420.6</v>
      </c>
      <c r="E527" s="18">
        <f t="shared" si="8"/>
        <v>3.9066500000000002E-3</v>
      </c>
      <c r="J527" s="3">
        <v>35324</v>
      </c>
      <c r="K527" s="17">
        <v>1.0189999999999999</v>
      </c>
    </row>
    <row r="528" spans="2:11">
      <c r="B528" s="122"/>
      <c r="C528" s="16">
        <v>33646</v>
      </c>
      <c r="D528" s="19">
        <v>1435.7</v>
      </c>
      <c r="E528" s="18">
        <f t="shared" si="8"/>
        <v>3.9481749999999999E-3</v>
      </c>
      <c r="J528" s="3">
        <v>35325</v>
      </c>
      <c r="K528" s="17">
        <v>1.0189999999999999</v>
      </c>
    </row>
    <row r="529" spans="2:11">
      <c r="B529" s="122"/>
      <c r="C529" s="16">
        <v>33647</v>
      </c>
      <c r="D529" s="19">
        <v>1467.45</v>
      </c>
      <c r="E529" s="18">
        <f t="shared" si="8"/>
        <v>4.0354875000000005E-3</v>
      </c>
      <c r="J529" s="3">
        <v>35326</v>
      </c>
      <c r="K529" s="17">
        <v>1.0189999999999999</v>
      </c>
    </row>
    <row r="530" spans="2:11">
      <c r="B530" s="122"/>
      <c r="C530" s="16">
        <v>33648</v>
      </c>
      <c r="D530" s="19">
        <v>1467.45</v>
      </c>
      <c r="E530" s="18">
        <f t="shared" si="8"/>
        <v>4.0354875000000005E-3</v>
      </c>
      <c r="J530" s="3">
        <v>35327</v>
      </c>
      <c r="K530" s="17">
        <v>1.0189999999999999</v>
      </c>
    </row>
    <row r="531" spans="2:11">
      <c r="B531" s="122"/>
      <c r="C531" s="16">
        <v>33651</v>
      </c>
      <c r="D531" s="19">
        <v>1483.45</v>
      </c>
      <c r="E531" s="18">
        <f t="shared" si="8"/>
        <v>4.0794875000000003E-3</v>
      </c>
      <c r="J531" s="3">
        <v>35328</v>
      </c>
      <c r="K531" s="17">
        <v>1.0189999999999999</v>
      </c>
    </row>
    <row r="532" spans="2:11">
      <c r="B532" s="122"/>
      <c r="C532" s="16">
        <v>33652</v>
      </c>
      <c r="D532" s="19">
        <v>1499.7</v>
      </c>
      <c r="E532" s="18">
        <f t="shared" si="8"/>
        <v>4.1241749999999999E-3</v>
      </c>
      <c r="J532" s="3">
        <v>35331</v>
      </c>
      <c r="K532" s="17">
        <v>1.02</v>
      </c>
    </row>
    <row r="533" spans="2:11">
      <c r="B533" s="122"/>
      <c r="C533" s="16">
        <v>33653</v>
      </c>
      <c r="D533" s="19">
        <v>1516.5</v>
      </c>
      <c r="E533" s="18">
        <f t="shared" si="8"/>
        <v>4.1703750000000005E-3</v>
      </c>
      <c r="J533" s="3">
        <v>35332</v>
      </c>
      <c r="K533" s="17">
        <v>1.02</v>
      </c>
    </row>
    <row r="534" spans="2:11">
      <c r="B534" s="122"/>
      <c r="C534" s="16">
        <v>33654</v>
      </c>
      <c r="D534" s="19">
        <v>1532.75</v>
      </c>
      <c r="E534" s="18">
        <f t="shared" si="8"/>
        <v>4.2150625000000001E-3</v>
      </c>
      <c r="J534" s="3">
        <v>35333</v>
      </c>
      <c r="K534" s="17">
        <v>1.02</v>
      </c>
    </row>
    <row r="535" spans="2:11">
      <c r="B535" s="122"/>
      <c r="C535" s="16">
        <v>33655</v>
      </c>
      <c r="D535" s="19">
        <v>1548.4</v>
      </c>
      <c r="E535" s="18">
        <f t="shared" si="8"/>
        <v>4.2581000000000008E-3</v>
      </c>
      <c r="J535" s="3">
        <v>35334</v>
      </c>
      <c r="K535" s="17">
        <v>1.02</v>
      </c>
    </row>
    <row r="536" spans="2:11">
      <c r="B536" s="122"/>
      <c r="C536" s="16">
        <v>33658</v>
      </c>
      <c r="D536" s="19">
        <v>1564.35</v>
      </c>
      <c r="E536" s="18">
        <f t="shared" si="8"/>
        <v>4.3019625000000001E-3</v>
      </c>
      <c r="J536" s="3">
        <v>35335</v>
      </c>
      <c r="K536" s="17">
        <v>1.0209999999999999</v>
      </c>
    </row>
    <row r="537" spans="2:11">
      <c r="B537" s="122"/>
      <c r="C537" s="16">
        <v>33659</v>
      </c>
      <c r="D537" s="19">
        <v>1580.8</v>
      </c>
      <c r="E537" s="18">
        <f t="shared" si="8"/>
        <v>4.3471999999999998E-3</v>
      </c>
      <c r="J537" s="3">
        <v>35338</v>
      </c>
      <c r="K537" s="17">
        <v>1.0209999999999999</v>
      </c>
    </row>
    <row r="538" spans="2:11">
      <c r="B538" s="122"/>
      <c r="C538" s="16">
        <v>33660</v>
      </c>
      <c r="D538" s="19">
        <v>1597.4</v>
      </c>
      <c r="E538" s="18">
        <f t="shared" si="8"/>
        <v>4.3928500000000002E-3</v>
      </c>
      <c r="J538" s="3">
        <v>35339</v>
      </c>
      <c r="K538" s="17">
        <v>1.0209999999999999</v>
      </c>
    </row>
    <row r="539" spans="2:11">
      <c r="B539" s="122"/>
      <c r="C539" s="16">
        <v>33661</v>
      </c>
      <c r="D539" s="19">
        <v>1614.1</v>
      </c>
      <c r="E539" s="18">
        <f t="shared" si="8"/>
        <v>4.4387749999999998E-3</v>
      </c>
      <c r="J539" s="3">
        <v>35340</v>
      </c>
      <c r="K539" s="17">
        <v>1.0209999999999999</v>
      </c>
    </row>
    <row r="540" spans="2:11">
      <c r="B540" s="122"/>
      <c r="C540" s="16">
        <v>33662</v>
      </c>
      <c r="D540" s="19">
        <v>1630.85</v>
      </c>
      <c r="E540" s="18">
        <f t="shared" si="8"/>
        <v>4.4848374999999999E-3</v>
      </c>
      <c r="J540" s="3">
        <v>35342</v>
      </c>
      <c r="K540" s="17">
        <v>1.022</v>
      </c>
    </row>
    <row r="541" spans="2:11">
      <c r="B541" s="122"/>
      <c r="C541" s="16">
        <v>33667</v>
      </c>
      <c r="D541" s="19">
        <v>1647.55</v>
      </c>
      <c r="E541" s="18">
        <f t="shared" si="8"/>
        <v>4.5307625000000004E-3</v>
      </c>
      <c r="J541" s="3">
        <v>35345</v>
      </c>
      <c r="K541" s="17">
        <v>1.022</v>
      </c>
    </row>
    <row r="542" spans="2:11">
      <c r="B542" s="122"/>
      <c r="C542" s="16">
        <v>33668</v>
      </c>
      <c r="D542" s="19">
        <v>1664.35</v>
      </c>
      <c r="E542" s="18">
        <f t="shared" si="8"/>
        <v>4.5769625000000001E-3</v>
      </c>
      <c r="J542" s="3">
        <v>35346</v>
      </c>
      <c r="K542" s="17">
        <v>1.022</v>
      </c>
    </row>
    <row r="543" spans="2:11">
      <c r="B543" s="122"/>
      <c r="C543" s="16">
        <v>33669</v>
      </c>
      <c r="D543" s="19">
        <v>1681.15</v>
      </c>
      <c r="E543" s="18">
        <f t="shared" si="8"/>
        <v>4.6231625000000007E-3</v>
      </c>
      <c r="J543" s="3">
        <v>35347</v>
      </c>
      <c r="K543" s="17">
        <v>1.0229999999999999</v>
      </c>
    </row>
    <row r="544" spans="2:11">
      <c r="B544" s="122"/>
      <c r="C544" s="16">
        <v>33672</v>
      </c>
      <c r="D544" s="19">
        <v>1698.35</v>
      </c>
      <c r="E544" s="18">
        <f t="shared" si="8"/>
        <v>4.6704625E-3</v>
      </c>
      <c r="J544" s="3">
        <v>35348</v>
      </c>
      <c r="K544" s="17">
        <v>1.024</v>
      </c>
    </row>
    <row r="545" spans="2:11">
      <c r="B545" s="122"/>
      <c r="C545" s="16">
        <v>33673</v>
      </c>
      <c r="D545" s="19">
        <v>1715.55</v>
      </c>
      <c r="E545" s="18">
        <f t="shared" si="8"/>
        <v>4.7177625000000001E-3</v>
      </c>
      <c r="J545" s="3">
        <v>35349</v>
      </c>
      <c r="K545" s="17">
        <v>1.0249999999999999</v>
      </c>
    </row>
    <row r="546" spans="2:11">
      <c r="B546" s="122"/>
      <c r="C546" s="16">
        <v>33674</v>
      </c>
      <c r="D546" s="19">
        <v>1733.2</v>
      </c>
      <c r="E546" s="18">
        <f t="shared" si="8"/>
        <v>4.7663000000000002E-3</v>
      </c>
      <c r="J546" s="3">
        <v>35352</v>
      </c>
      <c r="K546" s="17">
        <v>1.024</v>
      </c>
    </row>
    <row r="547" spans="2:11">
      <c r="B547" s="122"/>
      <c r="C547" s="16">
        <v>33675</v>
      </c>
      <c r="D547" s="19">
        <v>1750.8</v>
      </c>
      <c r="E547" s="18">
        <f t="shared" si="8"/>
        <v>4.8146999999999999E-3</v>
      </c>
      <c r="J547" s="3">
        <v>35353</v>
      </c>
      <c r="K547" s="17">
        <v>1.0249999999999999</v>
      </c>
    </row>
    <row r="548" spans="2:11">
      <c r="B548" s="122"/>
      <c r="C548" s="16">
        <v>33676</v>
      </c>
      <c r="D548" s="19">
        <v>1768.4</v>
      </c>
      <c r="E548" s="18">
        <f t="shared" si="8"/>
        <v>4.8631000000000004E-3</v>
      </c>
      <c r="J548" s="3">
        <v>35354</v>
      </c>
      <c r="K548" s="17">
        <v>1.0249999999999999</v>
      </c>
    </row>
    <row r="549" spans="2:11">
      <c r="B549" s="122"/>
      <c r="C549" s="16">
        <v>33679</v>
      </c>
      <c r="D549" s="19">
        <v>1786.35</v>
      </c>
      <c r="E549" s="18">
        <f t="shared" si="8"/>
        <v>4.9124625E-3</v>
      </c>
      <c r="J549" s="3">
        <v>35355</v>
      </c>
      <c r="K549" s="17">
        <v>1.0249999999999999</v>
      </c>
    </row>
    <row r="550" spans="2:11">
      <c r="B550" s="122"/>
      <c r="C550" s="16">
        <v>33680</v>
      </c>
      <c r="D550" s="19">
        <v>1804.25</v>
      </c>
      <c r="E550" s="18">
        <f t="shared" si="8"/>
        <v>4.9616875E-3</v>
      </c>
      <c r="J550" s="3">
        <v>35356</v>
      </c>
      <c r="K550" s="17">
        <v>1.0249999999999999</v>
      </c>
    </row>
    <row r="551" spans="2:11">
      <c r="B551" s="122"/>
      <c r="C551" s="16">
        <v>33681</v>
      </c>
      <c r="D551" s="19">
        <v>1822</v>
      </c>
      <c r="E551" s="18">
        <f t="shared" si="8"/>
        <v>5.0105000000000002E-3</v>
      </c>
      <c r="J551" s="3">
        <v>35359</v>
      </c>
      <c r="K551" s="17">
        <v>1.0249999999999999</v>
      </c>
    </row>
    <row r="552" spans="2:11">
      <c r="B552" s="122"/>
      <c r="C552" s="16">
        <v>33682</v>
      </c>
      <c r="D552" s="19">
        <v>1840</v>
      </c>
      <c r="E552" s="18">
        <f t="shared" si="8"/>
        <v>5.0600000000000003E-3</v>
      </c>
      <c r="J552" s="3">
        <v>35360</v>
      </c>
      <c r="K552" s="17">
        <v>1.026</v>
      </c>
    </row>
    <row r="553" spans="2:11">
      <c r="B553" s="122"/>
      <c r="C553" s="16">
        <v>33683</v>
      </c>
      <c r="D553" s="19">
        <v>1858.02</v>
      </c>
      <c r="E553" s="18">
        <f t="shared" si="8"/>
        <v>5.109555E-3</v>
      </c>
      <c r="J553" s="3">
        <v>35361</v>
      </c>
      <c r="K553" s="17">
        <v>1.0269999999999999</v>
      </c>
    </row>
    <row r="554" spans="2:11">
      <c r="B554" s="122"/>
      <c r="C554" s="16">
        <v>33686</v>
      </c>
      <c r="D554" s="19">
        <v>1876</v>
      </c>
      <c r="E554" s="18">
        <f t="shared" si="8"/>
        <v>5.1590000000000004E-3</v>
      </c>
      <c r="J554" s="3">
        <v>35362</v>
      </c>
      <c r="K554" s="17">
        <v>1.026</v>
      </c>
    </row>
    <row r="555" spans="2:11">
      <c r="B555" s="122"/>
      <c r="C555" s="16">
        <v>33687</v>
      </c>
      <c r="D555" s="19">
        <v>1894.05</v>
      </c>
      <c r="E555" s="18">
        <f t="shared" si="8"/>
        <v>5.2086375000000001E-3</v>
      </c>
      <c r="J555" s="3">
        <v>35363</v>
      </c>
      <c r="K555" s="17">
        <v>1.0269999999999999</v>
      </c>
    </row>
    <row r="556" spans="2:11">
      <c r="B556" s="122"/>
      <c r="C556" s="16">
        <v>33688</v>
      </c>
      <c r="D556" s="19">
        <v>1912.4</v>
      </c>
      <c r="E556" s="18">
        <f t="shared" si="8"/>
        <v>5.2591000000000001E-3</v>
      </c>
      <c r="J556" s="3">
        <v>35366</v>
      </c>
      <c r="K556" s="17">
        <v>1.0269999999999999</v>
      </c>
    </row>
    <row r="557" spans="2:11">
      <c r="B557" s="122"/>
      <c r="C557" s="16">
        <v>33689</v>
      </c>
      <c r="D557" s="19">
        <v>1930.95</v>
      </c>
      <c r="E557" s="18">
        <f t="shared" si="8"/>
        <v>5.3101125000000002E-3</v>
      </c>
      <c r="J557" s="3">
        <v>35367</v>
      </c>
      <c r="K557" s="17">
        <v>1.028</v>
      </c>
    </row>
    <row r="558" spans="2:11">
      <c r="B558" s="122"/>
      <c r="C558" s="16">
        <v>33690</v>
      </c>
      <c r="D558" s="19">
        <v>1949.9</v>
      </c>
      <c r="E558" s="18">
        <f t="shared" si="8"/>
        <v>5.362225E-3</v>
      </c>
      <c r="J558" s="3">
        <v>35368</v>
      </c>
      <c r="K558" s="17">
        <v>1.0269999999999999</v>
      </c>
    </row>
    <row r="559" spans="2:11">
      <c r="B559" s="122"/>
      <c r="C559" s="16">
        <v>33693</v>
      </c>
      <c r="D559" s="19">
        <v>1969.1</v>
      </c>
      <c r="E559" s="18">
        <f t="shared" si="8"/>
        <v>5.4150250000000004E-3</v>
      </c>
      <c r="J559" s="3">
        <v>35369</v>
      </c>
      <c r="K559" s="17">
        <v>1.0269999999999999</v>
      </c>
    </row>
    <row r="560" spans="2:11">
      <c r="B560" s="122"/>
      <c r="C560" s="16">
        <v>33694</v>
      </c>
      <c r="D560" s="19">
        <v>1988</v>
      </c>
      <c r="E560" s="18">
        <f t="shared" si="8"/>
        <v>5.4670000000000005E-3</v>
      </c>
      <c r="J560" s="3">
        <v>35370</v>
      </c>
      <c r="K560" s="17">
        <v>1.028</v>
      </c>
    </row>
    <row r="561" spans="2:11">
      <c r="B561" s="122"/>
      <c r="C561" s="16">
        <v>33695</v>
      </c>
      <c r="D561" s="19">
        <v>2007.1</v>
      </c>
      <c r="E561" s="18">
        <f t="shared" si="8"/>
        <v>5.519525E-3</v>
      </c>
      <c r="J561" s="3">
        <v>35373</v>
      </c>
      <c r="K561" s="17">
        <v>1.028</v>
      </c>
    </row>
    <row r="562" spans="2:11">
      <c r="B562" s="122"/>
      <c r="C562" s="16">
        <v>33696</v>
      </c>
      <c r="D562" s="19">
        <v>2027.1</v>
      </c>
      <c r="E562" s="18">
        <f t="shared" si="8"/>
        <v>5.5745250000000003E-3</v>
      </c>
      <c r="J562" s="3">
        <v>35374</v>
      </c>
      <c r="K562" s="17">
        <v>1.028</v>
      </c>
    </row>
    <row r="563" spans="2:11">
      <c r="B563" s="122"/>
      <c r="C563" s="16">
        <v>33697</v>
      </c>
      <c r="D563" s="19">
        <v>2027.5</v>
      </c>
      <c r="E563" s="18">
        <f t="shared" si="8"/>
        <v>5.575624999999999E-3</v>
      </c>
      <c r="J563" s="3">
        <v>35375</v>
      </c>
      <c r="K563" s="17">
        <v>1.028</v>
      </c>
    </row>
    <row r="564" spans="2:11">
      <c r="B564" s="122"/>
      <c r="C564" s="16">
        <v>33700</v>
      </c>
      <c r="D564" s="19">
        <v>2068.0500000000002</v>
      </c>
      <c r="E564" s="18">
        <f t="shared" si="8"/>
        <v>5.6871374999999998E-3</v>
      </c>
      <c r="J564" s="3">
        <v>35376</v>
      </c>
      <c r="K564" s="17">
        <v>1.028</v>
      </c>
    </row>
    <row r="565" spans="2:11">
      <c r="B565" s="122"/>
      <c r="C565" s="16">
        <v>33701</v>
      </c>
      <c r="D565" s="19">
        <v>2089.15</v>
      </c>
      <c r="E565" s="18">
        <f t="shared" si="8"/>
        <v>5.7451625000000004E-3</v>
      </c>
      <c r="J565" s="3">
        <v>35377</v>
      </c>
      <c r="K565" s="17">
        <v>1.0289999999999999</v>
      </c>
    </row>
    <row r="566" spans="2:11">
      <c r="B566" s="122"/>
      <c r="C566" s="16">
        <v>33702</v>
      </c>
      <c r="D566" s="19">
        <v>2110</v>
      </c>
      <c r="E566" s="18">
        <f t="shared" si="8"/>
        <v>5.8024999999999995E-3</v>
      </c>
      <c r="J566" s="3">
        <v>35380</v>
      </c>
      <c r="K566" s="17">
        <v>1.0289999999999999</v>
      </c>
    </row>
    <row r="567" spans="2:11">
      <c r="B567" s="122"/>
      <c r="C567" s="16">
        <v>33703</v>
      </c>
      <c r="D567" s="19">
        <v>2131.1</v>
      </c>
      <c r="E567" s="18">
        <f t="shared" si="8"/>
        <v>5.8605250000000001E-3</v>
      </c>
      <c r="J567" s="3">
        <v>35381</v>
      </c>
      <c r="K567" s="17">
        <v>1.0309999999999999</v>
      </c>
    </row>
    <row r="568" spans="2:11">
      <c r="B568" s="122"/>
      <c r="C568" s="16">
        <v>33704</v>
      </c>
      <c r="D568" s="19">
        <v>2152.4499999999998</v>
      </c>
      <c r="E568" s="18">
        <f t="shared" si="8"/>
        <v>5.9192374999999997E-3</v>
      </c>
      <c r="J568" s="3">
        <v>35382</v>
      </c>
      <c r="K568" s="17">
        <v>1.03</v>
      </c>
    </row>
    <row r="569" spans="2:11">
      <c r="B569" s="122"/>
      <c r="C569" s="16">
        <v>33707</v>
      </c>
      <c r="D569" s="19">
        <v>2174.1</v>
      </c>
      <c r="E569" s="18">
        <f t="shared" si="8"/>
        <v>5.9787750000000004E-3</v>
      </c>
      <c r="J569" s="3">
        <v>35383</v>
      </c>
      <c r="K569" s="17">
        <v>1.03</v>
      </c>
    </row>
    <row r="570" spans="2:11">
      <c r="B570" s="122"/>
      <c r="C570" s="16">
        <v>33708</v>
      </c>
      <c r="D570" s="19">
        <v>2196</v>
      </c>
      <c r="E570" s="18">
        <f t="shared" si="8"/>
        <v>6.0390000000000001E-3</v>
      </c>
      <c r="J570" s="3">
        <v>35387</v>
      </c>
      <c r="K570" s="17">
        <v>1.03</v>
      </c>
    </row>
    <row r="571" spans="2:11">
      <c r="B571" s="122"/>
      <c r="C571" s="16">
        <v>33709</v>
      </c>
      <c r="D571" s="19">
        <v>2217.9499999999998</v>
      </c>
      <c r="E571" s="18">
        <f t="shared" si="8"/>
        <v>6.0993624999999994E-3</v>
      </c>
      <c r="J571" s="3">
        <v>35388</v>
      </c>
      <c r="K571" s="17">
        <v>1.03</v>
      </c>
    </row>
    <row r="572" spans="2:11">
      <c r="B572" s="122"/>
      <c r="C572" s="16">
        <v>33714</v>
      </c>
      <c r="D572" s="19">
        <v>2239.6</v>
      </c>
      <c r="E572" s="18">
        <f t="shared" si="8"/>
        <v>6.1589000000000001E-3</v>
      </c>
      <c r="J572" s="3">
        <v>35389</v>
      </c>
      <c r="K572" s="17">
        <v>1.03</v>
      </c>
    </row>
    <row r="573" spans="2:11">
      <c r="B573" s="122"/>
      <c r="C573" s="16">
        <v>33716</v>
      </c>
      <c r="D573" s="19">
        <v>2261.5</v>
      </c>
      <c r="E573" s="18">
        <f t="shared" si="8"/>
        <v>6.2191249999999998E-3</v>
      </c>
      <c r="J573" s="3">
        <v>35390</v>
      </c>
      <c r="K573" s="17">
        <v>1.0309999999999999</v>
      </c>
    </row>
    <row r="574" spans="2:11">
      <c r="B574" s="122"/>
      <c r="C574" s="16">
        <v>33717</v>
      </c>
      <c r="D574" s="19">
        <v>2283.4499999999998</v>
      </c>
      <c r="E574" s="18">
        <f t="shared" si="8"/>
        <v>6.2794874999999991E-3</v>
      </c>
      <c r="J574" s="3">
        <v>35391</v>
      </c>
      <c r="K574" s="17">
        <v>1.0309999999999999</v>
      </c>
    </row>
    <row r="575" spans="2:11">
      <c r="B575" s="122"/>
      <c r="C575" s="16">
        <v>33718</v>
      </c>
      <c r="D575" s="19">
        <v>2305.65</v>
      </c>
      <c r="E575" s="18">
        <f t="shared" si="8"/>
        <v>6.3405375000000009E-3</v>
      </c>
      <c r="J575" s="3">
        <v>35394</v>
      </c>
      <c r="K575" s="17">
        <v>1.0309999999999999</v>
      </c>
    </row>
    <row r="576" spans="2:11">
      <c r="B576" s="122"/>
      <c r="C576" s="16">
        <v>33721</v>
      </c>
      <c r="D576" s="19">
        <v>2328.0500000000002</v>
      </c>
      <c r="E576" s="18">
        <f t="shared" si="8"/>
        <v>6.4021375000000011E-3</v>
      </c>
      <c r="J576" s="3">
        <v>35395</v>
      </c>
      <c r="K576" s="17">
        <v>1.032</v>
      </c>
    </row>
    <row r="577" spans="2:11">
      <c r="B577" s="122"/>
      <c r="C577" s="16">
        <v>33722</v>
      </c>
      <c r="D577" s="19">
        <v>2350.6999999999998</v>
      </c>
      <c r="E577" s="18">
        <f t="shared" si="8"/>
        <v>6.4644249999999993E-3</v>
      </c>
      <c r="J577" s="3">
        <v>35396</v>
      </c>
      <c r="K577" s="17">
        <v>1.032</v>
      </c>
    </row>
    <row r="578" spans="2:11">
      <c r="B578" s="122"/>
      <c r="C578" s="16">
        <v>33723</v>
      </c>
      <c r="D578" s="19">
        <v>2373.35</v>
      </c>
      <c r="E578" s="18">
        <f t="shared" si="8"/>
        <v>6.5267124999999994E-3</v>
      </c>
      <c r="J578" s="3">
        <v>35397</v>
      </c>
      <c r="K578" s="17">
        <v>1.032</v>
      </c>
    </row>
    <row r="579" spans="2:11">
      <c r="B579" s="122"/>
      <c r="C579" s="16">
        <v>33724</v>
      </c>
      <c r="D579" s="19">
        <v>2396.1</v>
      </c>
      <c r="E579" s="18">
        <f t="shared" si="8"/>
        <v>6.5892750000000003E-3</v>
      </c>
      <c r="J579" s="3">
        <v>35398</v>
      </c>
      <c r="K579" s="17">
        <v>1.0329999999999999</v>
      </c>
    </row>
    <row r="580" spans="2:11">
      <c r="B580" s="122"/>
      <c r="C580" s="16">
        <v>33728</v>
      </c>
      <c r="D580" s="19">
        <v>2417</v>
      </c>
      <c r="E580" s="18">
        <f t="shared" ref="E580:E643" si="9">(D580/1000^2)*2.75</f>
        <v>6.6467499999999999E-3</v>
      </c>
      <c r="J580" s="3">
        <v>35401</v>
      </c>
      <c r="K580" s="17">
        <v>1.0329999999999999</v>
      </c>
    </row>
    <row r="581" spans="2:11">
      <c r="B581" s="122"/>
      <c r="C581" s="16">
        <v>33729</v>
      </c>
      <c r="D581" s="19">
        <v>2438.1999999999998</v>
      </c>
      <c r="E581" s="18">
        <f t="shared" si="9"/>
        <v>6.7050499999999989E-3</v>
      </c>
      <c r="J581" s="3">
        <v>35402</v>
      </c>
      <c r="K581" s="17">
        <v>1.0329999999999999</v>
      </c>
    </row>
    <row r="582" spans="2:11">
      <c r="B582" s="122"/>
      <c r="C582" s="16">
        <v>33730</v>
      </c>
      <c r="D582" s="19">
        <v>2459.35</v>
      </c>
      <c r="E582" s="18">
        <f t="shared" si="9"/>
        <v>6.7632125E-3</v>
      </c>
      <c r="J582" s="3">
        <v>35403</v>
      </c>
      <c r="K582" s="17">
        <v>1.0329999999999999</v>
      </c>
    </row>
    <row r="583" spans="2:11">
      <c r="B583" s="122"/>
      <c r="C583" s="16">
        <v>33731</v>
      </c>
      <c r="D583" s="19">
        <v>2480.9</v>
      </c>
      <c r="E583" s="18">
        <f t="shared" si="9"/>
        <v>6.8224750000000006E-3</v>
      </c>
      <c r="J583" s="3">
        <v>35404</v>
      </c>
      <c r="K583" s="17">
        <v>1.034</v>
      </c>
    </row>
    <row r="584" spans="2:11">
      <c r="B584" s="122"/>
      <c r="C584" s="16">
        <v>33732</v>
      </c>
      <c r="D584" s="19">
        <v>2502.5500000000002</v>
      </c>
      <c r="E584" s="18">
        <f t="shared" si="9"/>
        <v>6.8820125000000005E-3</v>
      </c>
      <c r="J584" s="3">
        <v>35405</v>
      </c>
      <c r="K584" s="17">
        <v>1.0349999999999999</v>
      </c>
    </row>
    <row r="585" spans="2:11">
      <c r="B585" s="122"/>
      <c r="C585" s="16">
        <v>33735</v>
      </c>
      <c r="D585" s="19">
        <v>2524.4</v>
      </c>
      <c r="E585" s="18">
        <f t="shared" si="9"/>
        <v>6.9420999999999997E-3</v>
      </c>
      <c r="J585" s="3">
        <v>35408</v>
      </c>
      <c r="K585" s="17">
        <v>1.0349999999999999</v>
      </c>
    </row>
    <row r="586" spans="2:11">
      <c r="B586" s="122"/>
      <c r="C586" s="16">
        <v>33736</v>
      </c>
      <c r="D586" s="19">
        <v>2546.4</v>
      </c>
      <c r="E586" s="18">
        <f t="shared" si="9"/>
        <v>7.0025999999999994E-3</v>
      </c>
      <c r="J586" s="3">
        <v>35409</v>
      </c>
      <c r="K586" s="17">
        <v>1.0349999999999999</v>
      </c>
    </row>
    <row r="587" spans="2:11">
      <c r="B587" s="122"/>
      <c r="C587" s="16">
        <v>33737</v>
      </c>
      <c r="D587" s="19">
        <v>2568.5500000000002</v>
      </c>
      <c r="E587" s="18">
        <f t="shared" si="9"/>
        <v>7.0635125000000007E-3</v>
      </c>
      <c r="J587" s="3">
        <v>35410</v>
      </c>
      <c r="K587" s="17">
        <v>1.036</v>
      </c>
    </row>
    <row r="588" spans="2:11">
      <c r="B588" s="122"/>
      <c r="C588" s="16">
        <v>33738</v>
      </c>
      <c r="D588" s="19">
        <v>2590.5500000000002</v>
      </c>
      <c r="E588" s="18">
        <f t="shared" si="9"/>
        <v>7.1240125000000005E-3</v>
      </c>
      <c r="J588" s="3">
        <v>35411</v>
      </c>
      <c r="K588" s="17">
        <v>1.0369999999999999</v>
      </c>
    </row>
    <row r="589" spans="2:11">
      <c r="B589" s="122"/>
      <c r="C589" s="16">
        <v>33739</v>
      </c>
      <c r="D589" s="19">
        <v>2612.8000000000002</v>
      </c>
      <c r="E589" s="18">
        <f t="shared" si="9"/>
        <v>7.185200000000001E-3</v>
      </c>
      <c r="J589" s="3">
        <v>35412</v>
      </c>
      <c r="K589" s="17">
        <v>1.038</v>
      </c>
    </row>
    <row r="590" spans="2:11">
      <c r="B590" s="122"/>
      <c r="C590" s="16">
        <v>33742</v>
      </c>
      <c r="D590" s="19">
        <v>2635.3</v>
      </c>
      <c r="E590" s="18">
        <f t="shared" si="9"/>
        <v>7.2470750000000004E-3</v>
      </c>
      <c r="J590" s="3">
        <v>35415</v>
      </c>
      <c r="K590" s="17">
        <v>1.038</v>
      </c>
    </row>
    <row r="591" spans="2:11">
      <c r="B591" s="122"/>
      <c r="C591" s="16">
        <v>33743</v>
      </c>
      <c r="D591" s="19">
        <v>2658.2</v>
      </c>
      <c r="E591" s="18">
        <f t="shared" si="9"/>
        <v>7.3100499999999994E-3</v>
      </c>
      <c r="J591" s="3">
        <v>35416</v>
      </c>
      <c r="K591" s="17">
        <v>1.04</v>
      </c>
    </row>
    <row r="592" spans="2:11">
      <c r="B592" s="122"/>
      <c r="C592" s="16">
        <v>33744</v>
      </c>
      <c r="D592" s="19">
        <v>2681.3</v>
      </c>
      <c r="E592" s="18">
        <f t="shared" si="9"/>
        <v>7.3735750000000003E-3</v>
      </c>
      <c r="J592" s="3">
        <v>35417</v>
      </c>
      <c r="K592" s="17">
        <v>1.038</v>
      </c>
    </row>
    <row r="593" spans="2:11">
      <c r="B593" s="122"/>
      <c r="C593" s="16">
        <v>33745</v>
      </c>
      <c r="D593" s="19">
        <v>2728.65</v>
      </c>
      <c r="E593" s="18">
        <f t="shared" si="9"/>
        <v>7.5037875000000002E-3</v>
      </c>
      <c r="J593" s="3">
        <v>35418</v>
      </c>
      <c r="K593" s="17">
        <v>1.038</v>
      </c>
    </row>
    <row r="594" spans="2:11">
      <c r="B594" s="122"/>
      <c r="C594" s="16">
        <v>33746</v>
      </c>
      <c r="D594" s="19">
        <v>2728</v>
      </c>
      <c r="E594" s="18">
        <f t="shared" si="9"/>
        <v>7.502E-3</v>
      </c>
      <c r="J594" s="3">
        <v>35419</v>
      </c>
      <c r="K594" s="17">
        <v>1.038</v>
      </c>
    </row>
    <row r="595" spans="2:11">
      <c r="B595" s="122"/>
      <c r="C595" s="16">
        <v>33749</v>
      </c>
      <c r="D595" s="19">
        <v>2751.7</v>
      </c>
      <c r="E595" s="18">
        <f t="shared" si="9"/>
        <v>7.5671749999999989E-3</v>
      </c>
      <c r="J595" s="3">
        <v>35422</v>
      </c>
      <c r="K595" s="17">
        <v>1.038</v>
      </c>
    </row>
    <row r="596" spans="2:11">
      <c r="B596" s="122"/>
      <c r="C596" s="16">
        <v>33750</v>
      </c>
      <c r="D596" s="19">
        <v>2775.65</v>
      </c>
      <c r="E596" s="18">
        <f t="shared" si="9"/>
        <v>7.6330375000000002E-3</v>
      </c>
      <c r="J596" s="3">
        <v>35423</v>
      </c>
      <c r="K596" s="17">
        <v>1.0389999999999999</v>
      </c>
    </row>
    <row r="597" spans="2:11">
      <c r="B597" s="122"/>
      <c r="C597" s="16">
        <v>33751</v>
      </c>
      <c r="D597" s="19">
        <v>2799.8</v>
      </c>
      <c r="E597" s="18">
        <f t="shared" si="9"/>
        <v>7.6994500000000009E-3</v>
      </c>
      <c r="J597" s="3">
        <v>35425</v>
      </c>
      <c r="K597" s="17">
        <v>1.038</v>
      </c>
    </row>
    <row r="598" spans="2:11">
      <c r="B598" s="122"/>
      <c r="C598" s="16">
        <v>33752</v>
      </c>
      <c r="D598" s="19">
        <v>2824.45</v>
      </c>
      <c r="E598" s="18">
        <f t="shared" si="9"/>
        <v>7.7672374999999986E-3</v>
      </c>
      <c r="J598" s="3">
        <v>35426</v>
      </c>
      <c r="K598" s="17">
        <v>1.04</v>
      </c>
    </row>
    <row r="599" spans="2:11">
      <c r="B599" s="122"/>
      <c r="C599" s="16">
        <v>33753</v>
      </c>
      <c r="D599" s="19">
        <v>2849.1</v>
      </c>
      <c r="E599" s="18">
        <f t="shared" si="9"/>
        <v>7.8350249999999989E-3</v>
      </c>
      <c r="J599" s="3">
        <v>35429</v>
      </c>
      <c r="K599" s="17">
        <v>1.0389999999999999</v>
      </c>
    </row>
    <row r="600" spans="2:11">
      <c r="B600" s="122"/>
      <c r="C600" s="16">
        <v>33756</v>
      </c>
      <c r="D600" s="19">
        <v>2874.5</v>
      </c>
      <c r="E600" s="18">
        <f t="shared" si="9"/>
        <v>7.9048750000000004E-3</v>
      </c>
      <c r="J600" s="3">
        <v>35430</v>
      </c>
      <c r="K600" s="17">
        <v>1.0389999999999999</v>
      </c>
    </row>
    <row r="601" spans="2:11">
      <c r="B601" s="122"/>
      <c r="C601" s="16">
        <v>33757</v>
      </c>
      <c r="D601" s="19">
        <v>2900.1</v>
      </c>
      <c r="E601" s="18">
        <f t="shared" si="9"/>
        <v>7.9752750000000004E-3</v>
      </c>
      <c r="J601" s="3">
        <v>35432</v>
      </c>
      <c r="K601" s="17">
        <v>1.0389999999999999</v>
      </c>
    </row>
    <row r="602" spans="2:11">
      <c r="B602" s="122"/>
      <c r="C602" s="16">
        <v>33758</v>
      </c>
      <c r="D602" s="19">
        <v>2925.9</v>
      </c>
      <c r="E602" s="18">
        <f t="shared" si="9"/>
        <v>8.0462250000000006E-3</v>
      </c>
      <c r="J602" s="3">
        <v>35433</v>
      </c>
      <c r="K602" s="17">
        <v>1.0389999999999999</v>
      </c>
    </row>
    <row r="603" spans="2:11">
      <c r="B603" s="122"/>
      <c r="C603" s="16">
        <v>33759</v>
      </c>
      <c r="D603" s="19">
        <v>2952.15</v>
      </c>
      <c r="E603" s="18">
        <f t="shared" si="9"/>
        <v>8.1184124999999999E-3</v>
      </c>
      <c r="J603" s="3">
        <v>35436</v>
      </c>
      <c r="K603" s="17">
        <v>1.04</v>
      </c>
    </row>
    <row r="604" spans="2:11">
      <c r="B604" s="122"/>
      <c r="C604" s="16">
        <v>33760</v>
      </c>
      <c r="D604" s="19">
        <v>2978.55</v>
      </c>
      <c r="E604" s="18">
        <f t="shared" si="9"/>
        <v>8.1910125000000007E-3</v>
      </c>
      <c r="J604" s="3">
        <v>35437</v>
      </c>
      <c r="K604" s="17">
        <v>1.04</v>
      </c>
    </row>
    <row r="605" spans="2:11">
      <c r="B605" s="122"/>
      <c r="C605" s="16">
        <v>33763</v>
      </c>
      <c r="D605" s="19">
        <v>3005</v>
      </c>
      <c r="E605" s="18">
        <f t="shared" si="9"/>
        <v>8.2637500000000003E-3</v>
      </c>
      <c r="J605" s="3">
        <v>35438</v>
      </c>
      <c r="K605" s="17">
        <v>1.0409999999999999</v>
      </c>
    </row>
    <row r="606" spans="2:11">
      <c r="B606" s="122"/>
      <c r="C606" s="16">
        <v>33764</v>
      </c>
      <c r="D606" s="19">
        <v>3031.8</v>
      </c>
      <c r="E606" s="18">
        <f t="shared" si="9"/>
        <v>8.3374500000000015E-3</v>
      </c>
      <c r="J606" s="3">
        <v>35439</v>
      </c>
      <c r="K606" s="17">
        <v>1.0409999999999999</v>
      </c>
    </row>
    <row r="607" spans="2:11">
      <c r="B607" s="122"/>
      <c r="C607" s="16">
        <v>33765</v>
      </c>
      <c r="D607" s="19">
        <v>3058.9</v>
      </c>
      <c r="E607" s="18">
        <f t="shared" si="9"/>
        <v>8.4119750000000004E-3</v>
      </c>
      <c r="J607" s="3">
        <v>35440</v>
      </c>
      <c r="K607" s="17">
        <v>1.0409999999999999</v>
      </c>
    </row>
    <row r="608" spans="2:11">
      <c r="B608" s="122"/>
      <c r="C608" s="16">
        <v>33766</v>
      </c>
      <c r="D608" s="19">
        <v>3087.6</v>
      </c>
      <c r="E608" s="18">
        <f t="shared" si="9"/>
        <v>8.4908999999999991E-3</v>
      </c>
      <c r="J608" s="3">
        <v>35443</v>
      </c>
      <c r="K608" s="17">
        <v>1.042</v>
      </c>
    </row>
    <row r="609" spans="2:11">
      <c r="B609" s="122"/>
      <c r="C609" s="16">
        <v>33767</v>
      </c>
      <c r="D609" s="19">
        <v>3115.7</v>
      </c>
      <c r="E609" s="18">
        <f t="shared" si="9"/>
        <v>8.5681749999999991E-3</v>
      </c>
      <c r="J609" s="3">
        <v>35444</v>
      </c>
      <c r="K609" s="17">
        <v>1.042</v>
      </c>
    </row>
    <row r="610" spans="2:11">
      <c r="B610" s="122"/>
      <c r="C610" s="16">
        <v>33770</v>
      </c>
      <c r="D610" s="19">
        <v>3144.1</v>
      </c>
      <c r="E610" s="18">
        <f t="shared" si="9"/>
        <v>8.6462750000000001E-3</v>
      </c>
      <c r="J610" s="3">
        <v>35445</v>
      </c>
      <c r="K610" s="17">
        <v>1.042</v>
      </c>
    </row>
    <row r="611" spans="2:11">
      <c r="B611" s="122"/>
      <c r="C611" s="16">
        <v>33771</v>
      </c>
      <c r="D611" s="19">
        <v>3173</v>
      </c>
      <c r="E611" s="18">
        <f t="shared" si="9"/>
        <v>8.7257500000000009E-3</v>
      </c>
      <c r="J611" s="3">
        <v>35446</v>
      </c>
      <c r="K611" s="17">
        <v>1.0429999999999999</v>
      </c>
    </row>
    <row r="612" spans="2:11">
      <c r="B612" s="122"/>
      <c r="C612" s="16">
        <v>33772</v>
      </c>
      <c r="D612" s="19">
        <v>3202.6</v>
      </c>
      <c r="E612" s="18">
        <f t="shared" si="9"/>
        <v>8.8071499999999997E-3</v>
      </c>
      <c r="J612" s="3">
        <v>35447</v>
      </c>
      <c r="K612" s="17">
        <v>1.0429999999999999</v>
      </c>
    </row>
    <row r="613" spans="2:11">
      <c r="B613" s="122"/>
      <c r="C613" s="16">
        <v>33774</v>
      </c>
      <c r="D613" s="19">
        <v>3230.8</v>
      </c>
      <c r="E613" s="18">
        <f t="shared" si="9"/>
        <v>8.8847000000000006E-3</v>
      </c>
      <c r="J613" s="3">
        <v>35450</v>
      </c>
      <c r="K613" s="17">
        <v>1.0429999999999999</v>
      </c>
    </row>
    <row r="614" spans="2:11">
      <c r="B614" s="122"/>
      <c r="C614" s="16">
        <v>33777</v>
      </c>
      <c r="D614" s="19">
        <v>3260.15</v>
      </c>
      <c r="E614" s="18">
        <f t="shared" si="9"/>
        <v>8.9654125000000005E-3</v>
      </c>
      <c r="J614" s="3">
        <v>35451</v>
      </c>
      <c r="K614" s="17">
        <v>1.0429999999999999</v>
      </c>
    </row>
    <row r="615" spans="2:11">
      <c r="B615" s="122"/>
      <c r="C615" s="16">
        <v>33778</v>
      </c>
      <c r="D615" s="19">
        <v>3289.95</v>
      </c>
      <c r="E615" s="18">
        <f t="shared" si="9"/>
        <v>9.0473624999999995E-3</v>
      </c>
      <c r="J615" s="3">
        <v>35452</v>
      </c>
      <c r="K615" s="17">
        <v>1.0429999999999999</v>
      </c>
    </row>
    <row r="616" spans="2:11">
      <c r="B616" s="122"/>
      <c r="C616" s="16">
        <v>33779</v>
      </c>
      <c r="D616" s="19">
        <v>3320.3</v>
      </c>
      <c r="E616" s="18">
        <f t="shared" si="9"/>
        <v>9.1308250000000004E-3</v>
      </c>
      <c r="J616" s="3">
        <v>35453</v>
      </c>
      <c r="K616" s="17">
        <v>1.0429999999999999</v>
      </c>
    </row>
    <row r="617" spans="2:11">
      <c r="B617" s="122"/>
      <c r="C617" s="16">
        <v>33780</v>
      </c>
      <c r="D617" s="19">
        <v>3351.1</v>
      </c>
      <c r="E617" s="18">
        <f t="shared" si="9"/>
        <v>9.2155250000000005E-3</v>
      </c>
      <c r="J617" s="3">
        <v>35454</v>
      </c>
      <c r="K617" s="17">
        <v>1.044</v>
      </c>
    </row>
    <row r="618" spans="2:11">
      <c r="B618" s="122"/>
      <c r="C618" s="16">
        <v>33781</v>
      </c>
      <c r="D618" s="19">
        <v>3382.6</v>
      </c>
      <c r="E618" s="18">
        <f t="shared" si="9"/>
        <v>9.3021500000000003E-3</v>
      </c>
      <c r="J618" s="3">
        <v>35457</v>
      </c>
      <c r="K618" s="17">
        <v>1.044</v>
      </c>
    </row>
    <row r="619" spans="2:11">
      <c r="B619" s="122"/>
      <c r="C619" s="16">
        <v>33784</v>
      </c>
      <c r="D619" s="19">
        <v>3413.6</v>
      </c>
      <c r="E619" s="18">
        <f t="shared" si="9"/>
        <v>9.3873999999999989E-3</v>
      </c>
      <c r="J619" s="3">
        <v>35458</v>
      </c>
      <c r="K619" s="17">
        <v>1.044</v>
      </c>
    </row>
    <row r="620" spans="2:11">
      <c r="B620" s="122"/>
      <c r="C620" s="16">
        <v>33785</v>
      </c>
      <c r="D620" s="19">
        <v>3446.7</v>
      </c>
      <c r="E620" s="18">
        <f t="shared" si="9"/>
        <v>9.4784250000000004E-3</v>
      </c>
      <c r="J620" s="3">
        <v>35459</v>
      </c>
      <c r="K620" s="17">
        <v>1.0449999999999999</v>
      </c>
    </row>
    <row r="621" spans="2:11">
      <c r="B621" s="122"/>
      <c r="C621" s="16">
        <v>33786</v>
      </c>
      <c r="D621" s="19">
        <v>3475.9</v>
      </c>
      <c r="E621" s="18">
        <f t="shared" si="9"/>
        <v>9.5587250000000006E-3</v>
      </c>
      <c r="J621" s="3">
        <v>35460</v>
      </c>
      <c r="K621" s="17">
        <v>1.0449999999999999</v>
      </c>
    </row>
    <row r="622" spans="2:11">
      <c r="B622" s="122"/>
      <c r="C622" s="16">
        <v>33787</v>
      </c>
      <c r="D622" s="19">
        <v>3505.8</v>
      </c>
      <c r="E622" s="18">
        <f t="shared" si="9"/>
        <v>9.6409500000000006E-3</v>
      </c>
      <c r="J622" s="3">
        <v>35461</v>
      </c>
      <c r="K622" s="17">
        <v>1.046</v>
      </c>
    </row>
    <row r="623" spans="2:11">
      <c r="B623" s="122"/>
      <c r="C623" s="16">
        <v>33788</v>
      </c>
      <c r="D623" s="19">
        <v>3536.2</v>
      </c>
      <c r="E623" s="18">
        <f t="shared" si="9"/>
        <v>9.7245499999999985E-3</v>
      </c>
      <c r="J623" s="3">
        <v>35464</v>
      </c>
      <c r="K623" s="17">
        <v>1.0449999999999999</v>
      </c>
    </row>
    <row r="624" spans="2:11">
      <c r="B624" s="122"/>
      <c r="C624" s="16">
        <v>33791</v>
      </c>
      <c r="D624" s="19">
        <v>3566.95</v>
      </c>
      <c r="E624" s="18">
        <f t="shared" si="9"/>
        <v>9.8091124999999998E-3</v>
      </c>
      <c r="J624" s="3">
        <v>35465</v>
      </c>
      <c r="K624" s="17">
        <v>1.046</v>
      </c>
    </row>
    <row r="625" spans="2:11">
      <c r="B625" s="122"/>
      <c r="C625" s="16">
        <v>33792</v>
      </c>
      <c r="D625" s="19">
        <v>3597.85</v>
      </c>
      <c r="E625" s="18">
        <f t="shared" si="9"/>
        <v>9.8940875000000008E-3</v>
      </c>
      <c r="J625" s="3">
        <v>35466</v>
      </c>
      <c r="K625" s="17">
        <v>1.0469999999999999</v>
      </c>
    </row>
    <row r="626" spans="2:11">
      <c r="B626" s="122"/>
      <c r="C626" s="16">
        <v>33793</v>
      </c>
      <c r="D626" s="19">
        <v>3629.15</v>
      </c>
      <c r="E626" s="18">
        <f t="shared" si="9"/>
        <v>9.9801625000000005E-3</v>
      </c>
      <c r="J626" s="3">
        <v>35467</v>
      </c>
      <c r="K626" s="17">
        <v>1.0469999999999999</v>
      </c>
    </row>
    <row r="627" spans="2:11">
      <c r="B627" s="122"/>
      <c r="C627" s="16">
        <v>33794</v>
      </c>
      <c r="D627" s="19">
        <v>3660.75</v>
      </c>
      <c r="E627" s="18">
        <f t="shared" si="9"/>
        <v>1.00670625E-2</v>
      </c>
      <c r="J627" s="3">
        <v>35468</v>
      </c>
      <c r="K627" s="17">
        <v>1.048</v>
      </c>
    </row>
    <row r="628" spans="2:11">
      <c r="B628" s="122"/>
      <c r="C628" s="16">
        <v>33795</v>
      </c>
      <c r="D628" s="19">
        <v>3692.65</v>
      </c>
      <c r="E628" s="18">
        <f t="shared" si="9"/>
        <v>1.01547875E-2</v>
      </c>
      <c r="J628" s="3">
        <v>35473</v>
      </c>
      <c r="K628" s="17">
        <v>1.0469999999999999</v>
      </c>
    </row>
    <row r="629" spans="2:11">
      <c r="B629" s="122"/>
      <c r="C629" s="16">
        <v>33798</v>
      </c>
      <c r="D629" s="19">
        <v>3724.85</v>
      </c>
      <c r="E629" s="18">
        <f t="shared" si="9"/>
        <v>1.02433375E-2</v>
      </c>
      <c r="J629" s="3">
        <v>35474</v>
      </c>
      <c r="K629" s="17">
        <v>1.048</v>
      </c>
    </row>
    <row r="630" spans="2:11">
      <c r="B630" s="122"/>
      <c r="C630" s="16">
        <v>33799</v>
      </c>
      <c r="D630" s="19">
        <v>3757.25</v>
      </c>
      <c r="E630" s="18">
        <f t="shared" si="9"/>
        <v>1.03324375E-2</v>
      </c>
      <c r="J630" s="3">
        <v>35475</v>
      </c>
      <c r="K630" s="17">
        <v>1.0489999999999999</v>
      </c>
    </row>
    <row r="631" spans="2:11">
      <c r="B631" s="122"/>
      <c r="C631" s="16">
        <v>33800</v>
      </c>
      <c r="D631" s="19">
        <v>3789.95</v>
      </c>
      <c r="E631" s="18">
        <f t="shared" si="9"/>
        <v>1.0422362499999999E-2</v>
      </c>
      <c r="J631" s="3">
        <v>35478</v>
      </c>
      <c r="K631" s="17">
        <v>1.0489999999999999</v>
      </c>
    </row>
    <row r="632" spans="2:11">
      <c r="B632" s="122"/>
      <c r="C632" s="16">
        <v>33801</v>
      </c>
      <c r="D632" s="19">
        <v>3822.9</v>
      </c>
      <c r="E632" s="18">
        <f t="shared" si="9"/>
        <v>1.0512975000000001E-2</v>
      </c>
      <c r="J632" s="3">
        <v>35479</v>
      </c>
      <c r="K632" s="17">
        <v>1.0489999999999999</v>
      </c>
    </row>
    <row r="633" spans="2:11">
      <c r="B633" s="122"/>
      <c r="C633" s="16">
        <v>33802</v>
      </c>
      <c r="D633" s="19">
        <v>3856.2</v>
      </c>
      <c r="E633" s="18">
        <f t="shared" si="9"/>
        <v>1.0604549999999999E-2</v>
      </c>
      <c r="J633" s="3">
        <v>35480</v>
      </c>
      <c r="K633" s="17">
        <v>1.05</v>
      </c>
    </row>
    <row r="634" spans="2:11">
      <c r="B634" s="122"/>
      <c r="C634" s="16">
        <v>33805</v>
      </c>
      <c r="D634" s="19">
        <v>3889.75</v>
      </c>
      <c r="E634" s="18">
        <f t="shared" si="9"/>
        <v>1.06968125E-2</v>
      </c>
      <c r="J634" s="3">
        <v>35481</v>
      </c>
      <c r="K634" s="17">
        <v>1.05</v>
      </c>
    </row>
    <row r="635" spans="2:11">
      <c r="B635" s="122"/>
      <c r="C635" s="16">
        <v>33806</v>
      </c>
      <c r="D635" s="19">
        <v>3923.6</v>
      </c>
      <c r="E635" s="18">
        <f t="shared" si="9"/>
        <v>1.07899E-2</v>
      </c>
      <c r="J635" s="3">
        <v>35482</v>
      </c>
      <c r="K635" s="17">
        <v>1.05</v>
      </c>
    </row>
    <row r="636" spans="2:11">
      <c r="B636" s="122"/>
      <c r="C636" s="16">
        <v>33807</v>
      </c>
      <c r="D636" s="19">
        <v>3957.7</v>
      </c>
      <c r="E636" s="18">
        <f t="shared" si="9"/>
        <v>1.0883674999999999E-2</v>
      </c>
      <c r="J636" s="3">
        <v>35485</v>
      </c>
      <c r="K636" s="17">
        <v>1.05</v>
      </c>
    </row>
    <row r="637" spans="2:11">
      <c r="B637" s="122"/>
      <c r="C637" s="16">
        <v>33808</v>
      </c>
      <c r="D637" s="19">
        <v>3992.15</v>
      </c>
      <c r="E637" s="18">
        <f t="shared" si="9"/>
        <v>1.09784125E-2</v>
      </c>
      <c r="J637" s="3">
        <v>35486</v>
      </c>
      <c r="K637" s="17">
        <v>1.0509999999999999</v>
      </c>
    </row>
    <row r="638" spans="2:11">
      <c r="B638" s="122"/>
      <c r="C638" s="16">
        <v>33809</v>
      </c>
      <c r="D638" s="19">
        <v>4026.85</v>
      </c>
      <c r="E638" s="18">
        <f t="shared" si="9"/>
        <v>1.1073837500000001E-2</v>
      </c>
      <c r="J638" s="3">
        <v>35487</v>
      </c>
      <c r="K638" s="17">
        <v>1.0509999999999999</v>
      </c>
    </row>
    <row r="639" spans="2:11">
      <c r="B639" s="122"/>
      <c r="C639" s="16">
        <v>33812</v>
      </c>
      <c r="D639" s="19">
        <v>4061.85</v>
      </c>
      <c r="E639" s="18">
        <f t="shared" si="9"/>
        <v>1.1170087499999998E-2</v>
      </c>
      <c r="J639" s="3">
        <v>35488</v>
      </c>
      <c r="K639" s="17">
        <v>1.0509999999999999</v>
      </c>
    </row>
    <row r="640" spans="2:11">
      <c r="B640" s="122"/>
      <c r="C640" s="16">
        <v>33813</v>
      </c>
      <c r="D640" s="19">
        <v>4097</v>
      </c>
      <c r="E640" s="18">
        <f t="shared" si="9"/>
        <v>1.1266749999999999E-2</v>
      </c>
      <c r="J640" s="3">
        <v>35489</v>
      </c>
      <c r="K640" s="17">
        <v>1.0509999999999999</v>
      </c>
    </row>
    <row r="641" spans="2:11">
      <c r="B641" s="122"/>
      <c r="C641" s="16">
        <v>33814</v>
      </c>
      <c r="D641" s="19">
        <v>4132.6000000000004</v>
      </c>
      <c r="E641" s="18">
        <f t="shared" si="9"/>
        <v>1.136465E-2</v>
      </c>
      <c r="J641" s="3">
        <v>35492</v>
      </c>
      <c r="K641" s="17">
        <v>1.0509999999999999</v>
      </c>
    </row>
    <row r="642" spans="2:11">
      <c r="B642" s="122"/>
      <c r="C642" s="16">
        <v>33815</v>
      </c>
      <c r="D642" s="19">
        <v>4169</v>
      </c>
      <c r="E642" s="18">
        <f t="shared" si="9"/>
        <v>1.1464749999999999E-2</v>
      </c>
      <c r="J642" s="3">
        <v>35493</v>
      </c>
      <c r="K642" s="17">
        <v>1.0509999999999999</v>
      </c>
    </row>
    <row r="643" spans="2:11">
      <c r="B643" s="122"/>
      <c r="C643" s="16">
        <v>33816</v>
      </c>
      <c r="D643" s="19">
        <v>4204.6000000000004</v>
      </c>
      <c r="E643" s="18">
        <f t="shared" si="9"/>
        <v>1.1562650000000001E-2</v>
      </c>
      <c r="J643" s="3">
        <v>35494</v>
      </c>
      <c r="K643" s="17">
        <v>1.052</v>
      </c>
    </row>
    <row r="644" spans="2:11">
      <c r="B644" s="122"/>
      <c r="C644" s="16">
        <v>33819</v>
      </c>
      <c r="D644" s="19">
        <v>4244.5</v>
      </c>
      <c r="E644" s="18">
        <f t="shared" ref="E644:E707" si="10">(D644/1000^2)*2.75</f>
        <v>1.1672375E-2</v>
      </c>
      <c r="J644" s="3">
        <v>35495</v>
      </c>
      <c r="K644" s="17">
        <v>1.0529999999999999</v>
      </c>
    </row>
    <row r="645" spans="2:11">
      <c r="B645" s="122"/>
      <c r="C645" s="16">
        <v>33820</v>
      </c>
      <c r="D645" s="19">
        <v>4284.8500000000004</v>
      </c>
      <c r="E645" s="18">
        <f t="shared" si="10"/>
        <v>1.1783337500000001E-2</v>
      </c>
      <c r="J645" s="3">
        <v>35496</v>
      </c>
      <c r="K645" s="17">
        <v>1.0529999999999999</v>
      </c>
    </row>
    <row r="646" spans="2:11">
      <c r="B646" s="122"/>
      <c r="C646" s="16">
        <v>33821</v>
      </c>
      <c r="D646" s="19">
        <v>4325.05</v>
      </c>
      <c r="E646" s="18">
        <f t="shared" si="10"/>
        <v>1.1893887500000002E-2</v>
      </c>
      <c r="J646" s="3">
        <v>35499</v>
      </c>
      <c r="K646" s="17">
        <v>1.0529999999999999</v>
      </c>
    </row>
    <row r="647" spans="2:11">
      <c r="B647" s="122"/>
      <c r="C647" s="16">
        <v>33822</v>
      </c>
      <c r="D647" s="19">
        <v>4365.8</v>
      </c>
      <c r="E647" s="18">
        <f t="shared" si="10"/>
        <v>1.2005950000000001E-2</v>
      </c>
      <c r="J647" s="3">
        <v>35500</v>
      </c>
      <c r="K647" s="17">
        <v>1.0529999999999999</v>
      </c>
    </row>
    <row r="648" spans="2:11">
      <c r="B648" s="122"/>
      <c r="C648" s="16">
        <v>33823</v>
      </c>
      <c r="D648" s="19">
        <v>4407</v>
      </c>
      <c r="E648" s="18">
        <f t="shared" si="10"/>
        <v>1.2119250000000002E-2</v>
      </c>
      <c r="J648" s="3">
        <v>35501</v>
      </c>
      <c r="K648" s="17">
        <v>1.054</v>
      </c>
    </row>
    <row r="649" spans="2:11">
      <c r="B649" s="122"/>
      <c r="C649" s="16">
        <v>33826</v>
      </c>
      <c r="D649" s="19">
        <v>4448.6499999999996</v>
      </c>
      <c r="E649" s="18">
        <f t="shared" si="10"/>
        <v>1.2233787499999997E-2</v>
      </c>
      <c r="J649" s="3">
        <v>35502</v>
      </c>
      <c r="K649" s="17">
        <v>1.0549999999999999</v>
      </c>
    </row>
    <row r="650" spans="2:11">
      <c r="B650" s="122"/>
      <c r="C650" s="16">
        <v>33827</v>
      </c>
      <c r="D650" s="19">
        <v>4490.8</v>
      </c>
      <c r="E650" s="18">
        <f t="shared" si="10"/>
        <v>1.2349700000000002E-2</v>
      </c>
      <c r="J650" s="3">
        <v>35503</v>
      </c>
      <c r="K650" s="17">
        <v>1.0549999999999999</v>
      </c>
    </row>
    <row r="651" spans="2:11">
      <c r="B651" s="122"/>
      <c r="C651" s="16">
        <v>33828</v>
      </c>
      <c r="D651" s="19">
        <v>4533.3999999999996</v>
      </c>
      <c r="E651" s="18">
        <f t="shared" si="10"/>
        <v>1.246685E-2</v>
      </c>
      <c r="J651" s="3">
        <v>35506</v>
      </c>
      <c r="K651" s="17">
        <v>1.0580000000000001</v>
      </c>
    </row>
    <row r="652" spans="2:11">
      <c r="B652" s="122"/>
      <c r="C652" s="16">
        <v>33829</v>
      </c>
      <c r="D652" s="19">
        <v>4576.6499999999996</v>
      </c>
      <c r="E652" s="18">
        <f t="shared" si="10"/>
        <v>1.2585787499999999E-2</v>
      </c>
      <c r="J652" s="3">
        <v>35507</v>
      </c>
      <c r="K652" s="17">
        <v>1.0580000000000001</v>
      </c>
    </row>
    <row r="653" spans="2:11">
      <c r="B653" s="122"/>
      <c r="C653" s="16">
        <v>33830</v>
      </c>
      <c r="D653" s="19">
        <v>4620.45</v>
      </c>
      <c r="E653" s="18">
        <f t="shared" si="10"/>
        <v>1.27062375E-2</v>
      </c>
      <c r="J653" s="3">
        <v>35508</v>
      </c>
      <c r="K653" s="17">
        <v>1.06</v>
      </c>
    </row>
    <row r="654" spans="2:11">
      <c r="B654" s="122"/>
      <c r="C654" s="16">
        <v>33833</v>
      </c>
      <c r="D654" s="19">
        <v>4664.45</v>
      </c>
      <c r="E654" s="18">
        <f t="shared" si="10"/>
        <v>1.28272375E-2</v>
      </c>
      <c r="J654" s="3">
        <v>35509</v>
      </c>
      <c r="K654" s="17">
        <v>1.06</v>
      </c>
    </row>
    <row r="655" spans="2:11">
      <c r="B655" s="122"/>
      <c r="C655" s="16">
        <v>33834</v>
      </c>
      <c r="D655" s="19">
        <v>4708.8999999999996</v>
      </c>
      <c r="E655" s="18">
        <f t="shared" si="10"/>
        <v>1.2949474999999998E-2</v>
      </c>
      <c r="J655" s="3">
        <v>35510</v>
      </c>
      <c r="K655" s="17">
        <v>1.0609999999999999</v>
      </c>
    </row>
    <row r="656" spans="2:11">
      <c r="B656" s="122"/>
      <c r="C656" s="16">
        <v>33835</v>
      </c>
      <c r="D656" s="19">
        <v>4754.3</v>
      </c>
      <c r="E656" s="18">
        <f t="shared" si="10"/>
        <v>1.3074325000000001E-2</v>
      </c>
      <c r="J656" s="3">
        <v>35513</v>
      </c>
      <c r="K656" s="17">
        <v>1.0609999999999999</v>
      </c>
    </row>
    <row r="657" spans="2:11">
      <c r="B657" s="122"/>
      <c r="C657" s="16">
        <v>33836</v>
      </c>
      <c r="D657" s="19">
        <v>4797.6000000000004</v>
      </c>
      <c r="E657" s="18">
        <f t="shared" si="10"/>
        <v>1.3193399999999999E-2</v>
      </c>
      <c r="J657" s="3">
        <v>35514</v>
      </c>
      <c r="K657" s="17">
        <v>1.0609999999999999</v>
      </c>
    </row>
    <row r="658" spans="2:11">
      <c r="B658" s="122"/>
      <c r="C658" s="16">
        <v>33837</v>
      </c>
      <c r="D658" s="19">
        <v>4844.55</v>
      </c>
      <c r="E658" s="18">
        <f t="shared" si="10"/>
        <v>1.3322512500000001E-2</v>
      </c>
      <c r="J658" s="3">
        <v>35515</v>
      </c>
      <c r="K658" s="17">
        <v>1.06</v>
      </c>
    </row>
    <row r="659" spans="2:11">
      <c r="B659" s="122"/>
      <c r="C659" s="16">
        <v>33840</v>
      </c>
      <c r="D659" s="19">
        <v>4890.6499999999996</v>
      </c>
      <c r="E659" s="18">
        <f t="shared" si="10"/>
        <v>1.34492875E-2</v>
      </c>
      <c r="J659" s="3">
        <v>35520</v>
      </c>
      <c r="K659" s="17">
        <v>1.0589999999999999</v>
      </c>
    </row>
    <row r="660" spans="2:11">
      <c r="B660" s="122"/>
      <c r="C660" s="16">
        <v>33841</v>
      </c>
      <c r="D660" s="19">
        <v>4936.1000000000004</v>
      </c>
      <c r="E660" s="18">
        <f t="shared" si="10"/>
        <v>1.3574275000000002E-2</v>
      </c>
      <c r="J660" s="3">
        <v>35521</v>
      </c>
      <c r="K660" s="17">
        <v>1.0589999999999999</v>
      </c>
    </row>
    <row r="661" spans="2:11">
      <c r="B661" s="122"/>
      <c r="C661" s="16">
        <v>33842</v>
      </c>
      <c r="D661" s="19">
        <v>4982.8999999999996</v>
      </c>
      <c r="E661" s="18">
        <f t="shared" si="10"/>
        <v>1.3702974999999997E-2</v>
      </c>
      <c r="J661" s="3">
        <v>35522</v>
      </c>
      <c r="K661" s="17">
        <v>1.0589999999999999</v>
      </c>
    </row>
    <row r="662" spans="2:11">
      <c r="B662" s="122"/>
      <c r="C662" s="16">
        <v>33843</v>
      </c>
      <c r="D662" s="19">
        <v>5029.8999999999996</v>
      </c>
      <c r="E662" s="18">
        <f t="shared" si="10"/>
        <v>1.3832224999999998E-2</v>
      </c>
      <c r="J662" s="3">
        <v>35523</v>
      </c>
      <c r="K662" s="17">
        <v>1.0580000000000001</v>
      </c>
    </row>
    <row r="663" spans="2:11">
      <c r="B663" s="122"/>
      <c r="C663" s="16">
        <v>33844</v>
      </c>
      <c r="D663" s="19">
        <v>5077.5</v>
      </c>
      <c r="E663" s="18">
        <f t="shared" si="10"/>
        <v>1.3963125000000002E-2</v>
      </c>
      <c r="J663" s="3">
        <v>35524</v>
      </c>
      <c r="K663" s="17">
        <v>1.0580000000000001</v>
      </c>
    </row>
    <row r="664" spans="2:11">
      <c r="B664" s="122"/>
      <c r="C664" s="16">
        <v>33847</v>
      </c>
      <c r="D664" s="19">
        <v>5131</v>
      </c>
      <c r="E664" s="18">
        <f t="shared" si="10"/>
        <v>1.4110250000000001E-2</v>
      </c>
      <c r="J664" s="3">
        <v>35527</v>
      </c>
      <c r="K664" s="17">
        <v>1.0589999999999999</v>
      </c>
    </row>
    <row r="665" spans="2:11">
      <c r="B665" s="122"/>
      <c r="C665" s="16">
        <v>33848</v>
      </c>
      <c r="D665" s="19">
        <v>5184.6000000000004</v>
      </c>
      <c r="E665" s="18">
        <f t="shared" si="10"/>
        <v>1.425765E-2</v>
      </c>
      <c r="J665" s="3">
        <v>35528</v>
      </c>
      <c r="K665" s="17">
        <v>1.0580000000000001</v>
      </c>
    </row>
    <row r="666" spans="2:11">
      <c r="B666" s="122"/>
      <c r="C666" s="16">
        <v>33849</v>
      </c>
      <c r="D666" s="19">
        <v>5239</v>
      </c>
      <c r="E666" s="18">
        <f t="shared" si="10"/>
        <v>1.440725E-2</v>
      </c>
      <c r="J666" s="3">
        <v>35529</v>
      </c>
      <c r="K666" s="17">
        <v>1.0589999999999999</v>
      </c>
    </row>
    <row r="667" spans="2:11">
      <c r="B667" s="122"/>
      <c r="C667" s="16">
        <v>33850</v>
      </c>
      <c r="D667" s="19">
        <v>5294.7</v>
      </c>
      <c r="E667" s="18">
        <f t="shared" si="10"/>
        <v>1.4560424999999998E-2</v>
      </c>
      <c r="J667" s="3">
        <v>35530</v>
      </c>
      <c r="K667" s="17">
        <v>1.0580000000000001</v>
      </c>
    </row>
    <row r="668" spans="2:11">
      <c r="B668" s="122"/>
      <c r="C668" s="16">
        <v>33851</v>
      </c>
      <c r="D668" s="19">
        <v>5350.5</v>
      </c>
      <c r="E668" s="18">
        <f t="shared" si="10"/>
        <v>1.4713875000000001E-2</v>
      </c>
      <c r="J668" s="3">
        <v>35531</v>
      </c>
      <c r="K668" s="17">
        <v>1.0589999999999999</v>
      </c>
    </row>
    <row r="669" spans="2:11">
      <c r="B669" s="122"/>
      <c r="C669" s="16">
        <v>33855</v>
      </c>
      <c r="D669" s="19">
        <v>5406.2</v>
      </c>
      <c r="E669" s="18">
        <f t="shared" si="10"/>
        <v>1.486705E-2</v>
      </c>
      <c r="J669" s="3">
        <v>35534</v>
      </c>
      <c r="K669" s="17">
        <v>1.06</v>
      </c>
    </row>
    <row r="670" spans="2:11">
      <c r="B670" s="122"/>
      <c r="C670" s="16">
        <v>33856</v>
      </c>
      <c r="D670" s="19">
        <v>5462.8</v>
      </c>
      <c r="E670" s="18">
        <f t="shared" si="10"/>
        <v>1.50227E-2</v>
      </c>
      <c r="J670" s="3">
        <v>35535</v>
      </c>
      <c r="K670" s="17">
        <v>1.06</v>
      </c>
    </row>
    <row r="671" spans="2:11">
      <c r="B671" s="122"/>
      <c r="C671" s="16">
        <v>33857</v>
      </c>
      <c r="D671" s="19">
        <v>5520.2</v>
      </c>
      <c r="E671" s="18">
        <f t="shared" si="10"/>
        <v>1.5180549999999998E-2</v>
      </c>
      <c r="J671" s="3">
        <v>35536</v>
      </c>
      <c r="K671" s="17">
        <v>1.0609999999999999</v>
      </c>
    </row>
    <row r="672" spans="2:11">
      <c r="B672" s="122"/>
      <c r="C672" s="16">
        <v>33858</v>
      </c>
      <c r="D672" s="19">
        <v>5578.4</v>
      </c>
      <c r="E672" s="18">
        <f t="shared" si="10"/>
        <v>1.5340599999999999E-2</v>
      </c>
      <c r="J672" s="3">
        <v>35537</v>
      </c>
      <c r="K672" s="17">
        <v>1.0609999999999999</v>
      </c>
    </row>
    <row r="673" spans="2:11">
      <c r="B673" s="122"/>
      <c r="C673" s="16">
        <v>33861</v>
      </c>
      <c r="D673" s="19">
        <v>5637.4</v>
      </c>
      <c r="E673" s="18">
        <f t="shared" si="10"/>
        <v>1.550285E-2</v>
      </c>
      <c r="J673" s="3">
        <v>35538</v>
      </c>
      <c r="K673" s="17">
        <v>1.0609999999999999</v>
      </c>
    </row>
    <row r="674" spans="2:11">
      <c r="B674" s="122"/>
      <c r="C674" s="16">
        <v>33862</v>
      </c>
      <c r="D674" s="19">
        <v>5697.4</v>
      </c>
      <c r="E674" s="18">
        <f t="shared" si="10"/>
        <v>1.5667850000000001E-2</v>
      </c>
      <c r="J674" s="3">
        <v>35542</v>
      </c>
      <c r="K674" s="17">
        <v>1.0620000000000001</v>
      </c>
    </row>
    <row r="675" spans="2:11">
      <c r="B675" s="122"/>
      <c r="C675" s="16">
        <v>33863</v>
      </c>
      <c r="D675" s="19">
        <v>5758.4</v>
      </c>
      <c r="E675" s="18">
        <f t="shared" si="10"/>
        <v>1.5835599999999998E-2</v>
      </c>
      <c r="J675" s="3">
        <v>35543</v>
      </c>
      <c r="K675" s="17">
        <v>1.0629999999999999</v>
      </c>
    </row>
    <row r="676" spans="2:11">
      <c r="B676" s="122"/>
      <c r="C676" s="16">
        <v>33864</v>
      </c>
      <c r="D676" s="19">
        <v>5819.6</v>
      </c>
      <c r="E676" s="18">
        <f t="shared" si="10"/>
        <v>1.6003900000000001E-2</v>
      </c>
      <c r="J676" s="3">
        <v>35544</v>
      </c>
      <c r="K676" s="17">
        <v>1.0629999999999999</v>
      </c>
    </row>
    <row r="677" spans="2:11">
      <c r="B677" s="122"/>
      <c r="C677" s="16">
        <v>33865</v>
      </c>
      <c r="D677" s="19">
        <v>5881.35</v>
      </c>
      <c r="E677" s="18">
        <f t="shared" si="10"/>
        <v>1.61737125E-2</v>
      </c>
      <c r="J677" s="3">
        <v>35545</v>
      </c>
      <c r="K677" s="17">
        <v>1.0629999999999999</v>
      </c>
    </row>
    <row r="678" spans="2:11">
      <c r="B678" s="122"/>
      <c r="C678" s="16">
        <v>33868</v>
      </c>
      <c r="D678" s="19">
        <v>5943.75</v>
      </c>
      <c r="E678" s="18">
        <f t="shared" si="10"/>
        <v>1.63453125E-2</v>
      </c>
      <c r="J678" s="3">
        <v>35548</v>
      </c>
      <c r="K678" s="17">
        <v>1.0629999999999999</v>
      </c>
    </row>
    <row r="679" spans="2:11">
      <c r="B679" s="122"/>
      <c r="C679" s="16">
        <v>33869</v>
      </c>
      <c r="D679" s="19">
        <v>6006.85</v>
      </c>
      <c r="E679" s="18">
        <f t="shared" si="10"/>
        <v>1.6518837500000001E-2</v>
      </c>
      <c r="J679" s="3">
        <v>35549</v>
      </c>
      <c r="K679" s="17">
        <v>1.0629999999999999</v>
      </c>
    </row>
    <row r="680" spans="2:11">
      <c r="B680" s="122"/>
      <c r="C680" s="16">
        <v>33870</v>
      </c>
      <c r="D680" s="19">
        <v>6070.85</v>
      </c>
      <c r="E680" s="18">
        <f t="shared" si="10"/>
        <v>1.66948375E-2</v>
      </c>
      <c r="J680" s="3">
        <v>35550</v>
      </c>
      <c r="K680" s="17">
        <v>1.0629999999999999</v>
      </c>
    </row>
    <row r="681" spans="2:11">
      <c r="B681" s="122"/>
      <c r="C681" s="16">
        <v>33871</v>
      </c>
      <c r="D681" s="19">
        <v>6138</v>
      </c>
      <c r="E681" s="18">
        <f t="shared" si="10"/>
        <v>1.6879500000000002E-2</v>
      </c>
      <c r="J681" s="3">
        <v>35552</v>
      </c>
      <c r="K681" s="17">
        <v>1.0640000000000001</v>
      </c>
    </row>
    <row r="682" spans="2:11">
      <c r="B682" s="122"/>
      <c r="C682" s="16">
        <v>33872</v>
      </c>
      <c r="D682" s="19">
        <v>6205</v>
      </c>
      <c r="E682" s="18">
        <f t="shared" si="10"/>
        <v>1.7063749999999999E-2</v>
      </c>
      <c r="J682" s="3">
        <v>35555</v>
      </c>
      <c r="K682" s="17">
        <v>1.0640000000000001</v>
      </c>
    </row>
    <row r="683" spans="2:11">
      <c r="B683" s="122"/>
      <c r="C683" s="16">
        <v>33875</v>
      </c>
      <c r="D683" s="19">
        <v>6273</v>
      </c>
      <c r="E683" s="18">
        <f t="shared" si="10"/>
        <v>1.7250749999999999E-2</v>
      </c>
      <c r="J683" s="3">
        <v>35556</v>
      </c>
      <c r="K683" s="17">
        <v>1.0649999999999999</v>
      </c>
    </row>
    <row r="684" spans="2:11">
      <c r="B684" s="122"/>
      <c r="C684" s="16">
        <v>33876</v>
      </c>
      <c r="D684" s="19">
        <v>6334</v>
      </c>
      <c r="E684" s="18">
        <f t="shared" si="10"/>
        <v>1.74185E-2</v>
      </c>
      <c r="J684" s="3">
        <v>35557</v>
      </c>
      <c r="K684" s="17">
        <v>1.0649999999999999</v>
      </c>
    </row>
    <row r="685" spans="2:11">
      <c r="B685" s="122"/>
      <c r="C685" s="16">
        <v>33877</v>
      </c>
      <c r="D685" s="19">
        <v>6400</v>
      </c>
      <c r="E685" s="18">
        <f t="shared" si="10"/>
        <v>1.7600000000000001E-2</v>
      </c>
      <c r="J685" s="3">
        <v>35558</v>
      </c>
      <c r="K685" s="17">
        <v>1.0649999999999999</v>
      </c>
    </row>
    <row r="686" spans="2:11">
      <c r="B686" s="122"/>
      <c r="C686" s="16">
        <v>33878</v>
      </c>
      <c r="D686" s="19">
        <v>6468.5</v>
      </c>
      <c r="E686" s="18">
        <f t="shared" si="10"/>
        <v>1.7788375000000002E-2</v>
      </c>
      <c r="J686" s="3">
        <v>35559</v>
      </c>
      <c r="K686" s="17">
        <v>1.0660000000000001</v>
      </c>
    </row>
    <row r="687" spans="2:11">
      <c r="B687" s="122"/>
      <c r="C687" s="16">
        <v>33879</v>
      </c>
      <c r="D687" s="19">
        <v>6537.6</v>
      </c>
      <c r="E687" s="18">
        <f t="shared" si="10"/>
        <v>1.7978400000000002E-2</v>
      </c>
      <c r="J687" s="3">
        <v>35562</v>
      </c>
      <c r="K687" s="17">
        <v>1.0669999999999999</v>
      </c>
    </row>
    <row r="688" spans="2:11">
      <c r="B688" s="122"/>
      <c r="C688" s="16">
        <v>33882</v>
      </c>
      <c r="D688" s="19">
        <v>6607.4</v>
      </c>
      <c r="E688" s="18">
        <f t="shared" si="10"/>
        <v>1.8170349999999998E-2</v>
      </c>
      <c r="J688" s="3">
        <v>35563</v>
      </c>
      <c r="K688" s="17">
        <v>1.0680000000000001</v>
      </c>
    </row>
    <row r="689" spans="2:11">
      <c r="B689" s="122"/>
      <c r="C689" s="16">
        <v>33883</v>
      </c>
      <c r="D689" s="19">
        <v>6677.9</v>
      </c>
      <c r="E689" s="18">
        <f t="shared" si="10"/>
        <v>1.8364224999999998E-2</v>
      </c>
      <c r="J689" s="3">
        <v>35564</v>
      </c>
      <c r="K689" s="17">
        <v>1.0680000000000001</v>
      </c>
    </row>
    <row r="690" spans="2:11">
      <c r="B690" s="122"/>
      <c r="C690" s="16">
        <v>33884</v>
      </c>
      <c r="D690" s="19">
        <v>6749.2</v>
      </c>
      <c r="E690" s="18">
        <f t="shared" si="10"/>
        <v>1.8560299999999998E-2</v>
      </c>
      <c r="J690" s="3">
        <v>35565</v>
      </c>
      <c r="K690" s="17">
        <v>1.0669999999999999</v>
      </c>
    </row>
    <row r="691" spans="2:11">
      <c r="B691" s="122"/>
      <c r="C691" s="16">
        <v>33885</v>
      </c>
      <c r="D691" s="19">
        <v>6821.3</v>
      </c>
      <c r="E691" s="18">
        <f t="shared" si="10"/>
        <v>1.8758575E-2</v>
      </c>
      <c r="J691" s="3">
        <v>35566</v>
      </c>
      <c r="K691" s="17">
        <v>1.0669999999999999</v>
      </c>
    </row>
    <row r="692" spans="2:11">
      <c r="B692" s="122"/>
      <c r="C692" s="16">
        <v>33886</v>
      </c>
      <c r="D692" s="19">
        <v>6894.2</v>
      </c>
      <c r="E692" s="18">
        <f t="shared" si="10"/>
        <v>1.8959049999999998E-2</v>
      </c>
      <c r="J692" s="3">
        <v>35569</v>
      </c>
      <c r="K692" s="17">
        <v>1.0680000000000001</v>
      </c>
    </row>
    <row r="693" spans="2:11">
      <c r="B693" s="122"/>
      <c r="C693" s="16">
        <v>33890</v>
      </c>
      <c r="D693" s="19">
        <v>6968</v>
      </c>
      <c r="E693" s="18">
        <f t="shared" si="10"/>
        <v>1.9162000000000002E-2</v>
      </c>
      <c r="J693" s="3">
        <v>35570</v>
      </c>
      <c r="K693" s="17">
        <v>1.0680000000000001</v>
      </c>
    </row>
    <row r="694" spans="2:11">
      <c r="B694" s="122"/>
      <c r="C694" s="16">
        <v>33891</v>
      </c>
      <c r="D694" s="19">
        <v>7042.6</v>
      </c>
      <c r="E694" s="18">
        <f t="shared" si="10"/>
        <v>1.936715E-2</v>
      </c>
      <c r="J694" s="3">
        <v>35571</v>
      </c>
      <c r="K694" s="17">
        <v>1.0680000000000001</v>
      </c>
    </row>
    <row r="695" spans="2:11">
      <c r="B695" s="122"/>
      <c r="C695" s="16">
        <v>33892</v>
      </c>
      <c r="D695" s="19">
        <v>7118.1</v>
      </c>
      <c r="E695" s="18">
        <f t="shared" si="10"/>
        <v>1.9574775000000003E-2</v>
      </c>
      <c r="J695" s="3">
        <v>35572</v>
      </c>
      <c r="K695" s="17">
        <v>1.069</v>
      </c>
    </row>
    <row r="696" spans="2:11">
      <c r="B696" s="122"/>
      <c r="C696" s="16">
        <v>33893</v>
      </c>
      <c r="D696" s="19">
        <v>7194.4</v>
      </c>
      <c r="E696" s="18">
        <f t="shared" si="10"/>
        <v>1.9784599999999999E-2</v>
      </c>
      <c r="J696" s="3">
        <v>35573</v>
      </c>
      <c r="K696" s="17">
        <v>1.07</v>
      </c>
    </row>
    <row r="697" spans="2:11">
      <c r="B697" s="122"/>
      <c r="C697" s="16">
        <v>33896</v>
      </c>
      <c r="D697" s="19">
        <v>7271.8</v>
      </c>
      <c r="E697" s="18">
        <f t="shared" si="10"/>
        <v>1.999745E-2</v>
      </c>
      <c r="J697" s="3">
        <v>35576</v>
      </c>
      <c r="K697" s="17">
        <v>1.0720000000000001</v>
      </c>
    </row>
    <row r="698" spans="2:11">
      <c r="B698" s="122"/>
      <c r="C698" s="16">
        <v>33897</v>
      </c>
      <c r="D698" s="19">
        <v>7350.1</v>
      </c>
      <c r="E698" s="18">
        <f t="shared" si="10"/>
        <v>2.0212774999999999E-2</v>
      </c>
      <c r="J698" s="3">
        <v>35577</v>
      </c>
      <c r="K698" s="17">
        <v>1.0720000000000001</v>
      </c>
    </row>
    <row r="699" spans="2:11">
      <c r="B699" s="122"/>
      <c r="C699" s="16">
        <v>33898</v>
      </c>
      <c r="D699" s="19">
        <v>7429.6</v>
      </c>
      <c r="E699" s="18">
        <f t="shared" si="10"/>
        <v>2.0431400000000002E-2</v>
      </c>
      <c r="J699" s="3">
        <v>35578</v>
      </c>
      <c r="K699" s="17">
        <v>1.073</v>
      </c>
    </row>
    <row r="700" spans="2:11">
      <c r="B700" s="122"/>
      <c r="C700" s="16">
        <v>33899</v>
      </c>
      <c r="D700" s="19">
        <v>7510.5</v>
      </c>
      <c r="E700" s="18">
        <f t="shared" si="10"/>
        <v>2.0653874999999999E-2</v>
      </c>
      <c r="J700" s="3">
        <v>35580</v>
      </c>
      <c r="K700" s="17">
        <v>1.071</v>
      </c>
    </row>
    <row r="701" spans="2:11">
      <c r="B701" s="122"/>
      <c r="C701" s="16">
        <v>33900</v>
      </c>
      <c r="D701" s="19">
        <v>7593.4</v>
      </c>
      <c r="E701" s="18">
        <f t="shared" si="10"/>
        <v>2.0881849999999997E-2</v>
      </c>
      <c r="J701" s="3">
        <v>35583</v>
      </c>
      <c r="K701" s="17">
        <v>1.07</v>
      </c>
    </row>
    <row r="702" spans="2:11">
      <c r="B702" s="122"/>
      <c r="C702" s="16">
        <v>33903</v>
      </c>
      <c r="D702" s="19">
        <v>7679.4</v>
      </c>
      <c r="E702" s="18">
        <f t="shared" si="10"/>
        <v>2.1118349999999998E-2</v>
      </c>
      <c r="J702" s="3">
        <v>35584</v>
      </c>
      <c r="K702" s="17">
        <v>1.071</v>
      </c>
    </row>
    <row r="703" spans="2:11">
      <c r="B703" s="122"/>
      <c r="C703" s="16">
        <v>33904</v>
      </c>
      <c r="D703" s="19">
        <v>7766.5</v>
      </c>
      <c r="E703" s="18">
        <f t="shared" si="10"/>
        <v>2.1357874999999998E-2</v>
      </c>
      <c r="J703" s="3">
        <v>35585</v>
      </c>
      <c r="K703" s="17">
        <v>1.0720000000000001</v>
      </c>
    </row>
    <row r="704" spans="2:11">
      <c r="B704" s="122"/>
      <c r="C704" s="16">
        <v>33905</v>
      </c>
      <c r="D704" s="19">
        <v>7854.6</v>
      </c>
      <c r="E704" s="18">
        <f t="shared" si="10"/>
        <v>2.1600149999999999E-2</v>
      </c>
      <c r="J704" s="3">
        <v>35586</v>
      </c>
      <c r="K704" s="17">
        <v>1.0720000000000001</v>
      </c>
    </row>
    <row r="705" spans="2:11">
      <c r="B705" s="122"/>
      <c r="C705" s="16">
        <v>33906</v>
      </c>
      <c r="D705" s="19">
        <v>7943.7</v>
      </c>
      <c r="E705" s="18">
        <f t="shared" si="10"/>
        <v>2.1845174999999998E-2</v>
      </c>
      <c r="J705" s="3">
        <v>35587</v>
      </c>
      <c r="K705" s="17">
        <v>1.0720000000000001</v>
      </c>
    </row>
    <row r="706" spans="2:11">
      <c r="B706" s="122"/>
      <c r="C706" s="16">
        <v>33907</v>
      </c>
      <c r="D706" s="19">
        <v>8034.1</v>
      </c>
      <c r="E706" s="18">
        <f t="shared" si="10"/>
        <v>2.2093775000000003E-2</v>
      </c>
      <c r="J706" s="3">
        <v>35590</v>
      </c>
      <c r="K706" s="17">
        <v>1.073</v>
      </c>
    </row>
    <row r="707" spans="2:11">
      <c r="B707" s="122"/>
      <c r="C707" s="16">
        <v>33911</v>
      </c>
      <c r="D707" s="19">
        <v>8123</v>
      </c>
      <c r="E707" s="18">
        <f t="shared" si="10"/>
        <v>2.233825E-2</v>
      </c>
      <c r="J707" s="3">
        <v>35591</v>
      </c>
      <c r="K707" s="17">
        <v>1.0720000000000001</v>
      </c>
    </row>
    <row r="708" spans="2:11">
      <c r="B708" s="122"/>
      <c r="C708" s="16">
        <v>33912</v>
      </c>
      <c r="D708" s="19">
        <v>8213.1</v>
      </c>
      <c r="E708" s="18">
        <f t="shared" ref="E708:E771" si="11">(D708/1000^2)*2.75</f>
        <v>2.2586025000000003E-2</v>
      </c>
      <c r="J708" s="3">
        <v>35592</v>
      </c>
      <c r="K708" s="17">
        <v>1.073</v>
      </c>
    </row>
    <row r="709" spans="2:11">
      <c r="B709" s="122"/>
      <c r="C709" s="16">
        <v>33913</v>
      </c>
      <c r="D709" s="19">
        <v>8304.2000000000007</v>
      </c>
      <c r="E709" s="18">
        <f t="shared" si="11"/>
        <v>2.2836550000000004E-2</v>
      </c>
      <c r="J709" s="3">
        <v>35593</v>
      </c>
      <c r="K709" s="17">
        <v>1.073</v>
      </c>
    </row>
    <row r="710" spans="2:11">
      <c r="B710" s="122"/>
      <c r="C710" s="16">
        <v>33914</v>
      </c>
      <c r="D710" s="19">
        <v>8396.2999999999993</v>
      </c>
      <c r="E710" s="18">
        <f t="shared" si="11"/>
        <v>2.3089824999999998E-2</v>
      </c>
      <c r="J710" s="3">
        <v>35594</v>
      </c>
      <c r="K710" s="17">
        <v>1.0740000000000001</v>
      </c>
    </row>
    <row r="711" spans="2:11">
      <c r="B711" s="122"/>
      <c r="C711" s="16">
        <v>33917</v>
      </c>
      <c r="D711" s="19">
        <v>8583.6</v>
      </c>
      <c r="E711" s="18">
        <f t="shared" si="11"/>
        <v>2.3604900000000002E-2</v>
      </c>
      <c r="J711" s="3">
        <v>35597</v>
      </c>
      <c r="K711" s="17">
        <v>1.0740000000000001</v>
      </c>
    </row>
    <row r="712" spans="2:11">
      <c r="B712" s="122"/>
      <c r="C712" s="16">
        <v>33918</v>
      </c>
      <c r="D712" s="19">
        <v>8678.7999999999993</v>
      </c>
      <c r="E712" s="18">
        <f t="shared" si="11"/>
        <v>2.3866699999999998E-2</v>
      </c>
      <c r="J712" s="3">
        <v>35598</v>
      </c>
      <c r="K712" s="17">
        <v>1.0740000000000001</v>
      </c>
    </row>
    <row r="713" spans="2:11">
      <c r="B713" s="122"/>
      <c r="C713" s="16">
        <v>33919</v>
      </c>
      <c r="D713" s="19">
        <v>8678.7999999999993</v>
      </c>
      <c r="E713" s="18">
        <f t="shared" si="11"/>
        <v>2.3866699999999998E-2</v>
      </c>
      <c r="J713" s="3">
        <v>35599</v>
      </c>
      <c r="K713" s="17">
        <v>1.075</v>
      </c>
    </row>
    <row r="714" spans="2:11">
      <c r="B714" s="122"/>
      <c r="C714" s="16">
        <v>33920</v>
      </c>
      <c r="D714" s="19">
        <v>8775.0499999999993</v>
      </c>
      <c r="E714" s="18">
        <f t="shared" si="11"/>
        <v>2.4131387499999997E-2</v>
      </c>
      <c r="J714" s="3">
        <v>35600</v>
      </c>
      <c r="K714" s="17">
        <v>1.075</v>
      </c>
    </row>
    <row r="715" spans="2:11">
      <c r="B715" s="122"/>
      <c r="C715" s="16">
        <v>33921</v>
      </c>
      <c r="D715" s="19">
        <v>8872.2999999999993</v>
      </c>
      <c r="E715" s="18">
        <f t="shared" si="11"/>
        <v>2.4398824999999999E-2</v>
      </c>
      <c r="J715" s="3">
        <v>35601</v>
      </c>
      <c r="K715" s="17">
        <v>1.077</v>
      </c>
    </row>
    <row r="716" spans="2:11">
      <c r="B716" s="122"/>
      <c r="C716" s="16">
        <v>33924</v>
      </c>
      <c r="D716" s="19">
        <v>8970.7000000000007</v>
      </c>
      <c r="E716" s="18">
        <f t="shared" si="11"/>
        <v>2.4669425000000005E-2</v>
      </c>
      <c r="J716" s="3">
        <v>35604</v>
      </c>
      <c r="K716" s="17">
        <v>1.0760000000000001</v>
      </c>
    </row>
    <row r="717" spans="2:11">
      <c r="B717" s="122"/>
      <c r="C717" s="16">
        <v>33925</v>
      </c>
      <c r="D717" s="19">
        <v>9069.7999999999993</v>
      </c>
      <c r="E717" s="18">
        <f t="shared" si="11"/>
        <v>2.4941949999999997E-2</v>
      </c>
      <c r="J717" s="3">
        <v>35605</v>
      </c>
      <c r="K717" s="17">
        <v>1.077</v>
      </c>
    </row>
    <row r="718" spans="2:11">
      <c r="B718" s="122"/>
      <c r="C718" s="16">
        <v>33926</v>
      </c>
      <c r="D718" s="19">
        <v>9169.7000000000007</v>
      </c>
      <c r="E718" s="18">
        <f t="shared" si="11"/>
        <v>2.5216675000000004E-2</v>
      </c>
      <c r="J718" s="3">
        <v>35606</v>
      </c>
      <c r="K718" s="17">
        <v>1.0760000000000001</v>
      </c>
    </row>
    <row r="719" spans="2:11">
      <c r="B719" s="122"/>
      <c r="C719" s="16">
        <v>33927</v>
      </c>
      <c r="D719" s="19">
        <v>9269.5</v>
      </c>
      <c r="E719" s="18">
        <f t="shared" si="11"/>
        <v>2.5491125E-2</v>
      </c>
      <c r="J719" s="3">
        <v>35607</v>
      </c>
      <c r="K719" s="17">
        <v>1.0760000000000001</v>
      </c>
    </row>
    <row r="720" spans="2:11">
      <c r="B720" s="122"/>
      <c r="C720" s="16">
        <v>33928</v>
      </c>
      <c r="D720" s="19">
        <v>9369</v>
      </c>
      <c r="E720" s="18">
        <f t="shared" si="11"/>
        <v>2.5764750000000003E-2</v>
      </c>
      <c r="J720" s="3">
        <v>35608</v>
      </c>
      <c r="K720" s="17">
        <v>1.077</v>
      </c>
    </row>
    <row r="721" spans="2:11">
      <c r="B721" s="122"/>
      <c r="C721" s="16">
        <v>33931</v>
      </c>
      <c r="D721" s="19">
        <v>9468.4</v>
      </c>
      <c r="E721" s="18">
        <f t="shared" si="11"/>
        <v>2.6038100000000002E-2</v>
      </c>
      <c r="J721" s="3">
        <v>35611</v>
      </c>
      <c r="K721" s="17">
        <v>1.0760000000000001</v>
      </c>
    </row>
    <row r="722" spans="2:11">
      <c r="B722" s="122"/>
      <c r="C722" s="16">
        <v>33932</v>
      </c>
      <c r="D722" s="19">
        <v>9667</v>
      </c>
      <c r="E722" s="18">
        <f t="shared" si="11"/>
        <v>2.658425E-2</v>
      </c>
      <c r="J722" s="3">
        <v>35612</v>
      </c>
      <c r="K722" s="17">
        <v>1.077</v>
      </c>
    </row>
    <row r="723" spans="2:11">
      <c r="B723" s="122"/>
      <c r="C723" s="16">
        <v>33933</v>
      </c>
      <c r="D723" s="19">
        <v>9761</v>
      </c>
      <c r="E723" s="18">
        <f t="shared" si="11"/>
        <v>2.6842750000000002E-2</v>
      </c>
      <c r="J723" s="3">
        <v>35613</v>
      </c>
      <c r="K723" s="17">
        <v>1.077</v>
      </c>
    </row>
    <row r="724" spans="2:11">
      <c r="B724" s="122"/>
      <c r="C724" s="16">
        <v>33934</v>
      </c>
      <c r="D724" s="19">
        <v>9760.7999999999993</v>
      </c>
      <c r="E724" s="18">
        <f t="shared" si="11"/>
        <v>2.68422E-2</v>
      </c>
      <c r="J724" s="3">
        <v>35614</v>
      </c>
      <c r="K724" s="17">
        <v>1.077</v>
      </c>
    </row>
    <row r="725" spans="2:11">
      <c r="B725" s="122"/>
      <c r="C725" s="16">
        <v>33935</v>
      </c>
      <c r="D725" s="19">
        <v>9855</v>
      </c>
      <c r="E725" s="18">
        <f t="shared" si="11"/>
        <v>2.7101249999999997E-2</v>
      </c>
      <c r="J725" s="3">
        <v>35615</v>
      </c>
      <c r="K725" s="17">
        <v>1.077</v>
      </c>
    </row>
    <row r="726" spans="2:11">
      <c r="B726" s="122"/>
      <c r="C726" s="16">
        <v>33938</v>
      </c>
      <c r="D726" s="19">
        <v>9949.9</v>
      </c>
      <c r="E726" s="18">
        <f t="shared" si="11"/>
        <v>2.7362224999999997E-2</v>
      </c>
      <c r="J726" s="3">
        <v>35618</v>
      </c>
      <c r="K726" s="17">
        <v>1.0780000000000001</v>
      </c>
    </row>
    <row r="727" spans="2:11">
      <c r="B727" s="122"/>
      <c r="C727" s="16">
        <v>33939</v>
      </c>
      <c r="D727" s="19">
        <v>10046.200000000001</v>
      </c>
      <c r="E727" s="18">
        <f t="shared" si="11"/>
        <v>2.762705E-2</v>
      </c>
      <c r="J727" s="3">
        <v>35619</v>
      </c>
      <c r="K727" s="17">
        <v>1.079</v>
      </c>
    </row>
    <row r="728" spans="2:11">
      <c r="B728" s="122"/>
      <c r="C728" s="16">
        <v>33940</v>
      </c>
      <c r="D728" s="19">
        <v>10143.700000000001</v>
      </c>
      <c r="E728" s="18">
        <f t="shared" si="11"/>
        <v>2.7895175000000001E-2</v>
      </c>
      <c r="J728" s="3">
        <v>35620</v>
      </c>
      <c r="K728" s="17">
        <v>1.079</v>
      </c>
    </row>
    <row r="729" spans="2:11">
      <c r="B729" s="122"/>
      <c r="C729" s="16">
        <v>33941</v>
      </c>
      <c r="D729" s="19">
        <v>10241.9</v>
      </c>
      <c r="E729" s="18">
        <f t="shared" si="11"/>
        <v>2.8165224999999999E-2</v>
      </c>
      <c r="J729" s="3">
        <v>35621</v>
      </c>
      <c r="K729" s="17">
        <v>1.079</v>
      </c>
    </row>
    <row r="730" spans="2:11">
      <c r="B730" s="122"/>
      <c r="C730" s="16">
        <v>33942</v>
      </c>
      <c r="D730" s="19">
        <v>10341.200000000001</v>
      </c>
      <c r="E730" s="18">
        <f t="shared" si="11"/>
        <v>2.84383E-2</v>
      </c>
      <c r="J730" s="3">
        <v>35622</v>
      </c>
      <c r="K730" s="17">
        <v>1.08</v>
      </c>
    </row>
    <row r="731" spans="2:11">
      <c r="B731" s="122"/>
      <c r="C731" s="16">
        <v>33945</v>
      </c>
      <c r="D731" s="19">
        <v>10441.6</v>
      </c>
      <c r="E731" s="18">
        <f t="shared" si="11"/>
        <v>2.8714400000000001E-2</v>
      </c>
      <c r="J731" s="3">
        <v>35625</v>
      </c>
      <c r="K731" s="17">
        <v>1.08</v>
      </c>
    </row>
    <row r="732" spans="2:11">
      <c r="B732" s="122"/>
      <c r="C732" s="16">
        <v>33946</v>
      </c>
      <c r="D732" s="19">
        <v>10543</v>
      </c>
      <c r="E732" s="18">
        <f t="shared" si="11"/>
        <v>2.8993250000000002E-2</v>
      </c>
      <c r="J732" s="3">
        <v>35626</v>
      </c>
      <c r="K732" s="17">
        <v>1.08</v>
      </c>
    </row>
    <row r="733" spans="2:11">
      <c r="B733" s="122"/>
      <c r="C733" s="16">
        <v>33947</v>
      </c>
      <c r="D733" s="19">
        <v>10645.7</v>
      </c>
      <c r="E733" s="18">
        <f t="shared" si="11"/>
        <v>2.9275675000000001E-2</v>
      </c>
      <c r="J733" s="3">
        <v>35627</v>
      </c>
      <c r="K733" s="17">
        <v>1.081</v>
      </c>
    </row>
    <row r="734" spans="2:11">
      <c r="B734" s="122"/>
      <c r="C734" s="16">
        <v>33948</v>
      </c>
      <c r="D734" s="19">
        <v>10749.2</v>
      </c>
      <c r="E734" s="18">
        <f t="shared" si="11"/>
        <v>2.9560300000000001E-2</v>
      </c>
      <c r="J734" s="3">
        <v>35628</v>
      </c>
      <c r="K734" s="17">
        <v>1.081</v>
      </c>
    </row>
    <row r="735" spans="2:11">
      <c r="B735" s="122"/>
      <c r="C735" s="16">
        <v>33949</v>
      </c>
      <c r="D735" s="19">
        <v>10854.3</v>
      </c>
      <c r="E735" s="18">
        <f t="shared" si="11"/>
        <v>2.9849324999999996E-2</v>
      </c>
      <c r="J735" s="3">
        <v>35629</v>
      </c>
      <c r="K735" s="17">
        <v>1.081</v>
      </c>
    </row>
    <row r="736" spans="2:11">
      <c r="B736" s="122"/>
      <c r="C736" s="16">
        <v>33952</v>
      </c>
      <c r="D736" s="19">
        <v>10960.1</v>
      </c>
      <c r="E736" s="18">
        <f t="shared" si="11"/>
        <v>3.0140275000000001E-2</v>
      </c>
      <c r="J736" s="3">
        <v>35632</v>
      </c>
      <c r="K736" s="17">
        <v>1.081</v>
      </c>
    </row>
    <row r="737" spans="2:11">
      <c r="B737" s="122"/>
      <c r="C737" s="16">
        <v>33953</v>
      </c>
      <c r="D737" s="19">
        <v>11066.95</v>
      </c>
      <c r="E737" s="18">
        <f t="shared" si="11"/>
        <v>3.0434112500000002E-2</v>
      </c>
      <c r="J737" s="3">
        <v>35633</v>
      </c>
      <c r="K737" s="17">
        <v>1.081</v>
      </c>
    </row>
    <row r="738" spans="2:11">
      <c r="B738" s="122"/>
      <c r="C738" s="16">
        <v>33954</v>
      </c>
      <c r="D738" s="19">
        <v>11174.5</v>
      </c>
      <c r="E738" s="18">
        <f t="shared" si="11"/>
        <v>3.0729875E-2</v>
      </c>
      <c r="J738" s="3">
        <v>35634</v>
      </c>
      <c r="K738" s="17">
        <v>1.0820000000000001</v>
      </c>
    </row>
    <row r="739" spans="2:11">
      <c r="B739" s="122"/>
      <c r="C739" s="16">
        <v>33955</v>
      </c>
      <c r="D739" s="19">
        <v>11283.4</v>
      </c>
      <c r="E739" s="18">
        <f t="shared" si="11"/>
        <v>3.1029349999999997E-2</v>
      </c>
      <c r="J739" s="3">
        <v>35635</v>
      </c>
      <c r="K739" s="17">
        <v>1.0820000000000001</v>
      </c>
    </row>
    <row r="740" spans="2:11">
      <c r="B740" s="122"/>
      <c r="C740" s="16">
        <v>33956</v>
      </c>
      <c r="D740" s="19">
        <v>11393.5</v>
      </c>
      <c r="E740" s="18">
        <f t="shared" si="11"/>
        <v>3.1332125000000002E-2</v>
      </c>
      <c r="J740" s="3">
        <v>35636</v>
      </c>
      <c r="K740" s="17">
        <v>1.0820000000000001</v>
      </c>
    </row>
    <row r="741" spans="2:11">
      <c r="B741" s="122"/>
      <c r="C741" s="16">
        <v>33959</v>
      </c>
      <c r="D741" s="19">
        <v>11505.5</v>
      </c>
      <c r="E741" s="18">
        <f t="shared" si="11"/>
        <v>3.1640124999999998E-2</v>
      </c>
      <c r="J741" s="3">
        <v>35639</v>
      </c>
      <c r="K741" s="17">
        <v>1.0820000000000001</v>
      </c>
    </row>
    <row r="742" spans="2:11">
      <c r="B742" s="122"/>
      <c r="C742" s="16">
        <v>33960</v>
      </c>
      <c r="D742" s="19">
        <v>11621</v>
      </c>
      <c r="E742" s="18">
        <f t="shared" si="11"/>
        <v>3.195775E-2</v>
      </c>
      <c r="J742" s="3">
        <v>35640</v>
      </c>
      <c r="K742" s="17">
        <v>1.083</v>
      </c>
    </row>
    <row r="743" spans="2:11">
      <c r="B743" s="122"/>
      <c r="C743" s="16">
        <v>33961</v>
      </c>
      <c r="D743" s="19">
        <v>11737.5</v>
      </c>
      <c r="E743" s="18">
        <f t="shared" si="11"/>
        <v>3.2278124999999998E-2</v>
      </c>
      <c r="J743" s="3">
        <v>35641</v>
      </c>
      <c r="K743" s="17">
        <v>1.083</v>
      </c>
    </row>
    <row r="744" spans="2:11">
      <c r="B744" s="122"/>
      <c r="C744" s="16">
        <v>33962</v>
      </c>
      <c r="D744" s="19">
        <v>11855.3</v>
      </c>
      <c r="E744" s="18">
        <f t="shared" si="11"/>
        <v>3.2602074999999994E-2</v>
      </c>
      <c r="J744" s="3">
        <v>35642</v>
      </c>
      <c r="K744" s="17">
        <v>1.083</v>
      </c>
    </row>
    <row r="745" spans="2:11">
      <c r="B745" s="122"/>
      <c r="C745" s="16">
        <v>33966</v>
      </c>
      <c r="D745" s="19">
        <v>11977.7</v>
      </c>
      <c r="E745" s="18">
        <f t="shared" si="11"/>
        <v>3.2938675000000001E-2</v>
      </c>
      <c r="J745" s="3">
        <v>35643</v>
      </c>
      <c r="K745" s="17">
        <v>1.083</v>
      </c>
    </row>
    <row r="746" spans="2:11">
      <c r="B746" s="122"/>
      <c r="C746" s="16">
        <v>33967</v>
      </c>
      <c r="D746" s="19">
        <v>12106.5</v>
      </c>
      <c r="E746" s="18">
        <f t="shared" si="11"/>
        <v>3.3292875E-2</v>
      </c>
      <c r="J746" s="3">
        <v>35646</v>
      </c>
      <c r="K746" s="17">
        <v>1.083</v>
      </c>
    </row>
    <row r="747" spans="2:11">
      <c r="B747" s="122"/>
      <c r="C747" s="16">
        <v>33968</v>
      </c>
      <c r="D747" s="19">
        <v>12243</v>
      </c>
      <c r="E747" s="18">
        <f t="shared" si="11"/>
        <v>3.3668250000000004E-2</v>
      </c>
      <c r="J747" s="3">
        <v>35647</v>
      </c>
      <c r="K747" s="17">
        <v>1.0840000000000001</v>
      </c>
    </row>
    <row r="748" spans="2:11">
      <c r="B748" s="122"/>
      <c r="C748" s="16">
        <v>33969</v>
      </c>
      <c r="D748" s="19">
        <v>12387.5</v>
      </c>
      <c r="E748" s="18">
        <f t="shared" si="11"/>
        <v>3.4065624999999995E-2</v>
      </c>
      <c r="J748" s="3">
        <v>35648</v>
      </c>
      <c r="K748" s="17">
        <v>1.0840000000000001</v>
      </c>
    </row>
    <row r="749" spans="2:11">
      <c r="B749" s="122"/>
      <c r="C749" s="16">
        <v>33973</v>
      </c>
      <c r="D749" s="19">
        <v>12531.5</v>
      </c>
      <c r="E749" s="18">
        <f t="shared" si="11"/>
        <v>3.4461624999999996E-2</v>
      </c>
      <c r="J749" s="3">
        <v>35649</v>
      </c>
      <c r="K749" s="17">
        <v>1.085</v>
      </c>
    </row>
    <row r="750" spans="2:11">
      <c r="B750" s="122"/>
      <c r="C750" s="16">
        <v>33974</v>
      </c>
      <c r="D750" s="19">
        <v>12677.2</v>
      </c>
      <c r="E750" s="18">
        <f t="shared" si="11"/>
        <v>3.4862300000000006E-2</v>
      </c>
      <c r="J750" s="3">
        <v>35650</v>
      </c>
      <c r="K750" s="17">
        <v>1.085</v>
      </c>
    </row>
    <row r="751" spans="2:11">
      <c r="B751" s="122"/>
      <c r="C751" s="16">
        <v>33975</v>
      </c>
      <c r="D751" s="19">
        <v>12824.6</v>
      </c>
      <c r="E751" s="18">
        <f t="shared" si="11"/>
        <v>3.5267649999999998E-2</v>
      </c>
      <c r="J751" s="3">
        <v>35653</v>
      </c>
      <c r="K751" s="17">
        <v>1.085</v>
      </c>
    </row>
    <row r="752" spans="2:11">
      <c r="B752" s="122"/>
      <c r="C752" s="16">
        <v>33976</v>
      </c>
      <c r="D752" s="19">
        <v>12973.7</v>
      </c>
      <c r="E752" s="18">
        <f t="shared" si="11"/>
        <v>3.5677675000000006E-2</v>
      </c>
      <c r="J752" s="3">
        <v>35654</v>
      </c>
      <c r="K752" s="17">
        <v>1.085</v>
      </c>
    </row>
    <row r="753" spans="2:11">
      <c r="B753" s="122"/>
      <c r="C753" s="16">
        <v>33977</v>
      </c>
      <c r="D753" s="19">
        <v>13124.7</v>
      </c>
      <c r="E753" s="18">
        <f t="shared" si="11"/>
        <v>3.6092925000000005E-2</v>
      </c>
      <c r="J753" s="3">
        <v>35655</v>
      </c>
      <c r="K753" s="17">
        <v>1.0860000000000001</v>
      </c>
    </row>
    <row r="754" spans="2:11">
      <c r="B754" s="122"/>
      <c r="C754" s="16">
        <v>33980</v>
      </c>
      <c r="D754" s="19">
        <v>13278.4</v>
      </c>
      <c r="E754" s="18">
        <f t="shared" si="11"/>
        <v>3.6515599999999995E-2</v>
      </c>
      <c r="J754" s="3">
        <v>35656</v>
      </c>
      <c r="K754" s="17">
        <v>1.0860000000000001</v>
      </c>
    </row>
    <row r="755" spans="2:11">
      <c r="B755" s="122"/>
      <c r="C755" s="16">
        <v>33981</v>
      </c>
      <c r="D755" s="19">
        <v>13434.5</v>
      </c>
      <c r="E755" s="18">
        <f t="shared" si="11"/>
        <v>3.6944875000000002E-2</v>
      </c>
      <c r="J755" s="3">
        <v>35657</v>
      </c>
      <c r="K755" s="17">
        <v>1.087</v>
      </c>
    </row>
    <row r="756" spans="2:11">
      <c r="B756" s="122"/>
      <c r="C756" s="16">
        <v>33982</v>
      </c>
      <c r="D756" s="19">
        <v>13592.9</v>
      </c>
      <c r="E756" s="18">
        <f t="shared" si="11"/>
        <v>3.7380474999999996E-2</v>
      </c>
      <c r="J756" s="3">
        <v>35660</v>
      </c>
      <c r="K756" s="17">
        <v>1.0880000000000001</v>
      </c>
    </row>
    <row r="757" spans="2:11">
      <c r="B757" s="122"/>
      <c r="C757" s="16">
        <v>33983</v>
      </c>
      <c r="D757" s="19">
        <v>13915.9</v>
      </c>
      <c r="E757" s="18">
        <f t="shared" si="11"/>
        <v>3.8268725000000003E-2</v>
      </c>
      <c r="J757" s="3">
        <v>35661</v>
      </c>
      <c r="K757" s="17">
        <v>1.089</v>
      </c>
    </row>
    <row r="758" spans="2:11">
      <c r="B758" s="122"/>
      <c r="C758" s="16">
        <v>33984</v>
      </c>
      <c r="D758" s="19">
        <v>14080.5</v>
      </c>
      <c r="E758" s="18">
        <f t="shared" si="11"/>
        <v>3.8721374999999995E-2</v>
      </c>
      <c r="J758" s="3">
        <v>35662</v>
      </c>
      <c r="K758" s="17">
        <v>1.089</v>
      </c>
    </row>
    <row r="759" spans="2:11">
      <c r="B759" s="122"/>
      <c r="C759" s="16">
        <v>33987</v>
      </c>
      <c r="D759" s="19">
        <v>14081</v>
      </c>
      <c r="E759" s="18">
        <f t="shared" si="11"/>
        <v>3.872275E-2</v>
      </c>
      <c r="J759" s="3">
        <v>35663</v>
      </c>
      <c r="K759" s="17">
        <v>1.0880000000000001</v>
      </c>
    </row>
    <row r="760" spans="2:11">
      <c r="B760" s="122"/>
      <c r="C760" s="16">
        <v>33988</v>
      </c>
      <c r="D760" s="19">
        <v>14249.35</v>
      </c>
      <c r="E760" s="18">
        <f t="shared" si="11"/>
        <v>3.9185712500000004E-2</v>
      </c>
      <c r="J760" s="3">
        <v>35664</v>
      </c>
      <c r="K760" s="17">
        <v>1.091</v>
      </c>
    </row>
    <row r="761" spans="2:11">
      <c r="B761" s="122"/>
      <c r="C761" s="16">
        <v>33989</v>
      </c>
      <c r="D761" s="19">
        <v>14419.9</v>
      </c>
      <c r="E761" s="18">
        <f t="shared" si="11"/>
        <v>3.9654725000000002E-2</v>
      </c>
      <c r="J761" s="3">
        <v>35667</v>
      </c>
      <c r="K761" s="17">
        <v>1.0920000000000001</v>
      </c>
    </row>
    <row r="762" spans="2:11">
      <c r="B762" s="122"/>
      <c r="C762" s="16">
        <v>33990</v>
      </c>
      <c r="D762" s="19">
        <v>14592.3</v>
      </c>
      <c r="E762" s="18">
        <f t="shared" si="11"/>
        <v>4.0128825E-2</v>
      </c>
      <c r="J762" s="3">
        <v>35668</v>
      </c>
      <c r="K762" s="17">
        <v>1.0920000000000001</v>
      </c>
    </row>
    <row r="763" spans="2:11">
      <c r="B763" s="122"/>
      <c r="C763" s="16">
        <v>33991</v>
      </c>
      <c r="D763" s="19">
        <v>14768.6</v>
      </c>
      <c r="E763" s="18">
        <f t="shared" si="11"/>
        <v>4.0613650000000001E-2</v>
      </c>
      <c r="J763" s="3">
        <v>35669</v>
      </c>
      <c r="K763" s="17">
        <v>1.0920000000000001</v>
      </c>
    </row>
    <row r="764" spans="2:11">
      <c r="B764" s="122"/>
      <c r="C764" s="16">
        <v>33994</v>
      </c>
      <c r="D764" s="19">
        <v>14949</v>
      </c>
      <c r="E764" s="18">
        <f t="shared" si="11"/>
        <v>4.110975E-2</v>
      </c>
      <c r="J764" s="3">
        <v>35670</v>
      </c>
      <c r="K764" s="17">
        <v>1.091</v>
      </c>
    </row>
    <row r="765" spans="2:11">
      <c r="B765" s="122"/>
      <c r="C765" s="16">
        <v>33995</v>
      </c>
      <c r="D765" s="19">
        <v>15133.8</v>
      </c>
      <c r="E765" s="18">
        <f t="shared" si="11"/>
        <v>4.1617950000000001E-2</v>
      </c>
      <c r="J765" s="3">
        <v>35671</v>
      </c>
      <c r="K765" s="17">
        <v>1.091</v>
      </c>
    </row>
    <row r="766" spans="2:11">
      <c r="B766" s="122"/>
      <c r="C766" s="16">
        <v>33996</v>
      </c>
      <c r="D766" s="19">
        <v>15322</v>
      </c>
      <c r="E766" s="18">
        <f t="shared" si="11"/>
        <v>4.2135499999999999E-2</v>
      </c>
      <c r="J766" s="3">
        <v>35674</v>
      </c>
      <c r="K766" s="17">
        <v>1.091</v>
      </c>
    </row>
    <row r="767" spans="2:11">
      <c r="B767" s="122"/>
      <c r="C767" s="16">
        <v>33997</v>
      </c>
      <c r="D767" s="19">
        <v>15513</v>
      </c>
      <c r="E767" s="18">
        <f t="shared" si="11"/>
        <v>4.2660750000000004E-2</v>
      </c>
      <c r="J767" s="3">
        <v>35675</v>
      </c>
      <c r="K767" s="17">
        <v>1.0920000000000001</v>
      </c>
    </row>
    <row r="768" spans="2:11">
      <c r="B768" s="122"/>
      <c r="C768" s="16">
        <v>33998</v>
      </c>
      <c r="D768" s="19">
        <v>15720</v>
      </c>
      <c r="E768" s="18">
        <f t="shared" si="11"/>
        <v>4.3230000000000005E-2</v>
      </c>
      <c r="J768" s="3">
        <v>35676</v>
      </c>
      <c r="K768" s="17">
        <v>1.0920000000000001</v>
      </c>
    </row>
    <row r="769" spans="2:11">
      <c r="B769" s="122"/>
      <c r="C769" s="16">
        <v>34001</v>
      </c>
      <c r="D769" s="19">
        <v>15931.25</v>
      </c>
      <c r="E769" s="18">
        <f t="shared" si="11"/>
        <v>4.3810937500000001E-2</v>
      </c>
      <c r="J769" s="3">
        <v>35677</v>
      </c>
      <c r="K769" s="17">
        <v>1.0920000000000001</v>
      </c>
    </row>
    <row r="770" spans="2:11">
      <c r="B770" s="122"/>
      <c r="C770" s="16">
        <v>34002</v>
      </c>
      <c r="D770" s="19">
        <v>16145.4</v>
      </c>
      <c r="E770" s="18">
        <f t="shared" si="11"/>
        <v>4.4399850000000005E-2</v>
      </c>
      <c r="J770" s="3">
        <v>35678</v>
      </c>
      <c r="K770" s="17">
        <v>1.0920000000000001</v>
      </c>
    </row>
    <row r="771" spans="2:11">
      <c r="B771" s="122"/>
      <c r="C771" s="16">
        <v>34003</v>
      </c>
      <c r="D771" s="19">
        <v>16361.5</v>
      </c>
      <c r="E771" s="18">
        <f t="shared" si="11"/>
        <v>4.4994125000000003E-2</v>
      </c>
      <c r="J771" s="3">
        <v>35681</v>
      </c>
      <c r="K771" s="17">
        <v>1.091</v>
      </c>
    </row>
    <row r="772" spans="2:11">
      <c r="B772" s="122"/>
      <c r="C772" s="16">
        <v>34004</v>
      </c>
      <c r="D772" s="19">
        <v>16580.400000000001</v>
      </c>
      <c r="E772" s="18">
        <f t="shared" ref="E772:E835" si="12">(D772/1000^2)*2.75</f>
        <v>4.5596100000000007E-2</v>
      </c>
      <c r="J772" s="3">
        <v>35682</v>
      </c>
      <c r="K772" s="17">
        <v>1.091</v>
      </c>
    </row>
    <row r="773" spans="2:11">
      <c r="B773" s="122"/>
      <c r="C773" s="16">
        <v>34005</v>
      </c>
      <c r="D773" s="19">
        <v>16800.2</v>
      </c>
      <c r="E773" s="18">
        <f t="shared" si="12"/>
        <v>4.6200550000000007E-2</v>
      </c>
      <c r="J773" s="3">
        <v>35683</v>
      </c>
      <c r="K773" s="17">
        <v>1.091</v>
      </c>
    </row>
    <row r="774" spans="2:11">
      <c r="B774" s="122"/>
      <c r="C774" s="16">
        <v>34008</v>
      </c>
      <c r="D774" s="19">
        <v>17022.099999999999</v>
      </c>
      <c r="E774" s="18">
        <f t="shared" si="12"/>
        <v>4.6810774999999999E-2</v>
      </c>
      <c r="J774" s="3">
        <v>35684</v>
      </c>
      <c r="K774" s="17">
        <v>1.0920000000000001</v>
      </c>
    </row>
    <row r="775" spans="2:11">
      <c r="B775" s="122"/>
      <c r="C775" s="16">
        <v>34009</v>
      </c>
      <c r="D775" s="19">
        <v>17244.2</v>
      </c>
      <c r="E775" s="18">
        <f t="shared" si="12"/>
        <v>4.7421550000000007E-2</v>
      </c>
      <c r="J775" s="3">
        <v>35685</v>
      </c>
      <c r="K775" s="17">
        <v>1.0920000000000001</v>
      </c>
    </row>
    <row r="776" spans="2:11">
      <c r="B776" s="122"/>
      <c r="C776" s="16">
        <v>34010</v>
      </c>
      <c r="D776" s="19">
        <v>17468.099999999999</v>
      </c>
      <c r="E776" s="18">
        <f t="shared" si="12"/>
        <v>4.803727499999999E-2</v>
      </c>
      <c r="J776" s="3">
        <v>35688</v>
      </c>
      <c r="K776" s="17">
        <v>1.0920000000000001</v>
      </c>
    </row>
    <row r="777" spans="2:11">
      <c r="B777" s="122"/>
      <c r="C777" s="16">
        <v>34011</v>
      </c>
      <c r="D777" s="19">
        <v>17924.3</v>
      </c>
      <c r="E777" s="18">
        <f t="shared" si="12"/>
        <v>4.9291825000000004E-2</v>
      </c>
      <c r="J777" s="3">
        <v>35689</v>
      </c>
      <c r="K777" s="17">
        <v>1.093</v>
      </c>
    </row>
    <row r="778" spans="2:11">
      <c r="B778" s="122"/>
      <c r="C778" s="16">
        <v>34012</v>
      </c>
      <c r="D778" s="19">
        <v>18156.900000000001</v>
      </c>
      <c r="E778" s="18">
        <f t="shared" si="12"/>
        <v>4.9931475000000003E-2</v>
      </c>
      <c r="J778" s="3">
        <v>35690</v>
      </c>
      <c r="K778" s="17">
        <v>1.093</v>
      </c>
    </row>
    <row r="779" spans="2:11">
      <c r="B779" s="122"/>
      <c r="C779" s="16">
        <v>34015</v>
      </c>
      <c r="D779" s="19">
        <v>18156.75</v>
      </c>
      <c r="E779" s="18">
        <f t="shared" si="12"/>
        <v>4.9931062499999998E-2</v>
      </c>
      <c r="J779" s="3">
        <v>35691</v>
      </c>
      <c r="K779" s="17">
        <v>1.0940000000000001</v>
      </c>
    </row>
    <row r="780" spans="2:11">
      <c r="B780" s="122"/>
      <c r="C780" s="16">
        <v>34016</v>
      </c>
      <c r="D780" s="19">
        <v>18392.05</v>
      </c>
      <c r="E780" s="18">
        <f t="shared" si="12"/>
        <v>5.0578137500000002E-2</v>
      </c>
      <c r="J780" s="3">
        <v>35692</v>
      </c>
      <c r="K780" s="17">
        <v>1.0940000000000001</v>
      </c>
    </row>
    <row r="781" spans="2:11">
      <c r="B781" s="122"/>
      <c r="C781" s="16">
        <v>34017</v>
      </c>
      <c r="D781" s="19">
        <v>18630.3</v>
      </c>
      <c r="E781" s="18">
        <f t="shared" si="12"/>
        <v>5.1233324999999996E-2</v>
      </c>
      <c r="J781" s="3">
        <v>35695</v>
      </c>
      <c r="K781" s="17">
        <v>1.0940000000000001</v>
      </c>
    </row>
    <row r="782" spans="2:11">
      <c r="B782" s="122"/>
      <c r="C782" s="16">
        <v>34018</v>
      </c>
      <c r="D782" s="19">
        <v>18872</v>
      </c>
      <c r="E782" s="18">
        <f t="shared" si="12"/>
        <v>5.1898E-2</v>
      </c>
      <c r="J782" s="3">
        <v>35696</v>
      </c>
      <c r="K782" s="17">
        <v>1.095</v>
      </c>
    </row>
    <row r="783" spans="2:11">
      <c r="B783" s="122"/>
      <c r="C783" s="16">
        <v>34019</v>
      </c>
      <c r="D783" s="19">
        <v>19117.099999999999</v>
      </c>
      <c r="E783" s="18">
        <f t="shared" si="12"/>
        <v>5.2572024999999994E-2</v>
      </c>
      <c r="J783" s="3">
        <v>35697</v>
      </c>
      <c r="K783" s="17">
        <v>1.095</v>
      </c>
    </row>
    <row r="784" spans="2:11">
      <c r="B784" s="122"/>
      <c r="C784" s="16">
        <v>34024</v>
      </c>
      <c r="D784" s="19">
        <v>19364.5</v>
      </c>
      <c r="E784" s="18">
        <f t="shared" si="12"/>
        <v>5.3252374999999998E-2</v>
      </c>
      <c r="J784" s="3">
        <v>35698</v>
      </c>
      <c r="K784" s="17">
        <v>1.095</v>
      </c>
    </row>
    <row r="785" spans="2:11">
      <c r="B785" s="122"/>
      <c r="C785" s="16">
        <v>34025</v>
      </c>
      <c r="D785" s="19">
        <v>19609.599999999999</v>
      </c>
      <c r="E785" s="18">
        <f t="shared" si="12"/>
        <v>5.3926399999999992E-2</v>
      </c>
      <c r="J785" s="3">
        <v>35699</v>
      </c>
      <c r="K785" s="17">
        <v>1.0960000000000001</v>
      </c>
    </row>
    <row r="786" spans="2:11">
      <c r="B786" s="122"/>
      <c r="C786" s="16">
        <v>34026</v>
      </c>
      <c r="D786" s="19">
        <v>19858</v>
      </c>
      <c r="E786" s="18">
        <f t="shared" si="12"/>
        <v>5.4609500000000005E-2</v>
      </c>
      <c r="J786" s="3">
        <v>35702</v>
      </c>
      <c r="K786" s="17">
        <v>1.0960000000000001</v>
      </c>
    </row>
    <row r="787" spans="2:11">
      <c r="B787" s="122"/>
      <c r="C787" s="16">
        <v>34029</v>
      </c>
      <c r="D787" s="19">
        <v>20062</v>
      </c>
      <c r="E787" s="18">
        <f t="shared" si="12"/>
        <v>5.5170499999999997E-2</v>
      </c>
      <c r="J787" s="3">
        <v>35703</v>
      </c>
      <c r="K787" s="17">
        <v>1.0960000000000001</v>
      </c>
    </row>
    <row r="788" spans="2:11">
      <c r="B788" s="122"/>
      <c r="C788" s="16">
        <v>34030</v>
      </c>
      <c r="D788" s="19">
        <v>20267.400000000001</v>
      </c>
      <c r="E788" s="18">
        <f t="shared" si="12"/>
        <v>5.5735350000000003E-2</v>
      </c>
      <c r="J788" s="3">
        <v>35704</v>
      </c>
      <c r="K788" s="17">
        <v>1.0960000000000001</v>
      </c>
    </row>
    <row r="789" spans="2:11">
      <c r="B789" s="122"/>
      <c r="C789" s="16">
        <v>34031</v>
      </c>
      <c r="D789" s="19">
        <v>20473.900000000001</v>
      </c>
      <c r="E789" s="18">
        <f t="shared" si="12"/>
        <v>5.6303224999999998E-2</v>
      </c>
      <c r="J789" s="3">
        <v>35705</v>
      </c>
      <c r="K789" s="17">
        <v>1.097</v>
      </c>
    </row>
    <row r="790" spans="2:11">
      <c r="B790" s="122"/>
      <c r="C790" s="16">
        <v>34032</v>
      </c>
      <c r="D790" s="19">
        <v>20681.400000000001</v>
      </c>
      <c r="E790" s="18">
        <f t="shared" si="12"/>
        <v>5.6873850000000004E-2</v>
      </c>
      <c r="J790" s="3">
        <v>35706</v>
      </c>
      <c r="K790" s="17">
        <v>1.097</v>
      </c>
    </row>
    <row r="791" spans="2:11">
      <c r="B791" s="122"/>
      <c r="C791" s="16">
        <v>34033</v>
      </c>
      <c r="D791" s="19">
        <v>20890.55</v>
      </c>
      <c r="E791" s="18">
        <f t="shared" si="12"/>
        <v>5.74490125E-2</v>
      </c>
      <c r="J791" s="3">
        <v>35709</v>
      </c>
      <c r="K791" s="17">
        <v>1.097</v>
      </c>
    </row>
    <row r="792" spans="2:11">
      <c r="B792" s="122"/>
      <c r="C792" s="16">
        <v>34036</v>
      </c>
      <c r="D792" s="19">
        <v>21101.5</v>
      </c>
      <c r="E792" s="18">
        <f t="shared" si="12"/>
        <v>5.8029124999999994E-2</v>
      </c>
      <c r="J792" s="3">
        <v>35710</v>
      </c>
      <c r="K792" s="17">
        <v>1.097</v>
      </c>
    </row>
    <row r="793" spans="2:11">
      <c r="B793" s="122"/>
      <c r="C793" s="16">
        <v>34037</v>
      </c>
      <c r="D793" s="19">
        <v>21314.400000000001</v>
      </c>
      <c r="E793" s="18">
        <f t="shared" si="12"/>
        <v>5.8614600000000003E-2</v>
      </c>
      <c r="J793" s="3">
        <v>35711</v>
      </c>
      <c r="K793" s="17">
        <v>1.097</v>
      </c>
    </row>
    <row r="794" spans="2:11">
      <c r="B794" s="122"/>
      <c r="C794" s="16">
        <v>34038</v>
      </c>
      <c r="D794" s="19">
        <v>21529.599999999999</v>
      </c>
      <c r="E794" s="18">
        <f t="shared" si="12"/>
        <v>5.9206399999999999E-2</v>
      </c>
      <c r="J794" s="3">
        <v>35712</v>
      </c>
      <c r="K794" s="17">
        <v>1.0980000000000001</v>
      </c>
    </row>
    <row r="795" spans="2:11">
      <c r="B795" s="122"/>
      <c r="C795" s="16">
        <v>34039</v>
      </c>
      <c r="D795" s="19">
        <v>21745.200000000001</v>
      </c>
      <c r="E795" s="18">
        <f t="shared" si="12"/>
        <v>5.97993E-2</v>
      </c>
      <c r="J795" s="3">
        <v>35713</v>
      </c>
      <c r="K795" s="17">
        <v>1.0980000000000001</v>
      </c>
    </row>
    <row r="796" spans="2:11">
      <c r="B796" s="122"/>
      <c r="C796" s="16">
        <v>34040</v>
      </c>
      <c r="D796" s="19">
        <v>21963</v>
      </c>
      <c r="E796" s="18">
        <f t="shared" si="12"/>
        <v>6.0398250000000001E-2</v>
      </c>
      <c r="J796" s="3">
        <v>35716</v>
      </c>
      <c r="K796" s="17">
        <v>1.0980000000000001</v>
      </c>
    </row>
    <row r="797" spans="2:11">
      <c r="B797" s="122"/>
      <c r="C797" s="16">
        <v>34043</v>
      </c>
      <c r="D797" s="19">
        <v>22182.9</v>
      </c>
      <c r="E797" s="18">
        <f t="shared" si="12"/>
        <v>6.1002975000000008E-2</v>
      </c>
      <c r="J797" s="3">
        <v>35717</v>
      </c>
      <c r="K797" s="17">
        <v>1.0980000000000001</v>
      </c>
    </row>
    <row r="798" spans="2:11">
      <c r="B798" s="122"/>
      <c r="C798" s="16">
        <v>34044</v>
      </c>
      <c r="D798" s="19">
        <v>22405</v>
      </c>
      <c r="E798" s="18">
        <f t="shared" si="12"/>
        <v>6.1613750000000002E-2</v>
      </c>
      <c r="J798" s="3">
        <v>35718</v>
      </c>
      <c r="K798" s="17">
        <v>1.099</v>
      </c>
    </row>
    <row r="799" spans="2:11">
      <c r="B799" s="122"/>
      <c r="C799" s="16">
        <v>34045</v>
      </c>
      <c r="D799" s="19">
        <v>22630</v>
      </c>
      <c r="E799" s="18">
        <f t="shared" si="12"/>
        <v>6.2232500000000003E-2</v>
      </c>
      <c r="J799" s="3">
        <v>35719</v>
      </c>
      <c r="K799" s="17">
        <v>1.099</v>
      </c>
    </row>
    <row r="800" spans="2:11">
      <c r="B800" s="122"/>
      <c r="C800" s="16">
        <v>34046</v>
      </c>
      <c r="D800" s="19">
        <v>22857.25</v>
      </c>
      <c r="E800" s="18">
        <f t="shared" si="12"/>
        <v>6.2857437500000002E-2</v>
      </c>
      <c r="J800" s="3">
        <v>35720</v>
      </c>
      <c r="K800" s="17">
        <v>1.1000000000000001</v>
      </c>
    </row>
    <row r="801" spans="2:11">
      <c r="B801" s="122"/>
      <c r="C801" s="16">
        <v>34047</v>
      </c>
      <c r="D801" s="19">
        <v>23088</v>
      </c>
      <c r="E801" s="18">
        <f t="shared" si="12"/>
        <v>6.3492000000000007E-2</v>
      </c>
      <c r="J801" s="3">
        <v>35723</v>
      </c>
      <c r="K801" s="17">
        <v>1.1000000000000001</v>
      </c>
    </row>
    <row r="802" spans="2:11">
      <c r="B802" s="122"/>
      <c r="C802" s="16">
        <v>34050</v>
      </c>
      <c r="D802" s="19">
        <v>23323</v>
      </c>
      <c r="E802" s="18">
        <f t="shared" si="12"/>
        <v>6.4138249999999994E-2</v>
      </c>
      <c r="J802" s="3">
        <v>35724</v>
      </c>
      <c r="K802" s="17">
        <v>1.1000000000000001</v>
      </c>
    </row>
    <row r="803" spans="2:11">
      <c r="B803" s="122"/>
      <c r="C803" s="16">
        <v>34051</v>
      </c>
      <c r="D803" s="19">
        <v>23562.3</v>
      </c>
      <c r="E803" s="18">
        <f t="shared" si="12"/>
        <v>6.4796324999999988E-2</v>
      </c>
      <c r="J803" s="3">
        <v>35725</v>
      </c>
      <c r="K803" s="17">
        <v>1.1000000000000001</v>
      </c>
    </row>
    <row r="804" spans="2:11">
      <c r="B804" s="122"/>
      <c r="C804" s="16">
        <v>34052</v>
      </c>
      <c r="D804" s="19">
        <v>23806.3</v>
      </c>
      <c r="E804" s="18">
        <f t="shared" si="12"/>
        <v>6.5467324999999993E-2</v>
      </c>
      <c r="J804" s="3">
        <v>35726</v>
      </c>
      <c r="K804" s="17">
        <v>1.1000000000000001</v>
      </c>
    </row>
    <row r="805" spans="2:11">
      <c r="B805" s="122"/>
      <c r="C805" s="16">
        <v>34053</v>
      </c>
      <c r="D805" s="19">
        <v>24054.75</v>
      </c>
      <c r="E805" s="18">
        <f t="shared" si="12"/>
        <v>6.6150562499999996E-2</v>
      </c>
      <c r="J805" s="3">
        <v>35727</v>
      </c>
      <c r="K805" s="17">
        <v>1.101</v>
      </c>
    </row>
    <row r="806" spans="2:11">
      <c r="B806" s="122"/>
      <c r="C806" s="16">
        <v>34054</v>
      </c>
      <c r="D806" s="19">
        <v>24309.7</v>
      </c>
      <c r="E806" s="18">
        <f t="shared" si="12"/>
        <v>6.6851674999999999E-2</v>
      </c>
      <c r="J806" s="3">
        <v>35730</v>
      </c>
      <c r="K806" s="17">
        <v>1.1020000000000001</v>
      </c>
    </row>
    <row r="807" spans="2:11">
      <c r="B807" s="122"/>
      <c r="C807" s="16">
        <v>34057</v>
      </c>
      <c r="D807" s="19">
        <v>24576.5</v>
      </c>
      <c r="E807" s="18">
        <f t="shared" si="12"/>
        <v>6.7585375000000003E-2</v>
      </c>
      <c r="J807" s="3">
        <v>35731</v>
      </c>
      <c r="K807" s="17">
        <v>1.1060000000000001</v>
      </c>
    </row>
    <row r="808" spans="2:11">
      <c r="B808" s="122"/>
      <c r="C808" s="16">
        <v>34058</v>
      </c>
      <c r="D808" s="19">
        <v>24847</v>
      </c>
      <c r="E808" s="18">
        <f t="shared" si="12"/>
        <v>6.8329250000000008E-2</v>
      </c>
      <c r="J808" s="3">
        <v>35732</v>
      </c>
      <c r="K808" s="17">
        <v>1.1020000000000001</v>
      </c>
    </row>
    <row r="809" spans="2:11">
      <c r="B809" s="122"/>
      <c r="C809" s="16">
        <v>34059</v>
      </c>
      <c r="D809" s="19">
        <v>25121</v>
      </c>
      <c r="E809" s="18">
        <f t="shared" si="12"/>
        <v>6.9082749999999998E-2</v>
      </c>
      <c r="J809" s="3">
        <v>35733</v>
      </c>
      <c r="K809" s="17">
        <v>1.1060000000000001</v>
      </c>
    </row>
    <row r="810" spans="2:11">
      <c r="B810" s="122"/>
      <c r="C810" s="16">
        <v>34060</v>
      </c>
      <c r="D810" s="19">
        <v>25444.5</v>
      </c>
      <c r="E810" s="18">
        <f t="shared" si="12"/>
        <v>6.9972374999999989E-2</v>
      </c>
      <c r="J810" s="3">
        <v>35734</v>
      </c>
      <c r="K810" s="17">
        <v>1.103</v>
      </c>
    </row>
    <row r="811" spans="2:11">
      <c r="B811" s="122"/>
      <c r="C811" s="16">
        <v>34061</v>
      </c>
      <c r="D811" s="19">
        <v>25773</v>
      </c>
      <c r="E811" s="18">
        <f t="shared" si="12"/>
        <v>7.0875750000000001E-2</v>
      </c>
      <c r="J811" s="3">
        <v>35737</v>
      </c>
      <c r="K811" s="17">
        <v>1.103</v>
      </c>
    </row>
    <row r="812" spans="2:11">
      <c r="B812" s="122"/>
      <c r="C812" s="16">
        <v>34064</v>
      </c>
      <c r="D812" s="19">
        <v>26108.400000000001</v>
      </c>
      <c r="E812" s="18">
        <f t="shared" si="12"/>
        <v>7.1798100000000004E-2</v>
      </c>
      <c r="J812" s="3">
        <v>35738</v>
      </c>
      <c r="K812" s="17">
        <v>1.1040000000000001</v>
      </c>
    </row>
    <row r="813" spans="2:11">
      <c r="B813" s="122"/>
      <c r="C813" s="16">
        <v>34065</v>
      </c>
      <c r="D813" s="19">
        <v>26450.5</v>
      </c>
      <c r="E813" s="18">
        <f t="shared" si="12"/>
        <v>7.2738874999999995E-2</v>
      </c>
      <c r="J813" s="3">
        <v>35739</v>
      </c>
      <c r="K813" s="17">
        <v>1.1040000000000001</v>
      </c>
    </row>
    <row r="814" spans="2:11">
      <c r="B814" s="122"/>
      <c r="C814" s="16">
        <v>34066</v>
      </c>
      <c r="D814" s="19">
        <v>26799.9</v>
      </c>
      <c r="E814" s="18">
        <f t="shared" si="12"/>
        <v>7.3699725000000008E-2</v>
      </c>
      <c r="J814" s="3">
        <v>35740</v>
      </c>
      <c r="K814" s="17">
        <v>1.1060000000000001</v>
      </c>
    </row>
    <row r="815" spans="2:11">
      <c r="B815" s="122"/>
      <c r="C815" s="16">
        <v>34071</v>
      </c>
      <c r="D815" s="19">
        <v>27156.9</v>
      </c>
      <c r="E815" s="18">
        <f t="shared" si="12"/>
        <v>7.4681474999999997E-2</v>
      </c>
      <c r="J815" s="3">
        <v>35741</v>
      </c>
      <c r="K815" s="17">
        <v>1.1080000000000001</v>
      </c>
    </row>
    <row r="816" spans="2:11">
      <c r="B816" s="122"/>
      <c r="C816" s="16">
        <v>34072</v>
      </c>
      <c r="D816" s="19">
        <v>27520.400000000001</v>
      </c>
      <c r="E816" s="18">
        <f t="shared" si="12"/>
        <v>7.5681100000000001E-2</v>
      </c>
      <c r="J816" s="3">
        <v>35744</v>
      </c>
      <c r="K816" s="17">
        <v>1.105</v>
      </c>
    </row>
    <row r="817" spans="2:11">
      <c r="B817" s="122"/>
      <c r="C817" s="16">
        <v>34073</v>
      </c>
      <c r="D817" s="19">
        <v>27892.3</v>
      </c>
      <c r="E817" s="18">
        <f t="shared" si="12"/>
        <v>7.6703824999999989E-2</v>
      </c>
      <c r="J817" s="3">
        <v>35745</v>
      </c>
      <c r="K817" s="17">
        <v>1.105</v>
      </c>
    </row>
    <row r="818" spans="2:11">
      <c r="B818" s="122"/>
      <c r="C818" s="16">
        <v>34074</v>
      </c>
      <c r="D818" s="19">
        <v>28270</v>
      </c>
      <c r="E818" s="18">
        <f t="shared" si="12"/>
        <v>7.7742500000000006E-2</v>
      </c>
      <c r="J818" s="3">
        <v>35746</v>
      </c>
      <c r="K818" s="17">
        <v>1.1060000000000001</v>
      </c>
    </row>
    <row r="819" spans="2:11">
      <c r="B819" s="122"/>
      <c r="C819" s="16">
        <v>34075</v>
      </c>
      <c r="D819" s="19">
        <v>28653.1</v>
      </c>
      <c r="E819" s="18">
        <f t="shared" si="12"/>
        <v>7.8796024999999992E-2</v>
      </c>
      <c r="J819" s="3">
        <v>35747</v>
      </c>
      <c r="K819" s="17">
        <v>1.107</v>
      </c>
    </row>
    <row r="820" spans="2:11">
      <c r="B820" s="122"/>
      <c r="C820" s="16">
        <v>34078</v>
      </c>
      <c r="D820" s="19">
        <v>29041.1</v>
      </c>
      <c r="E820" s="18">
        <f t="shared" si="12"/>
        <v>7.9863025000000004E-2</v>
      </c>
      <c r="J820" s="3">
        <v>35748</v>
      </c>
      <c r="K820" s="17">
        <v>1.1080000000000001</v>
      </c>
    </row>
    <row r="821" spans="2:11">
      <c r="B821" s="122"/>
      <c r="C821" s="16">
        <v>34079</v>
      </c>
      <c r="D821" s="19">
        <v>29434.400000000001</v>
      </c>
      <c r="E821" s="18">
        <f t="shared" si="12"/>
        <v>8.0944600000000005E-2</v>
      </c>
      <c r="J821" s="3">
        <v>35751</v>
      </c>
      <c r="K821" s="17">
        <v>1.1060000000000001</v>
      </c>
    </row>
    <row r="822" spans="2:11">
      <c r="B822" s="122"/>
      <c r="C822" s="16">
        <v>34081</v>
      </c>
      <c r="D822" s="19">
        <v>29833.599999999999</v>
      </c>
      <c r="E822" s="18">
        <f t="shared" si="12"/>
        <v>8.2042400000000001E-2</v>
      </c>
      <c r="J822" s="3">
        <v>35752</v>
      </c>
      <c r="K822" s="17">
        <v>1.1060000000000001</v>
      </c>
    </row>
    <row r="823" spans="2:11">
      <c r="B823" s="122"/>
      <c r="C823" s="16">
        <v>34082</v>
      </c>
      <c r="D823" s="19">
        <v>30232</v>
      </c>
      <c r="E823" s="18">
        <f t="shared" si="12"/>
        <v>8.313799999999999E-2</v>
      </c>
      <c r="J823" s="3">
        <v>35753</v>
      </c>
      <c r="K823" s="17">
        <v>1.1080000000000001</v>
      </c>
    </row>
    <row r="824" spans="2:11">
      <c r="B824" s="122"/>
      <c r="C824" s="16">
        <v>34085</v>
      </c>
      <c r="D824" s="19">
        <v>30624</v>
      </c>
      <c r="E824" s="18">
        <f t="shared" si="12"/>
        <v>8.4215999999999999E-2</v>
      </c>
      <c r="J824" s="3">
        <v>35754</v>
      </c>
      <c r="K824" s="17">
        <v>1.1080000000000001</v>
      </c>
    </row>
    <row r="825" spans="2:11">
      <c r="B825" s="122"/>
      <c r="C825" s="16">
        <v>34086</v>
      </c>
      <c r="D825" s="19">
        <v>31035.3</v>
      </c>
      <c r="E825" s="18">
        <f t="shared" si="12"/>
        <v>8.5347074999999994E-2</v>
      </c>
      <c r="J825" s="3">
        <v>35755</v>
      </c>
      <c r="K825" s="17">
        <v>1.109</v>
      </c>
    </row>
    <row r="826" spans="2:11">
      <c r="B826" s="122"/>
      <c r="C826" s="16">
        <v>34087</v>
      </c>
      <c r="D826" s="19">
        <v>31450.5</v>
      </c>
      <c r="E826" s="18">
        <f t="shared" si="12"/>
        <v>8.6488874999999993E-2</v>
      </c>
      <c r="J826" s="3">
        <v>35758</v>
      </c>
      <c r="K826" s="17">
        <v>1.109</v>
      </c>
    </row>
    <row r="827" spans="2:11">
      <c r="B827" s="122"/>
      <c r="C827" s="16">
        <v>34088</v>
      </c>
      <c r="D827" s="19">
        <v>31862</v>
      </c>
      <c r="E827" s="18">
        <f t="shared" si="12"/>
        <v>8.7620500000000004E-2</v>
      </c>
      <c r="J827" s="3">
        <v>35759</v>
      </c>
      <c r="K827" s="17">
        <v>1.1100000000000001</v>
      </c>
    </row>
    <row r="828" spans="2:11">
      <c r="B828" s="122"/>
      <c r="C828" s="16">
        <v>34089</v>
      </c>
      <c r="D828" s="19">
        <v>32268</v>
      </c>
      <c r="E828" s="18">
        <f t="shared" si="12"/>
        <v>8.8736999999999996E-2</v>
      </c>
      <c r="J828" s="3">
        <v>35760</v>
      </c>
      <c r="K828" s="17">
        <v>1.1100000000000001</v>
      </c>
    </row>
    <row r="829" spans="2:11">
      <c r="B829" s="122"/>
      <c r="C829" s="16">
        <v>34092</v>
      </c>
      <c r="D829" s="19">
        <v>32665</v>
      </c>
      <c r="E829" s="18">
        <f t="shared" si="12"/>
        <v>8.9828749999999999E-2</v>
      </c>
      <c r="J829" s="3">
        <v>35761</v>
      </c>
      <c r="K829" s="17">
        <v>1.1080000000000001</v>
      </c>
    </row>
    <row r="830" spans="2:11">
      <c r="B830" s="122"/>
      <c r="C830" s="16">
        <v>34093</v>
      </c>
      <c r="D830" s="19">
        <v>33067.199999999997</v>
      </c>
      <c r="E830" s="18">
        <f t="shared" si="12"/>
        <v>9.0934799999999996E-2</v>
      </c>
      <c r="J830" s="3">
        <v>35762</v>
      </c>
      <c r="K830" s="17">
        <v>1.109</v>
      </c>
    </row>
    <row r="831" spans="2:11">
      <c r="B831" s="122"/>
      <c r="C831" s="16">
        <v>34094</v>
      </c>
      <c r="D831" s="19">
        <v>33474.300000000003</v>
      </c>
      <c r="E831" s="18">
        <f t="shared" si="12"/>
        <v>9.205432500000002E-2</v>
      </c>
      <c r="J831" s="3">
        <v>35765</v>
      </c>
      <c r="K831" s="17">
        <v>1.109</v>
      </c>
    </row>
    <row r="832" spans="2:11">
      <c r="B832" s="122"/>
      <c r="C832" s="16">
        <v>34095</v>
      </c>
      <c r="D832" s="19">
        <v>33885.699999999997</v>
      </c>
      <c r="E832" s="18">
        <f t="shared" si="12"/>
        <v>9.3185674999999996E-2</v>
      </c>
      <c r="J832" s="3">
        <v>35766</v>
      </c>
      <c r="K832" s="17">
        <v>1.109</v>
      </c>
    </row>
    <row r="833" spans="2:11">
      <c r="B833" s="122"/>
      <c r="C833" s="16">
        <v>34096</v>
      </c>
      <c r="D833" s="19">
        <v>34301.699999999997</v>
      </c>
      <c r="E833" s="18">
        <f t="shared" si="12"/>
        <v>9.4329674999999988E-2</v>
      </c>
      <c r="J833" s="3">
        <v>35767</v>
      </c>
      <c r="K833" s="17">
        <v>1.1100000000000001</v>
      </c>
    </row>
    <row r="834" spans="2:11">
      <c r="B834" s="122"/>
      <c r="C834" s="16">
        <v>34099</v>
      </c>
      <c r="D834" s="19">
        <v>34721.599999999999</v>
      </c>
      <c r="E834" s="18">
        <f t="shared" si="12"/>
        <v>9.5484399999999997E-2</v>
      </c>
      <c r="J834" s="3">
        <v>35768</v>
      </c>
      <c r="K834" s="17">
        <v>1.1100000000000001</v>
      </c>
    </row>
    <row r="835" spans="2:11">
      <c r="B835" s="122"/>
      <c r="C835" s="16">
        <v>34100</v>
      </c>
      <c r="D835" s="19">
        <v>35145.599999999999</v>
      </c>
      <c r="E835" s="18">
        <f t="shared" si="12"/>
        <v>9.6650399999999997E-2</v>
      </c>
      <c r="J835" s="3">
        <v>35769</v>
      </c>
      <c r="K835" s="17">
        <v>1.1100000000000001</v>
      </c>
    </row>
    <row r="836" spans="2:11">
      <c r="B836" s="122"/>
      <c r="C836" s="16">
        <v>34101</v>
      </c>
      <c r="D836" s="19">
        <v>35575.199999999997</v>
      </c>
      <c r="E836" s="18">
        <f t="shared" ref="E836:E892" si="13">(D836/1000^2)*2.75</f>
        <v>9.7831799999999983E-2</v>
      </c>
      <c r="J836" s="3">
        <v>35772</v>
      </c>
      <c r="K836" s="17">
        <v>1.111</v>
      </c>
    </row>
    <row r="837" spans="2:11">
      <c r="B837" s="122"/>
      <c r="C837" s="16">
        <v>34102</v>
      </c>
      <c r="D837" s="19">
        <v>36007.800000000003</v>
      </c>
      <c r="E837" s="18">
        <f t="shared" si="13"/>
        <v>9.9021449999999997E-2</v>
      </c>
      <c r="J837" s="3">
        <v>35773</v>
      </c>
      <c r="K837" s="17">
        <v>1.1120000000000001</v>
      </c>
    </row>
    <row r="838" spans="2:11">
      <c r="B838" s="122"/>
      <c r="C838" s="16">
        <v>34103</v>
      </c>
      <c r="D838" s="19">
        <v>36445.4</v>
      </c>
      <c r="E838" s="18">
        <f t="shared" si="13"/>
        <v>0.10022485</v>
      </c>
      <c r="J838" s="3">
        <v>35774</v>
      </c>
      <c r="K838" s="17">
        <v>1.1120000000000001</v>
      </c>
    </row>
    <row r="839" spans="2:11">
      <c r="B839" s="122"/>
      <c r="C839" s="16">
        <v>34106</v>
      </c>
      <c r="D839" s="19">
        <v>36888.400000000001</v>
      </c>
      <c r="E839" s="18">
        <f t="shared" si="13"/>
        <v>0.10144310000000001</v>
      </c>
      <c r="J839" s="3">
        <v>35775</v>
      </c>
      <c r="K839" s="17">
        <v>1.115</v>
      </c>
    </row>
    <row r="840" spans="2:11">
      <c r="B840" s="122"/>
      <c r="C840" s="16">
        <v>34107</v>
      </c>
      <c r="D840" s="19">
        <v>37336.9</v>
      </c>
      <c r="E840" s="18">
        <f t="shared" si="13"/>
        <v>0.102676475</v>
      </c>
      <c r="J840" s="3">
        <v>35776</v>
      </c>
      <c r="K840" s="17">
        <v>1.1160000000000001</v>
      </c>
    </row>
    <row r="841" spans="2:11">
      <c r="B841" s="122"/>
      <c r="C841" s="16">
        <v>34108</v>
      </c>
      <c r="D841" s="19">
        <v>37790.800000000003</v>
      </c>
      <c r="E841" s="18">
        <f t="shared" si="13"/>
        <v>0.10392470000000002</v>
      </c>
      <c r="J841" s="3">
        <v>35779</v>
      </c>
      <c r="K841" s="17">
        <v>1.1140000000000001</v>
      </c>
    </row>
    <row r="842" spans="2:11">
      <c r="B842" s="122"/>
      <c r="C842" s="16">
        <v>34109</v>
      </c>
      <c r="D842" s="19">
        <v>38250.300000000003</v>
      </c>
      <c r="E842" s="18">
        <f t="shared" si="13"/>
        <v>0.105188325</v>
      </c>
      <c r="J842" s="3">
        <v>35780</v>
      </c>
      <c r="K842" s="17">
        <v>1.113</v>
      </c>
    </row>
    <row r="843" spans="2:11">
      <c r="B843" s="122"/>
      <c r="C843" s="16">
        <v>34110</v>
      </c>
      <c r="D843" s="19">
        <v>38715.300000000003</v>
      </c>
      <c r="E843" s="18">
        <f t="shared" si="13"/>
        <v>0.10646707500000001</v>
      </c>
      <c r="J843" s="3">
        <v>35781</v>
      </c>
      <c r="K843" s="17">
        <v>1.1140000000000001</v>
      </c>
    </row>
    <row r="844" spans="2:11">
      <c r="B844" s="122"/>
      <c r="C844" s="16">
        <v>34113</v>
      </c>
      <c r="D844" s="19">
        <v>39187.5</v>
      </c>
      <c r="E844" s="18">
        <f t="shared" si="13"/>
        <v>0.107765625</v>
      </c>
      <c r="J844" s="3">
        <v>35782</v>
      </c>
      <c r="K844" s="17">
        <v>1.1140000000000001</v>
      </c>
    </row>
    <row r="845" spans="2:11">
      <c r="B845" s="122"/>
      <c r="C845" s="16">
        <v>34114</v>
      </c>
      <c r="D845" s="19">
        <v>39666.800000000003</v>
      </c>
      <c r="E845" s="18">
        <f t="shared" si="13"/>
        <v>0.10908370000000001</v>
      </c>
      <c r="J845" s="3">
        <v>35783</v>
      </c>
      <c r="K845" s="17">
        <v>1.1140000000000001</v>
      </c>
    </row>
    <row r="846" spans="2:11">
      <c r="B846" s="122"/>
      <c r="C846" s="16">
        <v>34115</v>
      </c>
      <c r="D846" s="19">
        <v>40156</v>
      </c>
      <c r="E846" s="18">
        <f t="shared" si="13"/>
        <v>0.110429</v>
      </c>
      <c r="J846" s="3">
        <v>35786</v>
      </c>
      <c r="K846" s="17">
        <v>1.115</v>
      </c>
    </row>
    <row r="847" spans="2:11">
      <c r="B847" s="122"/>
      <c r="C847" s="16">
        <v>34116</v>
      </c>
      <c r="D847" s="19">
        <v>41165</v>
      </c>
      <c r="E847" s="18">
        <f t="shared" si="13"/>
        <v>0.11320375000000001</v>
      </c>
      <c r="J847" s="3">
        <v>35787</v>
      </c>
      <c r="K847" s="17">
        <v>1.115</v>
      </c>
    </row>
    <row r="848" spans="2:11">
      <c r="B848" s="122"/>
      <c r="C848" s="16">
        <v>34117</v>
      </c>
      <c r="D848" s="19">
        <v>41700</v>
      </c>
      <c r="E848" s="18">
        <f t="shared" si="13"/>
        <v>0.114675</v>
      </c>
      <c r="J848" s="3">
        <v>35788</v>
      </c>
      <c r="K848" s="17">
        <v>1.115</v>
      </c>
    </row>
    <row r="849" spans="2:11">
      <c r="B849" s="122"/>
      <c r="C849" s="16">
        <v>34120</v>
      </c>
      <c r="D849" s="19">
        <v>41700</v>
      </c>
      <c r="E849" s="18">
        <f t="shared" si="13"/>
        <v>0.114675</v>
      </c>
      <c r="J849" s="3">
        <v>35790</v>
      </c>
      <c r="K849" s="17">
        <v>1.115</v>
      </c>
    </row>
    <row r="850" spans="2:11">
      <c r="B850" s="122"/>
      <c r="C850" s="16">
        <v>34121</v>
      </c>
      <c r="D850" s="19">
        <v>42239.65</v>
      </c>
      <c r="E850" s="18">
        <f t="shared" si="13"/>
        <v>0.11615903750000001</v>
      </c>
      <c r="J850" s="3">
        <v>35793</v>
      </c>
      <c r="K850" s="17">
        <v>1.115</v>
      </c>
    </row>
    <row r="851" spans="2:11">
      <c r="B851" s="122"/>
      <c r="C851" s="16">
        <v>34122</v>
      </c>
      <c r="D851" s="19">
        <v>42786.3</v>
      </c>
      <c r="E851" s="18">
        <f t="shared" si="13"/>
        <v>0.11766232500000001</v>
      </c>
      <c r="J851" s="3">
        <v>35794</v>
      </c>
      <c r="K851" s="17">
        <v>1.1160000000000001</v>
      </c>
    </row>
    <row r="852" spans="2:11">
      <c r="B852" s="122"/>
      <c r="C852" s="16">
        <v>34123</v>
      </c>
      <c r="D852" s="19">
        <v>43340</v>
      </c>
      <c r="E852" s="18">
        <f t="shared" si="13"/>
        <v>0.11918499999999999</v>
      </c>
      <c r="J852" s="3">
        <v>35795</v>
      </c>
      <c r="K852" s="17">
        <v>1.1160000000000001</v>
      </c>
    </row>
    <row r="853" spans="2:11">
      <c r="B853" s="122"/>
      <c r="C853" s="16">
        <v>34124</v>
      </c>
      <c r="D853" s="19">
        <v>43900.7</v>
      </c>
      <c r="E853" s="18">
        <f t="shared" si="13"/>
        <v>0.12072692499999998</v>
      </c>
      <c r="J853" s="3">
        <v>35797</v>
      </c>
      <c r="K853" s="17">
        <v>1.1160000000000001</v>
      </c>
    </row>
    <row r="854" spans="2:11">
      <c r="B854" s="122"/>
      <c r="C854" s="16">
        <v>34127</v>
      </c>
      <c r="D854" s="19">
        <v>44466.9</v>
      </c>
      <c r="E854" s="18">
        <f t="shared" si="13"/>
        <v>0.12228397500000002</v>
      </c>
      <c r="J854" s="3">
        <v>35800</v>
      </c>
      <c r="K854" s="17">
        <v>1.1160000000000001</v>
      </c>
    </row>
    <row r="855" spans="2:11">
      <c r="B855" s="122"/>
      <c r="C855" s="16">
        <v>34128</v>
      </c>
      <c r="D855" s="19">
        <v>45042.5</v>
      </c>
      <c r="E855" s="18">
        <f t="shared" si="13"/>
        <v>0.123866875</v>
      </c>
      <c r="J855" s="3">
        <v>35801</v>
      </c>
      <c r="K855" s="17">
        <v>1.1160000000000001</v>
      </c>
    </row>
    <row r="856" spans="2:11">
      <c r="B856" s="122"/>
      <c r="C856" s="16">
        <v>34129</v>
      </c>
      <c r="D856" s="19">
        <v>45629.5</v>
      </c>
      <c r="E856" s="18">
        <f t="shared" si="13"/>
        <v>0.125481125</v>
      </c>
      <c r="J856" s="3">
        <v>35802</v>
      </c>
      <c r="K856" s="17">
        <v>1.117</v>
      </c>
    </row>
    <row r="857" spans="2:11">
      <c r="B857" s="122"/>
      <c r="C857" s="16">
        <v>34131</v>
      </c>
      <c r="D857" s="19">
        <v>46230</v>
      </c>
      <c r="E857" s="18">
        <f t="shared" si="13"/>
        <v>0.12713250000000001</v>
      </c>
      <c r="J857" s="3">
        <v>35803</v>
      </c>
      <c r="K857" s="17">
        <v>1.1180000000000001</v>
      </c>
    </row>
    <row r="858" spans="2:11">
      <c r="B858" s="122"/>
      <c r="C858" s="16">
        <v>34134</v>
      </c>
      <c r="D858" s="19">
        <v>46815</v>
      </c>
      <c r="E858" s="18">
        <f t="shared" si="13"/>
        <v>0.12874125</v>
      </c>
      <c r="J858" s="3">
        <v>35804</v>
      </c>
      <c r="K858" s="17">
        <v>1.1180000000000001</v>
      </c>
    </row>
    <row r="859" spans="2:11">
      <c r="B859" s="122"/>
      <c r="C859" s="16">
        <v>34135</v>
      </c>
      <c r="D859" s="19">
        <v>47413</v>
      </c>
      <c r="E859" s="18">
        <f t="shared" si="13"/>
        <v>0.13038574999999999</v>
      </c>
      <c r="J859" s="3">
        <v>35807</v>
      </c>
      <c r="K859" s="17">
        <v>1.119</v>
      </c>
    </row>
    <row r="860" spans="2:11">
      <c r="B860" s="122"/>
      <c r="C860" s="16">
        <v>34136</v>
      </c>
      <c r="D860" s="19">
        <v>48020</v>
      </c>
      <c r="E860" s="18">
        <f t="shared" si="13"/>
        <v>0.13205500000000001</v>
      </c>
      <c r="J860" s="3">
        <v>35808</v>
      </c>
      <c r="K860" s="17">
        <v>1.1180000000000001</v>
      </c>
    </row>
    <row r="861" spans="2:11">
      <c r="B861" s="122"/>
      <c r="C861" s="16">
        <v>34137</v>
      </c>
      <c r="D861" s="19">
        <v>48626.3</v>
      </c>
      <c r="E861" s="18">
        <f t="shared" si="13"/>
        <v>0.133722325</v>
      </c>
      <c r="J861" s="3">
        <v>35809</v>
      </c>
      <c r="K861" s="17">
        <v>1.119</v>
      </c>
    </row>
    <row r="862" spans="2:11">
      <c r="B862" s="122"/>
      <c r="C862" s="16">
        <v>34138</v>
      </c>
      <c r="D862" s="19">
        <v>49234</v>
      </c>
      <c r="E862" s="18">
        <f t="shared" si="13"/>
        <v>0.1353935</v>
      </c>
      <c r="J862" s="3">
        <v>35810</v>
      </c>
      <c r="K862" s="17">
        <v>1.1200000000000001</v>
      </c>
    </row>
    <row r="863" spans="2:11">
      <c r="B863" s="122"/>
      <c r="C863" s="16">
        <v>34141</v>
      </c>
      <c r="D863" s="19">
        <v>49848</v>
      </c>
      <c r="E863" s="18">
        <f t="shared" si="13"/>
        <v>0.13708200000000001</v>
      </c>
      <c r="J863" s="3">
        <v>35811</v>
      </c>
      <c r="K863" s="17">
        <v>1.1200000000000001</v>
      </c>
    </row>
    <row r="864" spans="2:11">
      <c r="B864" s="122"/>
      <c r="C864" s="16">
        <v>34142</v>
      </c>
      <c r="D864" s="19">
        <v>50462.8</v>
      </c>
      <c r="E864" s="18">
        <f t="shared" si="13"/>
        <v>0.1387727</v>
      </c>
      <c r="J864" s="3">
        <v>35814</v>
      </c>
      <c r="K864" s="17">
        <v>1.1200000000000001</v>
      </c>
    </row>
    <row r="865" spans="2:11">
      <c r="B865" s="122"/>
      <c r="C865" s="16">
        <v>34143</v>
      </c>
      <c r="D865" s="19">
        <v>51096</v>
      </c>
      <c r="E865" s="18">
        <f t="shared" si="13"/>
        <v>0.140514</v>
      </c>
      <c r="J865" s="3">
        <v>35815</v>
      </c>
      <c r="K865" s="17">
        <v>1.1200000000000001</v>
      </c>
    </row>
    <row r="866" spans="2:11">
      <c r="B866" s="122"/>
      <c r="C866" s="16">
        <v>34144</v>
      </c>
      <c r="D866" s="19">
        <v>51720</v>
      </c>
      <c r="E866" s="18">
        <f t="shared" si="13"/>
        <v>0.14223</v>
      </c>
      <c r="J866" s="3">
        <v>35816</v>
      </c>
      <c r="K866" s="17">
        <v>1.1200000000000001</v>
      </c>
    </row>
    <row r="867" spans="2:11">
      <c r="B867" s="122"/>
      <c r="C867" s="16">
        <v>34145</v>
      </c>
      <c r="D867" s="19">
        <v>52356</v>
      </c>
      <c r="E867" s="18">
        <f t="shared" si="13"/>
        <v>0.143979</v>
      </c>
      <c r="J867" s="3">
        <v>35817</v>
      </c>
      <c r="K867" s="17">
        <v>1.1200000000000001</v>
      </c>
    </row>
    <row r="868" spans="2:11">
      <c r="B868" s="122"/>
      <c r="C868" s="16">
        <v>34148</v>
      </c>
      <c r="D868" s="19">
        <v>53007</v>
      </c>
      <c r="E868" s="18">
        <f t="shared" si="13"/>
        <v>0.14576924999999999</v>
      </c>
      <c r="J868" s="3">
        <v>35818</v>
      </c>
      <c r="K868" s="17">
        <v>1.121</v>
      </c>
    </row>
    <row r="869" spans="2:11">
      <c r="B869" s="122"/>
      <c r="C869" s="16">
        <v>34149</v>
      </c>
      <c r="D869" s="19">
        <v>53666</v>
      </c>
      <c r="E869" s="18">
        <f t="shared" si="13"/>
        <v>0.1475815</v>
      </c>
      <c r="J869" s="3">
        <v>35821</v>
      </c>
      <c r="K869" s="17">
        <v>1.121</v>
      </c>
    </row>
    <row r="870" spans="2:11">
      <c r="B870" s="122"/>
      <c r="C870" s="16">
        <v>34150</v>
      </c>
      <c r="D870" s="19">
        <v>54336</v>
      </c>
      <c r="E870" s="18">
        <f t="shared" si="13"/>
        <v>0.149424</v>
      </c>
      <c r="J870" s="3">
        <v>35822</v>
      </c>
      <c r="K870" s="17">
        <v>1.1220000000000001</v>
      </c>
    </row>
    <row r="871" spans="2:11">
      <c r="B871" s="122"/>
      <c r="C871" s="16">
        <v>34151</v>
      </c>
      <c r="D871" s="19">
        <v>55676.7</v>
      </c>
      <c r="E871" s="18">
        <f t="shared" si="13"/>
        <v>0.15311092499999998</v>
      </c>
      <c r="J871" s="3">
        <v>35823</v>
      </c>
      <c r="K871" s="17">
        <v>1.1220000000000001</v>
      </c>
    </row>
    <row r="872" spans="2:11">
      <c r="B872" s="122"/>
      <c r="C872" s="16">
        <v>34152</v>
      </c>
      <c r="D872" s="19">
        <v>56364</v>
      </c>
      <c r="E872" s="18">
        <f t="shared" si="13"/>
        <v>0.155001</v>
      </c>
      <c r="J872" s="3">
        <v>35824</v>
      </c>
      <c r="K872" s="17">
        <v>1.123</v>
      </c>
    </row>
    <row r="873" spans="2:11">
      <c r="B873" s="122"/>
      <c r="C873" s="16">
        <v>34155</v>
      </c>
      <c r="D873" s="19">
        <v>56361</v>
      </c>
      <c r="E873" s="18">
        <f t="shared" si="13"/>
        <v>0.15499275000000001</v>
      </c>
      <c r="J873" s="3">
        <v>35825</v>
      </c>
      <c r="K873" s="17">
        <v>1.123</v>
      </c>
    </row>
    <row r="874" spans="2:11">
      <c r="B874" s="122"/>
      <c r="C874" s="16">
        <v>34156</v>
      </c>
      <c r="D874" s="19">
        <v>57052</v>
      </c>
      <c r="E874" s="18">
        <f t="shared" si="13"/>
        <v>0.156893</v>
      </c>
      <c r="J874" s="3">
        <v>35828</v>
      </c>
      <c r="K874" s="17">
        <v>1.123</v>
      </c>
    </row>
    <row r="875" spans="2:11">
      <c r="B875" s="122"/>
      <c r="C875" s="16">
        <v>34157</v>
      </c>
      <c r="D875" s="19">
        <v>57754</v>
      </c>
      <c r="E875" s="18">
        <f t="shared" si="13"/>
        <v>0.15882350000000001</v>
      </c>
      <c r="J875" s="3">
        <v>35829</v>
      </c>
      <c r="K875" s="17">
        <v>1.1240000000000001</v>
      </c>
    </row>
    <row r="876" spans="2:11">
      <c r="B876" s="122"/>
      <c r="C876" s="16">
        <v>34158</v>
      </c>
      <c r="D876" s="19">
        <v>58463</v>
      </c>
      <c r="E876" s="18">
        <f t="shared" si="13"/>
        <v>0.16077325000000001</v>
      </c>
      <c r="J876" s="3">
        <v>35830</v>
      </c>
      <c r="K876" s="17">
        <v>1.1240000000000001</v>
      </c>
    </row>
    <row r="877" spans="2:11">
      <c r="B877" s="122"/>
      <c r="C877" s="16">
        <v>34159</v>
      </c>
      <c r="D877" s="19">
        <v>59178</v>
      </c>
      <c r="E877" s="18">
        <f t="shared" si="13"/>
        <v>0.16273950000000001</v>
      </c>
      <c r="J877" s="3">
        <v>35831</v>
      </c>
      <c r="K877" s="17">
        <v>1.1240000000000001</v>
      </c>
    </row>
    <row r="878" spans="2:11">
      <c r="B878" s="122"/>
      <c r="C878" s="16">
        <v>34162</v>
      </c>
      <c r="D878" s="19">
        <v>59901.5</v>
      </c>
      <c r="E878" s="18">
        <f t="shared" si="13"/>
        <v>0.164729125</v>
      </c>
      <c r="J878" s="3">
        <v>35832</v>
      </c>
      <c r="K878" s="17">
        <v>1.125</v>
      </c>
    </row>
    <row r="879" spans="2:11">
      <c r="B879" s="122"/>
      <c r="C879" s="16">
        <v>34163</v>
      </c>
      <c r="D879" s="19">
        <v>60639</v>
      </c>
      <c r="E879" s="18">
        <f t="shared" si="13"/>
        <v>0.16675725</v>
      </c>
      <c r="J879" s="3">
        <v>35835</v>
      </c>
      <c r="K879" s="17">
        <v>1.125</v>
      </c>
    </row>
    <row r="880" spans="2:11">
      <c r="B880" s="122"/>
      <c r="C880" s="16">
        <v>34164</v>
      </c>
      <c r="D880" s="19">
        <v>61383</v>
      </c>
      <c r="E880" s="18">
        <f t="shared" si="13"/>
        <v>0.16880324999999999</v>
      </c>
      <c r="J880" s="3">
        <v>35836</v>
      </c>
      <c r="K880" s="17">
        <v>1.1259999999999999</v>
      </c>
    </row>
    <row r="881" spans="2:11">
      <c r="B881" s="122"/>
      <c r="C881" s="16">
        <v>34165</v>
      </c>
      <c r="D881" s="19">
        <v>62136</v>
      </c>
      <c r="E881" s="18">
        <f t="shared" si="13"/>
        <v>0.170874</v>
      </c>
      <c r="J881" s="3">
        <v>35837</v>
      </c>
      <c r="K881" s="17">
        <v>1.1259999999999999</v>
      </c>
    </row>
    <row r="882" spans="2:11">
      <c r="B882" s="122"/>
      <c r="C882" s="16">
        <v>34166</v>
      </c>
      <c r="D882" s="19">
        <v>62899</v>
      </c>
      <c r="E882" s="18">
        <f t="shared" si="13"/>
        <v>0.17297224999999999</v>
      </c>
      <c r="J882" s="3">
        <v>35838</v>
      </c>
      <c r="K882" s="17">
        <v>1.1259999999999999</v>
      </c>
    </row>
    <row r="883" spans="2:11">
      <c r="B883" s="122"/>
      <c r="C883" s="16">
        <v>34169</v>
      </c>
      <c r="D883" s="19">
        <v>63669</v>
      </c>
      <c r="E883" s="18">
        <f t="shared" si="13"/>
        <v>0.17508975000000002</v>
      </c>
      <c r="J883" s="3">
        <v>35839</v>
      </c>
      <c r="K883" s="17">
        <v>1.127</v>
      </c>
    </row>
    <row r="884" spans="2:11">
      <c r="B884" s="122"/>
      <c r="C884" s="16">
        <v>34170</v>
      </c>
      <c r="D884" s="19">
        <v>64450</v>
      </c>
      <c r="E884" s="18">
        <f t="shared" si="13"/>
        <v>0.17723749999999999</v>
      </c>
      <c r="J884" s="3">
        <v>35842</v>
      </c>
      <c r="K884" s="17">
        <v>1.127</v>
      </c>
    </row>
    <row r="885" spans="2:11">
      <c r="B885" s="122"/>
      <c r="C885" s="16">
        <v>34171</v>
      </c>
      <c r="D885" s="19">
        <v>65240</v>
      </c>
      <c r="E885" s="18">
        <f t="shared" si="13"/>
        <v>0.17941000000000001</v>
      </c>
      <c r="J885" s="3">
        <v>35843</v>
      </c>
      <c r="K885" s="17">
        <v>1.1279999999999999</v>
      </c>
    </row>
    <row r="886" spans="2:11">
      <c r="B886" s="122"/>
      <c r="C886" s="16">
        <v>34172</v>
      </c>
      <c r="D886" s="19">
        <v>66040</v>
      </c>
      <c r="E886" s="18">
        <f t="shared" si="13"/>
        <v>0.18160999999999999</v>
      </c>
      <c r="J886" s="3">
        <v>35844</v>
      </c>
      <c r="K886" s="17">
        <v>1.1279999999999999</v>
      </c>
    </row>
    <row r="887" spans="2:11">
      <c r="B887" s="122"/>
      <c r="C887" s="16">
        <v>34173</v>
      </c>
      <c r="D887" s="19">
        <v>66850</v>
      </c>
      <c r="E887" s="18">
        <f t="shared" si="13"/>
        <v>0.18383750000000001</v>
      </c>
      <c r="J887" s="3">
        <v>35845</v>
      </c>
      <c r="K887" s="17">
        <v>1.129</v>
      </c>
    </row>
    <row r="888" spans="2:11">
      <c r="B888" s="122"/>
      <c r="C888" s="16">
        <v>34176</v>
      </c>
      <c r="D888" s="19">
        <v>67672</v>
      </c>
      <c r="E888" s="18">
        <f t="shared" si="13"/>
        <v>0.18609799999999999</v>
      </c>
      <c r="J888" s="3">
        <v>35846</v>
      </c>
      <c r="K888" s="17">
        <v>1.129</v>
      </c>
    </row>
    <row r="889" spans="2:11">
      <c r="B889" s="122"/>
      <c r="C889" s="16">
        <v>34177</v>
      </c>
      <c r="D889" s="19">
        <v>68508</v>
      </c>
      <c r="E889" s="18">
        <f t="shared" si="13"/>
        <v>0.18839700000000001</v>
      </c>
      <c r="J889" s="3">
        <v>35851</v>
      </c>
      <c r="K889" s="17">
        <v>1.129</v>
      </c>
    </row>
    <row r="890" spans="2:11">
      <c r="B890" s="122"/>
      <c r="C890" s="16">
        <v>34178</v>
      </c>
      <c r="D890" s="19">
        <v>69370</v>
      </c>
      <c r="E890" s="18">
        <f t="shared" si="13"/>
        <v>0.19076750000000001</v>
      </c>
      <c r="J890" s="3">
        <v>35852</v>
      </c>
      <c r="K890" s="17">
        <v>1.129</v>
      </c>
    </row>
    <row r="891" spans="2:11">
      <c r="B891" s="122"/>
      <c r="C891" s="16">
        <v>34179</v>
      </c>
      <c r="D891" s="19">
        <v>70252</v>
      </c>
      <c r="E891" s="18">
        <f t="shared" si="13"/>
        <v>0.19319299999999998</v>
      </c>
      <c r="J891" s="3">
        <v>35853</v>
      </c>
      <c r="K891" s="17">
        <v>1.1299999999999999</v>
      </c>
    </row>
    <row r="892" spans="2:11">
      <c r="B892" s="122"/>
      <c r="C892" s="16">
        <v>34180</v>
      </c>
      <c r="D892" s="19">
        <v>71153</v>
      </c>
      <c r="E892" s="18">
        <f t="shared" si="13"/>
        <v>0.19567074999999998</v>
      </c>
      <c r="J892" s="3">
        <v>35856</v>
      </c>
      <c r="K892" s="17">
        <v>1.1299999999999999</v>
      </c>
    </row>
    <row r="893" spans="2:11">
      <c r="B893" s="123" t="s">
        <v>22</v>
      </c>
      <c r="C893" s="16">
        <v>34183</v>
      </c>
      <c r="D893" s="19">
        <v>72.069000000000003</v>
      </c>
      <c r="E893" s="18">
        <f>(D893/1000)*2.75</f>
        <v>0.19818975000000003</v>
      </c>
      <c r="J893" s="3">
        <v>35857</v>
      </c>
      <c r="K893" s="17">
        <v>1.1299999999999999</v>
      </c>
    </row>
    <row r="894" spans="2:11">
      <c r="B894" s="123"/>
      <c r="C894" s="16">
        <v>34184</v>
      </c>
      <c r="D894" s="19">
        <v>72.994</v>
      </c>
      <c r="E894" s="18">
        <f t="shared" ref="E894:E957" si="14">(D894/1000)*2.75</f>
        <v>0.20073350000000001</v>
      </c>
      <c r="J894" s="3">
        <v>35858</v>
      </c>
      <c r="K894" s="17">
        <v>1.131</v>
      </c>
    </row>
    <row r="895" spans="2:11">
      <c r="B895" s="123"/>
      <c r="C895" s="16">
        <v>34185</v>
      </c>
      <c r="D895" s="19">
        <v>73.929000000000002</v>
      </c>
      <c r="E895" s="18">
        <f t="shared" si="14"/>
        <v>0.20330475000000003</v>
      </c>
      <c r="J895" s="3">
        <v>35859</v>
      </c>
      <c r="K895" s="17">
        <v>1.131</v>
      </c>
    </row>
    <row r="896" spans="2:11">
      <c r="B896" s="123"/>
      <c r="C896" s="16">
        <v>34186</v>
      </c>
      <c r="D896" s="19">
        <v>74.881</v>
      </c>
      <c r="E896" s="18">
        <f t="shared" si="14"/>
        <v>0.20592275000000002</v>
      </c>
      <c r="J896" s="3">
        <v>35860</v>
      </c>
      <c r="K896" s="17">
        <v>1.131</v>
      </c>
    </row>
    <row r="897" spans="2:11">
      <c r="B897" s="123"/>
      <c r="C897" s="16">
        <v>34187</v>
      </c>
      <c r="D897" s="19">
        <v>75.844999999999999</v>
      </c>
      <c r="E897" s="18">
        <f t="shared" si="14"/>
        <v>0.20857375</v>
      </c>
      <c r="J897" s="3">
        <v>35863</v>
      </c>
      <c r="K897" s="17">
        <v>1.1319999999999999</v>
      </c>
    </row>
    <row r="898" spans="2:11">
      <c r="B898" s="123"/>
      <c r="C898" s="16">
        <v>34190</v>
      </c>
      <c r="D898" s="19">
        <v>76.820999999999998</v>
      </c>
      <c r="E898" s="18">
        <f t="shared" si="14"/>
        <v>0.21125774999999999</v>
      </c>
      <c r="J898" s="3">
        <v>35864</v>
      </c>
      <c r="K898" s="17">
        <v>1.1319999999999999</v>
      </c>
    </row>
    <row r="899" spans="2:11">
      <c r="B899" s="123"/>
      <c r="C899" s="16">
        <v>34191</v>
      </c>
      <c r="D899" s="19">
        <v>77.808999999999997</v>
      </c>
      <c r="E899" s="18">
        <f t="shared" si="14"/>
        <v>0.21397475000000002</v>
      </c>
      <c r="J899" s="3">
        <v>35865</v>
      </c>
      <c r="K899" s="17">
        <v>1.1319999999999999</v>
      </c>
    </row>
    <row r="900" spans="2:11">
      <c r="B900" s="123"/>
      <c r="C900" s="16">
        <v>34192</v>
      </c>
      <c r="D900" s="19">
        <v>78.808000000000007</v>
      </c>
      <c r="E900" s="18">
        <f t="shared" si="14"/>
        <v>0.216722</v>
      </c>
      <c r="J900" s="3">
        <v>35866</v>
      </c>
      <c r="K900" s="17">
        <v>1.1319999999999999</v>
      </c>
    </row>
    <row r="901" spans="2:11">
      <c r="B901" s="123"/>
      <c r="C901" s="16">
        <v>34193</v>
      </c>
      <c r="D901" s="19">
        <v>79.822999999999993</v>
      </c>
      <c r="E901" s="18">
        <f t="shared" si="14"/>
        <v>0.21951324999999997</v>
      </c>
      <c r="J901" s="3">
        <v>35867</v>
      </c>
      <c r="K901" s="17">
        <v>1.133</v>
      </c>
    </row>
    <row r="902" spans="2:11">
      <c r="B902" s="123"/>
      <c r="C902" s="16">
        <v>34194</v>
      </c>
      <c r="D902" s="19">
        <v>80.850999999999999</v>
      </c>
      <c r="E902" s="18">
        <f t="shared" si="14"/>
        <v>0.22234024999999999</v>
      </c>
      <c r="J902" s="3">
        <v>35870</v>
      </c>
      <c r="K902" s="17">
        <v>1.133</v>
      </c>
    </row>
    <row r="903" spans="2:11">
      <c r="B903" s="123"/>
      <c r="C903" s="16">
        <v>34197</v>
      </c>
      <c r="D903" s="19">
        <v>81.891999999999996</v>
      </c>
      <c r="E903" s="18">
        <f t="shared" si="14"/>
        <v>0.22520299999999999</v>
      </c>
      <c r="J903" s="3">
        <v>35871</v>
      </c>
      <c r="K903" s="17">
        <v>1.133</v>
      </c>
    </row>
    <row r="904" spans="2:11">
      <c r="B904" s="123"/>
      <c r="C904" s="16">
        <v>34198</v>
      </c>
      <c r="D904" s="19">
        <v>82.945999999999998</v>
      </c>
      <c r="E904" s="18">
        <f t="shared" si="14"/>
        <v>0.22810149999999998</v>
      </c>
      <c r="J904" s="3">
        <v>35872</v>
      </c>
      <c r="K904" s="17">
        <v>1.1339999999999999</v>
      </c>
    </row>
    <row r="905" spans="2:11">
      <c r="B905" s="123"/>
      <c r="C905" s="16">
        <v>34199</v>
      </c>
      <c r="D905" s="19">
        <v>84.012</v>
      </c>
      <c r="E905" s="18">
        <f t="shared" si="14"/>
        <v>0.23103300000000002</v>
      </c>
      <c r="J905" s="3">
        <v>35873</v>
      </c>
      <c r="K905" s="17">
        <v>1.1339999999999999</v>
      </c>
    </row>
    <row r="906" spans="2:11">
      <c r="B906" s="123"/>
      <c r="C906" s="16">
        <v>34200</v>
      </c>
      <c r="D906" s="19">
        <v>85.091999999999999</v>
      </c>
      <c r="E906" s="18">
        <f t="shared" si="14"/>
        <v>0.23400300000000002</v>
      </c>
      <c r="J906" s="3">
        <v>35874</v>
      </c>
      <c r="K906" s="17">
        <v>1.1339999999999999</v>
      </c>
    </row>
    <row r="907" spans="2:11">
      <c r="B907" s="123"/>
      <c r="C907" s="16">
        <v>34201</v>
      </c>
      <c r="D907" s="19">
        <v>86.191999999999993</v>
      </c>
      <c r="E907" s="18">
        <f t="shared" si="14"/>
        <v>0.23702799999999996</v>
      </c>
      <c r="J907" s="3">
        <v>35877</v>
      </c>
      <c r="K907" s="17">
        <v>1.1339999999999999</v>
      </c>
    </row>
    <row r="908" spans="2:11">
      <c r="B908" s="123"/>
      <c r="C908" s="16">
        <v>34204</v>
      </c>
      <c r="D908" s="19">
        <v>87.305000000000007</v>
      </c>
      <c r="E908" s="18">
        <f t="shared" si="14"/>
        <v>0.24008875000000002</v>
      </c>
      <c r="J908" s="3">
        <v>35878</v>
      </c>
      <c r="K908" s="17">
        <v>1.135</v>
      </c>
    </row>
    <row r="909" spans="2:11">
      <c r="B909" s="123"/>
      <c r="C909" s="16">
        <v>34205</v>
      </c>
      <c r="D909" s="19">
        <v>88.441000000000003</v>
      </c>
      <c r="E909" s="18">
        <f t="shared" si="14"/>
        <v>0.24321275000000001</v>
      </c>
      <c r="J909" s="3">
        <v>35879</v>
      </c>
      <c r="K909" s="17">
        <v>1.135</v>
      </c>
    </row>
    <row r="910" spans="2:11">
      <c r="B910" s="123"/>
      <c r="C910" s="16">
        <v>34206</v>
      </c>
      <c r="D910" s="19">
        <v>89.63</v>
      </c>
      <c r="E910" s="18">
        <f t="shared" si="14"/>
        <v>0.24648249999999999</v>
      </c>
      <c r="J910" s="3">
        <v>35880</v>
      </c>
      <c r="K910" s="17">
        <v>1.1359999999999999</v>
      </c>
    </row>
    <row r="911" spans="2:11">
      <c r="B911" s="123"/>
      <c r="C911" s="16">
        <v>34207</v>
      </c>
      <c r="D911" s="19">
        <v>90.834999999999994</v>
      </c>
      <c r="E911" s="18">
        <f t="shared" si="14"/>
        <v>0.24979625</v>
      </c>
      <c r="J911" s="3">
        <v>35881</v>
      </c>
      <c r="K911" s="17">
        <v>1.1359999999999999</v>
      </c>
    </row>
    <row r="912" spans="2:11">
      <c r="B912" s="123"/>
      <c r="C912" s="16">
        <v>34208</v>
      </c>
      <c r="D912" s="19">
        <v>92.09</v>
      </c>
      <c r="E912" s="18">
        <f t="shared" si="14"/>
        <v>0.25324750000000001</v>
      </c>
      <c r="J912" s="3">
        <v>35884</v>
      </c>
      <c r="K912" s="17">
        <v>1.1359999999999999</v>
      </c>
    </row>
    <row r="913" spans="2:11">
      <c r="B913" s="123"/>
      <c r="C913" s="16">
        <v>34211</v>
      </c>
      <c r="D913" s="19">
        <v>93.36</v>
      </c>
      <c r="E913" s="18">
        <f t="shared" si="14"/>
        <v>0.25673999999999997</v>
      </c>
      <c r="J913" s="3">
        <v>35885</v>
      </c>
      <c r="K913" s="17">
        <v>1.137</v>
      </c>
    </row>
    <row r="914" spans="2:11">
      <c r="B914" s="123"/>
      <c r="C914" s="16">
        <v>34212</v>
      </c>
      <c r="D914" s="19">
        <v>94.652000000000001</v>
      </c>
      <c r="E914" s="18">
        <f t="shared" si="14"/>
        <v>0.260293</v>
      </c>
      <c r="J914" s="3">
        <v>35886</v>
      </c>
      <c r="K914" s="17">
        <v>1.137</v>
      </c>
    </row>
    <row r="915" spans="2:11">
      <c r="B915" s="123"/>
      <c r="C915" s="16">
        <v>34213</v>
      </c>
      <c r="D915" s="19">
        <v>95.98</v>
      </c>
      <c r="E915" s="18">
        <f t="shared" si="14"/>
        <v>0.26394500000000004</v>
      </c>
      <c r="J915" s="3">
        <v>35887</v>
      </c>
      <c r="K915" s="17">
        <v>1.137</v>
      </c>
    </row>
    <row r="916" spans="2:11">
      <c r="B916" s="123"/>
      <c r="C916" s="16">
        <v>34214</v>
      </c>
      <c r="D916" s="19">
        <v>98.751000000000005</v>
      </c>
      <c r="E916" s="18">
        <f t="shared" si="14"/>
        <v>0.27156525000000004</v>
      </c>
      <c r="J916" s="3">
        <v>35888</v>
      </c>
      <c r="K916" s="17">
        <v>1.1379999999999999</v>
      </c>
    </row>
    <row r="917" spans="2:11">
      <c r="B917" s="123"/>
      <c r="C917" s="16">
        <v>34215</v>
      </c>
      <c r="D917" s="19">
        <v>100.13</v>
      </c>
      <c r="E917" s="18">
        <f t="shared" si="14"/>
        <v>0.27535749999999998</v>
      </c>
      <c r="J917" s="3">
        <v>35891</v>
      </c>
      <c r="K917" s="17">
        <v>1.1379999999999999</v>
      </c>
    </row>
    <row r="918" spans="2:11">
      <c r="B918" s="123"/>
      <c r="C918" s="16">
        <v>34218</v>
      </c>
      <c r="D918" s="19">
        <v>100.11199999999999</v>
      </c>
      <c r="E918" s="18">
        <f t="shared" si="14"/>
        <v>0.275308</v>
      </c>
      <c r="J918" s="3">
        <v>35892</v>
      </c>
      <c r="K918" s="17">
        <v>1.1379999999999999</v>
      </c>
    </row>
    <row r="919" spans="2:11">
      <c r="B919" s="123"/>
      <c r="C919" s="16">
        <v>34220</v>
      </c>
      <c r="D919" s="19">
        <v>101.502</v>
      </c>
      <c r="E919" s="18">
        <f t="shared" si="14"/>
        <v>0.2791305</v>
      </c>
      <c r="J919" s="3">
        <v>35893</v>
      </c>
      <c r="K919" s="17">
        <v>1.139</v>
      </c>
    </row>
    <row r="920" spans="2:11">
      <c r="B920" s="123"/>
      <c r="C920" s="16">
        <v>34221</v>
      </c>
      <c r="D920" s="19">
        <v>102.925</v>
      </c>
      <c r="E920" s="18">
        <f t="shared" si="14"/>
        <v>0.28304374999999998</v>
      </c>
      <c r="J920" s="3">
        <v>35898</v>
      </c>
      <c r="K920" s="17">
        <v>1.139</v>
      </c>
    </row>
    <row r="921" spans="2:11">
      <c r="B921" s="123"/>
      <c r="C921" s="16">
        <v>34222</v>
      </c>
      <c r="D921" s="19">
        <v>104.386</v>
      </c>
      <c r="E921" s="18">
        <f t="shared" si="14"/>
        <v>0.28706149999999997</v>
      </c>
      <c r="J921" s="3">
        <v>35899</v>
      </c>
      <c r="K921" s="17">
        <v>1.1399999999999999</v>
      </c>
    </row>
    <row r="922" spans="2:11">
      <c r="B922" s="123"/>
      <c r="C922" s="16">
        <v>34225</v>
      </c>
      <c r="D922" s="19">
        <v>105.866</v>
      </c>
      <c r="E922" s="18">
        <f t="shared" si="14"/>
        <v>0.29113149999999999</v>
      </c>
      <c r="J922" s="3">
        <v>35900</v>
      </c>
      <c r="K922" s="17">
        <v>1.1399999999999999</v>
      </c>
    </row>
    <row r="923" spans="2:11">
      <c r="B923" s="123"/>
      <c r="C923" s="16">
        <v>34226</v>
      </c>
      <c r="D923" s="19">
        <v>107.392</v>
      </c>
      <c r="E923" s="18">
        <f t="shared" si="14"/>
        <v>0.29532799999999998</v>
      </c>
      <c r="J923" s="3">
        <v>35901</v>
      </c>
      <c r="K923" s="17">
        <v>1.1399999999999999</v>
      </c>
    </row>
    <row r="924" spans="2:11">
      <c r="B924" s="123"/>
      <c r="C924" s="16">
        <v>34227</v>
      </c>
      <c r="D924" s="19">
        <v>108.944</v>
      </c>
      <c r="E924" s="18">
        <f t="shared" si="14"/>
        <v>0.29959599999999997</v>
      </c>
      <c r="J924" s="3">
        <v>35902</v>
      </c>
      <c r="K924" s="17">
        <v>1.141</v>
      </c>
    </row>
    <row r="925" spans="2:11">
      <c r="B925" s="123"/>
      <c r="C925" s="16">
        <v>34228</v>
      </c>
      <c r="D925" s="19">
        <v>110.505</v>
      </c>
      <c r="E925" s="18">
        <f t="shared" si="14"/>
        <v>0.30388874999999999</v>
      </c>
      <c r="J925" s="3">
        <v>35905</v>
      </c>
      <c r="K925" s="17">
        <v>1.141</v>
      </c>
    </row>
    <row r="926" spans="2:11">
      <c r="B926" s="123"/>
      <c r="C926" s="16">
        <v>34229</v>
      </c>
      <c r="D926" s="19">
        <v>112.145</v>
      </c>
      <c r="E926" s="18">
        <f t="shared" si="14"/>
        <v>0.30839875</v>
      </c>
      <c r="J926" s="3">
        <v>35907</v>
      </c>
      <c r="K926" s="17">
        <v>1.1419999999999999</v>
      </c>
    </row>
    <row r="927" spans="2:11">
      <c r="B927" s="123"/>
      <c r="C927" s="16">
        <v>34232</v>
      </c>
      <c r="D927" s="19">
        <v>113.736</v>
      </c>
      <c r="E927" s="18">
        <f t="shared" si="14"/>
        <v>0.312774</v>
      </c>
      <c r="J927" s="3">
        <v>35908</v>
      </c>
      <c r="K927" s="17">
        <v>1.1419999999999999</v>
      </c>
    </row>
    <row r="928" spans="2:11">
      <c r="B928" s="123"/>
      <c r="C928" s="16">
        <v>34233</v>
      </c>
      <c r="D928" s="19">
        <v>115.345</v>
      </c>
      <c r="E928" s="18">
        <f t="shared" si="14"/>
        <v>0.31719875000000003</v>
      </c>
      <c r="J928" s="3">
        <v>35909</v>
      </c>
      <c r="K928" s="17">
        <v>1.143</v>
      </c>
    </row>
    <row r="929" spans="2:11">
      <c r="B929" s="123"/>
      <c r="C929" s="16">
        <v>34234</v>
      </c>
      <c r="D929" s="19">
        <v>117.065</v>
      </c>
      <c r="E929" s="18">
        <f t="shared" si="14"/>
        <v>0.32192874999999999</v>
      </c>
      <c r="J929" s="3">
        <v>35912</v>
      </c>
      <c r="K929" s="17">
        <v>1.1439999999999999</v>
      </c>
    </row>
    <row r="930" spans="2:11">
      <c r="B930" s="123"/>
      <c r="C930" s="16">
        <v>34235</v>
      </c>
      <c r="D930" s="19">
        <v>118.782</v>
      </c>
      <c r="E930" s="18">
        <f t="shared" si="14"/>
        <v>0.32665050000000001</v>
      </c>
      <c r="J930" s="3">
        <v>35913</v>
      </c>
      <c r="K930" s="17">
        <v>1.1439999999999999</v>
      </c>
    </row>
    <row r="931" spans="2:11">
      <c r="B931" s="123"/>
      <c r="C931" s="16">
        <v>34236</v>
      </c>
      <c r="D931" s="19">
        <v>120.57</v>
      </c>
      <c r="E931" s="18">
        <f t="shared" si="14"/>
        <v>0.33156750000000001</v>
      </c>
      <c r="J931" s="3">
        <v>35914</v>
      </c>
      <c r="K931" s="17">
        <v>1.145</v>
      </c>
    </row>
    <row r="932" spans="2:11">
      <c r="B932" s="123"/>
      <c r="C932" s="16">
        <v>34239</v>
      </c>
      <c r="D932" s="19">
        <v>122.36</v>
      </c>
      <c r="E932" s="18">
        <f t="shared" si="14"/>
        <v>0.33649000000000001</v>
      </c>
      <c r="J932" s="3">
        <v>35915</v>
      </c>
      <c r="K932" s="17">
        <v>1.1439999999999999</v>
      </c>
    </row>
    <row r="933" spans="2:11">
      <c r="B933" s="123"/>
      <c r="C933" s="16">
        <v>34240</v>
      </c>
      <c r="D933" s="19">
        <v>124.28</v>
      </c>
      <c r="E933" s="18">
        <f t="shared" si="14"/>
        <v>0.34177000000000002</v>
      </c>
      <c r="J933" s="3">
        <v>35919</v>
      </c>
      <c r="K933" s="17">
        <v>1.1439999999999999</v>
      </c>
    </row>
    <row r="934" spans="2:11">
      <c r="B934" s="123"/>
      <c r="C934" s="16">
        <v>34241</v>
      </c>
      <c r="D934" s="19">
        <v>126.125</v>
      </c>
      <c r="E934" s="18">
        <f t="shared" si="14"/>
        <v>0.34684374999999995</v>
      </c>
      <c r="J934" s="3">
        <v>35920</v>
      </c>
      <c r="K934" s="17">
        <v>1.1439999999999999</v>
      </c>
    </row>
    <row r="935" spans="2:11">
      <c r="B935" s="123"/>
      <c r="C935" s="16">
        <v>34242</v>
      </c>
      <c r="D935" s="19">
        <v>128.07</v>
      </c>
      <c r="E935" s="18">
        <f t="shared" si="14"/>
        <v>0.35219249999999996</v>
      </c>
      <c r="J935" s="3">
        <v>35921</v>
      </c>
      <c r="K935" s="17">
        <v>1.145</v>
      </c>
    </row>
    <row r="936" spans="2:11">
      <c r="B936" s="123"/>
      <c r="C936" s="16">
        <v>34243</v>
      </c>
      <c r="D936" s="19">
        <v>130.04</v>
      </c>
      <c r="E936" s="18">
        <f t="shared" si="14"/>
        <v>0.35760999999999998</v>
      </c>
      <c r="J936" s="3">
        <v>35922</v>
      </c>
      <c r="K936" s="17">
        <v>1.145</v>
      </c>
    </row>
    <row r="937" spans="2:11">
      <c r="B937" s="123"/>
      <c r="C937" s="16">
        <v>34246</v>
      </c>
      <c r="D937" s="19">
        <v>132.05500000000001</v>
      </c>
      <c r="E937" s="18">
        <f t="shared" si="14"/>
        <v>0.36315125000000004</v>
      </c>
      <c r="J937" s="3">
        <v>35923</v>
      </c>
      <c r="K937" s="17">
        <v>1.145</v>
      </c>
    </row>
    <row r="938" spans="2:11">
      <c r="B938" s="123"/>
      <c r="C938" s="16">
        <v>34247</v>
      </c>
      <c r="D938" s="19">
        <v>134.09</v>
      </c>
      <c r="E938" s="18">
        <f t="shared" si="14"/>
        <v>0.36874750000000006</v>
      </c>
      <c r="J938" s="3">
        <v>35926</v>
      </c>
      <c r="K938" s="17">
        <v>1.145</v>
      </c>
    </row>
    <row r="939" spans="2:11">
      <c r="B939" s="123"/>
      <c r="C939" s="16">
        <v>34248</v>
      </c>
      <c r="D939" s="19">
        <v>136.15600000000001</v>
      </c>
      <c r="E939" s="18">
        <f t="shared" si="14"/>
        <v>0.37442900000000001</v>
      </c>
      <c r="J939" s="3">
        <v>35927</v>
      </c>
      <c r="K939" s="17">
        <v>1.1459999999999999</v>
      </c>
    </row>
    <row r="940" spans="2:11">
      <c r="B940" s="123"/>
      <c r="C940" s="16">
        <v>34249</v>
      </c>
      <c r="D940" s="19">
        <v>140.38999999999999</v>
      </c>
      <c r="E940" s="18">
        <f t="shared" si="14"/>
        <v>0.38607249999999999</v>
      </c>
      <c r="J940" s="3">
        <v>35928</v>
      </c>
      <c r="K940" s="17">
        <v>1.147</v>
      </c>
    </row>
    <row r="941" spans="2:11">
      <c r="B941" s="123"/>
      <c r="C941" s="16">
        <v>34250</v>
      </c>
      <c r="D941" s="19">
        <v>142.58000000000001</v>
      </c>
      <c r="E941" s="18">
        <f t="shared" si="14"/>
        <v>0.39209500000000003</v>
      </c>
      <c r="J941" s="3">
        <v>35929</v>
      </c>
      <c r="K941" s="17">
        <v>1.147</v>
      </c>
    </row>
    <row r="942" spans="2:11">
      <c r="B942" s="123"/>
      <c r="C942" s="16">
        <v>34253</v>
      </c>
      <c r="D942" s="19">
        <v>142.56</v>
      </c>
      <c r="E942" s="18">
        <f t="shared" si="14"/>
        <v>0.39204</v>
      </c>
      <c r="J942" s="3">
        <v>35930</v>
      </c>
      <c r="K942" s="17">
        <v>1.147</v>
      </c>
    </row>
    <row r="943" spans="2:11">
      <c r="B943" s="123"/>
      <c r="C943" s="16">
        <v>34255</v>
      </c>
      <c r="D943" s="19">
        <v>144.76</v>
      </c>
      <c r="E943" s="18">
        <f t="shared" si="14"/>
        <v>0.39809</v>
      </c>
      <c r="J943" s="3">
        <v>35933</v>
      </c>
      <c r="K943" s="17">
        <v>1.147</v>
      </c>
    </row>
    <row r="944" spans="2:11">
      <c r="B944" s="123"/>
      <c r="C944" s="16">
        <v>34256</v>
      </c>
      <c r="D944" s="19">
        <v>146.99799999999999</v>
      </c>
      <c r="E944" s="18">
        <f t="shared" si="14"/>
        <v>0.40424449999999995</v>
      </c>
      <c r="J944" s="3">
        <v>35934</v>
      </c>
      <c r="K944" s="17">
        <v>1.1479999999999999</v>
      </c>
    </row>
    <row r="945" spans="2:11">
      <c r="B945" s="123"/>
      <c r="C945" s="16">
        <v>34257</v>
      </c>
      <c r="D945" s="19">
        <v>149.26</v>
      </c>
      <c r="E945" s="18">
        <f t="shared" si="14"/>
        <v>0.41046500000000002</v>
      </c>
      <c r="J945" s="3">
        <v>35935</v>
      </c>
      <c r="K945" s="17">
        <v>1.1479999999999999</v>
      </c>
    </row>
    <row r="946" spans="2:11">
      <c r="B946" s="123"/>
      <c r="C946" s="16">
        <v>34260</v>
      </c>
      <c r="D946" s="19">
        <v>151.6</v>
      </c>
      <c r="E946" s="18">
        <f t="shared" si="14"/>
        <v>0.41689999999999994</v>
      </c>
      <c r="J946" s="3">
        <v>35936</v>
      </c>
      <c r="K946" s="17">
        <v>1.149</v>
      </c>
    </row>
    <row r="947" spans="2:11">
      <c r="B947" s="123"/>
      <c r="C947" s="16">
        <v>34261</v>
      </c>
      <c r="D947" s="19">
        <v>153.905</v>
      </c>
      <c r="E947" s="18">
        <f t="shared" si="14"/>
        <v>0.42323875000000005</v>
      </c>
      <c r="J947" s="3">
        <v>35937</v>
      </c>
      <c r="K947" s="17">
        <v>1.151</v>
      </c>
    </row>
    <row r="948" spans="2:11">
      <c r="B948" s="123"/>
      <c r="C948" s="16">
        <v>34262</v>
      </c>
      <c r="D948" s="19">
        <v>156.29499999999999</v>
      </c>
      <c r="E948" s="18">
        <f t="shared" si="14"/>
        <v>0.42981124999999998</v>
      </c>
      <c r="J948" s="3">
        <v>35940</v>
      </c>
      <c r="K948" s="17">
        <v>1.151</v>
      </c>
    </row>
    <row r="949" spans="2:11">
      <c r="B949" s="123"/>
      <c r="C949" s="16">
        <v>34263</v>
      </c>
      <c r="D949" s="19">
        <v>158.69499999999999</v>
      </c>
      <c r="E949" s="18">
        <f t="shared" si="14"/>
        <v>0.43641125000000003</v>
      </c>
      <c r="J949" s="3">
        <v>35941</v>
      </c>
      <c r="K949" s="17">
        <v>1.153</v>
      </c>
    </row>
    <row r="950" spans="2:11">
      <c r="B950" s="123"/>
      <c r="C950" s="16">
        <v>34264</v>
      </c>
      <c r="D950" s="19">
        <v>161.155</v>
      </c>
      <c r="E950" s="18">
        <f t="shared" si="14"/>
        <v>0.44317624999999999</v>
      </c>
      <c r="J950" s="3">
        <v>35942</v>
      </c>
      <c r="K950" s="17">
        <v>1.1519999999999999</v>
      </c>
    </row>
    <row r="951" spans="2:11">
      <c r="B951" s="123"/>
      <c r="C951" s="16">
        <v>34267</v>
      </c>
      <c r="D951" s="19">
        <v>163.64500000000001</v>
      </c>
      <c r="E951" s="18">
        <f t="shared" si="14"/>
        <v>0.45002375000000006</v>
      </c>
      <c r="J951" s="3">
        <v>35943</v>
      </c>
      <c r="K951" s="17">
        <v>1.1499999999999999</v>
      </c>
    </row>
    <row r="952" spans="2:11">
      <c r="B952" s="123"/>
      <c r="C952" s="16">
        <v>34268</v>
      </c>
      <c r="D952" s="19">
        <v>166.17</v>
      </c>
      <c r="E952" s="18">
        <f t="shared" si="14"/>
        <v>0.45696749999999997</v>
      </c>
      <c r="J952" s="3">
        <v>35944</v>
      </c>
      <c r="K952" s="17">
        <v>1.1499999999999999</v>
      </c>
    </row>
    <row r="953" spans="2:11">
      <c r="B953" s="123"/>
      <c r="C953" s="16">
        <v>34269</v>
      </c>
      <c r="D953" s="19">
        <v>168.74100000000001</v>
      </c>
      <c r="E953" s="18">
        <f t="shared" si="14"/>
        <v>0.46403775000000003</v>
      </c>
      <c r="J953" s="3">
        <v>35947</v>
      </c>
      <c r="K953" s="17">
        <v>1.1519999999999999</v>
      </c>
    </row>
    <row r="954" spans="2:11">
      <c r="B954" s="123"/>
      <c r="C954" s="16">
        <v>34270</v>
      </c>
      <c r="D954" s="19">
        <v>171.4</v>
      </c>
      <c r="E954" s="18">
        <f t="shared" si="14"/>
        <v>0.47134999999999999</v>
      </c>
      <c r="J954" s="3">
        <v>35948</v>
      </c>
      <c r="K954" s="17">
        <v>1.151</v>
      </c>
    </row>
    <row r="955" spans="2:11">
      <c r="B955" s="123"/>
      <c r="C955" s="16">
        <v>34271</v>
      </c>
      <c r="D955" s="19">
        <v>174</v>
      </c>
      <c r="E955" s="18">
        <f t="shared" si="14"/>
        <v>0.47849999999999998</v>
      </c>
      <c r="J955" s="3">
        <v>35949</v>
      </c>
      <c r="K955" s="17">
        <v>1.151</v>
      </c>
    </row>
    <row r="956" spans="2:11">
      <c r="B956" s="123"/>
      <c r="C956" s="16">
        <v>34274</v>
      </c>
      <c r="D956" s="19">
        <v>176.69</v>
      </c>
      <c r="E956" s="18">
        <f t="shared" si="14"/>
        <v>0.48589749999999998</v>
      </c>
      <c r="J956" s="3">
        <v>35950</v>
      </c>
      <c r="K956" s="17">
        <v>1.151</v>
      </c>
    </row>
    <row r="957" spans="2:11">
      <c r="B957" s="123"/>
      <c r="C957" s="16">
        <v>34276</v>
      </c>
      <c r="D957" s="19">
        <v>179.41300000000001</v>
      </c>
      <c r="E957" s="18">
        <f t="shared" si="14"/>
        <v>0.49338575000000007</v>
      </c>
      <c r="J957" s="3">
        <v>35951</v>
      </c>
      <c r="K957" s="17">
        <v>1.1519999999999999</v>
      </c>
    </row>
    <row r="958" spans="2:11">
      <c r="B958" s="123"/>
      <c r="C958" s="16">
        <v>34277</v>
      </c>
      <c r="D958" s="19">
        <v>182.22</v>
      </c>
      <c r="E958" s="18">
        <f t="shared" ref="E958:E1021" si="15">(D958/1000)*2.75</f>
        <v>0.50110500000000002</v>
      </c>
      <c r="J958" s="3">
        <v>35954</v>
      </c>
      <c r="K958" s="17">
        <v>1.1519999999999999</v>
      </c>
    </row>
    <row r="959" spans="2:11">
      <c r="B959" s="123"/>
      <c r="C959" s="16">
        <v>34278</v>
      </c>
      <c r="D959" s="19">
        <v>185</v>
      </c>
      <c r="E959" s="18">
        <f t="shared" si="15"/>
        <v>0.50875000000000004</v>
      </c>
      <c r="J959" s="3">
        <v>35955</v>
      </c>
      <c r="K959" s="17">
        <v>1.153</v>
      </c>
    </row>
    <row r="960" spans="2:11">
      <c r="B960" s="123"/>
      <c r="C960" s="16">
        <v>34281</v>
      </c>
      <c r="D960" s="19">
        <v>187.86</v>
      </c>
      <c r="E960" s="18">
        <f t="shared" si="15"/>
        <v>0.51661500000000005</v>
      </c>
      <c r="J960" s="3">
        <v>35956</v>
      </c>
      <c r="K960" s="17">
        <v>1.1539999999999999</v>
      </c>
    </row>
    <row r="961" spans="2:11">
      <c r="B961" s="123"/>
      <c r="C961" s="16">
        <v>34282</v>
      </c>
      <c r="D961" s="19">
        <v>193.7</v>
      </c>
      <c r="E961" s="18">
        <f t="shared" si="15"/>
        <v>0.53267500000000001</v>
      </c>
      <c r="J961" s="3">
        <v>35958</v>
      </c>
      <c r="K961" s="17">
        <v>1.155</v>
      </c>
    </row>
    <row r="962" spans="2:11">
      <c r="B962" s="123"/>
      <c r="C962" s="16">
        <v>34283</v>
      </c>
      <c r="D962" s="19">
        <v>196.696</v>
      </c>
      <c r="E962" s="18">
        <f t="shared" si="15"/>
        <v>0.54091400000000001</v>
      </c>
      <c r="J962" s="3">
        <v>35961</v>
      </c>
      <c r="K962" s="17">
        <v>1.155</v>
      </c>
    </row>
    <row r="963" spans="2:11">
      <c r="B963" s="123"/>
      <c r="C963" s="16">
        <v>34284</v>
      </c>
      <c r="D963" s="19">
        <v>196.69499999999999</v>
      </c>
      <c r="E963" s="18">
        <f t="shared" si="15"/>
        <v>0.54091124999999995</v>
      </c>
      <c r="J963" s="3">
        <v>35962</v>
      </c>
      <c r="K963" s="17">
        <v>1.1539999999999999</v>
      </c>
    </row>
    <row r="964" spans="2:11">
      <c r="B964" s="123"/>
      <c r="C964" s="16">
        <v>34285</v>
      </c>
      <c r="D964" s="19">
        <v>199.76499999999999</v>
      </c>
      <c r="E964" s="18">
        <f t="shared" si="15"/>
        <v>0.54935374999999997</v>
      </c>
      <c r="J964" s="3">
        <v>35963</v>
      </c>
      <c r="K964" s="17">
        <v>1.155</v>
      </c>
    </row>
    <row r="965" spans="2:11">
      <c r="B965" s="123"/>
      <c r="C965" s="16">
        <v>34289</v>
      </c>
      <c r="D965" s="19">
        <v>202.81</v>
      </c>
      <c r="E965" s="18">
        <f t="shared" si="15"/>
        <v>0.55772749999999993</v>
      </c>
      <c r="J965" s="3">
        <v>35964</v>
      </c>
      <c r="K965" s="17">
        <v>1.155</v>
      </c>
    </row>
    <row r="966" spans="2:11">
      <c r="B966" s="123"/>
      <c r="C966" s="16">
        <v>34290</v>
      </c>
      <c r="D966" s="19">
        <v>205.94</v>
      </c>
      <c r="E966" s="18">
        <f t="shared" si="15"/>
        <v>0.56633499999999992</v>
      </c>
      <c r="J966" s="3">
        <v>35965</v>
      </c>
      <c r="K966" s="17">
        <v>1.1559999999999999</v>
      </c>
    </row>
    <row r="967" spans="2:11">
      <c r="B967" s="123"/>
      <c r="C967" s="16">
        <v>34291</v>
      </c>
      <c r="D967" s="19">
        <v>209.11</v>
      </c>
      <c r="E967" s="18">
        <f t="shared" si="15"/>
        <v>0.57505250000000008</v>
      </c>
      <c r="J967" s="3">
        <v>35968</v>
      </c>
      <c r="K967" s="17">
        <v>1.155</v>
      </c>
    </row>
    <row r="968" spans="2:11">
      <c r="B968" s="123"/>
      <c r="C968" s="16">
        <v>34292</v>
      </c>
      <c r="D968" s="19">
        <v>212.33</v>
      </c>
      <c r="E968" s="18">
        <f t="shared" si="15"/>
        <v>0.58390750000000002</v>
      </c>
      <c r="J968" s="3">
        <v>35969</v>
      </c>
      <c r="K968" s="17">
        <v>1.155</v>
      </c>
    </row>
    <row r="969" spans="2:11">
      <c r="B969" s="123"/>
      <c r="C969" s="16">
        <v>34295</v>
      </c>
      <c r="D969" s="19">
        <v>215.66</v>
      </c>
      <c r="E969" s="18">
        <f t="shared" si="15"/>
        <v>0.59306499999999995</v>
      </c>
      <c r="J969" s="3">
        <v>35970</v>
      </c>
      <c r="K969" s="17">
        <v>1.155</v>
      </c>
    </row>
    <row r="970" spans="2:11">
      <c r="B970" s="123"/>
      <c r="C970" s="16">
        <v>34296</v>
      </c>
      <c r="D970" s="19">
        <v>222.32499999999999</v>
      </c>
      <c r="E970" s="18">
        <f t="shared" si="15"/>
        <v>0.61139374999999996</v>
      </c>
      <c r="J970" s="3">
        <v>35971</v>
      </c>
      <c r="K970" s="17">
        <v>1.1559999999999999</v>
      </c>
    </row>
    <row r="971" spans="2:11">
      <c r="B971" s="123"/>
      <c r="C971" s="16">
        <v>34297</v>
      </c>
      <c r="D971" s="19">
        <v>225.84</v>
      </c>
      <c r="E971" s="18">
        <f t="shared" si="15"/>
        <v>0.62106000000000006</v>
      </c>
      <c r="J971" s="3">
        <v>35972</v>
      </c>
      <c r="K971" s="17">
        <v>1.1559999999999999</v>
      </c>
    </row>
    <row r="972" spans="2:11">
      <c r="B972" s="123"/>
      <c r="C972" s="16">
        <v>34298</v>
      </c>
      <c r="D972" s="19">
        <v>225.76499999999999</v>
      </c>
      <c r="E972" s="18">
        <f t="shared" si="15"/>
        <v>0.62085374999999998</v>
      </c>
      <c r="J972" s="3">
        <v>35975</v>
      </c>
      <c r="K972" s="17">
        <v>1.1559999999999999</v>
      </c>
    </row>
    <row r="973" spans="2:11">
      <c r="B973" s="123"/>
      <c r="C973" s="16">
        <v>34299</v>
      </c>
      <c r="D973" s="19">
        <v>229.31</v>
      </c>
      <c r="E973" s="18">
        <f t="shared" si="15"/>
        <v>0.63060250000000007</v>
      </c>
      <c r="J973" s="3">
        <v>35976</v>
      </c>
      <c r="K973" s="17">
        <v>1.1559999999999999</v>
      </c>
    </row>
    <row r="974" spans="2:11">
      <c r="B974" s="123"/>
      <c r="C974" s="16">
        <v>34302</v>
      </c>
      <c r="D974" s="19">
        <v>232.92</v>
      </c>
      <c r="E974" s="18">
        <f t="shared" si="15"/>
        <v>0.64052999999999993</v>
      </c>
      <c r="J974" s="3">
        <v>35977</v>
      </c>
      <c r="K974" s="17">
        <v>1.157</v>
      </c>
    </row>
    <row r="975" spans="2:11">
      <c r="B975" s="123"/>
      <c r="C975" s="16">
        <v>34303</v>
      </c>
      <c r="D975" s="19">
        <v>235.98</v>
      </c>
      <c r="E975" s="18">
        <f t="shared" si="15"/>
        <v>0.64894499999999999</v>
      </c>
      <c r="J975" s="3">
        <v>35978</v>
      </c>
      <c r="K975" s="17">
        <v>1.157</v>
      </c>
    </row>
    <row r="976" spans="2:11">
      <c r="B976" s="123"/>
      <c r="C976" s="16">
        <v>34304</v>
      </c>
      <c r="D976" s="19">
        <v>239.16499999999999</v>
      </c>
      <c r="E976" s="18">
        <f t="shared" si="15"/>
        <v>0.65770374999999992</v>
      </c>
      <c r="J976" s="3">
        <v>35979</v>
      </c>
      <c r="K976" s="17">
        <v>1.157</v>
      </c>
    </row>
    <row r="977" spans="2:11">
      <c r="B977" s="123"/>
      <c r="C977" s="16">
        <v>34305</v>
      </c>
      <c r="D977" s="19">
        <v>242.37</v>
      </c>
      <c r="E977" s="18">
        <f t="shared" si="15"/>
        <v>0.66651749999999998</v>
      </c>
      <c r="J977" s="3">
        <v>35982</v>
      </c>
      <c r="K977" s="17">
        <v>1.1579999999999999</v>
      </c>
    </row>
    <row r="978" spans="2:11">
      <c r="B978" s="123"/>
      <c r="C978" s="16">
        <v>34306</v>
      </c>
      <c r="D978" s="19">
        <v>245.62</v>
      </c>
      <c r="E978" s="18">
        <f t="shared" si="15"/>
        <v>0.67545500000000003</v>
      </c>
      <c r="J978" s="3">
        <v>35983</v>
      </c>
      <c r="K978" s="17">
        <v>1.1579999999999999</v>
      </c>
    </row>
    <row r="979" spans="2:11">
      <c r="B979" s="123"/>
      <c r="C979" s="16">
        <v>34309</v>
      </c>
      <c r="D979" s="19">
        <v>248.92</v>
      </c>
      <c r="E979" s="18">
        <f t="shared" si="15"/>
        <v>0.68452999999999997</v>
      </c>
      <c r="J979" s="3">
        <v>35984</v>
      </c>
      <c r="K979" s="17">
        <v>1.159</v>
      </c>
    </row>
    <row r="980" spans="2:11">
      <c r="B980" s="123"/>
      <c r="C980" s="16">
        <v>34310</v>
      </c>
      <c r="D980" s="19">
        <v>252.27</v>
      </c>
      <c r="E980" s="18">
        <f t="shared" si="15"/>
        <v>0.69374249999999993</v>
      </c>
      <c r="J980" s="3">
        <v>35985</v>
      </c>
      <c r="K980" s="17">
        <v>1.161</v>
      </c>
    </row>
    <row r="981" spans="2:11">
      <c r="B981" s="123"/>
      <c r="C981" s="16">
        <v>34311</v>
      </c>
      <c r="D981" s="19">
        <v>255.685</v>
      </c>
      <c r="E981" s="18">
        <f t="shared" si="15"/>
        <v>0.70313375</v>
      </c>
      <c r="J981" s="3">
        <v>35986</v>
      </c>
      <c r="K981" s="17">
        <v>1.161</v>
      </c>
    </row>
    <row r="982" spans="2:11">
      <c r="B982" s="123"/>
      <c r="C982" s="16">
        <v>34312</v>
      </c>
      <c r="D982" s="19">
        <v>259.10000000000002</v>
      </c>
      <c r="E982" s="18">
        <f t="shared" si="15"/>
        <v>0.71252499999999996</v>
      </c>
      <c r="J982" s="3">
        <v>35989</v>
      </c>
      <c r="K982" s="17">
        <v>1.161</v>
      </c>
    </row>
    <row r="983" spans="2:11">
      <c r="B983" s="123"/>
      <c r="C983" s="16">
        <v>34313</v>
      </c>
      <c r="D983" s="19">
        <v>262.61</v>
      </c>
      <c r="E983" s="18">
        <f t="shared" si="15"/>
        <v>0.72217750000000003</v>
      </c>
      <c r="J983" s="3">
        <v>35990</v>
      </c>
      <c r="K983" s="17">
        <v>1.163</v>
      </c>
    </row>
    <row r="984" spans="2:11">
      <c r="B984" s="123"/>
      <c r="C984" s="16">
        <v>34316</v>
      </c>
      <c r="D984" s="19">
        <v>266.32</v>
      </c>
      <c r="E984" s="18">
        <f t="shared" si="15"/>
        <v>0.73238000000000003</v>
      </c>
      <c r="J984" s="3">
        <v>35991</v>
      </c>
      <c r="K984" s="17">
        <v>1.161</v>
      </c>
    </row>
    <row r="985" spans="2:11">
      <c r="B985" s="123"/>
      <c r="C985" s="16">
        <v>34317</v>
      </c>
      <c r="D985" s="19">
        <v>270.065</v>
      </c>
      <c r="E985" s="18">
        <f t="shared" si="15"/>
        <v>0.74267875000000005</v>
      </c>
      <c r="J985" s="3">
        <v>35992</v>
      </c>
      <c r="K985" s="17">
        <v>1.1619999999999999</v>
      </c>
    </row>
    <row r="986" spans="2:11">
      <c r="B986" s="123"/>
      <c r="C986" s="16">
        <v>34318</v>
      </c>
      <c r="D986" s="19">
        <v>273.88</v>
      </c>
      <c r="E986" s="18">
        <f t="shared" si="15"/>
        <v>0.75317000000000001</v>
      </c>
      <c r="J986" s="3">
        <v>35993</v>
      </c>
      <c r="K986" s="17">
        <v>1.161</v>
      </c>
    </row>
    <row r="987" spans="2:11">
      <c r="B987" s="123"/>
      <c r="C987" s="16">
        <v>34319</v>
      </c>
      <c r="D987" s="19">
        <v>277.73500000000001</v>
      </c>
      <c r="E987" s="18">
        <f t="shared" si="15"/>
        <v>0.76377125000000001</v>
      </c>
      <c r="J987" s="3">
        <v>35996</v>
      </c>
      <c r="K987" s="17">
        <v>1.1599999999999999</v>
      </c>
    </row>
    <row r="988" spans="2:11">
      <c r="B988" s="123"/>
      <c r="C988" s="16">
        <v>34320</v>
      </c>
      <c r="D988" s="19">
        <v>281.66500000000002</v>
      </c>
      <c r="E988" s="18">
        <f t="shared" si="15"/>
        <v>0.77457874999999998</v>
      </c>
      <c r="J988" s="3">
        <v>35997</v>
      </c>
      <c r="K988" s="17">
        <v>1.161</v>
      </c>
    </row>
    <row r="989" spans="2:11">
      <c r="B989" s="123"/>
      <c r="C989" s="16">
        <v>34323</v>
      </c>
      <c r="D989" s="19">
        <v>285.64</v>
      </c>
      <c r="E989" s="18">
        <f t="shared" si="15"/>
        <v>0.78551000000000004</v>
      </c>
      <c r="J989" s="3">
        <v>35998</v>
      </c>
      <c r="K989" s="17">
        <v>1.1619999999999999</v>
      </c>
    </row>
    <row r="990" spans="2:11">
      <c r="B990" s="123"/>
      <c r="C990" s="16">
        <v>34324</v>
      </c>
      <c r="D990" s="19">
        <v>289.69</v>
      </c>
      <c r="E990" s="18">
        <f t="shared" si="15"/>
        <v>0.79664749999999995</v>
      </c>
      <c r="J990" s="3">
        <v>35999</v>
      </c>
      <c r="K990" s="17">
        <v>1.1639999999999999</v>
      </c>
    </row>
    <row r="991" spans="2:11">
      <c r="B991" s="123"/>
      <c r="C991" s="16">
        <v>34325</v>
      </c>
      <c r="D991" s="19">
        <v>293.87</v>
      </c>
      <c r="E991" s="18">
        <f t="shared" si="15"/>
        <v>0.8081425000000001</v>
      </c>
      <c r="J991" s="3">
        <v>36000</v>
      </c>
      <c r="K991" s="17">
        <v>1.165</v>
      </c>
    </row>
    <row r="992" spans="2:11">
      <c r="B992" s="123"/>
      <c r="C992" s="16">
        <v>34326</v>
      </c>
      <c r="D992" s="19">
        <v>297.98</v>
      </c>
      <c r="E992" s="18">
        <f t="shared" si="15"/>
        <v>0.81944500000000009</v>
      </c>
      <c r="J992" s="3">
        <v>36003</v>
      </c>
      <c r="K992" s="17">
        <v>1.1659999999999999</v>
      </c>
    </row>
    <row r="993" spans="2:11">
      <c r="B993" s="123"/>
      <c r="C993" s="16">
        <v>34327</v>
      </c>
      <c r="D993" s="19">
        <v>302.29000000000002</v>
      </c>
      <c r="E993" s="18">
        <f t="shared" si="15"/>
        <v>0.83129750000000002</v>
      </c>
      <c r="J993" s="3">
        <v>36004</v>
      </c>
      <c r="K993" s="17">
        <v>1.163</v>
      </c>
    </row>
    <row r="994" spans="2:11">
      <c r="B994" s="123"/>
      <c r="C994" s="16">
        <v>34330</v>
      </c>
      <c r="D994" s="19">
        <v>306.69</v>
      </c>
      <c r="E994" s="18">
        <f t="shared" si="15"/>
        <v>0.84339750000000002</v>
      </c>
      <c r="J994" s="3">
        <v>36005</v>
      </c>
      <c r="K994" s="17">
        <v>1.163</v>
      </c>
    </row>
    <row r="995" spans="2:11">
      <c r="B995" s="123"/>
      <c r="C995" s="16">
        <v>34331</v>
      </c>
      <c r="D995" s="19">
        <v>311.26</v>
      </c>
      <c r="E995" s="18">
        <f t="shared" si="15"/>
        <v>0.85596499999999998</v>
      </c>
      <c r="J995" s="3">
        <v>36006</v>
      </c>
      <c r="K995" s="17">
        <v>1.1619999999999999</v>
      </c>
    </row>
    <row r="996" spans="2:11">
      <c r="B996" s="123"/>
      <c r="C996" s="16">
        <v>34332</v>
      </c>
      <c r="D996" s="19">
        <v>316.01</v>
      </c>
      <c r="E996" s="18">
        <f t="shared" si="15"/>
        <v>0.86902750000000006</v>
      </c>
      <c r="J996" s="3">
        <v>36007</v>
      </c>
      <c r="K996" s="17">
        <v>1.163</v>
      </c>
    </row>
    <row r="997" spans="2:11">
      <c r="B997" s="123"/>
      <c r="C997" s="16">
        <v>34333</v>
      </c>
      <c r="D997" s="19">
        <v>320.92</v>
      </c>
      <c r="E997" s="18">
        <f t="shared" si="15"/>
        <v>0.88253000000000015</v>
      </c>
      <c r="J997" s="3">
        <v>36010</v>
      </c>
      <c r="K997" s="17">
        <v>1.1639999999999999</v>
      </c>
    </row>
    <row r="998" spans="2:11">
      <c r="B998" s="123"/>
      <c r="C998" s="16">
        <v>34334</v>
      </c>
      <c r="D998" s="19">
        <v>326.10500000000002</v>
      </c>
      <c r="E998" s="18">
        <f t="shared" si="15"/>
        <v>0.89678875000000013</v>
      </c>
      <c r="J998" s="3">
        <v>36011</v>
      </c>
      <c r="K998" s="17">
        <v>1.165</v>
      </c>
    </row>
    <row r="999" spans="2:11">
      <c r="B999" s="123"/>
      <c r="C999" s="16">
        <v>34337</v>
      </c>
      <c r="D999" s="19">
        <v>331.22</v>
      </c>
      <c r="E999" s="18">
        <f t="shared" si="15"/>
        <v>0.91085500000000008</v>
      </c>
      <c r="J999" s="3">
        <v>36012</v>
      </c>
      <c r="K999" s="17">
        <v>1.167</v>
      </c>
    </row>
    <row r="1000" spans="2:11">
      <c r="B1000" s="123"/>
      <c r="C1000" s="16">
        <v>34338</v>
      </c>
      <c r="D1000" s="19">
        <v>336.49</v>
      </c>
      <c r="E1000" s="18">
        <f t="shared" si="15"/>
        <v>0.92534749999999999</v>
      </c>
      <c r="J1000" s="3">
        <v>36013</v>
      </c>
      <c r="K1000" s="17">
        <v>1.1679999999999999</v>
      </c>
    </row>
    <row r="1001" spans="2:11">
      <c r="B1001" s="123"/>
      <c r="C1001" s="16">
        <v>34339</v>
      </c>
      <c r="D1001" s="19">
        <v>341.83</v>
      </c>
      <c r="E1001" s="18">
        <f t="shared" si="15"/>
        <v>0.94003249999999994</v>
      </c>
      <c r="J1001" s="3">
        <v>36014</v>
      </c>
      <c r="K1001" s="17">
        <v>1.1679999999999999</v>
      </c>
    </row>
    <row r="1002" spans="2:11">
      <c r="B1002" s="123"/>
      <c r="C1002" s="16">
        <v>34340</v>
      </c>
      <c r="D1002" s="19">
        <v>347.23500000000001</v>
      </c>
      <c r="E1002" s="18">
        <f t="shared" si="15"/>
        <v>0.95489625</v>
      </c>
      <c r="J1002" s="3">
        <v>36017</v>
      </c>
      <c r="K1002" s="17">
        <v>1.169</v>
      </c>
    </row>
    <row r="1003" spans="2:11">
      <c r="B1003" s="123"/>
      <c r="C1003" s="16">
        <v>34341</v>
      </c>
      <c r="D1003" s="19">
        <v>352.73</v>
      </c>
      <c r="E1003" s="18">
        <f t="shared" si="15"/>
        <v>0.97000750000000013</v>
      </c>
      <c r="J1003" s="3">
        <v>36018</v>
      </c>
      <c r="K1003" s="17">
        <v>1.1679999999999999</v>
      </c>
    </row>
    <row r="1004" spans="2:11">
      <c r="B1004" s="123"/>
      <c r="C1004" s="16">
        <v>34344</v>
      </c>
      <c r="D1004" s="19">
        <v>358.30500000000001</v>
      </c>
      <c r="E1004" s="18">
        <f t="shared" si="15"/>
        <v>0.98533874999999993</v>
      </c>
      <c r="J1004" s="3">
        <v>36019</v>
      </c>
      <c r="K1004" s="17">
        <v>1.17</v>
      </c>
    </row>
    <row r="1005" spans="2:11">
      <c r="B1005" s="123"/>
      <c r="C1005" s="16">
        <v>34345</v>
      </c>
      <c r="D1005" s="19">
        <v>363.97500000000002</v>
      </c>
      <c r="E1005" s="18">
        <f t="shared" si="15"/>
        <v>1.0009312500000001</v>
      </c>
      <c r="J1005" s="3">
        <v>36020</v>
      </c>
      <c r="K1005" s="17">
        <v>1.171</v>
      </c>
    </row>
    <row r="1006" spans="2:11">
      <c r="B1006" s="123"/>
      <c r="C1006" s="16">
        <v>34346</v>
      </c>
      <c r="D1006" s="19">
        <v>369.73500000000001</v>
      </c>
      <c r="E1006" s="18">
        <f t="shared" si="15"/>
        <v>1.0167712500000001</v>
      </c>
      <c r="J1006" s="3">
        <v>36021</v>
      </c>
      <c r="K1006" s="17">
        <v>1.171</v>
      </c>
    </row>
    <row r="1007" spans="2:11">
      <c r="B1007" s="123"/>
      <c r="C1007" s="16">
        <v>34347</v>
      </c>
      <c r="D1007" s="19">
        <v>381.53500000000003</v>
      </c>
      <c r="E1007" s="18">
        <f t="shared" si="15"/>
        <v>1.04922125</v>
      </c>
      <c r="J1007" s="3">
        <v>36024</v>
      </c>
      <c r="K1007" s="17">
        <v>1.173</v>
      </c>
    </row>
    <row r="1008" spans="2:11">
      <c r="B1008" s="123"/>
      <c r="C1008" s="16">
        <v>34348</v>
      </c>
      <c r="D1008" s="19">
        <v>387.57</v>
      </c>
      <c r="E1008" s="18">
        <f t="shared" si="15"/>
        <v>1.0658174999999999</v>
      </c>
      <c r="J1008" s="3">
        <v>36025</v>
      </c>
      <c r="K1008" s="17">
        <v>1.173</v>
      </c>
    </row>
    <row r="1009" spans="2:11">
      <c r="B1009" s="123"/>
      <c r="C1009" s="16">
        <v>34351</v>
      </c>
      <c r="D1009" s="19">
        <v>387.55500000000001</v>
      </c>
      <c r="E1009" s="18">
        <f t="shared" si="15"/>
        <v>1.0657762499999999</v>
      </c>
      <c r="J1009" s="3">
        <v>36026</v>
      </c>
      <c r="K1009" s="17">
        <v>1.1739999999999999</v>
      </c>
    </row>
    <row r="1010" spans="2:11">
      <c r="B1010" s="123"/>
      <c r="C1010" s="16">
        <v>34352</v>
      </c>
      <c r="D1010" s="19">
        <v>393.91500000000002</v>
      </c>
      <c r="E1010" s="18">
        <f t="shared" si="15"/>
        <v>1.0832662500000001</v>
      </c>
      <c r="J1010" s="3">
        <v>36027</v>
      </c>
      <c r="K1010" s="17">
        <v>1.173</v>
      </c>
    </row>
    <row r="1011" spans="2:11">
      <c r="B1011" s="123"/>
      <c r="C1011" s="16">
        <v>34353</v>
      </c>
      <c r="D1011" s="19">
        <v>400.39</v>
      </c>
      <c r="E1011" s="18">
        <f t="shared" si="15"/>
        <v>1.1010724999999999</v>
      </c>
      <c r="J1011" s="3">
        <v>36028</v>
      </c>
      <c r="K1011" s="17">
        <v>1.175</v>
      </c>
    </row>
    <row r="1012" spans="2:11">
      <c r="B1012" s="123"/>
      <c r="C1012" s="16">
        <v>34354</v>
      </c>
      <c r="D1012" s="19">
        <v>406.98500000000001</v>
      </c>
      <c r="E1012" s="18">
        <f t="shared" si="15"/>
        <v>1.1192087500000001</v>
      </c>
      <c r="J1012" s="3">
        <v>36031</v>
      </c>
      <c r="K1012" s="17">
        <v>1.175</v>
      </c>
    </row>
    <row r="1013" spans="2:11">
      <c r="B1013" s="123"/>
      <c r="C1013" s="16">
        <v>34355</v>
      </c>
      <c r="D1013" s="19">
        <v>413.69499999999999</v>
      </c>
      <c r="E1013" s="18">
        <f t="shared" si="15"/>
        <v>1.1376612499999998</v>
      </c>
      <c r="J1013" s="3">
        <v>36032</v>
      </c>
      <c r="K1013" s="17">
        <v>1.1739999999999999</v>
      </c>
    </row>
    <row r="1014" spans="2:11">
      <c r="B1014" s="123"/>
      <c r="C1014" s="16">
        <v>34358</v>
      </c>
      <c r="D1014" s="19">
        <v>420.53</v>
      </c>
      <c r="E1014" s="18">
        <f t="shared" si="15"/>
        <v>1.1564574999999999</v>
      </c>
      <c r="J1014" s="3">
        <v>36033</v>
      </c>
      <c r="K1014" s="17">
        <v>1.1719999999999999</v>
      </c>
    </row>
    <row r="1015" spans="2:11">
      <c r="B1015" s="123"/>
      <c r="C1015" s="16">
        <v>34359</v>
      </c>
      <c r="D1015" s="19">
        <v>427.73</v>
      </c>
      <c r="E1015" s="18">
        <f t="shared" si="15"/>
        <v>1.1762575</v>
      </c>
      <c r="J1015" s="3">
        <v>36034</v>
      </c>
      <c r="K1015" s="17">
        <v>1.175</v>
      </c>
    </row>
    <row r="1016" spans="2:11">
      <c r="B1016" s="123"/>
      <c r="C1016" s="16">
        <v>34360</v>
      </c>
      <c r="D1016" s="19">
        <v>435.05</v>
      </c>
      <c r="E1016" s="18">
        <f t="shared" si="15"/>
        <v>1.1963874999999999</v>
      </c>
      <c r="J1016" s="3">
        <v>36035</v>
      </c>
      <c r="K1016" s="17">
        <v>1.1759999999999999</v>
      </c>
    </row>
    <row r="1017" spans="2:11">
      <c r="B1017" s="123"/>
      <c r="C1017" s="16">
        <v>34361</v>
      </c>
      <c r="D1017" s="19">
        <v>442.505</v>
      </c>
      <c r="E1017" s="18">
        <f t="shared" si="15"/>
        <v>1.2168887499999999</v>
      </c>
      <c r="J1017" s="3">
        <v>36038</v>
      </c>
      <c r="K1017" s="17">
        <v>1.1759999999999999</v>
      </c>
    </row>
    <row r="1018" spans="2:11">
      <c r="B1018" s="123"/>
      <c r="C1018" s="16">
        <v>34362</v>
      </c>
      <c r="D1018" s="19">
        <v>450.09500000000003</v>
      </c>
      <c r="E1018" s="18">
        <f t="shared" si="15"/>
        <v>1.2377612500000001</v>
      </c>
      <c r="J1018" s="3">
        <v>36039</v>
      </c>
      <c r="K1018" s="17">
        <v>1.177</v>
      </c>
    </row>
    <row r="1019" spans="2:11">
      <c r="B1019" s="123"/>
      <c r="C1019" s="16">
        <v>34365</v>
      </c>
      <c r="D1019" s="19">
        <v>458.66</v>
      </c>
      <c r="E1019" s="18">
        <f t="shared" si="15"/>
        <v>1.261315</v>
      </c>
      <c r="J1019" s="3">
        <v>36040</v>
      </c>
      <c r="K1019" s="17">
        <v>1.177</v>
      </c>
    </row>
    <row r="1020" spans="2:11">
      <c r="B1020" s="123"/>
      <c r="C1020" s="16">
        <v>34366</v>
      </c>
      <c r="D1020" s="19">
        <v>467.37099999999998</v>
      </c>
      <c r="E1020" s="18">
        <f t="shared" si="15"/>
        <v>1.2852702499999999</v>
      </c>
      <c r="J1020" s="3">
        <v>36041</v>
      </c>
      <c r="K1020" s="17">
        <v>1.1779999999999999</v>
      </c>
    </row>
    <row r="1021" spans="2:11">
      <c r="B1021" s="123"/>
      <c r="C1021" s="16">
        <v>34367</v>
      </c>
      <c r="D1021" s="19">
        <v>476.255</v>
      </c>
      <c r="E1021" s="18">
        <f t="shared" si="15"/>
        <v>1.30970125</v>
      </c>
      <c r="J1021" s="3">
        <v>36042</v>
      </c>
      <c r="K1021" s="17">
        <v>1.1779999999999999</v>
      </c>
    </row>
    <row r="1022" spans="2:11">
      <c r="B1022" s="123"/>
      <c r="C1022" s="16">
        <v>34368</v>
      </c>
      <c r="D1022" s="19">
        <v>485.30599999999998</v>
      </c>
      <c r="E1022" s="18">
        <f t="shared" ref="E1022:E1085" si="16">(D1022/1000)*2.75</f>
        <v>1.3345914999999999</v>
      </c>
      <c r="J1022" s="3">
        <v>36046</v>
      </c>
      <c r="K1022" s="17">
        <v>1.1759999999999999</v>
      </c>
    </row>
    <row r="1023" spans="2:11">
      <c r="B1023" s="123"/>
      <c r="C1023" s="16">
        <v>34369</v>
      </c>
      <c r="D1023" s="19">
        <v>494.45299999999997</v>
      </c>
      <c r="E1023" s="18">
        <f t="shared" si="16"/>
        <v>1.3597457499999999</v>
      </c>
      <c r="J1023" s="3">
        <v>36047</v>
      </c>
      <c r="K1023" s="17">
        <v>1.179</v>
      </c>
    </row>
    <row r="1024" spans="2:11">
      <c r="B1024" s="123"/>
      <c r="C1024" s="16">
        <v>34372</v>
      </c>
      <c r="D1024" s="19">
        <v>503.76499999999999</v>
      </c>
      <c r="E1024" s="18">
        <f t="shared" si="16"/>
        <v>1.3853537500000002</v>
      </c>
      <c r="J1024" s="3">
        <v>36048</v>
      </c>
      <c r="K1024" s="17">
        <v>1.179</v>
      </c>
    </row>
    <row r="1025" spans="2:11">
      <c r="B1025" s="123"/>
      <c r="C1025" s="16">
        <v>34373</v>
      </c>
      <c r="D1025" s="19">
        <v>513.25400000000002</v>
      </c>
      <c r="E1025" s="18">
        <f t="shared" si="16"/>
        <v>1.4114484999999999</v>
      </c>
      <c r="J1025" s="3">
        <v>36049</v>
      </c>
      <c r="K1025" s="17">
        <v>1.179</v>
      </c>
    </row>
    <row r="1026" spans="2:11">
      <c r="B1026" s="123"/>
      <c r="C1026" s="16">
        <v>34374</v>
      </c>
      <c r="D1026" s="19">
        <v>522.93899999999996</v>
      </c>
      <c r="E1026" s="18">
        <f t="shared" si="16"/>
        <v>1.4380822499999999</v>
      </c>
      <c r="J1026" s="3">
        <v>36052</v>
      </c>
      <c r="K1026" s="17">
        <v>1.18</v>
      </c>
    </row>
    <row r="1027" spans="2:11">
      <c r="B1027" s="123"/>
      <c r="C1027" s="16">
        <v>34375</v>
      </c>
      <c r="D1027" s="19">
        <v>532.66499999999996</v>
      </c>
      <c r="E1027" s="18">
        <f t="shared" si="16"/>
        <v>1.4648287499999999</v>
      </c>
      <c r="J1027" s="3">
        <v>36053</v>
      </c>
      <c r="K1027" s="17">
        <v>1.179</v>
      </c>
    </row>
    <row r="1028" spans="2:11">
      <c r="B1028" s="123"/>
      <c r="C1028" s="16">
        <v>34376</v>
      </c>
      <c r="D1028" s="19">
        <v>542.57500000000005</v>
      </c>
      <c r="E1028" s="18">
        <f t="shared" si="16"/>
        <v>1.49208125</v>
      </c>
      <c r="J1028" s="3">
        <v>36054</v>
      </c>
      <c r="K1028" s="17">
        <v>1.179</v>
      </c>
    </row>
    <row r="1029" spans="2:11">
      <c r="B1029" s="123"/>
      <c r="C1029" s="16">
        <v>34381</v>
      </c>
      <c r="D1029" s="19">
        <v>552.67200000000003</v>
      </c>
      <c r="E1029" s="18">
        <f t="shared" si="16"/>
        <v>1.5198480000000001</v>
      </c>
      <c r="J1029" s="3">
        <v>36055</v>
      </c>
      <c r="K1029" s="17">
        <v>1.18</v>
      </c>
    </row>
    <row r="1030" spans="2:11">
      <c r="B1030" s="123"/>
      <c r="C1030" s="16">
        <v>34382</v>
      </c>
      <c r="D1030" s="19">
        <v>573.43200000000002</v>
      </c>
      <c r="E1030" s="18">
        <f t="shared" si="16"/>
        <v>1.5769380000000002</v>
      </c>
      <c r="J1030" s="3">
        <v>36056</v>
      </c>
      <c r="K1030" s="17">
        <v>1.18</v>
      </c>
    </row>
    <row r="1031" spans="2:11">
      <c r="B1031" s="123"/>
      <c r="C1031" s="16">
        <v>34383</v>
      </c>
      <c r="D1031" s="19">
        <v>584.12199999999996</v>
      </c>
      <c r="E1031" s="18">
        <f t="shared" si="16"/>
        <v>1.6063354999999997</v>
      </c>
      <c r="J1031" s="3">
        <v>36059</v>
      </c>
      <c r="K1031" s="17">
        <v>1.181</v>
      </c>
    </row>
    <row r="1032" spans="2:11">
      <c r="B1032" s="123"/>
      <c r="C1032" s="16">
        <v>34386</v>
      </c>
      <c r="D1032" s="19">
        <v>584.10799999999995</v>
      </c>
      <c r="E1032" s="18">
        <f t="shared" si="16"/>
        <v>1.6062969999999999</v>
      </c>
      <c r="J1032" s="3">
        <v>36060</v>
      </c>
      <c r="K1032" s="17">
        <v>1.1830000000000001</v>
      </c>
    </row>
    <row r="1033" spans="2:11">
      <c r="B1033" s="123"/>
      <c r="C1033" s="16">
        <v>34387</v>
      </c>
      <c r="D1033" s="19">
        <v>594.64200000000005</v>
      </c>
      <c r="E1033" s="18">
        <f t="shared" si="16"/>
        <v>1.6352655</v>
      </c>
      <c r="J1033" s="3">
        <v>36061</v>
      </c>
      <c r="K1033" s="17">
        <v>1.1830000000000001</v>
      </c>
    </row>
    <row r="1034" spans="2:11">
      <c r="B1034" s="123"/>
      <c r="C1034" s="16">
        <v>34388</v>
      </c>
      <c r="D1034" s="19">
        <v>605.40599999999995</v>
      </c>
      <c r="E1034" s="18">
        <f t="shared" si="16"/>
        <v>1.6648665</v>
      </c>
      <c r="J1034" s="3">
        <v>36062</v>
      </c>
      <c r="K1034" s="17">
        <v>1.1830000000000001</v>
      </c>
    </row>
    <row r="1035" spans="2:11">
      <c r="B1035" s="123"/>
      <c r="C1035" s="16">
        <v>34389</v>
      </c>
      <c r="D1035" s="19">
        <v>616.41700000000003</v>
      </c>
      <c r="E1035" s="18">
        <f t="shared" si="16"/>
        <v>1.6951467499999999</v>
      </c>
      <c r="J1035" s="3">
        <v>36063</v>
      </c>
      <c r="K1035" s="17">
        <v>1.1839999999999999</v>
      </c>
    </row>
    <row r="1036" spans="2:11">
      <c r="B1036" s="123"/>
      <c r="C1036" s="16">
        <v>34390</v>
      </c>
      <c r="D1036" s="19">
        <v>627.68799999999999</v>
      </c>
      <c r="E1036" s="18">
        <f t="shared" si="16"/>
        <v>1.7261420000000001</v>
      </c>
      <c r="J1036" s="3">
        <v>36066</v>
      </c>
      <c r="K1036" s="17">
        <v>1.1839999999999999</v>
      </c>
    </row>
    <row r="1037" spans="2:11">
      <c r="B1037" s="123"/>
      <c r="C1037" s="16">
        <v>34393</v>
      </c>
      <c r="D1037" s="19">
        <v>637.45000000000005</v>
      </c>
      <c r="E1037" s="18">
        <f t="shared" si="16"/>
        <v>1.7529875000000001</v>
      </c>
      <c r="J1037" s="3">
        <v>36067</v>
      </c>
      <c r="K1037" s="17">
        <v>1.1850000000000001</v>
      </c>
    </row>
    <row r="1038" spans="2:11">
      <c r="B1038" s="123"/>
      <c r="C1038" s="16">
        <v>34394</v>
      </c>
      <c r="D1038" s="19">
        <v>647.303</v>
      </c>
      <c r="E1038" s="18">
        <f t="shared" si="16"/>
        <v>1.7800832499999999</v>
      </c>
      <c r="J1038" s="3">
        <v>36068</v>
      </c>
      <c r="K1038" s="17">
        <v>1.1850000000000001</v>
      </c>
    </row>
    <row r="1039" spans="2:11">
      <c r="B1039" s="123"/>
      <c r="C1039" s="16">
        <v>34395</v>
      </c>
      <c r="D1039" s="19">
        <v>657.32600000000002</v>
      </c>
      <c r="E1039" s="18">
        <f t="shared" si="16"/>
        <v>1.8076465000000002</v>
      </c>
      <c r="J1039" s="3">
        <v>36069</v>
      </c>
      <c r="K1039" s="17">
        <v>1.18</v>
      </c>
    </row>
    <row r="1040" spans="2:11">
      <c r="B1040" s="123"/>
      <c r="C1040" s="16">
        <v>34396</v>
      </c>
      <c r="D1040" s="19">
        <v>667.50599999999997</v>
      </c>
      <c r="E1040" s="18">
        <f t="shared" si="16"/>
        <v>1.8356414999999999</v>
      </c>
      <c r="J1040" s="3">
        <v>36070</v>
      </c>
      <c r="K1040" s="17">
        <v>1.1830000000000001</v>
      </c>
    </row>
    <row r="1041" spans="2:11">
      <c r="B1041" s="123"/>
      <c r="C1041" s="16">
        <v>34397</v>
      </c>
      <c r="D1041" s="19">
        <v>677.86199999999997</v>
      </c>
      <c r="E1041" s="18">
        <f t="shared" si="16"/>
        <v>1.8641204999999998</v>
      </c>
      <c r="J1041" s="3">
        <v>36073</v>
      </c>
      <c r="K1041" s="17">
        <v>1.1859999999999999</v>
      </c>
    </row>
    <row r="1042" spans="2:11">
      <c r="B1042" s="123"/>
      <c r="C1042" s="16">
        <v>34400</v>
      </c>
      <c r="D1042" s="19">
        <v>688.35299999999995</v>
      </c>
      <c r="E1042" s="18">
        <f t="shared" si="16"/>
        <v>1.8929707499999999</v>
      </c>
      <c r="J1042" s="3">
        <v>36074</v>
      </c>
      <c r="K1042" s="17">
        <v>1.1839999999999999</v>
      </c>
    </row>
    <row r="1043" spans="2:11">
      <c r="B1043" s="123"/>
      <c r="C1043" s="16">
        <v>34401</v>
      </c>
      <c r="D1043" s="19">
        <v>699.05399999999997</v>
      </c>
      <c r="E1043" s="18">
        <f t="shared" si="16"/>
        <v>1.9223984999999999</v>
      </c>
      <c r="J1043" s="3">
        <v>36075</v>
      </c>
      <c r="K1043" s="17">
        <v>1.1830000000000001</v>
      </c>
    </row>
    <row r="1044" spans="2:11">
      <c r="B1044" s="123"/>
      <c r="C1044" s="16">
        <v>34402</v>
      </c>
      <c r="D1044" s="19">
        <v>709.88699999999994</v>
      </c>
      <c r="E1044" s="18">
        <f t="shared" si="16"/>
        <v>1.9521892499999998</v>
      </c>
      <c r="J1044" s="3">
        <v>36076</v>
      </c>
      <c r="K1044" s="17">
        <v>1.1839999999999999</v>
      </c>
    </row>
    <row r="1045" spans="2:11">
      <c r="B1045" s="123"/>
      <c r="C1045" s="16">
        <v>34403</v>
      </c>
      <c r="D1045" s="19">
        <v>720.89400000000001</v>
      </c>
      <c r="E1045" s="18">
        <f t="shared" si="16"/>
        <v>1.9824585000000001</v>
      </c>
      <c r="J1045" s="3">
        <v>36077</v>
      </c>
      <c r="K1045" s="17">
        <v>1.1859999999999999</v>
      </c>
    </row>
    <row r="1046" spans="2:11">
      <c r="B1046" s="123"/>
      <c r="C1046" s="16">
        <v>34404</v>
      </c>
      <c r="D1046" s="19">
        <v>732.11099999999999</v>
      </c>
      <c r="E1046" s="18">
        <f t="shared" si="16"/>
        <v>2.0133052499999997</v>
      </c>
      <c r="J1046" s="3">
        <v>36081</v>
      </c>
      <c r="K1046" s="17">
        <v>1.1870000000000001</v>
      </c>
    </row>
    <row r="1047" spans="2:11">
      <c r="B1047" s="123"/>
      <c r="C1047" s="16">
        <v>34407</v>
      </c>
      <c r="D1047" s="19">
        <v>743.67600000000004</v>
      </c>
      <c r="E1047" s="18">
        <f t="shared" si="16"/>
        <v>2.0451090000000001</v>
      </c>
      <c r="J1047" s="3">
        <v>36082</v>
      </c>
      <c r="K1047" s="17">
        <v>1.1879999999999999</v>
      </c>
    </row>
    <row r="1048" spans="2:11">
      <c r="B1048" s="123"/>
      <c r="C1048" s="16">
        <v>34408</v>
      </c>
      <c r="D1048" s="19">
        <v>755.43700000000001</v>
      </c>
      <c r="E1048" s="18">
        <f t="shared" si="16"/>
        <v>2.0774517500000003</v>
      </c>
      <c r="J1048" s="3">
        <v>36083</v>
      </c>
      <c r="K1048" s="17">
        <v>1.1879999999999999</v>
      </c>
    </row>
    <row r="1049" spans="2:11">
      <c r="B1049" s="123"/>
      <c r="C1049" s="16">
        <v>34409</v>
      </c>
      <c r="D1049" s="19">
        <v>767.40200000000004</v>
      </c>
      <c r="E1049" s="18">
        <f t="shared" si="16"/>
        <v>2.1103555000000003</v>
      </c>
      <c r="J1049" s="3">
        <v>36084</v>
      </c>
      <c r="K1049" s="17">
        <v>1.1879999999999999</v>
      </c>
    </row>
    <row r="1050" spans="2:11">
      <c r="B1050" s="123"/>
      <c r="C1050" s="16">
        <v>34410</v>
      </c>
      <c r="D1050" s="19">
        <v>779.54600000000005</v>
      </c>
      <c r="E1050" s="18">
        <f t="shared" si="16"/>
        <v>2.1437515</v>
      </c>
      <c r="J1050" s="3">
        <v>36087</v>
      </c>
      <c r="K1050" s="17">
        <v>1.1890000000000001</v>
      </c>
    </row>
    <row r="1051" spans="2:11">
      <c r="B1051" s="123"/>
      <c r="C1051" s="16">
        <v>34411</v>
      </c>
      <c r="D1051" s="19">
        <v>792.07500000000005</v>
      </c>
      <c r="E1051" s="18">
        <f t="shared" si="16"/>
        <v>2.1782062500000001</v>
      </c>
      <c r="J1051" s="3">
        <v>36088</v>
      </c>
      <c r="K1051" s="17">
        <v>1.1890000000000001</v>
      </c>
    </row>
    <row r="1052" spans="2:11">
      <c r="B1052" s="123"/>
      <c r="C1052" s="16">
        <v>34414</v>
      </c>
      <c r="D1052" s="19">
        <v>805.452</v>
      </c>
      <c r="E1052" s="18">
        <f t="shared" si="16"/>
        <v>2.2149929999999998</v>
      </c>
      <c r="J1052" s="3">
        <v>36089</v>
      </c>
      <c r="K1052" s="17">
        <v>1.1890000000000001</v>
      </c>
    </row>
    <row r="1053" spans="2:11">
      <c r="B1053" s="123"/>
      <c r="C1053" s="16">
        <v>34415</v>
      </c>
      <c r="D1053" s="19">
        <v>819.70500000000004</v>
      </c>
      <c r="E1053" s="18">
        <f t="shared" si="16"/>
        <v>2.25418875</v>
      </c>
      <c r="J1053" s="3">
        <v>36090</v>
      </c>
      <c r="K1053" s="17">
        <v>1.19</v>
      </c>
    </row>
    <row r="1054" spans="2:11">
      <c r="B1054" s="123"/>
      <c r="C1054" s="16">
        <v>34416</v>
      </c>
      <c r="D1054" s="19">
        <v>834.23500000000001</v>
      </c>
      <c r="E1054" s="18">
        <f t="shared" si="16"/>
        <v>2.2941462500000003</v>
      </c>
      <c r="J1054" s="3">
        <v>36091</v>
      </c>
      <c r="K1054" s="17">
        <v>1.1910000000000001</v>
      </c>
    </row>
    <row r="1055" spans="2:11">
      <c r="B1055" s="123"/>
      <c r="C1055" s="16">
        <v>34417</v>
      </c>
      <c r="D1055" s="19">
        <v>849.03</v>
      </c>
      <c r="E1055" s="18">
        <f t="shared" si="16"/>
        <v>2.3348325000000001</v>
      </c>
      <c r="J1055" s="3">
        <v>36094</v>
      </c>
      <c r="K1055" s="17">
        <v>1.1910000000000001</v>
      </c>
    </row>
    <row r="1056" spans="2:11">
      <c r="B1056" s="123"/>
      <c r="C1056" s="16">
        <v>34418</v>
      </c>
      <c r="D1056" s="19">
        <v>864.07100000000003</v>
      </c>
      <c r="E1056" s="18">
        <f t="shared" si="16"/>
        <v>2.3761952500000003</v>
      </c>
      <c r="J1056" s="3">
        <v>36095</v>
      </c>
      <c r="K1056" s="17">
        <v>1.1919999999999999</v>
      </c>
    </row>
    <row r="1057" spans="2:11">
      <c r="B1057" s="123"/>
      <c r="C1057" s="16">
        <v>34421</v>
      </c>
      <c r="D1057" s="19">
        <v>879.44399999999996</v>
      </c>
      <c r="E1057" s="18">
        <f t="shared" si="16"/>
        <v>2.4184709999999998</v>
      </c>
      <c r="J1057" s="3">
        <v>36096</v>
      </c>
      <c r="K1057" s="17">
        <v>1.1919999999999999</v>
      </c>
    </row>
    <row r="1058" spans="2:11">
      <c r="B1058" s="123"/>
      <c r="C1058" s="16">
        <v>34422</v>
      </c>
      <c r="D1058" s="19">
        <v>894.93200000000002</v>
      </c>
      <c r="E1058" s="18">
        <f t="shared" si="16"/>
        <v>2.4610630000000002</v>
      </c>
      <c r="J1058" s="3">
        <v>36097</v>
      </c>
      <c r="K1058" s="17">
        <v>1.1919999999999999</v>
      </c>
    </row>
    <row r="1059" spans="2:11">
      <c r="B1059" s="123"/>
      <c r="C1059" s="16">
        <v>34423</v>
      </c>
      <c r="D1059" s="19">
        <v>913.34500000000003</v>
      </c>
      <c r="E1059" s="18">
        <f t="shared" si="16"/>
        <v>2.5116987500000003</v>
      </c>
      <c r="J1059" s="3">
        <v>36098</v>
      </c>
      <c r="K1059" s="17">
        <v>1.1930000000000001</v>
      </c>
    </row>
    <row r="1060" spans="2:11">
      <c r="B1060" s="123"/>
      <c r="C1060" s="16">
        <v>34428</v>
      </c>
      <c r="D1060" s="19">
        <v>930.90200000000004</v>
      </c>
      <c r="E1060" s="18">
        <f t="shared" si="16"/>
        <v>2.5599805</v>
      </c>
      <c r="J1060" s="3">
        <v>36102</v>
      </c>
      <c r="K1060" s="17">
        <v>1.1919999999999999</v>
      </c>
    </row>
    <row r="1061" spans="2:11">
      <c r="B1061" s="123"/>
      <c r="C1061" s="16">
        <v>34429</v>
      </c>
      <c r="D1061" s="19">
        <v>948.80799999999999</v>
      </c>
      <c r="E1061" s="18">
        <f t="shared" si="16"/>
        <v>2.6092219999999999</v>
      </c>
      <c r="J1061" s="3">
        <v>36103</v>
      </c>
      <c r="K1061" s="17">
        <v>1.1910000000000001</v>
      </c>
    </row>
    <row r="1062" spans="2:11">
      <c r="B1062" s="123"/>
      <c r="C1062" s="16">
        <v>34430</v>
      </c>
      <c r="D1062" s="19">
        <v>967.048</v>
      </c>
      <c r="E1062" s="18">
        <f t="shared" si="16"/>
        <v>2.6593819999999999</v>
      </c>
      <c r="J1062" s="3">
        <v>36104</v>
      </c>
      <c r="K1062" s="17">
        <v>1.19</v>
      </c>
    </row>
    <row r="1063" spans="2:11">
      <c r="B1063" s="123"/>
      <c r="C1063" s="16">
        <v>34431</v>
      </c>
      <c r="D1063" s="19">
        <v>985.63499999999999</v>
      </c>
      <c r="E1063" s="18">
        <f t="shared" si="16"/>
        <v>2.7104962500000003</v>
      </c>
      <c r="J1063" s="3">
        <v>36105</v>
      </c>
      <c r="K1063" s="17">
        <v>1.1879999999999999</v>
      </c>
    </row>
    <row r="1064" spans="2:11">
      <c r="B1064" s="123"/>
      <c r="C1064" s="16">
        <v>34432</v>
      </c>
      <c r="D1064" s="19">
        <v>1004.57</v>
      </c>
      <c r="E1064" s="18">
        <f t="shared" si="16"/>
        <v>2.7625674999999998</v>
      </c>
      <c r="J1064" s="3">
        <v>36108</v>
      </c>
      <c r="K1064" s="17">
        <v>1.1890000000000001</v>
      </c>
    </row>
    <row r="1065" spans="2:11">
      <c r="B1065" s="123"/>
      <c r="C1065" s="16">
        <v>34435</v>
      </c>
      <c r="D1065" s="19">
        <v>1023.87</v>
      </c>
      <c r="E1065" s="18">
        <f t="shared" si="16"/>
        <v>2.8156425</v>
      </c>
      <c r="J1065" s="3">
        <v>36109</v>
      </c>
      <c r="K1065" s="17">
        <v>1.1910000000000001</v>
      </c>
    </row>
    <row r="1066" spans="2:11">
      <c r="B1066" s="123"/>
      <c r="C1066" s="16">
        <v>34436</v>
      </c>
      <c r="D1066" s="19">
        <v>1043.53</v>
      </c>
      <c r="E1066" s="18">
        <f t="shared" si="16"/>
        <v>2.8697075000000001</v>
      </c>
      <c r="J1066" s="3">
        <v>36110</v>
      </c>
      <c r="K1066" s="17">
        <v>1.19</v>
      </c>
    </row>
    <row r="1067" spans="2:11">
      <c r="B1067" s="123"/>
      <c r="C1067" s="16">
        <v>34437</v>
      </c>
      <c r="D1067" s="19">
        <v>1063.5899999999999</v>
      </c>
      <c r="E1067" s="18">
        <f t="shared" si="16"/>
        <v>2.9248724999999993</v>
      </c>
      <c r="J1067" s="3">
        <v>36111</v>
      </c>
      <c r="K1067" s="17">
        <v>1.1910000000000001</v>
      </c>
    </row>
    <row r="1068" spans="2:11">
      <c r="B1068" s="123"/>
      <c r="C1068" s="16">
        <v>34438</v>
      </c>
      <c r="D1068" s="19">
        <v>1084.04</v>
      </c>
      <c r="E1068" s="18">
        <f t="shared" si="16"/>
        <v>2.9811099999999997</v>
      </c>
      <c r="J1068" s="3">
        <v>36112</v>
      </c>
      <c r="K1068" s="17">
        <v>1.1910000000000001</v>
      </c>
    </row>
    <row r="1069" spans="2:11">
      <c r="B1069" s="123"/>
      <c r="C1069" s="16">
        <v>34439</v>
      </c>
      <c r="D1069" s="19">
        <v>1104.8800000000001</v>
      </c>
      <c r="E1069" s="18">
        <f t="shared" si="16"/>
        <v>3.0384200000000003</v>
      </c>
      <c r="J1069" s="3">
        <v>36115</v>
      </c>
      <c r="K1069" s="17">
        <v>1.19</v>
      </c>
    </row>
    <row r="1070" spans="2:11">
      <c r="B1070" s="123"/>
      <c r="C1070" s="16">
        <v>34442</v>
      </c>
      <c r="D1070" s="19">
        <v>1126.0899999999999</v>
      </c>
      <c r="E1070" s="18">
        <f t="shared" si="16"/>
        <v>3.0967474999999993</v>
      </c>
      <c r="J1070" s="3">
        <v>36116</v>
      </c>
      <c r="K1070" s="17">
        <v>1.19</v>
      </c>
    </row>
    <row r="1071" spans="2:11">
      <c r="B1071" s="123"/>
      <c r="C1071" s="16">
        <v>34443</v>
      </c>
      <c r="D1071" s="19">
        <v>1147.73</v>
      </c>
      <c r="E1071" s="18">
        <f t="shared" si="16"/>
        <v>3.1562574999999997</v>
      </c>
      <c r="J1071" s="3">
        <v>36117</v>
      </c>
      <c r="K1071" s="17">
        <v>1.1910000000000001</v>
      </c>
    </row>
    <row r="1072" spans="2:11">
      <c r="B1072" s="123"/>
      <c r="C1072" s="16">
        <v>34444</v>
      </c>
      <c r="D1072" s="19">
        <v>1169.71</v>
      </c>
      <c r="E1072" s="18">
        <f t="shared" si="16"/>
        <v>3.2167025000000002</v>
      </c>
      <c r="J1072" s="3">
        <v>36118</v>
      </c>
      <c r="K1072" s="17">
        <v>1.1930000000000001</v>
      </c>
    </row>
    <row r="1073" spans="2:11">
      <c r="B1073" s="123"/>
      <c r="C1073" s="16">
        <v>34446</v>
      </c>
      <c r="D1073" s="19">
        <v>1191.8399999999999</v>
      </c>
      <c r="E1073" s="18">
        <f t="shared" si="16"/>
        <v>3.2775600000000003</v>
      </c>
      <c r="J1073" s="3">
        <v>36119</v>
      </c>
      <c r="K1073" s="17">
        <v>1.1950000000000001</v>
      </c>
    </row>
    <row r="1074" spans="2:11">
      <c r="B1074" s="123"/>
      <c r="C1074" s="16">
        <v>34449</v>
      </c>
      <c r="D1074" s="19">
        <v>1213.83</v>
      </c>
      <c r="E1074" s="18">
        <f t="shared" si="16"/>
        <v>3.3380324999999997</v>
      </c>
      <c r="J1074" s="3">
        <v>36122</v>
      </c>
      <c r="K1074" s="17">
        <v>1.1970000000000001</v>
      </c>
    </row>
    <row r="1075" spans="2:11">
      <c r="B1075" s="123"/>
      <c r="C1075" s="16">
        <v>34450</v>
      </c>
      <c r="D1075" s="19">
        <v>1235.75</v>
      </c>
      <c r="E1075" s="18">
        <f t="shared" si="16"/>
        <v>3.3983124999999998</v>
      </c>
      <c r="J1075" s="3">
        <v>36123</v>
      </c>
      <c r="K1075" s="17">
        <v>1.1970000000000001</v>
      </c>
    </row>
    <row r="1076" spans="2:11">
      <c r="B1076" s="123"/>
      <c r="C1076" s="16">
        <v>34451</v>
      </c>
      <c r="D1076" s="19">
        <v>1258.04</v>
      </c>
      <c r="E1076" s="18">
        <f t="shared" si="16"/>
        <v>3.4596100000000001</v>
      </c>
      <c r="J1076" s="3">
        <v>36124</v>
      </c>
      <c r="K1076" s="17">
        <v>1.198</v>
      </c>
    </row>
    <row r="1077" spans="2:11">
      <c r="B1077" s="123"/>
      <c r="C1077" s="16">
        <v>34452</v>
      </c>
      <c r="D1077" s="19">
        <v>1279.58</v>
      </c>
      <c r="E1077" s="18">
        <f t="shared" si="16"/>
        <v>3.5188449999999998</v>
      </c>
      <c r="J1077" s="3">
        <v>36125</v>
      </c>
      <c r="K1077" s="17">
        <v>1.1990000000000001</v>
      </c>
    </row>
    <row r="1078" spans="2:11">
      <c r="B1078" s="123"/>
      <c r="C1078" s="16">
        <v>34453</v>
      </c>
      <c r="D1078" s="19">
        <v>1302.28</v>
      </c>
      <c r="E1078" s="18">
        <f t="shared" si="16"/>
        <v>3.5812699999999995</v>
      </c>
      <c r="J1078" s="3">
        <v>36126</v>
      </c>
      <c r="K1078" s="17">
        <v>1.2</v>
      </c>
    </row>
    <row r="1079" spans="2:11">
      <c r="B1079" s="123"/>
      <c r="C1079" s="16">
        <v>34456</v>
      </c>
      <c r="D1079" s="19">
        <v>1323.53</v>
      </c>
      <c r="E1079" s="18">
        <f t="shared" si="16"/>
        <v>3.6397074999999997</v>
      </c>
      <c r="J1079" s="3">
        <v>36129</v>
      </c>
      <c r="K1079" s="17">
        <v>1.2010000000000001</v>
      </c>
    </row>
    <row r="1080" spans="2:11">
      <c r="B1080" s="123"/>
      <c r="C1080" s="16">
        <v>34457</v>
      </c>
      <c r="D1080" s="19">
        <v>1345.14</v>
      </c>
      <c r="E1080" s="18">
        <f t="shared" si="16"/>
        <v>3.6991350000000001</v>
      </c>
      <c r="J1080" s="3">
        <v>36130</v>
      </c>
      <c r="K1080" s="17">
        <v>1.2010000000000001</v>
      </c>
    </row>
    <row r="1081" spans="2:11">
      <c r="B1081" s="123"/>
      <c r="C1081" s="16">
        <v>34458</v>
      </c>
      <c r="D1081" s="19">
        <v>1367.16</v>
      </c>
      <c r="E1081" s="18">
        <f t="shared" si="16"/>
        <v>3.7596900000000004</v>
      </c>
      <c r="J1081" s="3">
        <v>36131</v>
      </c>
      <c r="K1081" s="17">
        <v>1.2010000000000001</v>
      </c>
    </row>
    <row r="1082" spans="2:11">
      <c r="B1082" s="123"/>
      <c r="C1082" s="16">
        <v>34459</v>
      </c>
      <c r="D1082" s="19">
        <v>1389.54</v>
      </c>
      <c r="E1082" s="18">
        <f t="shared" si="16"/>
        <v>3.8212350000000002</v>
      </c>
      <c r="J1082" s="3">
        <v>36132</v>
      </c>
      <c r="K1082" s="17">
        <v>1.202</v>
      </c>
    </row>
    <row r="1083" spans="2:11">
      <c r="B1083" s="123"/>
      <c r="C1083" s="16">
        <v>34460</v>
      </c>
      <c r="D1083" s="19">
        <v>1412.35</v>
      </c>
      <c r="E1083" s="18">
        <f t="shared" si="16"/>
        <v>3.8839625</v>
      </c>
      <c r="J1083" s="3">
        <v>36132</v>
      </c>
      <c r="K1083" s="17">
        <v>1.202</v>
      </c>
    </row>
    <row r="1084" spans="2:11">
      <c r="B1084" s="123"/>
      <c r="C1084" s="16">
        <v>34463</v>
      </c>
      <c r="D1084" s="19">
        <v>1435.54</v>
      </c>
      <c r="E1084" s="18">
        <f t="shared" si="16"/>
        <v>3.9477350000000002</v>
      </c>
      <c r="J1084" s="3">
        <v>36133</v>
      </c>
      <c r="K1084" s="17">
        <v>1.202</v>
      </c>
    </row>
    <row r="1085" spans="2:11">
      <c r="B1085" s="123"/>
      <c r="C1085" s="16">
        <v>34464</v>
      </c>
      <c r="D1085" s="19">
        <v>1459.37</v>
      </c>
      <c r="E1085" s="18">
        <f t="shared" si="16"/>
        <v>4.0132674999999995</v>
      </c>
      <c r="J1085" s="3">
        <v>36136</v>
      </c>
      <c r="K1085" s="17">
        <v>1.202</v>
      </c>
    </row>
    <row r="1086" spans="2:11">
      <c r="B1086" s="123"/>
      <c r="C1086" s="16">
        <v>34465</v>
      </c>
      <c r="D1086" s="19">
        <v>1483.9</v>
      </c>
      <c r="E1086" s="18">
        <f t="shared" ref="E1086:E1121" si="17">(D1086/1000)*2.75</f>
        <v>4.0807250000000002</v>
      </c>
      <c r="J1086" s="3">
        <v>36137</v>
      </c>
      <c r="K1086" s="17">
        <v>1.2030000000000001</v>
      </c>
    </row>
    <row r="1087" spans="2:11">
      <c r="B1087" s="123"/>
      <c r="C1087" s="16">
        <v>34466</v>
      </c>
      <c r="D1087" s="19">
        <v>1508.84</v>
      </c>
      <c r="E1087" s="18">
        <f t="shared" si="17"/>
        <v>4.1493099999999998</v>
      </c>
      <c r="J1087" s="3">
        <v>36138</v>
      </c>
      <c r="K1087" s="17">
        <v>1.2030000000000001</v>
      </c>
    </row>
    <row r="1088" spans="2:11">
      <c r="B1088" s="123"/>
      <c r="C1088" s="16">
        <v>34467</v>
      </c>
      <c r="D1088" s="19">
        <v>1534.3</v>
      </c>
      <c r="E1088" s="18">
        <f t="shared" si="17"/>
        <v>4.2193249999999995</v>
      </c>
      <c r="J1088" s="3">
        <v>36139</v>
      </c>
      <c r="K1088" s="17">
        <v>1.2030000000000001</v>
      </c>
    </row>
    <row r="1089" spans="2:11">
      <c r="B1089" s="123"/>
      <c r="C1089" s="16">
        <v>34470</v>
      </c>
      <c r="D1089" s="19">
        <v>1560.18</v>
      </c>
      <c r="E1089" s="18">
        <f t="shared" si="17"/>
        <v>4.2904949999999999</v>
      </c>
      <c r="J1089" s="3">
        <v>36140</v>
      </c>
      <c r="K1089" s="17">
        <v>1.204</v>
      </c>
    </row>
    <row r="1090" spans="2:11">
      <c r="B1090" s="123"/>
      <c r="C1090" s="16">
        <v>34471</v>
      </c>
      <c r="D1090" s="19">
        <v>1586.5</v>
      </c>
      <c r="E1090" s="18">
        <f t="shared" si="17"/>
        <v>4.3628749999999998</v>
      </c>
      <c r="J1090" s="3">
        <v>36143</v>
      </c>
      <c r="K1090" s="17">
        <v>1.204</v>
      </c>
    </row>
    <row r="1091" spans="2:11">
      <c r="B1091" s="123"/>
      <c r="C1091" s="16">
        <v>34472</v>
      </c>
      <c r="D1091" s="19">
        <v>1613.28</v>
      </c>
      <c r="E1091" s="18">
        <f t="shared" si="17"/>
        <v>4.4365199999999998</v>
      </c>
      <c r="J1091" s="3">
        <v>36144</v>
      </c>
      <c r="K1091" s="17">
        <v>1.2050000000000001</v>
      </c>
    </row>
    <row r="1092" spans="2:11">
      <c r="B1092" s="123"/>
      <c r="C1092" s="16">
        <v>34473</v>
      </c>
      <c r="D1092" s="19">
        <v>1640.49</v>
      </c>
      <c r="E1092" s="18">
        <f t="shared" si="17"/>
        <v>4.5113475000000003</v>
      </c>
      <c r="J1092" s="3">
        <v>36145</v>
      </c>
      <c r="K1092" s="17">
        <v>1.2050000000000001</v>
      </c>
    </row>
    <row r="1093" spans="2:11">
      <c r="B1093" s="123"/>
      <c r="C1093" s="16">
        <v>34474</v>
      </c>
      <c r="D1093" s="19">
        <v>1668.17</v>
      </c>
      <c r="E1093" s="18">
        <f t="shared" si="17"/>
        <v>4.5874675000000007</v>
      </c>
      <c r="J1093" s="3">
        <v>36146</v>
      </c>
      <c r="K1093" s="17">
        <v>1.206</v>
      </c>
    </row>
    <row r="1094" spans="2:11">
      <c r="B1094" s="123"/>
      <c r="C1094" s="16">
        <v>34477</v>
      </c>
      <c r="D1094" s="19">
        <v>1696.32</v>
      </c>
      <c r="E1094" s="18">
        <f t="shared" si="17"/>
        <v>4.6648799999999992</v>
      </c>
      <c r="J1094" s="3">
        <v>36147</v>
      </c>
      <c r="K1094" s="17">
        <v>1.206</v>
      </c>
    </row>
    <row r="1095" spans="2:11">
      <c r="B1095" s="123"/>
      <c r="C1095" s="16">
        <v>34478</v>
      </c>
      <c r="D1095" s="19">
        <v>1724.93</v>
      </c>
      <c r="E1095" s="18">
        <f t="shared" si="17"/>
        <v>4.7435575000000005</v>
      </c>
      <c r="J1095" s="3">
        <v>36150</v>
      </c>
      <c r="K1095" s="17">
        <v>1.206</v>
      </c>
    </row>
    <row r="1096" spans="2:11">
      <c r="B1096" s="123"/>
      <c r="C1096" s="16">
        <v>34479</v>
      </c>
      <c r="D1096" s="19">
        <v>1754.03</v>
      </c>
      <c r="E1096" s="18">
        <f t="shared" si="17"/>
        <v>4.8235824999999997</v>
      </c>
      <c r="J1096" s="3">
        <v>36151</v>
      </c>
      <c r="K1096" s="17">
        <v>1.2070000000000001</v>
      </c>
    </row>
    <row r="1097" spans="2:11">
      <c r="B1097" s="123"/>
      <c r="C1097" s="16">
        <v>34480</v>
      </c>
      <c r="D1097" s="19">
        <v>1813.69</v>
      </c>
      <c r="E1097" s="18">
        <f t="shared" si="17"/>
        <v>4.9876475000000005</v>
      </c>
      <c r="J1097" s="3">
        <v>36152</v>
      </c>
      <c r="K1097" s="17">
        <v>1.2070000000000001</v>
      </c>
    </row>
    <row r="1098" spans="2:11">
      <c r="B1098" s="123"/>
      <c r="C1098" s="16">
        <v>34481</v>
      </c>
      <c r="D1098" s="19">
        <v>1844.05</v>
      </c>
      <c r="E1098" s="18">
        <f t="shared" si="17"/>
        <v>5.0711374999999999</v>
      </c>
      <c r="J1098" s="3">
        <v>36153</v>
      </c>
      <c r="K1098" s="17">
        <v>1.2070000000000001</v>
      </c>
    </row>
    <row r="1099" spans="2:11">
      <c r="B1099" s="123"/>
      <c r="C1099" s="16">
        <v>34484</v>
      </c>
      <c r="D1099" s="19">
        <v>1843.87</v>
      </c>
      <c r="E1099" s="18">
        <f t="shared" si="17"/>
        <v>5.0706424999999999</v>
      </c>
      <c r="J1099" s="3">
        <v>36157</v>
      </c>
      <c r="K1099" s="17">
        <v>1.208</v>
      </c>
    </row>
    <row r="1100" spans="2:11">
      <c r="B1100" s="123"/>
      <c r="C1100" s="16">
        <v>34485</v>
      </c>
      <c r="D1100" s="19">
        <v>1875.27</v>
      </c>
      <c r="E1100" s="18">
        <f t="shared" si="17"/>
        <v>5.1569925000000003</v>
      </c>
      <c r="J1100" s="3">
        <v>36158</v>
      </c>
      <c r="K1100" s="17">
        <v>1.208</v>
      </c>
    </row>
    <row r="1101" spans="2:11">
      <c r="B1101" s="123"/>
      <c r="C1101" s="16">
        <v>34486</v>
      </c>
      <c r="D1101" s="19">
        <v>1908.12</v>
      </c>
      <c r="E1101" s="18">
        <f t="shared" si="17"/>
        <v>5.2473299999999998</v>
      </c>
      <c r="J1101" s="3">
        <v>36159</v>
      </c>
      <c r="K1101" s="17">
        <v>1.208</v>
      </c>
    </row>
    <row r="1102" spans="2:11">
      <c r="B1102" s="123"/>
      <c r="C1102" s="16">
        <v>34488</v>
      </c>
      <c r="D1102" s="19">
        <v>1941.53</v>
      </c>
      <c r="E1102" s="18">
        <f t="shared" si="17"/>
        <v>5.3392074999999997</v>
      </c>
      <c r="J1102" s="3">
        <v>36160</v>
      </c>
      <c r="K1102" s="17">
        <v>1.208</v>
      </c>
    </row>
    <row r="1103" spans="2:11">
      <c r="B1103" s="123"/>
      <c r="C1103" s="16">
        <v>34491</v>
      </c>
      <c r="D1103" s="19">
        <v>1975.51</v>
      </c>
      <c r="E1103" s="18">
        <f t="shared" si="17"/>
        <v>5.4326525000000006</v>
      </c>
      <c r="J1103" s="3">
        <v>36164</v>
      </c>
      <c r="K1103" s="17">
        <v>1.2070000000000001</v>
      </c>
    </row>
    <row r="1104" spans="2:11">
      <c r="B1104" s="123"/>
      <c r="C1104" s="16">
        <v>34492</v>
      </c>
      <c r="D1104" s="19">
        <v>2010.09</v>
      </c>
      <c r="E1104" s="18">
        <f t="shared" si="17"/>
        <v>5.5277475000000003</v>
      </c>
      <c r="J1104" s="3">
        <v>36165</v>
      </c>
      <c r="K1104" s="17">
        <v>1.208</v>
      </c>
    </row>
    <row r="1105" spans="2:11">
      <c r="B1105" s="123"/>
      <c r="C1105" s="16">
        <v>34493</v>
      </c>
      <c r="D1105" s="19">
        <v>2045.71</v>
      </c>
      <c r="E1105" s="18">
        <f t="shared" si="17"/>
        <v>5.6257025000000001</v>
      </c>
      <c r="J1105" s="3">
        <v>36166</v>
      </c>
      <c r="K1105" s="17">
        <v>1.2090000000000001</v>
      </c>
    </row>
    <row r="1106" spans="2:11">
      <c r="B1106" s="123"/>
      <c r="C1106" s="16">
        <v>34494</v>
      </c>
      <c r="D1106" s="19">
        <v>2081.9899999999998</v>
      </c>
      <c r="E1106" s="18">
        <f t="shared" si="17"/>
        <v>5.7254724999999995</v>
      </c>
      <c r="J1106" s="3">
        <v>36167</v>
      </c>
      <c r="K1106" s="17">
        <v>1.21</v>
      </c>
    </row>
    <row r="1107" spans="2:11">
      <c r="B1107" s="123"/>
      <c r="C1107" s="16">
        <v>34495</v>
      </c>
      <c r="D1107" s="19">
        <v>2119.1999999999998</v>
      </c>
      <c r="E1107" s="18">
        <f t="shared" si="17"/>
        <v>5.827799999999999</v>
      </c>
      <c r="J1107" s="3">
        <v>36168</v>
      </c>
      <c r="K1107" s="17">
        <v>1.21</v>
      </c>
    </row>
    <row r="1108" spans="2:11">
      <c r="B1108" s="123"/>
      <c r="C1108" s="16">
        <v>34498</v>
      </c>
      <c r="D1108" s="19">
        <v>2157.19</v>
      </c>
      <c r="E1108" s="18">
        <f t="shared" si="17"/>
        <v>5.9322724999999998</v>
      </c>
      <c r="J1108" s="3">
        <v>36171</v>
      </c>
      <c r="K1108" s="17">
        <v>1.21</v>
      </c>
    </row>
    <row r="1109" spans="2:11">
      <c r="B1109" s="123"/>
      <c r="C1109" s="16">
        <v>34499</v>
      </c>
      <c r="D1109" s="19">
        <v>2195.9899999999998</v>
      </c>
      <c r="E1109" s="18">
        <f t="shared" si="17"/>
        <v>6.038972499999999</v>
      </c>
      <c r="J1109" s="3">
        <v>36172</v>
      </c>
      <c r="K1109" s="17">
        <v>1.2110000000000001</v>
      </c>
    </row>
    <row r="1110" spans="2:11">
      <c r="B1110" s="123"/>
      <c r="C1110" s="16">
        <v>34500</v>
      </c>
      <c r="D1110" s="19">
        <v>2235.5100000000002</v>
      </c>
      <c r="E1110" s="18">
        <f t="shared" si="17"/>
        <v>6.1476525000000004</v>
      </c>
      <c r="J1110" s="3">
        <v>36173</v>
      </c>
      <c r="K1110" s="17">
        <v>1.319</v>
      </c>
    </row>
    <row r="1111" spans="2:11">
      <c r="B1111" s="123"/>
      <c r="C1111" s="16">
        <v>34501</v>
      </c>
      <c r="D1111" s="19">
        <v>2276.4299999999998</v>
      </c>
      <c r="E1111" s="18">
        <f t="shared" si="17"/>
        <v>6.2601825</v>
      </c>
      <c r="J1111" s="3">
        <v>36174</v>
      </c>
      <c r="K1111" s="17">
        <v>1.319</v>
      </c>
    </row>
    <row r="1112" spans="2:11">
      <c r="B1112" s="123"/>
      <c r="C1112" s="16">
        <v>34502</v>
      </c>
      <c r="D1112" s="19">
        <v>2318.13</v>
      </c>
      <c r="E1112" s="18">
        <f t="shared" si="17"/>
        <v>6.3748575000000001</v>
      </c>
      <c r="J1112" s="3">
        <v>36175</v>
      </c>
      <c r="K1112" s="17">
        <v>1.4650000000000001</v>
      </c>
    </row>
    <row r="1113" spans="2:11">
      <c r="B1113" s="123"/>
      <c r="C1113" s="16">
        <v>34505</v>
      </c>
      <c r="D1113" s="19">
        <v>2361.09</v>
      </c>
      <c r="E1113" s="18">
        <f t="shared" si="17"/>
        <v>6.4929975000000013</v>
      </c>
      <c r="J1113" s="3">
        <v>36178</v>
      </c>
      <c r="K1113" s="17">
        <v>1.538</v>
      </c>
    </row>
    <row r="1114" spans="2:11">
      <c r="B1114" s="123"/>
      <c r="C1114" s="16">
        <v>34506</v>
      </c>
      <c r="D1114" s="19">
        <v>2405.65</v>
      </c>
      <c r="E1114" s="18">
        <f t="shared" si="17"/>
        <v>6.6155375000000003</v>
      </c>
      <c r="J1114" s="3">
        <v>36179</v>
      </c>
      <c r="K1114" s="17">
        <v>1.5580000000000001</v>
      </c>
    </row>
    <row r="1115" spans="2:11">
      <c r="B1115" s="123"/>
      <c r="C1115" s="16">
        <v>34507</v>
      </c>
      <c r="D1115" s="19">
        <v>2451.79</v>
      </c>
      <c r="E1115" s="18">
        <f t="shared" si="17"/>
        <v>6.7424225</v>
      </c>
      <c r="J1115" s="3">
        <v>36180</v>
      </c>
      <c r="K1115" s="17">
        <v>1.573</v>
      </c>
    </row>
    <row r="1116" spans="2:11">
      <c r="B1116" s="123"/>
      <c r="C1116" s="16">
        <v>34508</v>
      </c>
      <c r="D1116" s="19">
        <v>2498.79</v>
      </c>
      <c r="E1116" s="18">
        <f t="shared" si="17"/>
        <v>6.8716724999999999</v>
      </c>
      <c r="J1116" s="3">
        <v>36181</v>
      </c>
      <c r="K1116" s="17">
        <v>1.66</v>
      </c>
    </row>
    <row r="1117" spans="2:11">
      <c r="B1117" s="123"/>
      <c r="C1117" s="16">
        <v>34509</v>
      </c>
      <c r="D1117" s="19">
        <v>2546.9</v>
      </c>
      <c r="E1117" s="18">
        <f t="shared" si="17"/>
        <v>7.0039749999999996</v>
      </c>
      <c r="J1117" s="3">
        <v>36182</v>
      </c>
      <c r="K1117" s="17">
        <v>1.704</v>
      </c>
    </row>
    <row r="1118" spans="2:11">
      <c r="B1118" s="123"/>
      <c r="C1118" s="16">
        <v>34512</v>
      </c>
      <c r="D1118" s="19">
        <v>2596.3000000000002</v>
      </c>
      <c r="E1118" s="18">
        <f t="shared" si="17"/>
        <v>7.139825000000001</v>
      </c>
      <c r="J1118" s="3">
        <v>36185</v>
      </c>
      <c r="K1118" s="17">
        <v>1.76</v>
      </c>
    </row>
    <row r="1119" spans="2:11">
      <c r="B1119" s="123"/>
      <c r="C1119" s="16">
        <v>34513</v>
      </c>
      <c r="D1119" s="19">
        <v>2647</v>
      </c>
      <c r="E1119" s="18">
        <f t="shared" si="17"/>
        <v>7.2792499999999993</v>
      </c>
      <c r="J1119" s="3">
        <v>36186</v>
      </c>
      <c r="K1119" s="17">
        <v>1.877</v>
      </c>
    </row>
    <row r="1120" spans="2:11">
      <c r="B1120" s="123"/>
      <c r="C1120" s="16">
        <v>34514</v>
      </c>
      <c r="D1120" s="19">
        <v>2698.46</v>
      </c>
      <c r="E1120" s="18">
        <f t="shared" si="17"/>
        <v>7.4207649999999994</v>
      </c>
      <c r="J1120" s="3">
        <v>36187</v>
      </c>
      <c r="K1120" s="17">
        <v>1.8879999999999999</v>
      </c>
    </row>
    <row r="1121" spans="2:11">
      <c r="B1121" s="123"/>
      <c r="C1121" s="16">
        <v>34515</v>
      </c>
      <c r="D1121" s="19">
        <v>2750</v>
      </c>
      <c r="E1121" s="18">
        <f t="shared" si="17"/>
        <v>7.5625</v>
      </c>
      <c r="J1121" s="3">
        <v>36188</v>
      </c>
      <c r="K1121" s="17">
        <v>1.92</v>
      </c>
    </row>
    <row r="1122" spans="2:11">
      <c r="B1122" s="120" t="s">
        <v>23</v>
      </c>
      <c r="C1122" s="16">
        <v>34516</v>
      </c>
      <c r="D1122" s="19">
        <v>1</v>
      </c>
      <c r="J1122" s="3">
        <v>36189</v>
      </c>
      <c r="K1122" s="17">
        <v>1.9830000000000001</v>
      </c>
    </row>
    <row r="1123" spans="2:11">
      <c r="B1123" s="120"/>
      <c r="C1123" s="16">
        <v>34519</v>
      </c>
      <c r="D1123" s="19">
        <v>0.94</v>
      </c>
      <c r="J1123" s="3">
        <v>36192</v>
      </c>
      <c r="K1123" s="17">
        <v>1.9630000000000001</v>
      </c>
    </row>
    <row r="1124" spans="2:11">
      <c r="B1124" s="120"/>
      <c r="C1124" s="16">
        <v>34520</v>
      </c>
      <c r="D1124" s="19">
        <v>0.93200000000000005</v>
      </c>
      <c r="J1124" s="3">
        <v>36193</v>
      </c>
      <c r="K1124" s="17">
        <v>1.798</v>
      </c>
    </row>
    <row r="1125" spans="2:11">
      <c r="J1125" s="3">
        <v>36194</v>
      </c>
      <c r="K1125" s="17">
        <v>1.77</v>
      </c>
    </row>
    <row r="1126" spans="2:11">
      <c r="J1126" s="3">
        <v>36195</v>
      </c>
      <c r="K1126" s="17">
        <v>1.8140000000000001</v>
      </c>
    </row>
    <row r="1127" spans="2:11">
      <c r="J1127" s="3">
        <v>36196</v>
      </c>
      <c r="K1127" s="17">
        <v>1.831</v>
      </c>
    </row>
    <row r="1128" spans="2:11">
      <c r="J1128" s="3">
        <v>36199</v>
      </c>
      <c r="K1128" s="17">
        <v>1.86</v>
      </c>
    </row>
    <row r="1129" spans="2:11">
      <c r="J1129" s="3">
        <v>36200</v>
      </c>
      <c r="K1129" s="17">
        <v>1.9330000000000001</v>
      </c>
    </row>
    <row r="1130" spans="2:11">
      <c r="J1130" s="3">
        <v>36201</v>
      </c>
      <c r="K1130" s="17">
        <v>1.895</v>
      </c>
    </row>
    <row r="1131" spans="2:11">
      <c r="J1131" s="3">
        <v>36202</v>
      </c>
      <c r="K1131" s="17">
        <v>1.8859999999999999</v>
      </c>
    </row>
    <row r="1132" spans="2:11">
      <c r="J1132" s="3">
        <v>36203</v>
      </c>
      <c r="K1132" s="17">
        <v>1.8979999999999999</v>
      </c>
    </row>
    <row r="1133" spans="2:11">
      <c r="J1133" s="3">
        <v>36208</v>
      </c>
      <c r="K1133" s="17">
        <v>1.917</v>
      </c>
    </row>
    <row r="1134" spans="2:11">
      <c r="J1134" s="3">
        <v>36209</v>
      </c>
      <c r="K1134" s="17">
        <v>1.9019999999999999</v>
      </c>
    </row>
    <row r="1135" spans="2:11">
      <c r="J1135" s="3">
        <v>36210</v>
      </c>
      <c r="K1135" s="17">
        <v>1.92</v>
      </c>
    </row>
    <row r="1136" spans="2:11">
      <c r="J1136" s="3">
        <v>36213</v>
      </c>
      <c r="K1136" s="17">
        <v>1.9350000000000001</v>
      </c>
    </row>
    <row r="1137" spans="10:11">
      <c r="J1137" s="3">
        <v>36214</v>
      </c>
      <c r="K1137" s="17">
        <v>2.012</v>
      </c>
    </row>
    <row r="1138" spans="10:11">
      <c r="J1138" s="3">
        <v>36215</v>
      </c>
      <c r="K1138" s="17">
        <v>2.0030000000000001</v>
      </c>
    </row>
    <row r="1139" spans="10:11">
      <c r="J1139" s="3">
        <v>36216</v>
      </c>
      <c r="K1139" s="17">
        <v>2.0350000000000001</v>
      </c>
    </row>
    <row r="1140" spans="10:11">
      <c r="J1140" s="3">
        <v>36217</v>
      </c>
      <c r="K1140" s="17">
        <v>2.0640000000000001</v>
      </c>
    </row>
    <row r="1141" spans="10:11">
      <c r="J1141" s="3">
        <v>36220</v>
      </c>
      <c r="K1141" s="17">
        <v>2.028</v>
      </c>
    </row>
    <row r="1142" spans="10:11">
      <c r="J1142" s="3">
        <v>36221</v>
      </c>
      <c r="K1142" s="17">
        <v>2.13</v>
      </c>
    </row>
    <row r="1143" spans="10:11">
      <c r="J1143" s="3">
        <v>36222</v>
      </c>
      <c r="K1143" s="17">
        <v>2.1640000000000001</v>
      </c>
    </row>
    <row r="1144" spans="10:11">
      <c r="J1144" s="3">
        <v>36223</v>
      </c>
      <c r="K1144" s="17">
        <v>2.1019999999999999</v>
      </c>
    </row>
    <row r="1145" spans="10:11">
      <c r="J1145" s="3">
        <v>36224</v>
      </c>
      <c r="K1145" s="17">
        <v>1.9930000000000001</v>
      </c>
    </row>
    <row r="1146" spans="10:11">
      <c r="J1146" s="3">
        <v>36227</v>
      </c>
      <c r="K1146" s="17">
        <v>1.97</v>
      </c>
    </row>
    <row r="1147" spans="10:11">
      <c r="J1147" s="3">
        <v>36228</v>
      </c>
      <c r="K1147" s="17">
        <v>1.905</v>
      </c>
    </row>
    <row r="1148" spans="10:11">
      <c r="J1148" s="3">
        <v>36229</v>
      </c>
      <c r="K1148" s="17">
        <v>1.863</v>
      </c>
    </row>
    <row r="1149" spans="10:11">
      <c r="J1149" s="3">
        <v>36230</v>
      </c>
      <c r="K1149" s="17">
        <v>1.8779999999999999</v>
      </c>
    </row>
    <row r="1150" spans="10:11">
      <c r="J1150" s="3">
        <v>36231</v>
      </c>
      <c r="K1150" s="17">
        <v>1.905</v>
      </c>
    </row>
    <row r="1151" spans="10:11">
      <c r="J1151" s="3">
        <v>36234</v>
      </c>
      <c r="K1151" s="17">
        <v>1.8819999999999999</v>
      </c>
    </row>
    <row r="1152" spans="10:11">
      <c r="J1152" s="3">
        <v>36235</v>
      </c>
      <c r="K1152" s="17">
        <v>1.8520000000000001</v>
      </c>
    </row>
    <row r="1153" spans="10:11">
      <c r="J1153" s="3">
        <v>36236</v>
      </c>
      <c r="K1153" s="17">
        <v>1.877</v>
      </c>
    </row>
    <row r="1154" spans="10:11">
      <c r="J1154" s="3">
        <v>36237</v>
      </c>
      <c r="K1154" s="17">
        <v>1.859</v>
      </c>
    </row>
    <row r="1155" spans="10:11">
      <c r="J1155" s="3">
        <v>36238</v>
      </c>
      <c r="K1155" s="17">
        <v>1.85</v>
      </c>
    </row>
    <row r="1156" spans="10:11">
      <c r="J1156" s="3">
        <v>36241</v>
      </c>
      <c r="K1156" s="17">
        <v>1.861</v>
      </c>
    </row>
    <row r="1157" spans="10:11">
      <c r="J1157" s="3">
        <v>36242</v>
      </c>
      <c r="K1157" s="17">
        <v>1.851</v>
      </c>
    </row>
    <row r="1158" spans="10:11">
      <c r="J1158" s="3">
        <v>36243</v>
      </c>
      <c r="K1158" s="17">
        <v>1.8420000000000001</v>
      </c>
    </row>
    <row r="1159" spans="10:11">
      <c r="J1159" s="3">
        <v>36244</v>
      </c>
      <c r="K1159" s="17">
        <v>1.81</v>
      </c>
    </row>
    <row r="1160" spans="10:11">
      <c r="J1160" s="3">
        <v>36245</v>
      </c>
      <c r="K1160" s="17">
        <v>1.7749999999999999</v>
      </c>
    </row>
    <row r="1161" spans="10:11">
      <c r="J1161" s="3">
        <v>36248</v>
      </c>
      <c r="K1161" s="17">
        <v>1.7649999999999999</v>
      </c>
    </row>
    <row r="1162" spans="10:11">
      <c r="J1162" s="3">
        <v>36249</v>
      </c>
      <c r="K1162" s="17">
        <v>1.7330000000000001</v>
      </c>
    </row>
    <row r="1163" spans="10:11">
      <c r="J1163" s="3">
        <v>36250</v>
      </c>
      <c r="K1163" s="17">
        <v>1.722</v>
      </c>
    </row>
    <row r="1164" spans="10:11">
      <c r="J1164" s="3">
        <v>36255</v>
      </c>
      <c r="K1164" s="17">
        <v>1.7250000000000001</v>
      </c>
    </row>
    <row r="1165" spans="10:11">
      <c r="J1165" s="3">
        <v>36256</v>
      </c>
      <c r="K1165" s="17">
        <v>1.7310000000000001</v>
      </c>
    </row>
    <row r="1166" spans="10:11">
      <c r="J1166" s="3">
        <v>36257</v>
      </c>
      <c r="K1166" s="17">
        <v>1.7290000000000001</v>
      </c>
    </row>
    <row r="1167" spans="10:11">
      <c r="J1167" s="3">
        <v>36258</v>
      </c>
      <c r="K1167" s="17">
        <v>1.72</v>
      </c>
    </row>
    <row r="1168" spans="10:11">
      <c r="J1168" s="3">
        <v>36259</v>
      </c>
      <c r="K1168" s="17">
        <v>1.7090000000000001</v>
      </c>
    </row>
    <row r="1169" spans="10:11">
      <c r="J1169" s="3">
        <v>36262</v>
      </c>
      <c r="K1169" s="17">
        <v>1.7050000000000001</v>
      </c>
    </row>
    <row r="1170" spans="10:11">
      <c r="J1170" s="3">
        <v>36263</v>
      </c>
      <c r="K1170" s="17">
        <v>1.6719999999999999</v>
      </c>
    </row>
    <row r="1171" spans="10:11">
      <c r="J1171" s="3">
        <v>36264</v>
      </c>
      <c r="K1171" s="17">
        <v>1.657</v>
      </c>
    </row>
    <row r="1172" spans="10:11">
      <c r="J1172" s="3">
        <v>36265</v>
      </c>
      <c r="K1172" s="17">
        <v>1.6679999999999999</v>
      </c>
    </row>
    <row r="1173" spans="10:11">
      <c r="J1173" s="3">
        <v>36266</v>
      </c>
      <c r="K1173" s="17">
        <v>1.67</v>
      </c>
    </row>
    <row r="1174" spans="10:11">
      <c r="J1174" s="3">
        <v>36269</v>
      </c>
      <c r="K1174" s="17">
        <v>1.6719999999999999</v>
      </c>
    </row>
    <row r="1175" spans="10:11">
      <c r="J1175" s="3">
        <v>36270</v>
      </c>
      <c r="K1175" s="17">
        <v>1.71</v>
      </c>
    </row>
    <row r="1176" spans="10:11">
      <c r="J1176" s="3">
        <v>36272</v>
      </c>
      <c r="K1176" s="17">
        <v>1.7010000000000001</v>
      </c>
    </row>
    <row r="1177" spans="10:11">
      <c r="J1177" s="3">
        <v>36273</v>
      </c>
      <c r="K1177" s="17">
        <v>1.6850000000000001</v>
      </c>
    </row>
    <row r="1178" spans="10:11">
      <c r="J1178" s="3">
        <v>36276</v>
      </c>
      <c r="K1178" s="17">
        <v>1.6970000000000001</v>
      </c>
    </row>
    <row r="1179" spans="10:11">
      <c r="J1179" s="3">
        <v>36277</v>
      </c>
      <c r="K1179" s="17">
        <v>1.706</v>
      </c>
    </row>
    <row r="1180" spans="10:11">
      <c r="J1180" s="3">
        <v>36278</v>
      </c>
      <c r="K1180" s="17">
        <v>1.696</v>
      </c>
    </row>
    <row r="1181" spans="10:11">
      <c r="J1181" s="3">
        <v>36279</v>
      </c>
      <c r="K1181" s="17">
        <v>1.667</v>
      </c>
    </row>
    <row r="1182" spans="10:11">
      <c r="J1182" s="3">
        <v>36280</v>
      </c>
      <c r="K1182" s="17">
        <v>1.66</v>
      </c>
    </row>
    <row r="1183" spans="10:11">
      <c r="J1183" s="3">
        <v>36283</v>
      </c>
      <c r="K1183" s="17">
        <v>1.673</v>
      </c>
    </row>
    <row r="1184" spans="10:11">
      <c r="J1184" s="3">
        <v>36284</v>
      </c>
      <c r="K1184" s="17">
        <v>1.673</v>
      </c>
    </row>
    <row r="1185" spans="10:11">
      <c r="J1185" s="3">
        <v>36285</v>
      </c>
      <c r="K1185" s="17">
        <v>1.6839999999999999</v>
      </c>
    </row>
    <row r="1186" spans="10:11">
      <c r="J1186" s="3">
        <v>36286</v>
      </c>
      <c r="K1186" s="17">
        <v>1.6719999999999999</v>
      </c>
    </row>
    <row r="1187" spans="10:11">
      <c r="J1187" s="3">
        <v>36287</v>
      </c>
      <c r="K1187" s="17">
        <v>1.671</v>
      </c>
    </row>
    <row r="1188" spans="10:11">
      <c r="J1188" s="3">
        <v>36290</v>
      </c>
      <c r="K1188" s="17">
        <v>1.651</v>
      </c>
    </row>
    <row r="1189" spans="10:11">
      <c r="J1189" s="3">
        <v>36291</v>
      </c>
      <c r="K1189" s="17">
        <v>1.6459999999999999</v>
      </c>
    </row>
    <row r="1190" spans="10:11">
      <c r="J1190" s="3">
        <v>36292</v>
      </c>
      <c r="K1190" s="17">
        <v>1.661</v>
      </c>
    </row>
    <row r="1191" spans="10:11">
      <c r="J1191" s="3">
        <v>36293</v>
      </c>
      <c r="K1191" s="17">
        <v>1.651</v>
      </c>
    </row>
    <row r="1192" spans="10:11">
      <c r="J1192" s="3">
        <v>36294</v>
      </c>
      <c r="K1192" s="17">
        <v>1.657</v>
      </c>
    </row>
    <row r="1193" spans="10:11">
      <c r="J1193" s="3">
        <v>36297</v>
      </c>
      <c r="K1193" s="17">
        <v>1.667</v>
      </c>
    </row>
    <row r="1194" spans="10:11">
      <c r="J1194" s="3">
        <v>36298</v>
      </c>
      <c r="K1194" s="17">
        <v>1.665</v>
      </c>
    </row>
    <row r="1195" spans="10:11">
      <c r="J1195" s="3">
        <v>36299</v>
      </c>
      <c r="K1195" s="17">
        <v>1.663</v>
      </c>
    </row>
    <row r="1196" spans="10:11">
      <c r="J1196" s="3">
        <v>36300</v>
      </c>
      <c r="K1196" s="17">
        <v>1.6830000000000001</v>
      </c>
    </row>
    <row r="1197" spans="10:11">
      <c r="J1197" s="3">
        <v>36301</v>
      </c>
      <c r="K1197" s="17">
        <v>1.696</v>
      </c>
    </row>
    <row r="1198" spans="10:11">
      <c r="J1198" s="3">
        <v>36304</v>
      </c>
      <c r="K1198" s="17">
        <v>1.698</v>
      </c>
    </row>
    <row r="1199" spans="10:11">
      <c r="J1199" s="3">
        <v>36305</v>
      </c>
      <c r="K1199" s="17">
        <v>1.748</v>
      </c>
    </row>
    <row r="1200" spans="10:11">
      <c r="J1200" s="3">
        <v>36306</v>
      </c>
      <c r="K1200" s="17">
        <v>1.718</v>
      </c>
    </row>
    <row r="1201" spans="10:11">
      <c r="J1201" s="3">
        <v>36307</v>
      </c>
      <c r="K1201" s="17">
        <v>1.7130000000000001</v>
      </c>
    </row>
    <row r="1202" spans="10:11">
      <c r="J1202" s="3">
        <v>36308</v>
      </c>
      <c r="K1202" s="17">
        <v>1.7310000000000001</v>
      </c>
    </row>
    <row r="1203" spans="10:11">
      <c r="J1203" s="3">
        <v>36311</v>
      </c>
      <c r="K1203" s="17">
        <v>1.724</v>
      </c>
    </row>
    <row r="1204" spans="10:11">
      <c r="J1204" s="3">
        <v>36312</v>
      </c>
      <c r="K1204" s="17">
        <v>1.7330000000000001</v>
      </c>
    </row>
    <row r="1205" spans="10:11">
      <c r="J1205" s="3">
        <v>36313</v>
      </c>
      <c r="K1205" s="17">
        <v>1.754</v>
      </c>
    </row>
    <row r="1206" spans="10:11">
      <c r="J1206" s="3">
        <v>36315</v>
      </c>
      <c r="K1206" s="17">
        <v>1.736</v>
      </c>
    </row>
    <row r="1207" spans="10:11">
      <c r="J1207" s="3">
        <v>36318</v>
      </c>
      <c r="K1207" s="17">
        <v>1.7410000000000001</v>
      </c>
    </row>
    <row r="1208" spans="10:11">
      <c r="J1208" s="3">
        <v>36319</v>
      </c>
      <c r="K1208" s="17">
        <v>1.7470000000000001</v>
      </c>
    </row>
    <row r="1209" spans="10:11">
      <c r="J1209" s="3">
        <v>36320</v>
      </c>
      <c r="K1209" s="17">
        <v>1.7490000000000001</v>
      </c>
    </row>
    <row r="1210" spans="10:11">
      <c r="J1210" s="3">
        <v>36321</v>
      </c>
      <c r="K1210" s="17">
        <v>1.7589999999999999</v>
      </c>
    </row>
    <row r="1211" spans="10:11">
      <c r="J1211" s="3">
        <v>36322</v>
      </c>
      <c r="K1211" s="17">
        <v>1.7729999999999999</v>
      </c>
    </row>
    <row r="1212" spans="10:11">
      <c r="J1212" s="3">
        <v>36325</v>
      </c>
      <c r="K1212" s="17">
        <v>1.778</v>
      </c>
    </row>
    <row r="1213" spans="10:11">
      <c r="J1213" s="3">
        <v>36326</v>
      </c>
      <c r="K1213" s="17">
        <v>1.7889999999999999</v>
      </c>
    </row>
    <row r="1214" spans="10:11">
      <c r="J1214" s="3">
        <v>36327</v>
      </c>
      <c r="K1214" s="17">
        <v>1.7669999999999999</v>
      </c>
    </row>
    <row r="1215" spans="10:11">
      <c r="J1215" s="3">
        <v>36328</v>
      </c>
      <c r="K1215" s="17">
        <v>1.76</v>
      </c>
    </row>
    <row r="1216" spans="10:11">
      <c r="J1216" s="3">
        <v>36329</v>
      </c>
      <c r="K1216" s="17">
        <v>1.748</v>
      </c>
    </row>
    <row r="1217" spans="10:11">
      <c r="J1217" s="3">
        <v>36332</v>
      </c>
      <c r="K1217" s="17">
        <v>1.7629999999999999</v>
      </c>
    </row>
    <row r="1218" spans="10:11">
      <c r="J1218" s="3">
        <v>36333</v>
      </c>
      <c r="K1218" s="17">
        <v>1.768</v>
      </c>
    </row>
    <row r="1219" spans="10:11">
      <c r="J1219" s="3">
        <v>36334</v>
      </c>
      <c r="K1219" s="17">
        <v>1.784</v>
      </c>
    </row>
    <row r="1220" spans="10:11">
      <c r="J1220" s="3">
        <v>36335</v>
      </c>
      <c r="K1220" s="17">
        <v>1.8</v>
      </c>
    </row>
    <row r="1221" spans="10:11">
      <c r="J1221" s="3">
        <v>36336</v>
      </c>
      <c r="K1221" s="17">
        <v>1.79</v>
      </c>
    </row>
    <row r="1222" spans="10:11">
      <c r="J1222" s="3">
        <v>36339</v>
      </c>
      <c r="K1222" s="17">
        <v>1.79</v>
      </c>
    </row>
    <row r="1223" spans="10:11">
      <c r="J1223" s="3">
        <v>36340</v>
      </c>
      <c r="K1223" s="17">
        <v>1.7669999999999999</v>
      </c>
    </row>
    <row r="1224" spans="10:11">
      <c r="J1224" s="3">
        <v>36341</v>
      </c>
      <c r="K1224" s="17">
        <v>1.7689999999999999</v>
      </c>
    </row>
    <row r="1225" spans="10:11">
      <c r="J1225" s="3">
        <v>36342</v>
      </c>
      <c r="K1225" s="17">
        <v>1.7569999999999999</v>
      </c>
    </row>
    <row r="1226" spans="10:11">
      <c r="J1226" s="3">
        <v>36343</v>
      </c>
      <c r="K1226" s="17">
        <v>1.77</v>
      </c>
    </row>
    <row r="1227" spans="10:11">
      <c r="J1227" s="3">
        <v>36346</v>
      </c>
      <c r="K1227" s="17">
        <v>1.766</v>
      </c>
    </row>
    <row r="1228" spans="10:11">
      <c r="J1228" s="3">
        <v>36347</v>
      </c>
      <c r="K1228" s="17">
        <v>1.7749999999999999</v>
      </c>
    </row>
    <row r="1229" spans="10:11">
      <c r="J1229" s="3">
        <v>36348</v>
      </c>
      <c r="K1229" s="17">
        <v>1.7809999999999999</v>
      </c>
    </row>
    <row r="1230" spans="10:11">
      <c r="J1230" s="3">
        <v>36349</v>
      </c>
      <c r="K1230" s="17">
        <v>1.7909999999999999</v>
      </c>
    </row>
    <row r="1231" spans="10:11">
      <c r="J1231" s="3">
        <v>36350</v>
      </c>
      <c r="K1231" s="17">
        <v>1.804</v>
      </c>
    </row>
    <row r="1232" spans="10:11">
      <c r="J1232" s="3">
        <v>36353</v>
      </c>
      <c r="K1232" s="17">
        <v>1.819</v>
      </c>
    </row>
    <row r="1233" spans="10:11">
      <c r="J1233" s="3">
        <v>36354</v>
      </c>
      <c r="K1233" s="17">
        <v>1.839</v>
      </c>
    </row>
    <row r="1234" spans="10:11">
      <c r="J1234" s="3">
        <v>36355</v>
      </c>
      <c r="K1234" s="17">
        <v>1.81</v>
      </c>
    </row>
    <row r="1235" spans="10:11">
      <c r="J1235" s="3">
        <v>36356</v>
      </c>
      <c r="K1235" s="17">
        <v>1.8280000000000001</v>
      </c>
    </row>
    <row r="1236" spans="10:11">
      <c r="J1236" s="3">
        <v>36357</v>
      </c>
      <c r="K1236" s="17">
        <v>1.81</v>
      </c>
    </row>
    <row r="1237" spans="10:11">
      <c r="J1237" s="3">
        <v>36360</v>
      </c>
      <c r="K1237" s="17">
        <v>1.792</v>
      </c>
    </row>
    <row r="1238" spans="10:11">
      <c r="J1238" s="3">
        <v>36361</v>
      </c>
      <c r="K1238" s="17">
        <v>1.798</v>
      </c>
    </row>
    <row r="1239" spans="10:11">
      <c r="J1239" s="3">
        <v>36362</v>
      </c>
      <c r="K1239" s="17">
        <v>1.8169999999999999</v>
      </c>
    </row>
    <row r="1240" spans="10:11">
      <c r="J1240" s="3">
        <v>36363</v>
      </c>
      <c r="K1240" s="17">
        <v>1.8169999999999999</v>
      </c>
    </row>
    <row r="1241" spans="10:11">
      <c r="J1241" s="3">
        <v>36364</v>
      </c>
      <c r="K1241" s="17">
        <v>1.8140000000000001</v>
      </c>
    </row>
    <row r="1242" spans="10:11">
      <c r="J1242" s="3">
        <v>36367</v>
      </c>
      <c r="K1242" s="17">
        <v>1.82</v>
      </c>
    </row>
    <row r="1243" spans="10:11">
      <c r="J1243" s="3">
        <v>36368</v>
      </c>
      <c r="K1243" s="17">
        <v>1.8169999999999999</v>
      </c>
    </row>
    <row r="1244" spans="10:11">
      <c r="J1244" s="3">
        <v>36369</v>
      </c>
      <c r="K1244" s="17">
        <v>1.7909999999999999</v>
      </c>
    </row>
    <row r="1245" spans="10:11">
      <c r="J1245" s="3">
        <v>36370</v>
      </c>
      <c r="K1245" s="17">
        <v>1.7929999999999999</v>
      </c>
    </row>
    <row r="1246" spans="10:11">
      <c r="J1246" s="3">
        <v>36371</v>
      </c>
      <c r="K1246" s="17">
        <v>1.7889999999999999</v>
      </c>
    </row>
    <row r="1247" spans="10:11">
      <c r="J1247" s="3">
        <v>36374</v>
      </c>
      <c r="K1247" s="17">
        <v>1.8109999999999999</v>
      </c>
    </row>
    <row r="1248" spans="10:11">
      <c r="J1248" s="3">
        <v>36375</v>
      </c>
      <c r="K1248" s="17">
        <v>1.827</v>
      </c>
    </row>
    <row r="1249" spans="10:11">
      <c r="J1249" s="3">
        <v>36376</v>
      </c>
      <c r="K1249" s="17">
        <v>1.821</v>
      </c>
    </row>
    <row r="1250" spans="10:11">
      <c r="J1250" s="3">
        <v>36377</v>
      </c>
      <c r="K1250" s="17">
        <v>1.847</v>
      </c>
    </row>
    <row r="1251" spans="10:11">
      <c r="J1251" s="3">
        <v>36378</v>
      </c>
      <c r="K1251" s="17">
        <v>1.849</v>
      </c>
    </row>
    <row r="1252" spans="10:11">
      <c r="J1252" s="3">
        <v>36381</v>
      </c>
      <c r="K1252" s="17">
        <v>1.845</v>
      </c>
    </row>
    <row r="1253" spans="10:11">
      <c r="J1253" s="3">
        <v>36382</v>
      </c>
      <c r="K1253" s="17">
        <v>1.8720000000000001</v>
      </c>
    </row>
    <row r="1254" spans="10:11">
      <c r="J1254" s="3">
        <v>36383</v>
      </c>
      <c r="K1254" s="17">
        <v>1.863</v>
      </c>
    </row>
    <row r="1255" spans="10:11">
      <c r="J1255" s="3">
        <v>36384</v>
      </c>
      <c r="K1255" s="17">
        <v>1.851</v>
      </c>
    </row>
    <row r="1256" spans="10:11">
      <c r="J1256" s="3">
        <v>36385</v>
      </c>
      <c r="K1256" s="17">
        <v>1.871</v>
      </c>
    </row>
    <row r="1257" spans="10:11">
      <c r="J1257" s="3">
        <v>36388</v>
      </c>
      <c r="K1257" s="17">
        <v>1.8759999999999999</v>
      </c>
    </row>
    <row r="1258" spans="10:11">
      <c r="J1258" s="3">
        <v>36389</v>
      </c>
      <c r="K1258" s="17">
        <v>1.8819999999999999</v>
      </c>
    </row>
    <row r="1259" spans="10:11">
      <c r="J1259" s="3">
        <v>36390</v>
      </c>
      <c r="K1259" s="17">
        <v>1.8919999999999999</v>
      </c>
    </row>
    <row r="1260" spans="10:11">
      <c r="J1260" s="3">
        <v>36391</v>
      </c>
      <c r="K1260" s="17">
        <v>1.917</v>
      </c>
    </row>
    <row r="1261" spans="10:11">
      <c r="J1261" s="3">
        <v>36392</v>
      </c>
      <c r="K1261" s="17">
        <v>1.9490000000000001</v>
      </c>
    </row>
    <row r="1262" spans="10:11">
      <c r="J1262" s="3">
        <v>36395</v>
      </c>
      <c r="K1262" s="17">
        <v>1.87</v>
      </c>
    </row>
    <row r="1263" spans="10:11">
      <c r="J1263" s="3">
        <v>36396</v>
      </c>
      <c r="K1263" s="17">
        <v>1.9019999999999999</v>
      </c>
    </row>
    <row r="1264" spans="10:11">
      <c r="J1264" s="3">
        <v>36397</v>
      </c>
      <c r="K1264" s="17">
        <v>1.931</v>
      </c>
    </row>
    <row r="1265" spans="10:11">
      <c r="J1265" s="3">
        <v>36398</v>
      </c>
      <c r="K1265" s="17">
        <v>1.9079999999999999</v>
      </c>
    </row>
    <row r="1266" spans="10:11">
      <c r="J1266" s="3">
        <v>36399</v>
      </c>
      <c r="K1266" s="17">
        <v>1.9239999999999999</v>
      </c>
    </row>
    <row r="1267" spans="10:11">
      <c r="J1267" s="3">
        <v>36402</v>
      </c>
      <c r="K1267" s="17">
        <v>1.9430000000000001</v>
      </c>
    </row>
    <row r="1268" spans="10:11">
      <c r="J1268" s="3">
        <v>36403</v>
      </c>
      <c r="K1268" s="17">
        <v>1.915</v>
      </c>
    </row>
    <row r="1269" spans="10:11">
      <c r="J1269" s="3">
        <v>36404</v>
      </c>
      <c r="K1269" s="17">
        <v>1.921</v>
      </c>
    </row>
    <row r="1270" spans="10:11">
      <c r="J1270" s="3">
        <v>36405</v>
      </c>
      <c r="K1270" s="17">
        <v>1.9239999999999999</v>
      </c>
    </row>
    <row r="1271" spans="10:11">
      <c r="J1271" s="3">
        <v>36406</v>
      </c>
      <c r="K1271" s="17">
        <v>1.9039999999999999</v>
      </c>
    </row>
    <row r="1272" spans="10:11">
      <c r="J1272" s="3">
        <v>36409</v>
      </c>
      <c r="K1272" s="17">
        <v>1.905</v>
      </c>
    </row>
    <row r="1273" spans="10:11">
      <c r="J1273" s="3">
        <v>36411</v>
      </c>
      <c r="K1273" s="17">
        <v>1.8979999999999999</v>
      </c>
    </row>
    <row r="1274" spans="10:11">
      <c r="J1274" s="3">
        <v>36412</v>
      </c>
      <c r="K1274" s="17">
        <v>1.873</v>
      </c>
    </row>
    <row r="1275" spans="10:11">
      <c r="J1275" s="3">
        <v>36413</v>
      </c>
      <c r="K1275" s="17">
        <v>1.8620000000000001</v>
      </c>
    </row>
    <row r="1276" spans="10:11">
      <c r="J1276" s="3">
        <v>36416</v>
      </c>
      <c r="K1276" s="17">
        <v>1.8819999999999999</v>
      </c>
    </row>
    <row r="1277" spans="10:11">
      <c r="J1277" s="3">
        <v>36417</v>
      </c>
      <c r="K1277" s="17">
        <v>1.8919999999999999</v>
      </c>
    </row>
    <row r="1278" spans="10:11">
      <c r="J1278" s="3">
        <v>36418</v>
      </c>
      <c r="K1278" s="17">
        <v>1.877</v>
      </c>
    </row>
    <row r="1279" spans="10:11">
      <c r="J1279" s="3">
        <v>36419</v>
      </c>
      <c r="K1279" s="17">
        <v>1.879</v>
      </c>
    </row>
    <row r="1280" spans="10:11">
      <c r="J1280" s="3">
        <v>36420</v>
      </c>
      <c r="K1280" s="17">
        <v>1.8859999999999999</v>
      </c>
    </row>
    <row r="1281" spans="10:11">
      <c r="J1281" s="3">
        <v>36423</v>
      </c>
      <c r="K1281" s="17">
        <v>1.8740000000000001</v>
      </c>
    </row>
    <row r="1282" spans="10:11">
      <c r="J1282" s="3">
        <v>36424</v>
      </c>
      <c r="K1282" s="17">
        <v>1.879</v>
      </c>
    </row>
    <row r="1283" spans="10:11">
      <c r="J1283" s="3">
        <v>36425</v>
      </c>
      <c r="K1283" s="17">
        <v>1.89</v>
      </c>
    </row>
    <row r="1284" spans="10:11">
      <c r="J1284" s="3">
        <v>36426</v>
      </c>
      <c r="K1284" s="17">
        <v>1.891</v>
      </c>
    </row>
    <row r="1285" spans="10:11">
      <c r="J1285" s="3">
        <v>36427</v>
      </c>
      <c r="K1285" s="17">
        <v>1.9139999999999999</v>
      </c>
    </row>
    <row r="1286" spans="10:11">
      <c r="J1286" s="3">
        <v>36430</v>
      </c>
      <c r="K1286" s="17">
        <v>1.917</v>
      </c>
    </row>
    <row r="1287" spans="10:11">
      <c r="J1287" s="3">
        <v>36431</v>
      </c>
      <c r="K1287" s="17">
        <v>1.9390000000000001</v>
      </c>
    </row>
    <row r="1288" spans="10:11">
      <c r="J1288" s="3">
        <v>36432</v>
      </c>
      <c r="K1288" s="17">
        <v>1.9219999999999999</v>
      </c>
    </row>
    <row r="1289" spans="10:11">
      <c r="J1289" s="3">
        <v>36433</v>
      </c>
      <c r="K1289" s="17">
        <v>1.9219999999999999</v>
      </c>
    </row>
    <row r="1290" spans="10:11">
      <c r="J1290" s="3">
        <v>36434</v>
      </c>
      <c r="K1290" s="17">
        <v>1.956</v>
      </c>
    </row>
    <row r="1291" spans="10:11">
      <c r="J1291" s="3">
        <v>36437</v>
      </c>
      <c r="K1291" s="17">
        <v>1.9379999999999999</v>
      </c>
    </row>
    <row r="1292" spans="10:11">
      <c r="J1292" s="3">
        <v>36438</v>
      </c>
      <c r="K1292" s="17">
        <v>1.952</v>
      </c>
    </row>
    <row r="1293" spans="10:11">
      <c r="J1293" s="3">
        <v>36439</v>
      </c>
      <c r="K1293" s="17">
        <v>1.96</v>
      </c>
    </row>
    <row r="1294" spans="10:11">
      <c r="J1294" s="3">
        <v>36440</v>
      </c>
      <c r="K1294" s="17">
        <v>1.9330000000000001</v>
      </c>
    </row>
    <row r="1295" spans="10:11">
      <c r="J1295" s="3">
        <v>36441</v>
      </c>
      <c r="K1295" s="17">
        <v>1.9430000000000001</v>
      </c>
    </row>
    <row r="1296" spans="10:11">
      <c r="J1296" s="3">
        <v>36444</v>
      </c>
      <c r="K1296" s="17">
        <v>1.9550000000000001</v>
      </c>
    </row>
    <row r="1297" spans="10:11">
      <c r="J1297" s="3">
        <v>36446</v>
      </c>
      <c r="K1297" s="17">
        <v>1.958</v>
      </c>
    </row>
    <row r="1298" spans="10:11">
      <c r="J1298" s="3">
        <v>36447</v>
      </c>
      <c r="K1298" s="17">
        <v>1.964</v>
      </c>
    </row>
    <row r="1299" spans="10:11">
      <c r="J1299" s="3">
        <v>36448</v>
      </c>
      <c r="K1299" s="17">
        <v>1.9790000000000001</v>
      </c>
    </row>
    <row r="1300" spans="10:11">
      <c r="J1300" s="3">
        <v>36451</v>
      </c>
      <c r="K1300" s="17">
        <v>1.982</v>
      </c>
    </row>
    <row r="1301" spans="10:11">
      <c r="J1301" s="3">
        <v>36452</v>
      </c>
      <c r="K1301" s="17">
        <v>1.9930000000000001</v>
      </c>
    </row>
    <row r="1302" spans="10:11">
      <c r="J1302" s="3">
        <v>36453</v>
      </c>
      <c r="K1302" s="17">
        <v>2.0019999999999998</v>
      </c>
    </row>
    <row r="1303" spans="10:11">
      <c r="J1303" s="3">
        <v>36454</v>
      </c>
      <c r="K1303" s="17">
        <v>1.9930000000000001</v>
      </c>
    </row>
    <row r="1304" spans="10:11">
      <c r="J1304" s="3">
        <v>36455</v>
      </c>
      <c r="K1304" s="17">
        <v>1.9830000000000001</v>
      </c>
    </row>
    <row r="1305" spans="10:11">
      <c r="J1305" s="3">
        <v>36458</v>
      </c>
      <c r="K1305" s="17">
        <v>1.9770000000000001</v>
      </c>
    </row>
    <row r="1306" spans="10:11">
      <c r="J1306" s="3">
        <v>36459</v>
      </c>
      <c r="K1306" s="17">
        <v>1.986</v>
      </c>
    </row>
    <row r="1307" spans="10:11">
      <c r="J1307" s="3">
        <v>36460</v>
      </c>
      <c r="K1307" s="17">
        <v>1.9950000000000001</v>
      </c>
    </row>
    <row r="1308" spans="10:11">
      <c r="J1308" s="3">
        <v>36461</v>
      </c>
      <c r="K1308" s="17">
        <v>1.978</v>
      </c>
    </row>
    <row r="1309" spans="10:11">
      <c r="J1309" s="3">
        <v>36462</v>
      </c>
      <c r="K1309" s="17">
        <v>1.9530000000000001</v>
      </c>
    </row>
    <row r="1310" spans="10:11">
      <c r="J1310" s="3">
        <v>36465</v>
      </c>
      <c r="K1310" s="17">
        <v>1.9430000000000001</v>
      </c>
    </row>
    <row r="1311" spans="10:11">
      <c r="J1311" s="3">
        <v>36467</v>
      </c>
      <c r="K1311" s="17">
        <v>1.9410000000000001</v>
      </c>
    </row>
    <row r="1312" spans="10:11">
      <c r="J1312" s="3">
        <v>36468</v>
      </c>
      <c r="K1312" s="17">
        <v>1.929</v>
      </c>
    </row>
    <row r="1313" spans="10:11">
      <c r="J1313" s="3">
        <v>36469</v>
      </c>
      <c r="K1313" s="17">
        <v>1.915</v>
      </c>
    </row>
    <row r="1314" spans="10:11">
      <c r="J1314" s="3">
        <v>36472</v>
      </c>
      <c r="K1314" s="17">
        <v>1.9259999999999999</v>
      </c>
    </row>
    <row r="1315" spans="10:11">
      <c r="J1315" s="3">
        <v>36473</v>
      </c>
      <c r="K1315" s="17">
        <v>1.9239999999999999</v>
      </c>
    </row>
    <row r="1316" spans="10:11">
      <c r="J1316" s="3">
        <v>36474</v>
      </c>
      <c r="K1316" s="17">
        <v>1.9339999999999999</v>
      </c>
    </row>
    <row r="1317" spans="10:11">
      <c r="J1317" s="3">
        <v>36475</v>
      </c>
      <c r="K1317" s="17">
        <v>1.9279999999999999</v>
      </c>
    </row>
    <row r="1318" spans="10:11">
      <c r="J1318" s="3">
        <v>36476</v>
      </c>
      <c r="K1318" s="17">
        <v>1.9330000000000001</v>
      </c>
    </row>
    <row r="1319" spans="10:11">
      <c r="J1319" s="3">
        <v>36480</v>
      </c>
      <c r="K1319" s="17">
        <v>1.9330000000000001</v>
      </c>
    </row>
    <row r="1320" spans="10:11">
      <c r="J1320" s="3">
        <v>36481</v>
      </c>
      <c r="K1320" s="17">
        <v>1.9319999999999999</v>
      </c>
    </row>
    <row r="1321" spans="10:11">
      <c r="J1321" s="3">
        <v>36482</v>
      </c>
      <c r="K1321" s="17">
        <v>1.929</v>
      </c>
    </row>
    <row r="1322" spans="10:11">
      <c r="J1322" s="3">
        <v>36483</v>
      </c>
      <c r="K1322" s="17">
        <v>1.931</v>
      </c>
    </row>
    <row r="1323" spans="10:11">
      <c r="J1323" s="3">
        <v>36486</v>
      </c>
      <c r="K1323" s="17">
        <v>1.9319999999999999</v>
      </c>
    </row>
    <row r="1324" spans="10:11">
      <c r="J1324" s="3">
        <v>36487</v>
      </c>
      <c r="K1324" s="17">
        <v>1.9319999999999999</v>
      </c>
    </row>
    <row r="1325" spans="10:11">
      <c r="J1325" s="3">
        <v>36488</v>
      </c>
      <c r="K1325" s="17">
        <v>1.929</v>
      </c>
    </row>
    <row r="1326" spans="10:11">
      <c r="J1326" s="3">
        <v>36489</v>
      </c>
      <c r="K1326" s="17">
        <v>1.93</v>
      </c>
    </row>
    <row r="1327" spans="10:11">
      <c r="J1327" s="3">
        <v>36490</v>
      </c>
      <c r="K1327" s="17">
        <v>1.9259999999999999</v>
      </c>
    </row>
    <row r="1328" spans="10:11">
      <c r="J1328" s="3">
        <v>36493</v>
      </c>
      <c r="K1328" s="17">
        <v>1.921</v>
      </c>
    </row>
    <row r="1329" spans="10:11">
      <c r="J1329" s="3">
        <v>36494</v>
      </c>
      <c r="K1329" s="17">
        <v>1.9219999999999999</v>
      </c>
    </row>
    <row r="1330" spans="10:11">
      <c r="J1330" s="3">
        <v>36495</v>
      </c>
      <c r="K1330" s="17">
        <v>1.9219999999999999</v>
      </c>
    </row>
    <row r="1331" spans="10:11">
      <c r="J1331" s="3">
        <v>36496</v>
      </c>
      <c r="K1331" s="17">
        <v>1.895</v>
      </c>
    </row>
    <row r="1332" spans="10:11">
      <c r="J1332" s="3">
        <v>36497</v>
      </c>
      <c r="K1332" s="17">
        <v>1.8774</v>
      </c>
    </row>
    <row r="1333" spans="10:11">
      <c r="J1333" s="3">
        <v>36500</v>
      </c>
      <c r="K1333" s="17">
        <v>1.8669</v>
      </c>
    </row>
    <row r="1334" spans="10:11">
      <c r="J1334" s="3">
        <v>36501</v>
      </c>
      <c r="K1334" s="17">
        <v>1.8593999999999999</v>
      </c>
    </row>
    <row r="1335" spans="10:11">
      <c r="J1335" s="3">
        <v>36502</v>
      </c>
      <c r="K1335" s="17">
        <v>1.8627</v>
      </c>
    </row>
    <row r="1336" spans="10:11">
      <c r="J1336" s="3">
        <v>36503</v>
      </c>
      <c r="K1336" s="17">
        <v>1.8668</v>
      </c>
    </row>
    <row r="1337" spans="10:11">
      <c r="J1337" s="3">
        <v>36504</v>
      </c>
      <c r="K1337" s="17">
        <v>1.8667</v>
      </c>
    </row>
    <row r="1338" spans="10:11">
      <c r="J1338" s="3">
        <v>36507</v>
      </c>
      <c r="K1338" s="17">
        <v>1.8564000000000001</v>
      </c>
    </row>
    <row r="1339" spans="10:11">
      <c r="J1339" s="3">
        <v>36508</v>
      </c>
      <c r="K1339" s="17">
        <v>1.8463000000000001</v>
      </c>
    </row>
    <row r="1340" spans="10:11">
      <c r="J1340" s="3">
        <v>36509</v>
      </c>
      <c r="K1340" s="17">
        <v>1.8501000000000001</v>
      </c>
    </row>
    <row r="1341" spans="10:11">
      <c r="J1341" s="3">
        <v>36510</v>
      </c>
      <c r="K1341" s="17">
        <v>1.8407</v>
      </c>
    </row>
    <row r="1342" spans="10:11">
      <c r="J1342" s="3">
        <v>36511</v>
      </c>
      <c r="K1342" s="17">
        <v>1.8178000000000001</v>
      </c>
    </row>
    <row r="1343" spans="10:11">
      <c r="J1343" s="3">
        <v>36514</v>
      </c>
      <c r="K1343" s="17">
        <v>1.8048</v>
      </c>
    </row>
    <row r="1344" spans="10:11">
      <c r="J1344" s="3">
        <v>36515</v>
      </c>
      <c r="K1344" s="17">
        <v>1.8233999999999999</v>
      </c>
    </row>
    <row r="1345" spans="10:11">
      <c r="J1345" s="3">
        <v>36516</v>
      </c>
      <c r="K1345" s="17">
        <v>1.8204</v>
      </c>
    </row>
    <row r="1346" spans="10:11">
      <c r="J1346" s="3">
        <v>36517</v>
      </c>
      <c r="K1346" s="17">
        <v>1.8286</v>
      </c>
    </row>
    <row r="1347" spans="10:11">
      <c r="J1347" s="3">
        <v>36518</v>
      </c>
      <c r="K1347" s="17">
        <v>1.829</v>
      </c>
    </row>
    <row r="1348" spans="10:11">
      <c r="J1348" s="3">
        <v>36521</v>
      </c>
      <c r="K1348" s="17">
        <v>1.8267</v>
      </c>
    </row>
    <row r="1349" spans="10:11">
      <c r="J1349" s="3">
        <v>36522</v>
      </c>
      <c r="K1349" s="17">
        <v>1.8289</v>
      </c>
    </row>
    <row r="1350" spans="10:11">
      <c r="J1350" s="3">
        <v>36523</v>
      </c>
      <c r="K1350" s="17">
        <v>1.8169999999999999</v>
      </c>
    </row>
    <row r="1351" spans="10:11">
      <c r="J1351" s="3">
        <v>36524</v>
      </c>
      <c r="K1351" s="17">
        <v>1.7889999999999999</v>
      </c>
    </row>
    <row r="1352" spans="10:11">
      <c r="J1352" s="3">
        <v>36525</v>
      </c>
      <c r="K1352" s="17">
        <v>1.7889999999999999</v>
      </c>
    </row>
    <row r="1353" spans="10:11">
      <c r="J1353" s="20">
        <v>36528</v>
      </c>
      <c r="K1353" s="21">
        <v>1.8010999999999999</v>
      </c>
    </row>
    <row r="1354" spans="10:11">
      <c r="J1354" s="3">
        <v>36529</v>
      </c>
      <c r="K1354" s="5">
        <v>1.8337000000000001</v>
      </c>
    </row>
    <row r="1355" spans="10:11">
      <c r="J1355" s="3">
        <v>36530</v>
      </c>
      <c r="K1355" s="5">
        <v>1.8544</v>
      </c>
    </row>
    <row r="1356" spans="10:11">
      <c r="J1356" s="3">
        <v>36531</v>
      </c>
      <c r="K1356" s="5">
        <v>1.8461000000000001</v>
      </c>
    </row>
    <row r="1357" spans="10:11">
      <c r="J1357" s="3">
        <v>36532</v>
      </c>
      <c r="K1357" s="5">
        <v>1.8281000000000001</v>
      </c>
    </row>
    <row r="1358" spans="10:11">
      <c r="J1358" s="3">
        <v>36535</v>
      </c>
      <c r="K1358" s="5">
        <v>1.8161</v>
      </c>
    </row>
    <row r="1359" spans="10:11">
      <c r="J1359" s="3">
        <v>36536</v>
      </c>
      <c r="K1359" s="5">
        <v>1.8219000000000001</v>
      </c>
    </row>
    <row r="1360" spans="10:11">
      <c r="J1360" s="3">
        <v>36537</v>
      </c>
      <c r="K1360" s="5">
        <v>1.8313999999999999</v>
      </c>
    </row>
    <row r="1361" spans="10:11">
      <c r="J1361" s="3">
        <v>36538</v>
      </c>
      <c r="K1361" s="5">
        <v>1.8192999999999999</v>
      </c>
    </row>
    <row r="1362" spans="10:11">
      <c r="J1362" s="3">
        <v>36539</v>
      </c>
      <c r="K1362" s="5">
        <v>1.7997000000000001</v>
      </c>
    </row>
    <row r="1363" spans="10:11">
      <c r="J1363" s="3">
        <v>36542</v>
      </c>
      <c r="K1363" s="5">
        <v>1.7957000000000001</v>
      </c>
    </row>
    <row r="1364" spans="10:11">
      <c r="J1364" s="3">
        <v>36543</v>
      </c>
      <c r="K1364" s="5">
        <v>1.7924</v>
      </c>
    </row>
    <row r="1365" spans="10:11">
      <c r="J1365" s="3">
        <v>36544</v>
      </c>
      <c r="K1365" s="5">
        <v>1.7984</v>
      </c>
    </row>
    <row r="1366" spans="10:11">
      <c r="J1366" s="3">
        <v>36545</v>
      </c>
      <c r="K1366" s="5">
        <v>1.7801</v>
      </c>
    </row>
    <row r="1367" spans="10:11">
      <c r="J1367" s="3">
        <v>36546</v>
      </c>
      <c r="K1367" s="5">
        <v>1.7784</v>
      </c>
    </row>
    <row r="1368" spans="10:11">
      <c r="J1368" s="3">
        <v>36549</v>
      </c>
      <c r="K1368" s="5">
        <v>1.7652000000000001</v>
      </c>
    </row>
    <row r="1369" spans="10:11">
      <c r="J1369" s="3">
        <v>36550</v>
      </c>
      <c r="K1369" s="5">
        <v>1.7741</v>
      </c>
    </row>
    <row r="1370" spans="10:11">
      <c r="J1370" s="3">
        <v>36551</v>
      </c>
      <c r="K1370" s="5">
        <v>1.7768999999999999</v>
      </c>
    </row>
    <row r="1371" spans="10:11">
      <c r="J1371" s="3">
        <v>36552</v>
      </c>
      <c r="K1371" s="5">
        <v>1.7753000000000001</v>
      </c>
    </row>
    <row r="1372" spans="10:11">
      <c r="J1372" s="3">
        <v>36553</v>
      </c>
      <c r="K1372" s="5">
        <v>1.7875000000000001</v>
      </c>
    </row>
    <row r="1373" spans="10:11">
      <c r="J1373" s="3">
        <v>36556</v>
      </c>
      <c r="K1373" s="5">
        <v>1.8024</v>
      </c>
    </row>
    <row r="1374" spans="10:11">
      <c r="J1374" s="3">
        <v>36557</v>
      </c>
      <c r="K1374" s="5">
        <v>1.7931999999999999</v>
      </c>
    </row>
    <row r="1375" spans="10:11">
      <c r="J1375" s="3">
        <v>36558</v>
      </c>
      <c r="K1375" s="5">
        <v>1.79</v>
      </c>
    </row>
    <row r="1376" spans="10:11">
      <c r="J1376" s="3">
        <v>36559</v>
      </c>
      <c r="K1376" s="5">
        <v>1.7779</v>
      </c>
    </row>
    <row r="1377" spans="10:11">
      <c r="J1377" s="3">
        <v>36560</v>
      </c>
      <c r="K1377" s="5">
        <v>1.7785</v>
      </c>
    </row>
    <row r="1378" spans="10:11">
      <c r="J1378" s="3">
        <v>36563</v>
      </c>
      <c r="K1378" s="5">
        <v>1.7659</v>
      </c>
    </row>
    <row r="1379" spans="10:11">
      <c r="J1379" s="3">
        <v>36564</v>
      </c>
      <c r="K1379" s="5">
        <v>1.7654000000000001</v>
      </c>
    </row>
    <row r="1380" spans="10:11">
      <c r="J1380" s="3">
        <v>36565</v>
      </c>
      <c r="K1380" s="5">
        <v>1.7632000000000001</v>
      </c>
    </row>
    <row r="1381" spans="10:11">
      <c r="J1381" s="3">
        <v>36566</v>
      </c>
      <c r="K1381" s="5">
        <v>1.7695000000000001</v>
      </c>
    </row>
    <row r="1382" spans="10:11">
      <c r="J1382" s="3">
        <v>36567</v>
      </c>
      <c r="K1382" s="5">
        <v>1.7646999999999999</v>
      </c>
    </row>
    <row r="1383" spans="10:11">
      <c r="J1383" s="3">
        <v>36570</v>
      </c>
      <c r="K1383" s="5">
        <v>1.7699</v>
      </c>
    </row>
    <row r="1384" spans="10:11">
      <c r="J1384" s="3">
        <v>36571</v>
      </c>
      <c r="K1384" s="5">
        <v>1.7764</v>
      </c>
    </row>
    <row r="1385" spans="10:11">
      <c r="J1385" s="3">
        <v>36572</v>
      </c>
      <c r="K1385" s="5">
        <v>1.7732000000000001</v>
      </c>
    </row>
    <row r="1386" spans="10:11">
      <c r="J1386" s="3">
        <v>36573</v>
      </c>
      <c r="K1386" s="5">
        <v>1.774</v>
      </c>
    </row>
    <row r="1387" spans="10:11">
      <c r="J1387" s="3">
        <v>36574</v>
      </c>
      <c r="K1387" s="5">
        <v>1.7705</v>
      </c>
    </row>
    <row r="1388" spans="10:11">
      <c r="J1388" s="3">
        <v>36577</v>
      </c>
      <c r="K1388" s="5">
        <v>1.7784</v>
      </c>
    </row>
    <row r="1389" spans="10:11">
      <c r="J1389" s="3">
        <v>36578</v>
      </c>
      <c r="K1389" s="5">
        <v>1.7825</v>
      </c>
    </row>
    <row r="1390" spans="10:11">
      <c r="J1390" s="3">
        <v>36579</v>
      </c>
      <c r="K1390" s="5">
        <v>1.7886</v>
      </c>
    </row>
    <row r="1391" spans="10:11">
      <c r="J1391" s="3">
        <v>36580</v>
      </c>
      <c r="K1391" s="5">
        <v>1.7779</v>
      </c>
    </row>
    <row r="1392" spans="10:11">
      <c r="J1392" s="3">
        <v>36581</v>
      </c>
      <c r="K1392" s="5">
        <v>1.7741</v>
      </c>
    </row>
    <row r="1393" spans="10:11">
      <c r="J1393" s="3">
        <v>36584</v>
      </c>
      <c r="K1393" s="5">
        <v>1.7787999999999999</v>
      </c>
    </row>
    <row r="1394" spans="10:11">
      <c r="J1394" s="3">
        <v>36585</v>
      </c>
      <c r="K1394" s="5">
        <v>1.7685</v>
      </c>
    </row>
    <row r="1395" spans="10:11">
      <c r="J1395" s="3">
        <v>36586</v>
      </c>
      <c r="K1395" s="5">
        <v>1.7678</v>
      </c>
    </row>
    <row r="1396" spans="10:11">
      <c r="J1396" s="3">
        <v>36587</v>
      </c>
      <c r="K1396" s="5">
        <v>1.76</v>
      </c>
    </row>
    <row r="1397" spans="10:11">
      <c r="J1397" s="3">
        <v>36588</v>
      </c>
      <c r="K1397" s="5">
        <v>1.7511000000000001</v>
      </c>
    </row>
    <row r="1398" spans="10:11">
      <c r="J1398" s="3">
        <v>36593</v>
      </c>
      <c r="K1398" s="5">
        <v>1.7498</v>
      </c>
    </row>
    <row r="1399" spans="10:11">
      <c r="J1399" s="3">
        <v>36594</v>
      </c>
      <c r="K1399" s="5">
        <v>1.7343</v>
      </c>
    </row>
    <row r="1400" spans="10:11">
      <c r="J1400" s="3">
        <v>36595</v>
      </c>
      <c r="K1400" s="5">
        <v>1.7385999999999999</v>
      </c>
    </row>
    <row r="1401" spans="10:11">
      <c r="J1401" s="3">
        <v>36598</v>
      </c>
      <c r="K1401" s="5">
        <v>1.7502</v>
      </c>
    </row>
    <row r="1402" spans="10:11">
      <c r="J1402" s="3">
        <v>36599</v>
      </c>
      <c r="K1402" s="5">
        <v>1.7372000000000001</v>
      </c>
    </row>
    <row r="1403" spans="10:11">
      <c r="J1403" s="3">
        <v>36600</v>
      </c>
      <c r="K1403" s="5">
        <v>1.7431000000000001</v>
      </c>
    </row>
    <row r="1404" spans="10:11">
      <c r="J1404" s="3">
        <v>36601</v>
      </c>
      <c r="K1404" s="5">
        <v>1.7357</v>
      </c>
    </row>
    <row r="1405" spans="10:11">
      <c r="J1405" s="3">
        <v>36602</v>
      </c>
      <c r="K1405" s="5">
        <v>1.7406999999999999</v>
      </c>
    </row>
    <row r="1406" spans="10:11">
      <c r="J1406" s="3">
        <v>36605</v>
      </c>
      <c r="K1406" s="5">
        <v>1.7387999999999999</v>
      </c>
    </row>
    <row r="1407" spans="10:11">
      <c r="J1407" s="3">
        <v>36606</v>
      </c>
      <c r="K1407" s="5">
        <v>1.7381</v>
      </c>
    </row>
    <row r="1408" spans="10:11">
      <c r="J1408" s="3">
        <v>36607</v>
      </c>
      <c r="K1408" s="5">
        <v>1.7304999999999999</v>
      </c>
    </row>
    <row r="1409" spans="10:11">
      <c r="J1409" s="3">
        <v>36608</v>
      </c>
      <c r="K1409" s="5">
        <v>1.7242</v>
      </c>
    </row>
    <row r="1410" spans="10:11">
      <c r="J1410" s="3">
        <v>36609</v>
      </c>
      <c r="K1410" s="5">
        <v>1.7234</v>
      </c>
    </row>
    <row r="1411" spans="10:11">
      <c r="J1411" s="3">
        <v>36612</v>
      </c>
      <c r="K1411" s="5">
        <v>1.7362</v>
      </c>
    </row>
    <row r="1412" spans="10:11">
      <c r="J1412" s="3">
        <v>36613</v>
      </c>
      <c r="K1412" s="5">
        <v>1.7456</v>
      </c>
    </row>
    <row r="1413" spans="10:11">
      <c r="J1413" s="3">
        <v>36614</v>
      </c>
      <c r="K1413" s="5">
        <v>1.7379</v>
      </c>
    </row>
    <row r="1414" spans="10:11">
      <c r="J1414" s="3">
        <v>36615</v>
      </c>
      <c r="K1414" s="5">
        <v>1.7522</v>
      </c>
    </row>
    <row r="1415" spans="10:11">
      <c r="J1415" s="3">
        <v>36616</v>
      </c>
      <c r="K1415" s="5">
        <v>1.7473000000000001</v>
      </c>
    </row>
    <row r="1416" spans="10:11">
      <c r="J1416" s="3">
        <v>36619</v>
      </c>
      <c r="K1416" s="5">
        <v>1.7406999999999999</v>
      </c>
    </row>
    <row r="1417" spans="10:11">
      <c r="J1417" s="3">
        <v>36620</v>
      </c>
      <c r="K1417" s="5">
        <v>1.7424999999999999</v>
      </c>
    </row>
    <row r="1418" spans="10:11">
      <c r="J1418" s="3">
        <v>36621</v>
      </c>
      <c r="K1418" s="5">
        <v>1.7532000000000001</v>
      </c>
    </row>
    <row r="1419" spans="10:11">
      <c r="J1419" s="3">
        <v>36622</v>
      </c>
      <c r="K1419" s="5">
        <v>1.7423</v>
      </c>
    </row>
    <row r="1420" spans="10:11">
      <c r="J1420" s="3">
        <v>36623</v>
      </c>
      <c r="K1420" s="5">
        <v>1.7439</v>
      </c>
    </row>
    <row r="1421" spans="10:11">
      <c r="J1421" s="3">
        <v>36626</v>
      </c>
      <c r="K1421" s="5">
        <v>1.7386999999999999</v>
      </c>
    </row>
    <row r="1422" spans="10:11">
      <c r="J1422" s="3">
        <v>36627</v>
      </c>
      <c r="K1422" s="5">
        <v>1.7447999999999999</v>
      </c>
    </row>
    <row r="1423" spans="10:11">
      <c r="J1423" s="3">
        <v>36628</v>
      </c>
      <c r="K1423" s="5">
        <v>1.7471000000000001</v>
      </c>
    </row>
    <row r="1424" spans="10:11">
      <c r="J1424" s="3">
        <v>36629</v>
      </c>
      <c r="K1424" s="5">
        <v>1.7633000000000001</v>
      </c>
    </row>
    <row r="1425" spans="10:11">
      <c r="J1425" s="3">
        <v>36630</v>
      </c>
      <c r="K1425" s="5">
        <v>1.7833000000000001</v>
      </c>
    </row>
    <row r="1426" spans="10:11">
      <c r="J1426" s="3">
        <v>36633</v>
      </c>
      <c r="K1426" s="5">
        <v>1.7873000000000001</v>
      </c>
    </row>
    <row r="1427" spans="10:11">
      <c r="J1427" s="3">
        <v>36634</v>
      </c>
      <c r="K1427" s="5">
        <v>1.7696000000000001</v>
      </c>
    </row>
    <row r="1428" spans="10:11">
      <c r="J1428" s="3">
        <v>36635</v>
      </c>
      <c r="K1428" s="5">
        <v>1.7662</v>
      </c>
    </row>
    <row r="1429" spans="10:11">
      <c r="J1429" s="3">
        <v>36636</v>
      </c>
      <c r="K1429" s="5">
        <v>1.7784</v>
      </c>
    </row>
    <row r="1430" spans="10:11">
      <c r="J1430" s="3">
        <v>36640</v>
      </c>
      <c r="K1430" s="5">
        <v>1.7916000000000001</v>
      </c>
    </row>
    <row r="1431" spans="10:11">
      <c r="J1431" s="3">
        <v>36641</v>
      </c>
      <c r="K1431" s="5">
        <v>1.7887999999999999</v>
      </c>
    </row>
    <row r="1432" spans="10:11">
      <c r="J1432" s="3">
        <v>36642</v>
      </c>
      <c r="K1432" s="5">
        <v>1.7985</v>
      </c>
    </row>
    <row r="1433" spans="10:11">
      <c r="J1433" s="3">
        <v>36643</v>
      </c>
      <c r="K1433" s="5">
        <v>1.8083</v>
      </c>
    </row>
    <row r="1434" spans="10:11">
      <c r="J1434" s="3">
        <v>36644</v>
      </c>
      <c r="K1434" s="5">
        <v>1.8067</v>
      </c>
    </row>
    <row r="1435" spans="10:11">
      <c r="J1435" s="3">
        <v>36648</v>
      </c>
      <c r="K1435" s="5">
        <v>1.8008</v>
      </c>
    </row>
    <row r="1436" spans="10:11">
      <c r="J1436" s="3">
        <v>36649</v>
      </c>
      <c r="K1436" s="5">
        <v>1.8162</v>
      </c>
    </row>
    <row r="1437" spans="10:11">
      <c r="J1437" s="3">
        <v>36650</v>
      </c>
      <c r="K1437" s="5">
        <v>1.8144</v>
      </c>
    </row>
    <row r="1438" spans="10:11">
      <c r="J1438" s="3">
        <v>36651</v>
      </c>
      <c r="K1438" s="5">
        <v>1.8118000000000001</v>
      </c>
    </row>
    <row r="1439" spans="10:11">
      <c r="J1439" s="3">
        <v>36654</v>
      </c>
      <c r="K1439" s="5">
        <v>1.8058000000000001</v>
      </c>
    </row>
    <row r="1440" spans="10:11">
      <c r="J1440" s="3">
        <v>36655</v>
      </c>
      <c r="K1440" s="5">
        <v>1.8079000000000001</v>
      </c>
    </row>
    <row r="1441" spans="10:11">
      <c r="J1441" s="3">
        <v>36656</v>
      </c>
      <c r="K1441" s="5">
        <v>1.8169</v>
      </c>
    </row>
    <row r="1442" spans="10:11">
      <c r="J1442" s="3">
        <v>36657</v>
      </c>
      <c r="K1442" s="5">
        <v>1.8162</v>
      </c>
    </row>
    <row r="1443" spans="10:11">
      <c r="J1443" s="3">
        <v>36658</v>
      </c>
      <c r="K1443" s="5">
        <v>1.8266</v>
      </c>
    </row>
    <row r="1444" spans="10:11">
      <c r="J1444" s="3">
        <v>36661</v>
      </c>
      <c r="K1444" s="5">
        <v>1.8382000000000001</v>
      </c>
    </row>
    <row r="1445" spans="10:11">
      <c r="J1445" s="3">
        <v>36662</v>
      </c>
      <c r="K1445" s="5">
        <v>1.8198000000000001</v>
      </c>
    </row>
    <row r="1446" spans="10:11">
      <c r="J1446" s="3">
        <v>36663</v>
      </c>
      <c r="K1446" s="5">
        <v>1.8291999999999999</v>
      </c>
    </row>
    <row r="1447" spans="10:11">
      <c r="J1447" s="3">
        <v>36664</v>
      </c>
      <c r="K1447" s="5">
        <v>1.8305</v>
      </c>
    </row>
    <row r="1448" spans="10:11">
      <c r="J1448" s="3">
        <v>36665</v>
      </c>
      <c r="K1448" s="5">
        <v>1.8453999999999999</v>
      </c>
    </row>
    <row r="1449" spans="10:11">
      <c r="J1449" s="3">
        <v>36668</v>
      </c>
      <c r="K1449" s="5">
        <v>1.8468</v>
      </c>
    </row>
    <row r="1450" spans="10:11">
      <c r="J1450" s="3">
        <v>36669</v>
      </c>
      <c r="K1450" s="5">
        <v>1.8536999999999999</v>
      </c>
    </row>
    <row r="1451" spans="10:11">
      <c r="J1451" s="3">
        <v>36670</v>
      </c>
      <c r="K1451" s="5">
        <v>1.8536999999999999</v>
      </c>
    </row>
    <row r="1452" spans="10:11">
      <c r="J1452" s="3">
        <v>36671</v>
      </c>
      <c r="K1452" s="5">
        <v>1.8391999999999999</v>
      </c>
    </row>
    <row r="1453" spans="10:11">
      <c r="J1453" s="3">
        <v>36672</v>
      </c>
      <c r="K1453" s="5">
        <v>1.8454999999999999</v>
      </c>
    </row>
    <row r="1454" spans="10:11">
      <c r="J1454" s="3">
        <v>36675</v>
      </c>
      <c r="K1454" s="5">
        <v>1.8388</v>
      </c>
    </row>
    <row r="1455" spans="10:11">
      <c r="J1455" s="3">
        <v>36676</v>
      </c>
      <c r="K1455" s="5">
        <v>1.8305</v>
      </c>
    </row>
    <row r="1456" spans="10:11">
      <c r="J1456" s="3">
        <v>36677</v>
      </c>
      <c r="K1456" s="5">
        <v>1.8266</v>
      </c>
    </row>
    <row r="1457" spans="10:11">
      <c r="J1457" s="3">
        <v>36678</v>
      </c>
      <c r="K1457" s="5">
        <v>1.8202</v>
      </c>
    </row>
    <row r="1458" spans="10:11">
      <c r="J1458" s="3">
        <v>36679</v>
      </c>
      <c r="K1458" s="5">
        <v>1.8104</v>
      </c>
    </row>
    <row r="1459" spans="10:11">
      <c r="J1459" s="3">
        <v>36682</v>
      </c>
      <c r="K1459" s="5">
        <v>1.7932999999999999</v>
      </c>
    </row>
    <row r="1460" spans="10:11">
      <c r="J1460" s="3">
        <v>36683</v>
      </c>
      <c r="K1460" s="5">
        <v>1.7899</v>
      </c>
    </row>
    <row r="1461" spans="10:11">
      <c r="J1461" s="3">
        <v>36684</v>
      </c>
      <c r="K1461" s="5">
        <v>1.8036000000000001</v>
      </c>
    </row>
    <row r="1462" spans="10:11">
      <c r="J1462" s="3">
        <v>36685</v>
      </c>
      <c r="K1462" s="5">
        <v>1.7948</v>
      </c>
    </row>
    <row r="1463" spans="10:11">
      <c r="J1463" s="3">
        <v>36686</v>
      </c>
      <c r="K1463" s="5">
        <v>1.7999000000000001</v>
      </c>
    </row>
    <row r="1464" spans="10:11">
      <c r="J1464" s="3">
        <v>36689</v>
      </c>
      <c r="K1464" s="5">
        <v>1.804</v>
      </c>
    </row>
    <row r="1465" spans="10:11">
      <c r="J1465" s="3">
        <v>36690</v>
      </c>
      <c r="K1465" s="5">
        <v>1.81</v>
      </c>
    </row>
    <row r="1466" spans="10:11">
      <c r="J1466" s="3">
        <v>36691</v>
      </c>
      <c r="K1466" s="5">
        <v>1.8107</v>
      </c>
    </row>
    <row r="1467" spans="10:11">
      <c r="J1467" s="3">
        <v>36692</v>
      </c>
      <c r="K1467" s="5">
        <v>1.8079000000000001</v>
      </c>
    </row>
    <row r="1468" spans="10:11">
      <c r="J1468" s="3">
        <v>36693</v>
      </c>
      <c r="K1468" s="5">
        <v>1.8072999999999999</v>
      </c>
    </row>
    <row r="1469" spans="10:11">
      <c r="J1469" s="3">
        <v>36696</v>
      </c>
      <c r="K1469" s="5">
        <v>1.8029999999999999</v>
      </c>
    </row>
    <row r="1470" spans="10:11">
      <c r="J1470" s="3">
        <v>36697</v>
      </c>
      <c r="K1470" s="5">
        <v>1.7990999999999999</v>
      </c>
    </row>
    <row r="1471" spans="10:11">
      <c r="J1471" s="3">
        <v>36698</v>
      </c>
      <c r="K1471" s="5">
        <v>1.8121</v>
      </c>
    </row>
    <row r="1472" spans="10:11">
      <c r="J1472" s="3">
        <v>36700</v>
      </c>
      <c r="K1472" s="5">
        <v>1.8203</v>
      </c>
    </row>
    <row r="1473" spans="10:11">
      <c r="J1473" s="3">
        <v>36703</v>
      </c>
      <c r="K1473" s="5">
        <v>1.8282</v>
      </c>
    </row>
    <row r="1474" spans="10:11">
      <c r="J1474" s="3">
        <v>36704</v>
      </c>
      <c r="K1474" s="5">
        <v>1.8234999999999999</v>
      </c>
    </row>
    <row r="1475" spans="10:11">
      <c r="J1475" s="3">
        <v>36705</v>
      </c>
      <c r="K1475" s="5">
        <v>1.8194999999999999</v>
      </c>
    </row>
    <row r="1476" spans="10:11">
      <c r="J1476" s="3">
        <v>36706</v>
      </c>
      <c r="K1476" s="5">
        <v>1.8171999999999999</v>
      </c>
    </row>
    <row r="1477" spans="10:11">
      <c r="J1477" s="3">
        <v>36707</v>
      </c>
      <c r="K1477" s="5">
        <v>1.8</v>
      </c>
    </row>
    <row r="1478" spans="10:11">
      <c r="J1478" s="3">
        <v>36710</v>
      </c>
      <c r="K1478" s="5">
        <v>1.8080000000000001</v>
      </c>
    </row>
    <row r="1479" spans="10:11">
      <c r="J1479" s="3">
        <v>36711</v>
      </c>
      <c r="K1479" s="5">
        <v>1.8121</v>
      </c>
    </row>
    <row r="1480" spans="10:11">
      <c r="J1480" s="3">
        <v>36712</v>
      </c>
      <c r="K1480" s="5">
        <v>1.8047</v>
      </c>
    </row>
    <row r="1481" spans="10:11">
      <c r="J1481" s="3">
        <v>36713</v>
      </c>
      <c r="K1481" s="5">
        <v>1.7969999999999999</v>
      </c>
    </row>
    <row r="1482" spans="10:11">
      <c r="J1482" s="3">
        <v>36714</v>
      </c>
      <c r="K1482" s="5">
        <v>1.7971999999999999</v>
      </c>
    </row>
    <row r="1483" spans="10:11">
      <c r="J1483" s="3">
        <v>36717</v>
      </c>
      <c r="K1483" s="5">
        <v>1.8006</v>
      </c>
    </row>
    <row r="1484" spans="10:11">
      <c r="J1484" s="3">
        <v>36718</v>
      </c>
      <c r="K1484" s="5">
        <v>1.7971999999999999</v>
      </c>
    </row>
    <row r="1485" spans="10:11">
      <c r="J1485" s="3">
        <v>36719</v>
      </c>
      <c r="K1485" s="5">
        <v>1.8033999999999999</v>
      </c>
    </row>
    <row r="1486" spans="10:11">
      <c r="J1486" s="3">
        <v>36720</v>
      </c>
      <c r="K1486" s="5">
        <v>1.8104</v>
      </c>
    </row>
    <row r="1487" spans="10:11">
      <c r="J1487" s="3">
        <v>36721</v>
      </c>
      <c r="K1487" s="5">
        <v>1.8106</v>
      </c>
    </row>
    <row r="1488" spans="10:11">
      <c r="J1488" s="3">
        <v>36724</v>
      </c>
      <c r="K1488" s="5">
        <v>1.7979000000000001</v>
      </c>
    </row>
    <row r="1489" spans="10:11">
      <c r="J1489" s="3">
        <v>36725</v>
      </c>
      <c r="K1489" s="5">
        <v>1.7969999999999999</v>
      </c>
    </row>
    <row r="1490" spans="10:11">
      <c r="J1490" s="3">
        <v>36726</v>
      </c>
      <c r="K1490" s="5">
        <v>1.8044</v>
      </c>
    </row>
    <row r="1491" spans="10:11">
      <c r="J1491" s="3">
        <v>36727</v>
      </c>
      <c r="K1491" s="5">
        <v>1.8015000000000001</v>
      </c>
    </row>
    <row r="1492" spans="10:11">
      <c r="J1492" s="3">
        <v>36728</v>
      </c>
      <c r="K1492" s="5">
        <v>1.7921</v>
      </c>
    </row>
    <row r="1493" spans="10:11">
      <c r="J1493" s="3">
        <v>36731</v>
      </c>
      <c r="K1493" s="5">
        <v>1.7956000000000001</v>
      </c>
    </row>
    <row r="1494" spans="10:11">
      <c r="J1494" s="3">
        <v>36732</v>
      </c>
      <c r="K1494" s="5">
        <v>1.7898000000000001</v>
      </c>
    </row>
    <row r="1495" spans="10:11">
      <c r="J1495" s="3">
        <v>36733</v>
      </c>
      <c r="K1495" s="5">
        <v>1.7925</v>
      </c>
    </row>
    <row r="1496" spans="10:11">
      <c r="J1496" s="3">
        <v>36734</v>
      </c>
      <c r="K1496" s="5">
        <v>1.7847</v>
      </c>
    </row>
    <row r="1497" spans="10:11">
      <c r="J1497" s="3">
        <v>36735</v>
      </c>
      <c r="K1497" s="5">
        <v>1.7827999999999999</v>
      </c>
    </row>
    <row r="1498" spans="10:11">
      <c r="J1498" s="3">
        <v>36738</v>
      </c>
      <c r="K1498" s="5">
        <v>1.7747999999999999</v>
      </c>
    </row>
    <row r="1499" spans="10:11">
      <c r="J1499" s="3">
        <v>36739</v>
      </c>
      <c r="K1499" s="5">
        <v>1.788</v>
      </c>
    </row>
    <row r="1500" spans="10:11">
      <c r="J1500" s="3">
        <v>36740</v>
      </c>
      <c r="K1500" s="5">
        <v>1.7916000000000001</v>
      </c>
    </row>
    <row r="1501" spans="10:11">
      <c r="J1501" s="3">
        <v>36741</v>
      </c>
      <c r="K1501" s="5">
        <v>1.8079000000000001</v>
      </c>
    </row>
    <row r="1502" spans="10:11">
      <c r="J1502" s="3">
        <v>36742</v>
      </c>
      <c r="K1502" s="5">
        <v>1.7919</v>
      </c>
    </row>
    <row r="1503" spans="10:11">
      <c r="J1503" s="3">
        <v>36745</v>
      </c>
      <c r="K1503" s="5">
        <v>1.7961</v>
      </c>
    </row>
    <row r="1504" spans="10:11">
      <c r="J1504" s="3">
        <v>36746</v>
      </c>
      <c r="K1504" s="5">
        <v>1.7991999999999999</v>
      </c>
    </row>
    <row r="1505" spans="10:11">
      <c r="J1505" s="3">
        <v>36747</v>
      </c>
      <c r="K1505" s="5">
        <v>1.7949999999999999</v>
      </c>
    </row>
    <row r="1506" spans="10:11">
      <c r="J1506" s="3">
        <v>36748</v>
      </c>
      <c r="K1506" s="5">
        <v>1.7962</v>
      </c>
    </row>
    <row r="1507" spans="10:11">
      <c r="J1507" s="3">
        <v>36749</v>
      </c>
      <c r="K1507" s="5">
        <v>1.7959000000000001</v>
      </c>
    </row>
    <row r="1508" spans="10:11">
      <c r="J1508" s="3">
        <v>36752</v>
      </c>
      <c r="K1508" s="5">
        <v>1.8021</v>
      </c>
    </row>
    <row r="1509" spans="10:11">
      <c r="J1509" s="3">
        <v>36753</v>
      </c>
      <c r="K1509" s="5">
        <v>1.8056000000000001</v>
      </c>
    </row>
    <row r="1510" spans="10:11">
      <c r="J1510" s="3">
        <v>36754</v>
      </c>
      <c r="K1510" s="5">
        <v>1.8069999999999999</v>
      </c>
    </row>
    <row r="1511" spans="10:11">
      <c r="J1511" s="3">
        <v>36755</v>
      </c>
      <c r="K1511" s="5">
        <v>1.8096000000000001</v>
      </c>
    </row>
    <row r="1512" spans="10:11">
      <c r="J1512" s="3">
        <v>36756</v>
      </c>
      <c r="K1512" s="5">
        <v>1.8173999999999999</v>
      </c>
    </row>
    <row r="1513" spans="10:11">
      <c r="J1513" s="3">
        <v>36759</v>
      </c>
      <c r="K1513" s="5">
        <v>1.8199000000000001</v>
      </c>
    </row>
    <row r="1514" spans="10:11">
      <c r="J1514" s="3">
        <v>36760</v>
      </c>
      <c r="K1514" s="5">
        <v>1.8169</v>
      </c>
    </row>
    <row r="1515" spans="10:11">
      <c r="J1515" s="3">
        <v>36761</v>
      </c>
      <c r="K1515" s="5">
        <v>1.8186</v>
      </c>
    </row>
    <row r="1516" spans="10:11">
      <c r="J1516" s="3">
        <v>36762</v>
      </c>
      <c r="K1516" s="5">
        <v>1.8204</v>
      </c>
    </row>
    <row r="1517" spans="10:11">
      <c r="J1517" s="3">
        <v>36763</v>
      </c>
      <c r="K1517" s="5">
        <v>1.8212999999999999</v>
      </c>
    </row>
    <row r="1518" spans="10:11">
      <c r="J1518" s="3">
        <v>36766</v>
      </c>
      <c r="K1518" s="5">
        <v>1.8277000000000001</v>
      </c>
    </row>
    <row r="1519" spans="10:11">
      <c r="J1519" s="3">
        <v>36767</v>
      </c>
      <c r="K1519" s="5">
        <v>1.8349</v>
      </c>
    </row>
    <row r="1520" spans="10:11">
      <c r="J1520" s="3">
        <v>36768</v>
      </c>
      <c r="K1520" s="5">
        <v>1.8259000000000001</v>
      </c>
    </row>
    <row r="1521" spans="10:11">
      <c r="J1521" s="3">
        <v>36769</v>
      </c>
      <c r="K1521" s="5">
        <v>1.8233999999999999</v>
      </c>
    </row>
    <row r="1522" spans="10:11">
      <c r="J1522" s="3">
        <v>36770</v>
      </c>
      <c r="K1522" s="5">
        <v>1.8218000000000001</v>
      </c>
    </row>
    <row r="1523" spans="10:11">
      <c r="J1523" s="3">
        <v>36773</v>
      </c>
      <c r="K1523" s="5">
        <v>1.8254999999999999</v>
      </c>
    </row>
    <row r="1524" spans="10:11">
      <c r="J1524" s="3">
        <v>36774</v>
      </c>
      <c r="K1524" s="5">
        <v>1.8293999999999999</v>
      </c>
    </row>
    <row r="1525" spans="10:11">
      <c r="J1525" s="3">
        <v>36775</v>
      </c>
      <c r="K1525" s="5">
        <v>1.8207</v>
      </c>
    </row>
    <row r="1526" spans="10:11">
      <c r="J1526" s="3">
        <v>36777</v>
      </c>
      <c r="K1526" s="5">
        <v>1.8224</v>
      </c>
    </row>
    <row r="1527" spans="10:11">
      <c r="J1527" s="3">
        <v>36780</v>
      </c>
      <c r="K1527" s="5">
        <v>1.8199000000000001</v>
      </c>
    </row>
    <row r="1528" spans="10:11">
      <c r="J1528" s="3">
        <v>36781</v>
      </c>
      <c r="K1528" s="5">
        <v>1.8279000000000001</v>
      </c>
    </row>
    <row r="1529" spans="10:11">
      <c r="J1529" s="3">
        <v>36782</v>
      </c>
      <c r="K1529" s="5">
        <v>1.8320000000000001</v>
      </c>
    </row>
    <row r="1530" spans="10:11">
      <c r="J1530" s="3">
        <v>36783</v>
      </c>
      <c r="K1530" s="5">
        <v>1.8317000000000001</v>
      </c>
    </row>
    <row r="1531" spans="10:11">
      <c r="J1531" s="3">
        <v>36784</v>
      </c>
      <c r="K1531" s="5">
        <v>1.8438000000000001</v>
      </c>
    </row>
    <row r="1532" spans="10:11">
      <c r="J1532" s="3">
        <v>36787</v>
      </c>
      <c r="K1532" s="5">
        <v>1.8557999999999999</v>
      </c>
    </row>
    <row r="1533" spans="10:11">
      <c r="J1533" s="3">
        <v>36788</v>
      </c>
      <c r="K1533" s="5">
        <v>1.8537999999999999</v>
      </c>
    </row>
    <row r="1534" spans="10:11">
      <c r="J1534" s="3">
        <v>36789</v>
      </c>
      <c r="K1534" s="5">
        <v>1.8546</v>
      </c>
    </row>
    <row r="1535" spans="10:11">
      <c r="J1535" s="3">
        <v>36790</v>
      </c>
      <c r="K1535" s="5">
        <v>1.8516999999999999</v>
      </c>
    </row>
    <row r="1536" spans="10:11">
      <c r="J1536" s="3">
        <v>36791</v>
      </c>
      <c r="K1536" s="5">
        <v>1.8593999999999999</v>
      </c>
    </row>
    <row r="1537" spans="10:11">
      <c r="J1537" s="3">
        <v>36794</v>
      </c>
      <c r="K1537" s="5">
        <v>1.8420000000000001</v>
      </c>
    </row>
    <row r="1538" spans="10:11">
      <c r="J1538" s="3">
        <v>36795</v>
      </c>
      <c r="K1538" s="5">
        <v>1.8506</v>
      </c>
    </row>
    <row r="1539" spans="10:11">
      <c r="J1539" s="3">
        <v>36796</v>
      </c>
      <c r="K1539" s="5">
        <v>1.8492</v>
      </c>
    </row>
    <row r="1540" spans="10:11">
      <c r="J1540" s="3">
        <v>36797</v>
      </c>
      <c r="K1540" s="5">
        <v>1.8479000000000001</v>
      </c>
    </row>
    <row r="1541" spans="10:11">
      <c r="J1541" s="3">
        <v>36798</v>
      </c>
      <c r="K1541" s="5">
        <v>1.8436999999999999</v>
      </c>
    </row>
    <row r="1542" spans="10:11">
      <c r="J1542" s="3">
        <v>36801</v>
      </c>
      <c r="K1542" s="5">
        <v>1.8483000000000001</v>
      </c>
    </row>
    <row r="1543" spans="10:11">
      <c r="J1543" s="3">
        <v>36802</v>
      </c>
      <c r="K1543" s="5">
        <v>1.8498000000000001</v>
      </c>
    </row>
    <row r="1544" spans="10:11">
      <c r="J1544" s="3">
        <v>36803</v>
      </c>
      <c r="K1544" s="5">
        <v>1.8529</v>
      </c>
    </row>
    <row r="1545" spans="10:11">
      <c r="J1545" s="3">
        <v>36804</v>
      </c>
      <c r="K1545" s="5">
        <v>1.8501000000000001</v>
      </c>
    </row>
    <row r="1546" spans="10:11">
      <c r="J1546" s="3">
        <v>36805</v>
      </c>
      <c r="K1546" s="5">
        <v>1.8520000000000001</v>
      </c>
    </row>
    <row r="1547" spans="10:11">
      <c r="J1547" s="3">
        <v>36808</v>
      </c>
      <c r="K1547" s="5">
        <v>1.8573999999999999</v>
      </c>
    </row>
    <row r="1548" spans="10:11">
      <c r="J1548" s="3">
        <v>36809</v>
      </c>
      <c r="K1548" s="5">
        <v>1.8541000000000001</v>
      </c>
    </row>
    <row r="1549" spans="10:11">
      <c r="J1549" s="3">
        <v>36810</v>
      </c>
      <c r="K1549" s="5">
        <v>1.8603000000000001</v>
      </c>
    </row>
    <row r="1550" spans="10:11">
      <c r="J1550" s="3">
        <v>36812</v>
      </c>
      <c r="K1550" s="5">
        <v>1.8764000000000001</v>
      </c>
    </row>
    <row r="1551" spans="10:11">
      <c r="J1551" s="3">
        <v>36815</v>
      </c>
      <c r="K1551" s="5">
        <v>1.8704000000000001</v>
      </c>
    </row>
    <row r="1552" spans="10:11">
      <c r="J1552" s="3">
        <v>36816</v>
      </c>
      <c r="K1552" s="5">
        <v>1.8667</v>
      </c>
    </row>
    <row r="1553" spans="10:11">
      <c r="J1553" s="3">
        <v>36817</v>
      </c>
      <c r="K1553" s="5">
        <v>1.8794999999999999</v>
      </c>
    </row>
    <row r="1554" spans="10:11">
      <c r="J1554" s="3">
        <v>36818</v>
      </c>
      <c r="K1554" s="5">
        <v>1.8714</v>
      </c>
    </row>
    <row r="1555" spans="10:11">
      <c r="J1555" s="3">
        <v>36819</v>
      </c>
      <c r="K1555" s="5">
        <v>1.8795999999999999</v>
      </c>
    </row>
    <row r="1556" spans="10:11">
      <c r="J1556" s="3">
        <v>36822</v>
      </c>
      <c r="K1556" s="5">
        <v>1.8917999999999999</v>
      </c>
    </row>
    <row r="1557" spans="10:11">
      <c r="J1557" s="3">
        <v>36823</v>
      </c>
      <c r="K1557" s="5">
        <v>1.8980999999999999</v>
      </c>
    </row>
    <row r="1558" spans="10:11">
      <c r="J1558" s="3">
        <v>36824</v>
      </c>
      <c r="K1558" s="5">
        <v>1.9281999999999999</v>
      </c>
    </row>
    <row r="1559" spans="10:11">
      <c r="J1559" s="3">
        <v>36825</v>
      </c>
      <c r="K1559" s="5">
        <v>1.9339999999999999</v>
      </c>
    </row>
    <row r="1560" spans="10:11">
      <c r="J1560" s="3">
        <v>36826</v>
      </c>
      <c r="K1560" s="5">
        <v>1.9239999999999999</v>
      </c>
    </row>
    <row r="1561" spans="10:11">
      <c r="J1561" s="3">
        <v>36829</v>
      </c>
      <c r="K1561" s="5">
        <v>1.9184000000000001</v>
      </c>
    </row>
    <row r="1562" spans="10:11">
      <c r="J1562" s="3">
        <v>36830</v>
      </c>
      <c r="K1562" s="5">
        <v>1.909</v>
      </c>
    </row>
    <row r="1563" spans="10:11">
      <c r="J1563" s="3">
        <v>36831</v>
      </c>
      <c r="K1563" s="5">
        <v>1.9098999999999999</v>
      </c>
    </row>
    <row r="1564" spans="10:11">
      <c r="J1564" s="3">
        <v>36833</v>
      </c>
      <c r="K1564" s="5">
        <v>1.9286000000000001</v>
      </c>
    </row>
    <row r="1565" spans="10:11">
      <c r="J1565" s="3">
        <v>36836</v>
      </c>
      <c r="K1565" s="5">
        <v>1.9461999999999999</v>
      </c>
    </row>
    <row r="1566" spans="10:11">
      <c r="J1566" s="3">
        <v>36837</v>
      </c>
      <c r="K1566" s="5">
        <v>1.9573</v>
      </c>
    </row>
    <row r="1567" spans="10:11">
      <c r="J1567" s="3">
        <v>36838</v>
      </c>
      <c r="K1567" s="5">
        <v>1.9502999999999999</v>
      </c>
    </row>
    <row r="1568" spans="10:11">
      <c r="J1568" s="3">
        <v>36839</v>
      </c>
      <c r="K1568" s="5">
        <v>1.9682999999999999</v>
      </c>
    </row>
    <row r="1569" spans="10:11">
      <c r="J1569" s="3">
        <v>36840</v>
      </c>
      <c r="K1569" s="5">
        <v>1.9565999999999999</v>
      </c>
    </row>
    <row r="1570" spans="10:11">
      <c r="J1570" s="3">
        <v>36843</v>
      </c>
      <c r="K1570" s="5">
        <v>1.9579</v>
      </c>
    </row>
    <row r="1571" spans="10:11">
      <c r="J1571" s="3">
        <v>36844</v>
      </c>
      <c r="K1571" s="5">
        <v>1.9440999999999999</v>
      </c>
    </row>
    <row r="1572" spans="10:11">
      <c r="J1572" s="3">
        <v>36846</v>
      </c>
      <c r="K1572" s="5">
        <v>1.9486000000000001</v>
      </c>
    </row>
    <row r="1573" spans="10:11">
      <c r="J1573" s="3">
        <v>36847</v>
      </c>
      <c r="K1573" s="5">
        <v>1.9609000000000001</v>
      </c>
    </row>
    <row r="1574" spans="10:11">
      <c r="J1574" s="3">
        <v>36850</v>
      </c>
      <c r="K1574" s="5">
        <v>1.9365000000000001</v>
      </c>
    </row>
    <row r="1575" spans="10:11">
      <c r="J1575" s="3">
        <v>36851</v>
      </c>
      <c r="K1575" s="5">
        <v>1.91</v>
      </c>
    </row>
    <row r="1576" spans="10:11">
      <c r="J1576" s="3">
        <v>36852</v>
      </c>
      <c r="K1576" s="5">
        <v>1.9321999999999999</v>
      </c>
    </row>
    <row r="1577" spans="10:11">
      <c r="J1577" s="3">
        <v>36853</v>
      </c>
      <c r="K1577" s="5">
        <v>1.9413</v>
      </c>
    </row>
    <row r="1578" spans="10:11">
      <c r="J1578" s="3">
        <v>36854</v>
      </c>
      <c r="K1578" s="5">
        <v>1.956</v>
      </c>
    </row>
    <row r="1579" spans="10:11">
      <c r="J1579" s="3">
        <v>36857</v>
      </c>
      <c r="K1579" s="5">
        <v>1.9571000000000001</v>
      </c>
    </row>
    <row r="1580" spans="10:11">
      <c r="J1580" s="3">
        <v>36858</v>
      </c>
      <c r="K1580" s="5">
        <v>1.9778</v>
      </c>
    </row>
    <row r="1581" spans="10:11">
      <c r="J1581" s="3">
        <v>36859</v>
      </c>
      <c r="K1581" s="5">
        <v>1.9610000000000001</v>
      </c>
    </row>
    <row r="1582" spans="10:11">
      <c r="J1582" s="3">
        <v>36860</v>
      </c>
      <c r="K1582" s="5">
        <v>1.9596</v>
      </c>
    </row>
    <row r="1583" spans="10:11">
      <c r="J1583" s="3">
        <v>36861</v>
      </c>
      <c r="K1583" s="5">
        <v>1.9795</v>
      </c>
    </row>
    <row r="1584" spans="10:11">
      <c r="J1584" s="3">
        <v>36865</v>
      </c>
      <c r="K1584" s="5">
        <v>1.9648000000000001</v>
      </c>
    </row>
    <row r="1585" spans="10:11">
      <c r="J1585" s="3">
        <v>36866</v>
      </c>
      <c r="K1585" s="5">
        <v>1.9657</v>
      </c>
    </row>
    <row r="1586" spans="10:11">
      <c r="J1586" s="3">
        <v>36867</v>
      </c>
      <c r="K1586" s="5">
        <v>1.9698</v>
      </c>
    </row>
    <row r="1587" spans="10:11">
      <c r="J1587" s="3">
        <v>36868</v>
      </c>
      <c r="K1587" s="5">
        <v>1.9695</v>
      </c>
    </row>
    <row r="1588" spans="10:11">
      <c r="J1588" s="3">
        <v>36871</v>
      </c>
      <c r="K1588" s="5">
        <v>1.9648000000000001</v>
      </c>
    </row>
    <row r="1589" spans="10:11">
      <c r="J1589" s="3">
        <v>36872</v>
      </c>
      <c r="K1589" s="5">
        <v>1.9676</v>
      </c>
    </row>
    <row r="1590" spans="10:11">
      <c r="J1590" s="3">
        <v>36873</v>
      </c>
      <c r="K1590" s="5">
        <v>1.9622999999999999</v>
      </c>
    </row>
    <row r="1591" spans="10:11">
      <c r="J1591" s="3">
        <v>36874</v>
      </c>
      <c r="K1591" s="5">
        <v>1.9635</v>
      </c>
    </row>
    <row r="1592" spans="10:11">
      <c r="J1592" s="3">
        <v>36875</v>
      </c>
      <c r="K1592" s="5">
        <v>1.9678</v>
      </c>
    </row>
    <row r="1593" spans="10:11">
      <c r="J1593" s="3">
        <v>36878</v>
      </c>
      <c r="K1593" s="5">
        <v>1.9539</v>
      </c>
    </row>
    <row r="1594" spans="10:11">
      <c r="J1594" s="3">
        <v>36879</v>
      </c>
      <c r="K1594" s="5">
        <v>1.9556</v>
      </c>
    </row>
    <row r="1595" spans="10:11">
      <c r="J1595" s="3">
        <v>36880</v>
      </c>
      <c r="K1595" s="5">
        <v>1.9559</v>
      </c>
    </row>
    <row r="1596" spans="10:11">
      <c r="J1596" s="3">
        <v>36881</v>
      </c>
      <c r="K1596" s="5">
        <v>1.9578</v>
      </c>
    </row>
    <row r="1597" spans="10:11">
      <c r="J1597" s="3">
        <v>36882</v>
      </c>
      <c r="K1597" s="5">
        <v>1.9523999999999999</v>
      </c>
    </row>
    <row r="1598" spans="10:11">
      <c r="J1598" s="3">
        <v>36886</v>
      </c>
      <c r="K1598" s="5">
        <v>1.9578</v>
      </c>
    </row>
    <row r="1599" spans="10:11">
      <c r="J1599" s="3">
        <v>36887</v>
      </c>
      <c r="K1599" s="5">
        <v>1.9608000000000001</v>
      </c>
    </row>
    <row r="1600" spans="10:11">
      <c r="J1600" s="3">
        <v>36888</v>
      </c>
      <c r="K1600" s="5">
        <v>1.9554</v>
      </c>
    </row>
    <row r="1601" spans="10:11">
      <c r="J1601" s="3">
        <v>36889</v>
      </c>
      <c r="K1601" s="5">
        <v>1.9554</v>
      </c>
    </row>
    <row r="1602" spans="10:11">
      <c r="J1602" s="3">
        <v>36893</v>
      </c>
      <c r="K1602" s="5">
        <v>1.9383999999999999</v>
      </c>
    </row>
    <row r="1603" spans="10:11">
      <c r="J1603" s="3">
        <v>36894</v>
      </c>
      <c r="K1603" s="5">
        <v>1.9421999999999999</v>
      </c>
    </row>
    <row r="1604" spans="10:11">
      <c r="J1604" s="3">
        <v>36895</v>
      </c>
      <c r="K1604" s="5">
        <v>1.9357</v>
      </c>
    </row>
    <row r="1605" spans="10:11">
      <c r="J1605" s="3">
        <v>36896</v>
      </c>
      <c r="K1605" s="5">
        <v>1.9483999999999999</v>
      </c>
    </row>
    <row r="1606" spans="10:11">
      <c r="J1606" s="3">
        <v>36899</v>
      </c>
      <c r="K1606" s="5">
        <v>1.9523999999999999</v>
      </c>
    </row>
    <row r="1607" spans="10:11">
      <c r="J1607" s="3">
        <v>36900</v>
      </c>
      <c r="K1607" s="5">
        <v>1.9440999999999999</v>
      </c>
    </row>
    <row r="1608" spans="10:11">
      <c r="J1608" s="3">
        <v>36901</v>
      </c>
      <c r="K1608" s="5">
        <v>1.9429000000000001</v>
      </c>
    </row>
    <row r="1609" spans="10:11">
      <c r="J1609" s="3">
        <v>36902</v>
      </c>
      <c r="K1609" s="5">
        <v>1.9462999999999999</v>
      </c>
    </row>
    <row r="1610" spans="10:11">
      <c r="J1610" s="3">
        <v>36903</v>
      </c>
      <c r="K1610" s="5">
        <v>1.9508000000000001</v>
      </c>
    </row>
    <row r="1611" spans="10:11">
      <c r="J1611" s="3">
        <v>36906</v>
      </c>
      <c r="K1611" s="5">
        <v>1.9475</v>
      </c>
    </row>
    <row r="1612" spans="10:11">
      <c r="J1612" s="3">
        <v>36907</v>
      </c>
      <c r="K1612" s="5">
        <v>1.9516</v>
      </c>
    </row>
    <row r="1613" spans="10:11">
      <c r="J1613" s="3">
        <v>36908</v>
      </c>
      <c r="K1613" s="5">
        <v>1.9500999999999999</v>
      </c>
    </row>
    <row r="1614" spans="10:11">
      <c r="J1614" s="3">
        <v>36909</v>
      </c>
      <c r="K1614" s="5">
        <v>1.9527000000000001</v>
      </c>
    </row>
    <row r="1615" spans="10:11">
      <c r="J1615" s="3">
        <v>36910</v>
      </c>
      <c r="K1615" s="5">
        <v>1.9553</v>
      </c>
    </row>
    <row r="1616" spans="10:11">
      <c r="J1616" s="3">
        <v>36913</v>
      </c>
      <c r="K1616" s="5">
        <v>1.9571000000000001</v>
      </c>
    </row>
    <row r="1617" spans="10:11">
      <c r="J1617" s="3">
        <v>36914</v>
      </c>
      <c r="K1617" s="5">
        <v>1.9585999999999999</v>
      </c>
    </row>
    <row r="1618" spans="10:11">
      <c r="J1618" s="3">
        <v>36915</v>
      </c>
      <c r="K1618" s="5">
        <v>1.9595</v>
      </c>
    </row>
    <row r="1619" spans="10:11">
      <c r="J1619" s="3">
        <v>36916</v>
      </c>
      <c r="K1619" s="5">
        <v>1.9738</v>
      </c>
    </row>
    <row r="1620" spans="10:11">
      <c r="J1620" s="3">
        <v>36917</v>
      </c>
      <c r="K1620" s="5">
        <v>1.974</v>
      </c>
    </row>
    <row r="1621" spans="10:11">
      <c r="J1621" s="3">
        <v>36920</v>
      </c>
      <c r="K1621" s="5">
        <v>1.9753000000000001</v>
      </c>
    </row>
    <row r="1622" spans="10:11">
      <c r="J1622" s="3">
        <v>36921</v>
      </c>
      <c r="K1622" s="5">
        <v>1.9714</v>
      </c>
    </row>
    <row r="1623" spans="10:11">
      <c r="J1623" s="3">
        <v>36922</v>
      </c>
      <c r="K1623" s="5">
        <v>1.9711000000000001</v>
      </c>
    </row>
    <row r="1624" spans="10:11">
      <c r="J1624" s="3">
        <v>36923</v>
      </c>
      <c r="K1624" s="5">
        <v>1.9739</v>
      </c>
    </row>
    <row r="1625" spans="10:11">
      <c r="J1625" s="3">
        <v>36924</v>
      </c>
      <c r="K1625" s="5">
        <v>1.9934000000000001</v>
      </c>
    </row>
    <row r="1626" spans="10:11">
      <c r="J1626" s="3">
        <v>36927</v>
      </c>
      <c r="K1626" s="5">
        <v>1.9944999999999999</v>
      </c>
    </row>
    <row r="1627" spans="10:11">
      <c r="J1627" s="3">
        <v>36928</v>
      </c>
      <c r="K1627" s="5">
        <v>1.998</v>
      </c>
    </row>
    <row r="1628" spans="10:11">
      <c r="J1628" s="3">
        <v>36929</v>
      </c>
      <c r="K1628" s="5">
        <v>2.0045000000000002</v>
      </c>
    </row>
    <row r="1629" spans="10:11">
      <c r="J1629" s="3">
        <v>36930</v>
      </c>
      <c r="K1629" s="5">
        <v>1.9959</v>
      </c>
    </row>
    <row r="1630" spans="10:11">
      <c r="J1630" s="3">
        <v>36931</v>
      </c>
      <c r="K1630" s="5">
        <v>1.9883999999999999</v>
      </c>
    </row>
    <row r="1631" spans="10:11">
      <c r="J1631" s="3">
        <v>36934</v>
      </c>
      <c r="K1631" s="5">
        <v>1.9813000000000001</v>
      </c>
    </row>
    <row r="1632" spans="10:11">
      <c r="J1632" s="3">
        <v>36935</v>
      </c>
      <c r="K1632" s="5">
        <v>1.9802999999999999</v>
      </c>
    </row>
    <row r="1633" spans="10:11">
      <c r="J1633" s="3">
        <v>36936</v>
      </c>
      <c r="K1633" s="5">
        <v>1.9894000000000001</v>
      </c>
    </row>
    <row r="1634" spans="10:11">
      <c r="J1634" s="3">
        <v>36937</v>
      </c>
      <c r="K1634" s="5">
        <v>1.9812000000000001</v>
      </c>
    </row>
    <row r="1635" spans="10:11">
      <c r="J1635" s="3">
        <v>36938</v>
      </c>
      <c r="K1635" s="5">
        <v>1.994</v>
      </c>
    </row>
    <row r="1636" spans="10:11">
      <c r="J1636" s="3">
        <v>36941</v>
      </c>
      <c r="K1636" s="5">
        <v>2.0026999999999999</v>
      </c>
    </row>
    <row r="1637" spans="10:11">
      <c r="J1637" s="3">
        <v>36942</v>
      </c>
      <c r="K1637" s="5">
        <v>2.0063</v>
      </c>
    </row>
    <row r="1638" spans="10:11">
      <c r="J1638" s="3">
        <v>36943</v>
      </c>
      <c r="K1638" s="5">
        <v>2.024</v>
      </c>
    </row>
    <row r="1639" spans="10:11">
      <c r="J1639" s="3">
        <v>36944</v>
      </c>
      <c r="K1639" s="5">
        <v>2.0367999999999999</v>
      </c>
    </row>
    <row r="1640" spans="10:11">
      <c r="J1640" s="3">
        <v>36945</v>
      </c>
      <c r="K1640" s="5">
        <v>2.0436000000000001</v>
      </c>
    </row>
    <row r="1641" spans="10:11">
      <c r="J1641" s="3">
        <v>36950</v>
      </c>
      <c r="K1641" s="5">
        <v>2.0451999999999999</v>
      </c>
    </row>
    <row r="1642" spans="10:11">
      <c r="J1642" s="3">
        <v>36951</v>
      </c>
      <c r="K1642" s="5">
        <v>2.0428000000000002</v>
      </c>
    </row>
    <row r="1643" spans="10:11">
      <c r="J1643" s="3">
        <v>36952</v>
      </c>
      <c r="K1643" s="5">
        <v>2.0354999999999999</v>
      </c>
    </row>
    <row r="1644" spans="10:11">
      <c r="J1644" s="3">
        <v>36955</v>
      </c>
      <c r="K1644" s="5">
        <v>2.0232000000000001</v>
      </c>
    </row>
    <row r="1645" spans="10:11">
      <c r="J1645" s="3">
        <v>36956</v>
      </c>
      <c r="K1645" s="5">
        <v>2.0207999999999999</v>
      </c>
    </row>
    <row r="1646" spans="10:11">
      <c r="J1646" s="3">
        <v>36957</v>
      </c>
      <c r="K1646" s="5">
        <v>2.0390999999999999</v>
      </c>
    </row>
    <row r="1647" spans="10:11">
      <c r="J1647" s="3">
        <v>36958</v>
      </c>
      <c r="K1647" s="5">
        <v>2.0385</v>
      </c>
    </row>
    <row r="1648" spans="10:11">
      <c r="J1648" s="3">
        <v>36959</v>
      </c>
      <c r="K1648" s="5">
        <v>2.0598999999999998</v>
      </c>
    </row>
    <row r="1649" spans="10:11">
      <c r="J1649" s="3">
        <v>36962</v>
      </c>
      <c r="K1649" s="5">
        <v>2.0552000000000001</v>
      </c>
    </row>
    <row r="1650" spans="10:11">
      <c r="J1650" s="3">
        <v>36963</v>
      </c>
      <c r="K1650" s="5">
        <v>2.0621999999999998</v>
      </c>
    </row>
    <row r="1651" spans="10:11">
      <c r="J1651" s="3">
        <v>36964</v>
      </c>
      <c r="K1651" s="5">
        <v>2.0762999999999998</v>
      </c>
    </row>
    <row r="1652" spans="10:11">
      <c r="J1652" s="3">
        <v>36965</v>
      </c>
      <c r="K1652" s="5">
        <v>2.0863999999999998</v>
      </c>
    </row>
    <row r="1653" spans="10:11">
      <c r="J1653" s="3">
        <v>36966</v>
      </c>
      <c r="K1653" s="5">
        <v>2.1217000000000001</v>
      </c>
    </row>
    <row r="1654" spans="10:11">
      <c r="J1654" s="3">
        <v>36969</v>
      </c>
      <c r="K1654" s="5">
        <v>2.1276999999999999</v>
      </c>
    </row>
    <row r="1655" spans="10:11">
      <c r="J1655" s="3">
        <v>36970</v>
      </c>
      <c r="K1655" s="5">
        <v>2.0929000000000002</v>
      </c>
    </row>
    <row r="1656" spans="10:11">
      <c r="J1656" s="3">
        <v>36971</v>
      </c>
      <c r="K1656" s="5">
        <v>2.1</v>
      </c>
    </row>
    <row r="1657" spans="10:11">
      <c r="J1657" s="3">
        <v>36972</v>
      </c>
      <c r="K1657" s="5">
        <v>2.1419000000000001</v>
      </c>
    </row>
    <row r="1658" spans="10:11">
      <c r="J1658" s="3">
        <v>36973</v>
      </c>
      <c r="K1658" s="5">
        <v>2.1585999999999999</v>
      </c>
    </row>
    <row r="1659" spans="10:11">
      <c r="J1659" s="3">
        <v>36976</v>
      </c>
      <c r="K1659" s="5">
        <v>2.1373000000000002</v>
      </c>
    </row>
    <row r="1660" spans="10:11">
      <c r="J1660" s="3">
        <v>36977</v>
      </c>
      <c r="K1660" s="5">
        <v>2.1236000000000002</v>
      </c>
    </row>
    <row r="1661" spans="10:11">
      <c r="J1661" s="3">
        <v>36978</v>
      </c>
      <c r="K1661" s="5">
        <v>2.117</v>
      </c>
    </row>
    <row r="1662" spans="10:11">
      <c r="J1662" s="3">
        <v>36979</v>
      </c>
      <c r="K1662" s="5">
        <v>2.1368999999999998</v>
      </c>
    </row>
    <row r="1663" spans="10:11">
      <c r="J1663" s="3">
        <v>36980</v>
      </c>
      <c r="K1663" s="5">
        <v>2.1616</v>
      </c>
    </row>
    <row r="1664" spans="10:11">
      <c r="J1664" s="3">
        <v>36983</v>
      </c>
      <c r="K1664" s="5">
        <v>2.1583999999999999</v>
      </c>
    </row>
    <row r="1665" spans="10:11">
      <c r="J1665" s="3">
        <v>36984</v>
      </c>
      <c r="K1665" s="5">
        <v>2.1732</v>
      </c>
    </row>
    <row r="1666" spans="10:11">
      <c r="J1666" s="3">
        <v>36985</v>
      </c>
      <c r="K1666" s="5">
        <v>2.1631999999999998</v>
      </c>
    </row>
    <row r="1667" spans="10:11">
      <c r="J1667" s="3">
        <v>36986</v>
      </c>
      <c r="K1667" s="5">
        <v>2.1589</v>
      </c>
    </row>
    <row r="1668" spans="10:11">
      <c r="J1668" s="3">
        <v>36987</v>
      </c>
      <c r="K1668" s="5">
        <v>2.1520999999999999</v>
      </c>
    </row>
    <row r="1669" spans="10:11">
      <c r="J1669" s="3">
        <v>36990</v>
      </c>
      <c r="K1669" s="5">
        <v>2.1642000000000001</v>
      </c>
    </row>
    <row r="1670" spans="10:11">
      <c r="J1670" s="3">
        <v>36991</v>
      </c>
      <c r="K1670" s="5">
        <v>2.1421999999999999</v>
      </c>
    </row>
    <row r="1671" spans="10:11">
      <c r="J1671" s="3">
        <v>36992</v>
      </c>
      <c r="K1671" s="5">
        <v>2.1383999999999999</v>
      </c>
    </row>
    <row r="1672" spans="10:11">
      <c r="J1672" s="3">
        <v>36993</v>
      </c>
      <c r="K1672" s="5">
        <v>2.1573000000000002</v>
      </c>
    </row>
    <row r="1673" spans="10:11">
      <c r="J1673" s="3">
        <v>36997</v>
      </c>
      <c r="K1673" s="5">
        <v>2.1825000000000001</v>
      </c>
    </row>
    <row r="1674" spans="10:11">
      <c r="J1674" s="3">
        <v>36998</v>
      </c>
      <c r="K1674" s="5">
        <v>2.1888000000000001</v>
      </c>
    </row>
    <row r="1675" spans="10:11">
      <c r="J1675" s="3">
        <v>36999</v>
      </c>
      <c r="K1675" s="5">
        <v>2.1749999999999998</v>
      </c>
    </row>
    <row r="1676" spans="10:11">
      <c r="J1676" s="3">
        <v>37000</v>
      </c>
      <c r="K1676" s="5">
        <v>2.1882000000000001</v>
      </c>
    </row>
    <row r="1677" spans="10:11">
      <c r="J1677" s="3">
        <v>37001</v>
      </c>
      <c r="K1677" s="5">
        <v>2.2364000000000002</v>
      </c>
    </row>
    <row r="1678" spans="10:11">
      <c r="J1678" s="3">
        <v>37004</v>
      </c>
      <c r="K1678" s="5">
        <v>2.2585999999999999</v>
      </c>
    </row>
    <row r="1679" spans="10:11">
      <c r="J1679" s="3">
        <v>37005</v>
      </c>
      <c r="K1679" s="5">
        <v>2.2538</v>
      </c>
    </row>
    <row r="1680" spans="10:11">
      <c r="J1680" s="3">
        <v>37006</v>
      </c>
      <c r="K1680" s="5">
        <v>2.3010999999999999</v>
      </c>
    </row>
    <row r="1681" spans="10:11">
      <c r="J1681" s="3">
        <v>37007</v>
      </c>
      <c r="K1681" s="5">
        <v>2.2541000000000002</v>
      </c>
    </row>
    <row r="1682" spans="10:11">
      <c r="J1682" s="3">
        <v>37008</v>
      </c>
      <c r="K1682" s="5">
        <v>2.218</v>
      </c>
    </row>
    <row r="1683" spans="10:11">
      <c r="J1683" s="3">
        <v>37011</v>
      </c>
      <c r="K1683" s="5">
        <v>2.1846999999999999</v>
      </c>
    </row>
    <row r="1684" spans="10:11">
      <c r="J1684" s="3">
        <v>37013</v>
      </c>
      <c r="K1684" s="5">
        <v>2.2239</v>
      </c>
    </row>
    <row r="1685" spans="10:11">
      <c r="J1685" s="3">
        <v>37014</v>
      </c>
      <c r="K1685" s="5">
        <v>2.2353000000000001</v>
      </c>
    </row>
    <row r="1686" spans="10:11">
      <c r="J1686" s="3">
        <v>37015</v>
      </c>
      <c r="K1686" s="5">
        <v>2.2187000000000001</v>
      </c>
    </row>
    <row r="1687" spans="10:11">
      <c r="J1687" s="3">
        <v>37018</v>
      </c>
      <c r="K1687" s="5">
        <v>2.1957</v>
      </c>
    </row>
    <row r="1688" spans="10:11">
      <c r="J1688" s="3">
        <v>37019</v>
      </c>
      <c r="K1688" s="5">
        <v>2.2319</v>
      </c>
    </row>
    <row r="1689" spans="10:11">
      <c r="J1689" s="3">
        <v>37020</v>
      </c>
      <c r="K1689" s="5">
        <v>2.2585999999999999</v>
      </c>
    </row>
    <row r="1690" spans="10:11">
      <c r="J1690" s="3">
        <v>37021</v>
      </c>
      <c r="K1690" s="5">
        <v>2.2694999999999999</v>
      </c>
    </row>
    <row r="1691" spans="10:11">
      <c r="J1691" s="3">
        <v>37022</v>
      </c>
      <c r="K1691" s="5">
        <v>2.2863000000000002</v>
      </c>
    </row>
    <row r="1692" spans="10:11">
      <c r="J1692" s="3">
        <v>37025</v>
      </c>
      <c r="K1692" s="5">
        <v>2.3062</v>
      </c>
    </row>
    <row r="1693" spans="10:11">
      <c r="J1693" s="3">
        <v>37026</v>
      </c>
      <c r="K1693" s="5">
        <v>2.3384</v>
      </c>
    </row>
    <row r="1694" spans="10:11">
      <c r="J1694" s="3">
        <v>37027</v>
      </c>
      <c r="K1694" s="5">
        <v>2.3218999999999999</v>
      </c>
    </row>
    <row r="1695" spans="10:11">
      <c r="J1695" s="3">
        <v>37028</v>
      </c>
      <c r="K1695" s="5">
        <v>2.3035999999999999</v>
      </c>
    </row>
    <row r="1696" spans="10:11">
      <c r="J1696" s="3">
        <v>37029</v>
      </c>
      <c r="K1696" s="5">
        <v>2.2940999999999998</v>
      </c>
    </row>
    <row r="1697" spans="10:11">
      <c r="J1697" s="3">
        <v>37032</v>
      </c>
      <c r="K1697" s="5">
        <v>2.3277999999999999</v>
      </c>
    </row>
    <row r="1698" spans="10:11">
      <c r="J1698" s="3">
        <v>37033</v>
      </c>
      <c r="K1698" s="5">
        <v>2.3062</v>
      </c>
    </row>
    <row r="1699" spans="10:11">
      <c r="J1699" s="3">
        <v>37034</v>
      </c>
      <c r="K1699" s="5">
        <v>2.3426999999999998</v>
      </c>
    </row>
    <row r="1700" spans="10:11">
      <c r="J1700" s="3">
        <v>37035</v>
      </c>
      <c r="K1700" s="5">
        <v>2.3494000000000002</v>
      </c>
    </row>
    <row r="1701" spans="10:11">
      <c r="J1701" s="3">
        <v>37036</v>
      </c>
      <c r="K1701" s="5">
        <v>2.3403</v>
      </c>
    </row>
    <row r="1702" spans="10:11">
      <c r="J1702" s="3">
        <v>37039</v>
      </c>
      <c r="K1702" s="5">
        <v>2.3264999999999998</v>
      </c>
    </row>
    <row r="1703" spans="10:11">
      <c r="J1703" s="3">
        <v>37040</v>
      </c>
      <c r="K1703" s="5">
        <v>2.3424999999999998</v>
      </c>
    </row>
    <row r="1704" spans="10:11">
      <c r="J1704" s="3">
        <v>37041</v>
      </c>
      <c r="K1704" s="5">
        <v>2.3595999999999999</v>
      </c>
    </row>
    <row r="1705" spans="10:11">
      <c r="J1705" s="3">
        <v>37042</v>
      </c>
      <c r="K1705" s="5">
        <v>2.36</v>
      </c>
    </row>
    <row r="1706" spans="10:11">
      <c r="J1706" s="3">
        <v>37043</v>
      </c>
      <c r="K1706" s="5">
        <v>2.3833000000000002</v>
      </c>
    </row>
    <row r="1707" spans="10:11">
      <c r="J1707" s="3">
        <v>37046</v>
      </c>
      <c r="K1707" s="5">
        <v>2.3628999999999998</v>
      </c>
    </row>
    <row r="1708" spans="10:11">
      <c r="J1708" s="3">
        <v>37047</v>
      </c>
      <c r="K1708" s="5">
        <v>2.3895</v>
      </c>
    </row>
    <row r="1709" spans="10:11">
      <c r="J1709" s="3">
        <v>37048</v>
      </c>
      <c r="K1709" s="5">
        <v>2.3820999999999999</v>
      </c>
    </row>
    <row r="1710" spans="10:11">
      <c r="J1710" s="3">
        <v>37049</v>
      </c>
      <c r="K1710" s="5">
        <v>2.3879999999999999</v>
      </c>
    </row>
    <row r="1711" spans="10:11">
      <c r="J1711" s="3">
        <v>37050</v>
      </c>
      <c r="K1711" s="5">
        <v>2.3618999999999999</v>
      </c>
    </row>
    <row r="1712" spans="10:11">
      <c r="J1712" s="3">
        <v>37053</v>
      </c>
      <c r="K1712" s="5">
        <v>2.3721999999999999</v>
      </c>
    </row>
    <row r="1713" spans="10:11">
      <c r="J1713" s="3">
        <v>37054</v>
      </c>
      <c r="K1713" s="5">
        <v>2.3906000000000001</v>
      </c>
    </row>
    <row r="1714" spans="10:11">
      <c r="J1714" s="3">
        <v>37055</v>
      </c>
      <c r="K1714" s="5">
        <v>2.4077999999999999</v>
      </c>
    </row>
    <row r="1715" spans="10:11">
      <c r="J1715" s="3">
        <v>37057</v>
      </c>
      <c r="K1715" s="5">
        <v>2.4079000000000002</v>
      </c>
    </row>
    <row r="1716" spans="10:11">
      <c r="J1716" s="3">
        <v>37060</v>
      </c>
      <c r="K1716" s="5">
        <v>2.4586000000000001</v>
      </c>
    </row>
    <row r="1717" spans="10:11">
      <c r="J1717" s="3">
        <v>37061</v>
      </c>
      <c r="K1717" s="5">
        <v>2.4674999999999998</v>
      </c>
    </row>
    <row r="1718" spans="10:11">
      <c r="J1718" s="3">
        <v>37062</v>
      </c>
      <c r="K1718" s="5">
        <v>2.4748000000000001</v>
      </c>
    </row>
    <row r="1719" spans="10:11">
      <c r="J1719" s="3">
        <v>37063</v>
      </c>
      <c r="K1719" s="5">
        <v>2.4054000000000002</v>
      </c>
    </row>
    <row r="1720" spans="10:11">
      <c r="J1720" s="3">
        <v>37064</v>
      </c>
      <c r="K1720" s="5">
        <v>2.3296000000000001</v>
      </c>
    </row>
    <row r="1721" spans="10:11">
      <c r="J1721" s="3">
        <v>37067</v>
      </c>
      <c r="K1721" s="5">
        <v>2.2997000000000001</v>
      </c>
    </row>
    <row r="1722" spans="10:11">
      <c r="J1722" s="3">
        <v>37068</v>
      </c>
      <c r="K1722" s="5">
        <v>2.3138999999999998</v>
      </c>
    </row>
    <row r="1723" spans="10:11">
      <c r="J1723" s="3">
        <v>37069</v>
      </c>
      <c r="K1723" s="5">
        <v>2.3235999999999999</v>
      </c>
    </row>
    <row r="1724" spans="10:11">
      <c r="J1724" s="3">
        <v>37070</v>
      </c>
      <c r="K1724" s="5">
        <v>2.2923</v>
      </c>
    </row>
    <row r="1725" spans="10:11">
      <c r="J1725" s="3">
        <v>37071</v>
      </c>
      <c r="K1725" s="5">
        <v>2.3048999999999999</v>
      </c>
    </row>
    <row r="1726" spans="10:11">
      <c r="J1726" s="3">
        <v>37074</v>
      </c>
      <c r="K1726" s="5">
        <v>2.3249</v>
      </c>
    </row>
    <row r="1727" spans="10:11">
      <c r="J1727" s="3">
        <v>37075</v>
      </c>
      <c r="K1727" s="5">
        <v>2.3395000000000001</v>
      </c>
    </row>
    <row r="1728" spans="10:11">
      <c r="J1728" s="3">
        <v>37076</v>
      </c>
      <c r="K1728" s="5">
        <v>2.3906999999999998</v>
      </c>
    </row>
    <row r="1729" spans="10:11">
      <c r="J1729" s="3">
        <v>37077</v>
      </c>
      <c r="K1729" s="5">
        <v>2.4113000000000002</v>
      </c>
    </row>
    <row r="1730" spans="10:11">
      <c r="J1730" s="3">
        <v>37078</v>
      </c>
      <c r="K1730" s="5">
        <v>2.4943</v>
      </c>
    </row>
    <row r="1731" spans="10:11">
      <c r="J1731" s="3">
        <v>37081</v>
      </c>
      <c r="K1731" s="5">
        <v>2.4548000000000001</v>
      </c>
    </row>
    <row r="1732" spans="10:11">
      <c r="J1732" s="3">
        <v>37082</v>
      </c>
      <c r="K1732" s="5">
        <v>2.4802</v>
      </c>
    </row>
    <row r="1733" spans="10:11">
      <c r="J1733" s="3">
        <v>37083</v>
      </c>
      <c r="K1733" s="5">
        <v>2.5299999999999998</v>
      </c>
    </row>
    <row r="1734" spans="10:11">
      <c r="J1734" s="3">
        <v>37084</v>
      </c>
      <c r="K1734" s="5">
        <v>2.5423</v>
      </c>
    </row>
    <row r="1735" spans="10:11">
      <c r="J1735" s="3">
        <v>37085</v>
      </c>
      <c r="K1735" s="5">
        <v>2.5537999999999998</v>
      </c>
    </row>
    <row r="1736" spans="10:11">
      <c r="J1736" s="3">
        <v>37088</v>
      </c>
      <c r="K1736" s="5">
        <v>2.5979000000000001</v>
      </c>
    </row>
    <row r="1737" spans="10:11">
      <c r="J1737" s="3">
        <v>37089</v>
      </c>
      <c r="K1737" s="5">
        <v>2.5304000000000002</v>
      </c>
    </row>
    <row r="1738" spans="10:11">
      <c r="J1738" s="3">
        <v>37090</v>
      </c>
      <c r="K1738" s="5">
        <v>2.4695999999999998</v>
      </c>
    </row>
    <row r="1739" spans="10:11">
      <c r="J1739" s="3">
        <v>37091</v>
      </c>
      <c r="K1739" s="5">
        <v>2.5032000000000001</v>
      </c>
    </row>
    <row r="1740" spans="10:11">
      <c r="J1740" s="3">
        <v>37092</v>
      </c>
      <c r="K1740" s="5">
        <v>2.4573</v>
      </c>
    </row>
    <row r="1741" spans="10:11">
      <c r="J1741" s="3">
        <v>37095</v>
      </c>
      <c r="K1741" s="5">
        <v>2.4108000000000001</v>
      </c>
    </row>
    <row r="1742" spans="10:11">
      <c r="J1742" s="3">
        <v>37096</v>
      </c>
      <c r="K1742" s="5">
        <v>2.4247000000000001</v>
      </c>
    </row>
    <row r="1743" spans="10:11">
      <c r="J1743" s="3">
        <v>37097</v>
      </c>
      <c r="K1743" s="5">
        <v>2.4914000000000001</v>
      </c>
    </row>
    <row r="1744" spans="10:11">
      <c r="J1744" s="3">
        <v>37098</v>
      </c>
      <c r="K1744" s="5">
        <v>2.4836</v>
      </c>
    </row>
    <row r="1745" spans="10:11">
      <c r="J1745" s="3">
        <v>37099</v>
      </c>
      <c r="K1745" s="5">
        <v>2.4971000000000001</v>
      </c>
    </row>
    <row r="1746" spans="10:11">
      <c r="J1746" s="3">
        <v>37102</v>
      </c>
      <c r="K1746" s="5">
        <v>2.4333999999999998</v>
      </c>
    </row>
    <row r="1747" spans="10:11">
      <c r="J1747" s="3">
        <v>37103</v>
      </c>
      <c r="K1747" s="5">
        <v>2.4312999999999998</v>
      </c>
    </row>
    <row r="1748" spans="10:11">
      <c r="J1748" s="3">
        <v>37104</v>
      </c>
      <c r="K1748" s="5">
        <v>2.4935</v>
      </c>
    </row>
    <row r="1749" spans="10:11">
      <c r="J1749" s="3">
        <v>37105</v>
      </c>
      <c r="K1749" s="5">
        <v>2.4876999999999998</v>
      </c>
    </row>
    <row r="1750" spans="10:11">
      <c r="J1750" s="3">
        <v>37106</v>
      </c>
      <c r="K1750" s="5">
        <v>2.4883999999999999</v>
      </c>
    </row>
    <row r="1751" spans="10:11">
      <c r="J1751" s="3">
        <v>37109</v>
      </c>
      <c r="K1751" s="5">
        <v>2.4689999999999999</v>
      </c>
    </row>
    <row r="1752" spans="10:11">
      <c r="J1752" s="3">
        <v>37110</v>
      </c>
      <c r="K1752" s="5">
        <v>2.4462999999999999</v>
      </c>
    </row>
    <row r="1753" spans="10:11">
      <c r="J1753" s="3">
        <v>37111</v>
      </c>
      <c r="K1753" s="5">
        <v>2.4704000000000002</v>
      </c>
    </row>
    <row r="1754" spans="10:11">
      <c r="J1754" s="3">
        <v>37112</v>
      </c>
      <c r="K1754" s="5">
        <v>2.4668000000000001</v>
      </c>
    </row>
    <row r="1755" spans="10:11">
      <c r="J1755" s="3">
        <v>37113</v>
      </c>
      <c r="K1755" s="5">
        <v>2.4842</v>
      </c>
    </row>
    <row r="1756" spans="10:11">
      <c r="J1756" s="3">
        <v>37116</v>
      </c>
      <c r="K1756" s="5">
        <v>2.4910000000000001</v>
      </c>
    </row>
    <row r="1757" spans="10:11">
      <c r="J1757" s="3">
        <v>37117</v>
      </c>
      <c r="K1757" s="5">
        <v>2.5139999999999998</v>
      </c>
    </row>
    <row r="1758" spans="10:11">
      <c r="J1758" s="3">
        <v>37118</v>
      </c>
      <c r="K1758" s="5">
        <v>2.5005000000000002</v>
      </c>
    </row>
    <row r="1759" spans="10:11">
      <c r="J1759" s="3">
        <v>37119</v>
      </c>
      <c r="K1759" s="5">
        <v>2.4876999999999998</v>
      </c>
    </row>
    <row r="1760" spans="10:11">
      <c r="J1760" s="3">
        <v>37120</v>
      </c>
      <c r="K1760" s="5">
        <v>2.5234999999999999</v>
      </c>
    </row>
    <row r="1761" spans="10:11">
      <c r="J1761" s="3">
        <v>37123</v>
      </c>
      <c r="K1761" s="5">
        <v>2.5306000000000002</v>
      </c>
    </row>
    <row r="1762" spans="10:11">
      <c r="J1762" s="3">
        <v>37124</v>
      </c>
      <c r="K1762" s="5">
        <v>2.5352999999999999</v>
      </c>
    </row>
    <row r="1763" spans="10:11">
      <c r="J1763" s="3">
        <v>37125</v>
      </c>
      <c r="K1763" s="5">
        <v>2.5230999999999999</v>
      </c>
    </row>
    <row r="1764" spans="10:11">
      <c r="J1764" s="3">
        <v>37126</v>
      </c>
      <c r="K1764" s="5">
        <v>2.5282</v>
      </c>
    </row>
    <row r="1765" spans="10:11">
      <c r="J1765" s="3">
        <v>37127</v>
      </c>
      <c r="K1765" s="5">
        <v>2.5499999999999998</v>
      </c>
    </row>
    <row r="1766" spans="10:11">
      <c r="J1766" s="3">
        <v>37130</v>
      </c>
      <c r="K1766" s="5">
        <v>2.5585</v>
      </c>
    </row>
    <row r="1767" spans="10:11">
      <c r="J1767" s="3">
        <v>37131</v>
      </c>
      <c r="K1767" s="5">
        <v>2.5564</v>
      </c>
    </row>
    <row r="1768" spans="10:11">
      <c r="J1768" s="3">
        <v>37132</v>
      </c>
      <c r="K1768" s="5">
        <v>2.5474000000000001</v>
      </c>
    </row>
    <row r="1769" spans="10:11">
      <c r="J1769" s="3">
        <v>37133</v>
      </c>
      <c r="K1769" s="5">
        <v>2.5402999999999998</v>
      </c>
    </row>
    <row r="1770" spans="10:11">
      <c r="J1770" s="3">
        <v>37134</v>
      </c>
      <c r="K1770" s="5">
        <v>2.5516999999999999</v>
      </c>
    </row>
    <row r="1771" spans="10:11">
      <c r="J1771" s="3">
        <v>37137</v>
      </c>
      <c r="K1771" s="5">
        <v>2.5590000000000002</v>
      </c>
    </row>
    <row r="1772" spans="10:11">
      <c r="J1772" s="3">
        <v>37138</v>
      </c>
      <c r="K1772" s="5">
        <v>2.5642</v>
      </c>
    </row>
    <row r="1773" spans="10:11">
      <c r="J1773" s="3">
        <v>37139</v>
      </c>
      <c r="K1773" s="5">
        <v>2.5669</v>
      </c>
    </row>
    <row r="1774" spans="10:11">
      <c r="J1774" s="3">
        <v>37140</v>
      </c>
      <c r="K1774" s="5">
        <v>2.5926999999999998</v>
      </c>
    </row>
    <row r="1775" spans="10:11">
      <c r="J1775" s="3">
        <v>37144</v>
      </c>
      <c r="K1775" s="5">
        <v>2.6013000000000002</v>
      </c>
    </row>
    <row r="1776" spans="10:11">
      <c r="J1776" s="3">
        <v>37145</v>
      </c>
      <c r="K1776" s="5">
        <v>2.6368999999999998</v>
      </c>
    </row>
    <row r="1777" spans="10:11">
      <c r="J1777" s="3">
        <v>37146</v>
      </c>
      <c r="K1777" s="5">
        <v>2.6741000000000001</v>
      </c>
    </row>
    <row r="1778" spans="10:11">
      <c r="J1778" s="3">
        <v>37147</v>
      </c>
      <c r="K1778" s="5">
        <v>2.6978</v>
      </c>
    </row>
    <row r="1779" spans="10:11">
      <c r="J1779" s="3">
        <v>37148</v>
      </c>
      <c r="K1779" s="5">
        <v>2.6985999999999999</v>
      </c>
    </row>
    <row r="1780" spans="10:11">
      <c r="J1780" s="3">
        <v>37151</v>
      </c>
      <c r="K1780" s="5">
        <v>2.6678999999999999</v>
      </c>
    </row>
    <row r="1781" spans="10:11">
      <c r="J1781" s="3">
        <v>37152</v>
      </c>
      <c r="K1781" s="5">
        <v>2.6793</v>
      </c>
    </row>
    <row r="1782" spans="10:11">
      <c r="J1782" s="3">
        <v>37153</v>
      </c>
      <c r="K1782" s="5">
        <v>2.7065000000000001</v>
      </c>
    </row>
    <row r="1783" spans="10:11">
      <c r="J1783" s="3">
        <v>37154</v>
      </c>
      <c r="K1783" s="5">
        <v>2.7322000000000002</v>
      </c>
    </row>
    <row r="1784" spans="10:11">
      <c r="J1784" s="3">
        <v>37155</v>
      </c>
      <c r="K1784" s="5">
        <v>2.8007</v>
      </c>
    </row>
    <row r="1785" spans="10:11">
      <c r="J1785" s="3">
        <v>37158</v>
      </c>
      <c r="K1785" s="5">
        <v>2.7675000000000001</v>
      </c>
    </row>
    <row r="1786" spans="10:11">
      <c r="J1786" s="3">
        <v>37159</v>
      </c>
      <c r="K1786" s="5">
        <v>2.7132999999999998</v>
      </c>
    </row>
    <row r="1787" spans="10:11">
      <c r="J1787" s="3">
        <v>37160</v>
      </c>
      <c r="K1787" s="5">
        <v>2.7263999999999999</v>
      </c>
    </row>
    <row r="1788" spans="10:11">
      <c r="J1788" s="3">
        <v>37161</v>
      </c>
      <c r="K1788" s="5">
        <v>2.7050000000000001</v>
      </c>
    </row>
    <row r="1789" spans="10:11">
      <c r="J1789" s="3">
        <v>37162</v>
      </c>
      <c r="K1789" s="5">
        <v>2.6713</v>
      </c>
    </row>
    <row r="1790" spans="10:11">
      <c r="J1790" s="3">
        <v>37165</v>
      </c>
      <c r="K1790" s="5">
        <v>2.6865999999999999</v>
      </c>
    </row>
    <row r="1791" spans="10:11">
      <c r="J1791" s="3">
        <v>37166</v>
      </c>
      <c r="K1791" s="5">
        <v>2.7038000000000002</v>
      </c>
    </row>
    <row r="1792" spans="10:11">
      <c r="J1792" s="3">
        <v>37172</v>
      </c>
      <c r="K1792" s="5">
        <v>2.7827999999999999</v>
      </c>
    </row>
    <row r="1793" spans="10:11">
      <c r="J1793" s="3">
        <v>37173</v>
      </c>
      <c r="K1793" s="5">
        <v>2.7797000000000001</v>
      </c>
    </row>
    <row r="1794" spans="10:11">
      <c r="J1794" s="3">
        <v>37174</v>
      </c>
      <c r="K1794" s="5">
        <v>2.7784</v>
      </c>
    </row>
    <row r="1795" spans="10:11">
      <c r="J1795" s="3">
        <v>37175</v>
      </c>
      <c r="K1795" s="5">
        <v>2.7799</v>
      </c>
    </row>
    <row r="1796" spans="10:11">
      <c r="J1796" s="3">
        <v>37179</v>
      </c>
      <c r="K1796" s="5">
        <v>2.7789999999999999</v>
      </c>
    </row>
    <row r="1797" spans="10:11">
      <c r="J1797" s="3">
        <v>37180</v>
      </c>
      <c r="K1797" s="5">
        <v>2.7526000000000002</v>
      </c>
    </row>
    <row r="1798" spans="10:11">
      <c r="J1798" s="3">
        <v>37181</v>
      </c>
      <c r="K1798" s="5">
        <v>2.7210999999999999</v>
      </c>
    </row>
    <row r="1799" spans="10:11">
      <c r="J1799" s="3">
        <v>37182</v>
      </c>
      <c r="K1799" s="5">
        <v>2.7425000000000002</v>
      </c>
    </row>
    <row r="1800" spans="10:11">
      <c r="J1800" s="3">
        <v>37183</v>
      </c>
      <c r="K1800" s="5">
        <v>2.7572999999999999</v>
      </c>
    </row>
    <row r="1801" spans="10:11">
      <c r="J1801" s="3">
        <v>37186</v>
      </c>
      <c r="K1801" s="5">
        <v>2.7176</v>
      </c>
    </row>
    <row r="1802" spans="10:11">
      <c r="J1802" s="3">
        <v>37187</v>
      </c>
      <c r="K1802" s="5">
        <v>2.7168000000000001</v>
      </c>
    </row>
    <row r="1803" spans="10:11">
      <c r="J1803" s="3">
        <v>37188</v>
      </c>
      <c r="K1803" s="5">
        <v>2.7437999999999998</v>
      </c>
    </row>
    <row r="1804" spans="10:11">
      <c r="J1804" s="3">
        <v>37189</v>
      </c>
      <c r="K1804" s="5">
        <v>2.7427999999999999</v>
      </c>
    </row>
    <row r="1805" spans="10:11">
      <c r="J1805" s="3">
        <v>37190</v>
      </c>
      <c r="K1805" s="5">
        <v>2.7290000000000001</v>
      </c>
    </row>
    <row r="1806" spans="10:11">
      <c r="J1806" s="3">
        <v>37193</v>
      </c>
      <c r="K1806" s="5">
        <v>2.7246000000000001</v>
      </c>
    </row>
    <row r="1807" spans="10:11">
      <c r="J1807" s="3">
        <v>37194</v>
      </c>
      <c r="K1807" s="5">
        <v>2.7231000000000001</v>
      </c>
    </row>
    <row r="1808" spans="10:11">
      <c r="J1808" s="3">
        <v>37195</v>
      </c>
      <c r="K1808" s="5">
        <v>2.7071000000000001</v>
      </c>
    </row>
    <row r="1809" spans="10:11">
      <c r="J1809" s="3">
        <v>37196</v>
      </c>
      <c r="K1809" s="5">
        <v>2.6819999999999999</v>
      </c>
    </row>
    <row r="1810" spans="10:11">
      <c r="J1810" s="3">
        <v>37200</v>
      </c>
      <c r="K1810" s="5">
        <v>2.6208</v>
      </c>
    </row>
    <row r="1811" spans="10:11">
      <c r="J1811" s="3">
        <v>37201</v>
      </c>
      <c r="K1811" s="5">
        <v>2.6002999999999998</v>
      </c>
    </row>
    <row r="1812" spans="10:11">
      <c r="J1812" s="3">
        <v>37202</v>
      </c>
      <c r="K1812" s="5">
        <v>2.6055000000000001</v>
      </c>
    </row>
    <row r="1813" spans="10:11">
      <c r="J1813" s="3">
        <v>37203</v>
      </c>
      <c r="K1813" s="5">
        <v>2.5571000000000002</v>
      </c>
    </row>
    <row r="1814" spans="10:11">
      <c r="J1814" s="3">
        <v>37204</v>
      </c>
      <c r="K1814" s="5">
        <v>2.5347</v>
      </c>
    </row>
    <row r="1815" spans="10:11">
      <c r="J1815" s="3">
        <v>37207</v>
      </c>
      <c r="K1815" s="5">
        <v>2.5501999999999998</v>
      </c>
    </row>
    <row r="1816" spans="10:11">
      <c r="J1816" s="3">
        <v>37208</v>
      </c>
      <c r="K1816" s="5">
        <v>2.5270000000000001</v>
      </c>
    </row>
    <row r="1817" spans="10:11">
      <c r="J1817" s="3">
        <v>37209</v>
      </c>
      <c r="K1817" s="5">
        <v>2.5299</v>
      </c>
    </row>
    <row r="1818" spans="10:11">
      <c r="J1818" s="3">
        <v>37211</v>
      </c>
      <c r="K1818" s="5">
        <v>2.5392000000000001</v>
      </c>
    </row>
    <row r="1819" spans="10:11">
      <c r="J1819" s="3">
        <v>37214</v>
      </c>
      <c r="K1819" s="5">
        <v>2.5154000000000001</v>
      </c>
    </row>
    <row r="1820" spans="10:11">
      <c r="J1820" s="3">
        <v>37215</v>
      </c>
      <c r="K1820" s="5">
        <v>2.5350000000000001</v>
      </c>
    </row>
    <row r="1821" spans="10:11">
      <c r="J1821" s="3">
        <v>37216</v>
      </c>
      <c r="K1821" s="5">
        <v>2.5411000000000001</v>
      </c>
    </row>
    <row r="1822" spans="10:11">
      <c r="J1822" s="3">
        <v>37217</v>
      </c>
      <c r="K1822" s="5">
        <v>2.5383</v>
      </c>
    </row>
    <row r="1823" spans="10:11">
      <c r="J1823" s="3">
        <v>37218</v>
      </c>
      <c r="K1823" s="5">
        <v>2.5133999999999999</v>
      </c>
    </row>
    <row r="1824" spans="10:11">
      <c r="J1824" s="3">
        <v>37221</v>
      </c>
      <c r="K1824" s="5">
        <v>2.4893999999999998</v>
      </c>
    </row>
    <row r="1825" spans="10:11">
      <c r="J1825" s="3">
        <v>37222</v>
      </c>
      <c r="K1825" s="5">
        <v>2.4603999999999999</v>
      </c>
    </row>
    <row r="1826" spans="10:11">
      <c r="J1826" s="3">
        <v>37223</v>
      </c>
      <c r="K1826" s="5">
        <v>2.4857</v>
      </c>
    </row>
    <row r="1827" spans="10:11">
      <c r="J1827" s="3">
        <v>37224</v>
      </c>
      <c r="K1827" s="5">
        <v>2.5072000000000001</v>
      </c>
    </row>
    <row r="1828" spans="10:11">
      <c r="J1828" s="3">
        <v>37225</v>
      </c>
      <c r="K1828" s="5">
        <v>2.5287000000000002</v>
      </c>
    </row>
    <row r="1829" spans="10:11">
      <c r="J1829" s="3">
        <v>37228</v>
      </c>
      <c r="K1829" s="5">
        <v>2.4672000000000001</v>
      </c>
    </row>
    <row r="1830" spans="10:11">
      <c r="J1830" s="3">
        <v>37229</v>
      </c>
      <c r="K1830" s="5">
        <v>2.4289000000000001</v>
      </c>
    </row>
    <row r="1831" spans="10:11">
      <c r="J1831" s="3">
        <v>37230</v>
      </c>
      <c r="K1831" s="5">
        <v>2.4306000000000001</v>
      </c>
    </row>
    <row r="1832" spans="10:11">
      <c r="J1832" s="3">
        <v>37231</v>
      </c>
      <c r="K1832" s="5">
        <v>2.4434999999999998</v>
      </c>
    </row>
    <row r="1833" spans="10:11">
      <c r="J1833" s="3">
        <v>37232</v>
      </c>
      <c r="K1833" s="5">
        <v>2.4005000000000001</v>
      </c>
    </row>
    <row r="1834" spans="10:11">
      <c r="J1834" s="3">
        <v>37235</v>
      </c>
      <c r="K1834" s="5">
        <v>2.3578999999999999</v>
      </c>
    </row>
    <row r="1835" spans="10:11">
      <c r="J1835" s="3">
        <v>37236</v>
      </c>
      <c r="K1835" s="5">
        <v>2.3416999999999999</v>
      </c>
    </row>
    <row r="1836" spans="10:11">
      <c r="J1836" s="3">
        <v>37237</v>
      </c>
      <c r="K1836" s="5">
        <v>2.3551000000000002</v>
      </c>
    </row>
    <row r="1837" spans="10:11">
      <c r="J1837" s="3">
        <v>37238</v>
      </c>
      <c r="K1837" s="5">
        <v>2.3847</v>
      </c>
    </row>
    <row r="1838" spans="10:11">
      <c r="J1838" s="3">
        <v>37239</v>
      </c>
      <c r="K1838" s="5">
        <v>2.3839999999999999</v>
      </c>
    </row>
    <row r="1839" spans="10:11">
      <c r="J1839" s="3">
        <v>37242</v>
      </c>
      <c r="K1839" s="5">
        <v>2.3580000000000001</v>
      </c>
    </row>
    <row r="1840" spans="10:11">
      <c r="J1840" s="3">
        <v>37243</v>
      </c>
      <c r="K1840" s="5">
        <v>2.343</v>
      </c>
    </row>
    <row r="1841" spans="10:11">
      <c r="J1841" s="3">
        <v>37244</v>
      </c>
      <c r="K1841" s="5">
        <v>2.2930000000000001</v>
      </c>
    </row>
    <row r="1842" spans="10:11">
      <c r="J1842" s="3">
        <v>37245</v>
      </c>
      <c r="K1842" s="5">
        <v>2.3201999999999998</v>
      </c>
    </row>
    <row r="1843" spans="10:11">
      <c r="J1843" s="3">
        <v>37246</v>
      </c>
      <c r="K1843" s="5">
        <v>2.3311000000000002</v>
      </c>
    </row>
    <row r="1844" spans="10:11">
      <c r="J1844" s="3">
        <v>37249</v>
      </c>
      <c r="K1844" s="5">
        <v>2.3378000000000001</v>
      </c>
    </row>
    <row r="1845" spans="10:11">
      <c r="J1845" s="3">
        <v>37251</v>
      </c>
      <c r="K1845" s="5">
        <v>2.3144999999999998</v>
      </c>
    </row>
    <row r="1846" spans="10:11">
      <c r="J1846" s="3">
        <v>37252</v>
      </c>
      <c r="K1846" s="5">
        <v>2.3214999999999999</v>
      </c>
    </row>
    <row r="1847" spans="10:11">
      <c r="J1847" s="3">
        <v>37253</v>
      </c>
      <c r="K1847" s="5">
        <v>2.3203999999999998</v>
      </c>
    </row>
    <row r="1848" spans="10:11">
      <c r="J1848" s="3">
        <v>37256</v>
      </c>
      <c r="K1848" s="5">
        <v>2.3203999999999998</v>
      </c>
    </row>
    <row r="1849" spans="10:11">
      <c r="J1849" s="3">
        <v>37258</v>
      </c>
      <c r="K1849" s="5">
        <v>2.3066</v>
      </c>
    </row>
    <row r="1850" spans="10:11">
      <c r="J1850" s="3">
        <v>37259</v>
      </c>
      <c r="K1850" s="5">
        <v>2.2932000000000001</v>
      </c>
    </row>
    <row r="1851" spans="10:11">
      <c r="J1851" s="3">
        <v>37260</v>
      </c>
      <c r="K1851" s="5">
        <v>2.3100999999999998</v>
      </c>
    </row>
    <row r="1852" spans="10:11">
      <c r="J1852" s="3">
        <v>37263</v>
      </c>
      <c r="K1852" s="5">
        <v>2.3428</v>
      </c>
    </row>
    <row r="1853" spans="10:11">
      <c r="J1853" s="3">
        <v>37264</v>
      </c>
      <c r="K1853" s="5">
        <v>2.3454000000000002</v>
      </c>
    </row>
    <row r="1854" spans="10:11">
      <c r="J1854" s="3">
        <v>37265</v>
      </c>
      <c r="K1854" s="5">
        <v>2.3794</v>
      </c>
    </row>
    <row r="1855" spans="10:11">
      <c r="J1855" s="3">
        <v>37266</v>
      </c>
      <c r="K1855" s="5">
        <v>2.3896000000000002</v>
      </c>
    </row>
    <row r="1856" spans="10:11">
      <c r="J1856" s="3">
        <v>37267</v>
      </c>
      <c r="K1856" s="5">
        <v>2.4167999999999998</v>
      </c>
    </row>
    <row r="1857" spans="10:11">
      <c r="J1857" s="3">
        <v>37270</v>
      </c>
      <c r="K1857" s="5">
        <v>2.4072</v>
      </c>
    </row>
    <row r="1858" spans="10:11">
      <c r="J1858" s="3">
        <v>37271</v>
      </c>
      <c r="K1858" s="5">
        <v>2.3704999999999998</v>
      </c>
    </row>
    <row r="1859" spans="10:11">
      <c r="J1859" s="3">
        <v>37272</v>
      </c>
      <c r="K1859" s="5">
        <v>2.3866999999999998</v>
      </c>
    </row>
    <row r="1860" spans="10:11">
      <c r="J1860" s="3">
        <v>37273</v>
      </c>
      <c r="K1860" s="5">
        <v>2.3641000000000001</v>
      </c>
    </row>
    <row r="1861" spans="10:11">
      <c r="J1861" s="3">
        <v>37274</v>
      </c>
      <c r="K1861" s="5">
        <v>2.3752</v>
      </c>
    </row>
    <row r="1862" spans="10:11">
      <c r="J1862" s="3">
        <v>37277</v>
      </c>
      <c r="K1862" s="5">
        <v>2.3742000000000001</v>
      </c>
    </row>
    <row r="1863" spans="10:11">
      <c r="J1863" s="3">
        <v>37279</v>
      </c>
      <c r="K1863" s="5">
        <v>2.3803999999999998</v>
      </c>
    </row>
    <row r="1864" spans="10:11">
      <c r="J1864" s="3">
        <v>37280</v>
      </c>
      <c r="K1864" s="5">
        <v>2.3980999999999999</v>
      </c>
    </row>
    <row r="1865" spans="10:11">
      <c r="J1865" s="3">
        <v>37281</v>
      </c>
      <c r="K1865" s="5">
        <v>2.4045999999999998</v>
      </c>
    </row>
    <row r="1866" spans="10:11">
      <c r="J1866" s="3">
        <v>37284</v>
      </c>
      <c r="K1866" s="5">
        <v>2.4228000000000001</v>
      </c>
    </row>
    <row r="1867" spans="10:11">
      <c r="J1867" s="3">
        <v>37285</v>
      </c>
      <c r="K1867" s="5">
        <v>2.4234</v>
      </c>
    </row>
    <row r="1868" spans="10:11">
      <c r="J1868" s="3">
        <v>37286</v>
      </c>
      <c r="K1868" s="5">
        <v>2.4384000000000001</v>
      </c>
    </row>
    <row r="1869" spans="10:11">
      <c r="J1869" s="3">
        <v>37287</v>
      </c>
      <c r="K1869" s="5">
        <v>2.4182999999999999</v>
      </c>
    </row>
    <row r="1870" spans="10:11">
      <c r="J1870" s="3">
        <v>37288</v>
      </c>
      <c r="K1870" s="5">
        <v>2.4161000000000001</v>
      </c>
    </row>
    <row r="1871" spans="10:11">
      <c r="J1871" s="3">
        <v>37291</v>
      </c>
      <c r="K1871" s="5">
        <v>2.4228000000000001</v>
      </c>
    </row>
    <row r="1872" spans="10:11">
      <c r="J1872" s="3">
        <v>37292</v>
      </c>
      <c r="K1872" s="5">
        <v>2.4214000000000002</v>
      </c>
    </row>
    <row r="1873" spans="10:11">
      <c r="J1873" s="3">
        <v>37293</v>
      </c>
      <c r="K1873" s="5">
        <v>2.4205999999999999</v>
      </c>
    </row>
    <row r="1874" spans="10:11">
      <c r="J1874" s="3">
        <v>37294</v>
      </c>
      <c r="K1874" s="5">
        <v>2.4518</v>
      </c>
    </row>
    <row r="1875" spans="10:11">
      <c r="J1875" s="3">
        <v>37295</v>
      </c>
      <c r="K1875" s="5">
        <v>2.4691000000000001</v>
      </c>
    </row>
    <row r="1876" spans="10:11">
      <c r="J1876" s="3">
        <v>37300</v>
      </c>
      <c r="K1876" s="5">
        <v>2.4232</v>
      </c>
    </row>
    <row r="1877" spans="10:11">
      <c r="J1877" s="3">
        <v>37302</v>
      </c>
      <c r="K1877" s="5">
        <v>2.4380000000000002</v>
      </c>
    </row>
    <row r="1878" spans="10:11">
      <c r="J1878" s="3">
        <v>37305</v>
      </c>
      <c r="K1878" s="5">
        <v>2.4283999999999999</v>
      </c>
    </row>
    <row r="1879" spans="10:11">
      <c r="J1879" s="3">
        <v>37306</v>
      </c>
      <c r="K1879" s="5">
        <v>2.4249000000000001</v>
      </c>
    </row>
    <row r="1880" spans="10:11">
      <c r="J1880" s="3">
        <v>37307</v>
      </c>
      <c r="K1880" s="5">
        <v>2.4283999999999999</v>
      </c>
    </row>
    <row r="1881" spans="10:11">
      <c r="J1881" s="3">
        <v>37308</v>
      </c>
      <c r="K1881" s="5">
        <v>2.4241000000000001</v>
      </c>
    </row>
    <row r="1882" spans="10:11">
      <c r="J1882" s="3">
        <v>37309</v>
      </c>
      <c r="K1882" s="5">
        <v>2.4272999999999998</v>
      </c>
    </row>
    <row r="1883" spans="10:11">
      <c r="J1883" s="3">
        <v>37312</v>
      </c>
      <c r="K1883" s="5">
        <v>2.4062000000000001</v>
      </c>
    </row>
    <row r="1884" spans="10:11">
      <c r="J1884" s="3">
        <v>37313</v>
      </c>
      <c r="K1884" s="5">
        <v>2.3946999999999998</v>
      </c>
    </row>
    <row r="1885" spans="10:11">
      <c r="J1885" s="3">
        <v>37314</v>
      </c>
      <c r="K1885" s="5">
        <v>2.3826999999999998</v>
      </c>
    </row>
    <row r="1886" spans="10:11">
      <c r="J1886" s="3">
        <v>37315</v>
      </c>
      <c r="K1886" s="5">
        <v>2.3481999999999998</v>
      </c>
    </row>
    <row r="1887" spans="10:11">
      <c r="J1887" s="3">
        <v>37316</v>
      </c>
      <c r="K1887" s="5">
        <v>2.3595999999999999</v>
      </c>
    </row>
    <row r="1888" spans="10:11">
      <c r="J1888" s="3">
        <v>37319</v>
      </c>
      <c r="K1888" s="5">
        <v>2.3431999999999999</v>
      </c>
    </row>
    <row r="1889" spans="10:11">
      <c r="J1889" s="3">
        <v>37320</v>
      </c>
      <c r="K1889" s="5">
        <v>2.3250999999999999</v>
      </c>
    </row>
    <row r="1890" spans="10:11">
      <c r="J1890" s="3">
        <v>37321</v>
      </c>
      <c r="K1890" s="5">
        <v>2.3519999999999999</v>
      </c>
    </row>
    <row r="1891" spans="10:11">
      <c r="J1891" s="3">
        <v>37322</v>
      </c>
      <c r="K1891" s="5">
        <v>2.3662999999999998</v>
      </c>
    </row>
    <row r="1892" spans="10:11">
      <c r="J1892" s="3">
        <v>37323</v>
      </c>
      <c r="K1892" s="5">
        <v>2.3582000000000001</v>
      </c>
    </row>
    <row r="1893" spans="10:11">
      <c r="J1893" s="3">
        <v>37326</v>
      </c>
      <c r="K1893" s="5">
        <v>2.3487</v>
      </c>
    </row>
    <row r="1894" spans="10:11">
      <c r="J1894" s="3">
        <v>37327</v>
      </c>
      <c r="K1894" s="5">
        <v>2.3496000000000001</v>
      </c>
    </row>
    <row r="1895" spans="10:11">
      <c r="J1895" s="3">
        <v>37328</v>
      </c>
      <c r="K1895" s="5">
        <v>2.3368000000000002</v>
      </c>
    </row>
    <row r="1896" spans="10:11">
      <c r="J1896" s="3">
        <v>37329</v>
      </c>
      <c r="K1896" s="5">
        <v>2.3441000000000001</v>
      </c>
    </row>
    <row r="1897" spans="10:11">
      <c r="J1897" s="3">
        <v>37330</v>
      </c>
      <c r="K1897" s="5">
        <v>2.3542000000000001</v>
      </c>
    </row>
    <row r="1898" spans="10:11">
      <c r="J1898" s="3">
        <v>37334</v>
      </c>
      <c r="K1898" s="5">
        <v>2.3431999999999999</v>
      </c>
    </row>
    <row r="1899" spans="10:11">
      <c r="J1899" s="3">
        <v>37335</v>
      </c>
      <c r="K1899" s="5">
        <v>2.3380000000000001</v>
      </c>
    </row>
    <row r="1900" spans="10:11">
      <c r="J1900" s="3">
        <v>37336</v>
      </c>
      <c r="K1900" s="5">
        <v>2.3475000000000001</v>
      </c>
    </row>
    <row r="1901" spans="10:11">
      <c r="J1901" s="3">
        <v>37337</v>
      </c>
      <c r="K1901" s="5">
        <v>2.3508</v>
      </c>
    </row>
    <row r="1902" spans="10:11">
      <c r="J1902" s="3">
        <v>37340</v>
      </c>
      <c r="K1902" s="5">
        <v>2.3641000000000001</v>
      </c>
    </row>
    <row r="1903" spans="10:11">
      <c r="J1903" s="3">
        <v>37341</v>
      </c>
      <c r="K1903" s="5">
        <v>2.3502000000000001</v>
      </c>
    </row>
    <row r="1904" spans="10:11">
      <c r="J1904" s="3">
        <v>37342</v>
      </c>
      <c r="K1904" s="5">
        <v>2.3371</v>
      </c>
    </row>
    <row r="1905" spans="10:11">
      <c r="J1905" s="3">
        <v>37343</v>
      </c>
      <c r="K1905" s="5">
        <v>2.3235999999999999</v>
      </c>
    </row>
    <row r="1906" spans="10:11">
      <c r="J1906" s="3">
        <v>37347</v>
      </c>
      <c r="K1906" s="5">
        <v>2.3220000000000001</v>
      </c>
    </row>
    <row r="1907" spans="10:11">
      <c r="J1907" s="3">
        <v>37348</v>
      </c>
      <c r="K1907" s="5">
        <v>2.3022</v>
      </c>
    </row>
    <row r="1908" spans="10:11">
      <c r="J1908" s="3">
        <v>37349</v>
      </c>
      <c r="K1908" s="5">
        <v>2.2976999999999999</v>
      </c>
    </row>
    <row r="1909" spans="10:11">
      <c r="J1909" s="3">
        <v>37350</v>
      </c>
      <c r="K1909" s="5">
        <v>2.3117999999999999</v>
      </c>
    </row>
    <row r="1910" spans="10:11">
      <c r="J1910" s="3">
        <v>37351</v>
      </c>
      <c r="K1910" s="5">
        <v>2.2924000000000002</v>
      </c>
    </row>
    <row r="1911" spans="10:11">
      <c r="J1911" s="3">
        <v>37354</v>
      </c>
      <c r="K1911" s="5">
        <v>2.2907000000000002</v>
      </c>
    </row>
    <row r="1912" spans="10:11">
      <c r="J1912" s="3">
        <v>37355</v>
      </c>
      <c r="K1912" s="5">
        <v>2.2841999999999998</v>
      </c>
    </row>
    <row r="1913" spans="10:11">
      <c r="J1913" s="3">
        <v>37356</v>
      </c>
      <c r="K1913" s="5">
        <v>2.2728000000000002</v>
      </c>
    </row>
    <row r="1914" spans="10:11">
      <c r="J1914" s="3">
        <v>37357</v>
      </c>
      <c r="K1914" s="5">
        <v>2.2709000000000001</v>
      </c>
    </row>
    <row r="1915" spans="10:11">
      <c r="J1915" s="3">
        <v>37358</v>
      </c>
      <c r="K1915" s="5">
        <v>2.2988</v>
      </c>
    </row>
    <row r="1916" spans="10:11">
      <c r="J1916" s="3">
        <v>37361</v>
      </c>
      <c r="K1916" s="5">
        <v>2.3180000000000001</v>
      </c>
    </row>
    <row r="1917" spans="10:11">
      <c r="J1917" s="3">
        <v>37362</v>
      </c>
      <c r="K1917" s="5">
        <v>2.3172000000000001</v>
      </c>
    </row>
    <row r="1918" spans="10:11">
      <c r="J1918" s="3">
        <v>37363</v>
      </c>
      <c r="K1918" s="5">
        <v>2.3165</v>
      </c>
    </row>
    <row r="1919" spans="10:11">
      <c r="J1919" s="3">
        <v>37364</v>
      </c>
      <c r="K1919" s="5">
        <v>2.3327</v>
      </c>
    </row>
    <row r="1920" spans="10:11">
      <c r="J1920" s="3">
        <v>37365</v>
      </c>
      <c r="K1920" s="5">
        <v>2.3269000000000002</v>
      </c>
    </row>
    <row r="1921" spans="10:11">
      <c r="J1921" s="3">
        <v>37368</v>
      </c>
      <c r="K1921" s="5">
        <v>2.3347000000000002</v>
      </c>
    </row>
    <row r="1922" spans="10:11">
      <c r="J1922" s="3">
        <v>37369</v>
      </c>
      <c r="K1922" s="5">
        <v>2.3487</v>
      </c>
    </row>
    <row r="1923" spans="10:11">
      <c r="J1923" s="3">
        <v>37370</v>
      </c>
      <c r="K1923" s="5">
        <v>2.3567999999999998</v>
      </c>
    </row>
    <row r="1924" spans="10:11">
      <c r="J1924" s="3">
        <v>37371</v>
      </c>
      <c r="K1924" s="5">
        <v>2.3666</v>
      </c>
    </row>
    <row r="1925" spans="10:11">
      <c r="J1925" s="3">
        <v>37372</v>
      </c>
      <c r="K1925" s="5">
        <v>2.3557999999999999</v>
      </c>
    </row>
    <row r="1926" spans="10:11">
      <c r="J1926" s="3">
        <v>37375</v>
      </c>
      <c r="K1926" s="5">
        <v>2.3689</v>
      </c>
    </row>
    <row r="1927" spans="10:11">
      <c r="J1927" s="3">
        <v>37376</v>
      </c>
      <c r="K1927" s="5">
        <v>2.3624999999999998</v>
      </c>
    </row>
    <row r="1928" spans="10:11">
      <c r="J1928" s="3">
        <v>37378</v>
      </c>
      <c r="K1928" s="5">
        <v>2.3769999999999998</v>
      </c>
    </row>
    <row r="1929" spans="10:11">
      <c r="J1929" s="3">
        <v>37379</v>
      </c>
      <c r="K1929" s="5">
        <v>2.4148999999999998</v>
      </c>
    </row>
    <row r="1930" spans="10:11">
      <c r="J1930" s="3">
        <v>37382</v>
      </c>
      <c r="K1930" s="5">
        <v>2.4327000000000001</v>
      </c>
    </row>
    <row r="1931" spans="10:11">
      <c r="J1931" s="3">
        <v>37383</v>
      </c>
      <c r="K1931" s="5">
        <v>2.4174000000000002</v>
      </c>
    </row>
    <row r="1932" spans="10:11">
      <c r="J1932" s="3">
        <v>37384</v>
      </c>
      <c r="K1932" s="5">
        <v>2.4340999999999999</v>
      </c>
    </row>
    <row r="1933" spans="10:11">
      <c r="J1933" s="3">
        <v>37385</v>
      </c>
      <c r="K1933" s="5">
        <v>2.4519000000000002</v>
      </c>
    </row>
    <row r="1934" spans="10:11">
      <c r="J1934" s="3">
        <v>37386</v>
      </c>
      <c r="K1934" s="5">
        <v>2.4838</v>
      </c>
    </row>
    <row r="1935" spans="10:11">
      <c r="J1935" s="3">
        <v>37389</v>
      </c>
      <c r="K1935" s="5">
        <v>2.4952000000000001</v>
      </c>
    </row>
    <row r="1936" spans="10:11">
      <c r="J1936" s="3">
        <v>37390</v>
      </c>
      <c r="K1936" s="5">
        <v>2.5154000000000001</v>
      </c>
    </row>
    <row r="1937" spans="10:11">
      <c r="J1937" s="3">
        <v>37391</v>
      </c>
      <c r="K1937" s="5">
        <v>2.5116999999999998</v>
      </c>
    </row>
    <row r="1938" spans="10:11">
      <c r="J1938" s="3">
        <v>37392</v>
      </c>
      <c r="K1938" s="5">
        <v>2.4799000000000002</v>
      </c>
    </row>
    <row r="1939" spans="10:11">
      <c r="J1939" s="3">
        <v>37393</v>
      </c>
      <c r="K1939" s="5">
        <v>2.4763000000000002</v>
      </c>
    </row>
    <row r="1940" spans="10:11">
      <c r="J1940" s="3">
        <v>37396</v>
      </c>
      <c r="K1940" s="5">
        <v>2.4737</v>
      </c>
    </row>
    <row r="1941" spans="10:11">
      <c r="J1941" s="3">
        <v>37397</v>
      </c>
      <c r="K1941" s="5">
        <v>2.4786999999999999</v>
      </c>
    </row>
    <row r="1942" spans="10:11">
      <c r="J1942" s="3">
        <v>37399</v>
      </c>
      <c r="K1942" s="5">
        <v>2.5295999999999998</v>
      </c>
    </row>
    <row r="1943" spans="10:11">
      <c r="J1943" s="3">
        <v>37400</v>
      </c>
      <c r="K1943" s="5">
        <v>2.524</v>
      </c>
    </row>
    <row r="1944" spans="10:11">
      <c r="J1944" s="3">
        <v>37403</v>
      </c>
      <c r="K1944" s="5">
        <v>2.5228000000000002</v>
      </c>
    </row>
    <row r="1945" spans="10:11">
      <c r="J1945" s="3">
        <v>37404</v>
      </c>
      <c r="K1945" s="5">
        <v>2.5247999999999999</v>
      </c>
    </row>
    <row r="1946" spans="10:11">
      <c r="J1946" s="3">
        <v>37405</v>
      </c>
      <c r="K1946" s="5">
        <v>2.5200999999999998</v>
      </c>
    </row>
    <row r="1947" spans="10:11">
      <c r="J1947" s="3">
        <v>37407</v>
      </c>
      <c r="K1947" s="5">
        <v>2.5219999999999998</v>
      </c>
    </row>
    <row r="1948" spans="10:11">
      <c r="J1948" s="3">
        <v>37410</v>
      </c>
      <c r="K1948" s="5">
        <v>2.5413000000000001</v>
      </c>
    </row>
    <row r="1949" spans="10:11">
      <c r="J1949" s="3">
        <v>37411</v>
      </c>
      <c r="K1949" s="5">
        <v>2.5697000000000001</v>
      </c>
    </row>
    <row r="1950" spans="10:11">
      <c r="J1950" s="3">
        <v>37412</v>
      </c>
      <c r="K1950" s="5">
        <v>2.6086</v>
      </c>
    </row>
    <row r="1951" spans="10:11">
      <c r="J1951" s="3">
        <v>37413</v>
      </c>
      <c r="K1951" s="5">
        <v>2.6417999999999999</v>
      </c>
    </row>
    <row r="1952" spans="10:11">
      <c r="J1952" s="3">
        <v>37414</v>
      </c>
      <c r="K1952" s="5">
        <v>2.6707999999999998</v>
      </c>
    </row>
    <row r="1953" spans="10:11">
      <c r="J1953" s="3">
        <v>37417</v>
      </c>
      <c r="K1953" s="5">
        <v>2.6366999999999998</v>
      </c>
    </row>
    <row r="1954" spans="10:11">
      <c r="J1954" s="3">
        <v>37418</v>
      </c>
      <c r="K1954" s="5">
        <v>2.6663999999999999</v>
      </c>
    </row>
    <row r="1955" spans="10:11">
      <c r="J1955" s="3">
        <v>37419</v>
      </c>
      <c r="K1955" s="5">
        <v>2.7486000000000002</v>
      </c>
    </row>
    <row r="1956" spans="10:11">
      <c r="J1956" s="3">
        <v>37420</v>
      </c>
      <c r="K1956" s="5">
        <v>2.6922000000000001</v>
      </c>
    </row>
    <row r="1957" spans="10:11">
      <c r="J1957" s="3">
        <v>37421</v>
      </c>
      <c r="K1957" s="5">
        <v>2.7181000000000002</v>
      </c>
    </row>
    <row r="1958" spans="10:11">
      <c r="J1958" s="3">
        <v>37424</v>
      </c>
      <c r="K1958" s="5">
        <v>2.6823000000000001</v>
      </c>
    </row>
    <row r="1959" spans="10:11">
      <c r="J1959" s="3">
        <v>37425</v>
      </c>
      <c r="K1959" s="5">
        <v>2.67</v>
      </c>
    </row>
    <row r="1960" spans="10:11">
      <c r="J1960" s="3">
        <v>37426</v>
      </c>
      <c r="K1960" s="5">
        <v>2.7029999999999998</v>
      </c>
    </row>
    <row r="1961" spans="10:11">
      <c r="J1961" s="3">
        <v>37427</v>
      </c>
      <c r="K1961" s="5">
        <v>2.7505000000000002</v>
      </c>
    </row>
    <row r="1962" spans="10:11">
      <c r="J1962" s="3">
        <v>37428</v>
      </c>
      <c r="K1962" s="5">
        <v>2.7909999999999999</v>
      </c>
    </row>
    <row r="1963" spans="10:11">
      <c r="J1963" s="3">
        <v>37431</v>
      </c>
      <c r="K1963" s="5">
        <v>2.8269000000000002</v>
      </c>
    </row>
    <row r="1964" spans="10:11">
      <c r="J1964" s="3">
        <v>37432</v>
      </c>
      <c r="K1964" s="5">
        <v>2.7995000000000001</v>
      </c>
    </row>
    <row r="1965" spans="10:11">
      <c r="J1965" s="3">
        <v>37433</v>
      </c>
      <c r="K1965" s="5">
        <v>2.8584000000000001</v>
      </c>
    </row>
    <row r="1966" spans="10:11">
      <c r="J1966" s="3">
        <v>37434</v>
      </c>
      <c r="K1966" s="5">
        <v>2.8593000000000002</v>
      </c>
    </row>
    <row r="1967" spans="10:11">
      <c r="J1967" s="3">
        <v>37435</v>
      </c>
      <c r="K1967" s="5">
        <v>2.8443999999999998</v>
      </c>
    </row>
    <row r="1968" spans="10:11">
      <c r="J1968" s="3">
        <v>37438</v>
      </c>
      <c r="K1968" s="5">
        <v>2.8595000000000002</v>
      </c>
    </row>
    <row r="1969" spans="10:11">
      <c r="J1969" s="3">
        <v>37439</v>
      </c>
      <c r="K1969" s="5">
        <v>2.9140999999999999</v>
      </c>
    </row>
    <row r="1970" spans="10:11">
      <c r="J1970" s="3">
        <v>37440</v>
      </c>
      <c r="K1970" s="5">
        <v>2.8616999999999999</v>
      </c>
    </row>
    <row r="1971" spans="10:11">
      <c r="J1971" s="3">
        <v>37441</v>
      </c>
      <c r="K1971" s="5">
        <v>2.8481000000000001</v>
      </c>
    </row>
    <row r="1972" spans="10:11">
      <c r="J1972" s="3">
        <v>37442</v>
      </c>
      <c r="K1972" s="5">
        <v>2.8746</v>
      </c>
    </row>
    <row r="1973" spans="10:11">
      <c r="J1973" s="3">
        <v>37445</v>
      </c>
      <c r="K1973" s="5">
        <v>2.8711000000000002</v>
      </c>
    </row>
    <row r="1974" spans="10:11">
      <c r="J1974" s="3">
        <v>37446</v>
      </c>
      <c r="K1974" s="5">
        <v>2.8551000000000002</v>
      </c>
    </row>
    <row r="1975" spans="10:11">
      <c r="J1975" s="3">
        <v>37447</v>
      </c>
      <c r="K1975" s="5">
        <v>2.8540999999999999</v>
      </c>
    </row>
    <row r="1976" spans="10:11">
      <c r="J1976" s="3">
        <v>37448</v>
      </c>
      <c r="K1976" s="5">
        <v>2.8231999999999999</v>
      </c>
    </row>
    <row r="1977" spans="10:11">
      <c r="J1977" s="3">
        <v>37449</v>
      </c>
      <c r="K1977" s="5">
        <v>2.8147000000000002</v>
      </c>
    </row>
    <row r="1978" spans="10:11">
      <c r="J1978" s="3">
        <v>37452</v>
      </c>
      <c r="K1978" s="5">
        <v>2.8454999999999999</v>
      </c>
    </row>
    <row r="1979" spans="10:11">
      <c r="J1979" s="3">
        <v>37453</v>
      </c>
      <c r="K1979" s="5">
        <v>2.8671000000000002</v>
      </c>
    </row>
    <row r="1980" spans="10:11">
      <c r="J1980" s="3">
        <v>37454</v>
      </c>
      <c r="K1980" s="5">
        <v>2.8782999999999999</v>
      </c>
    </row>
    <row r="1981" spans="10:11">
      <c r="J1981" s="3">
        <v>37455</v>
      </c>
      <c r="K1981" s="5">
        <v>2.8772000000000002</v>
      </c>
    </row>
    <row r="1982" spans="10:11">
      <c r="J1982" s="3">
        <v>37456</v>
      </c>
      <c r="K1982" s="5">
        <v>2.8671000000000002</v>
      </c>
    </row>
    <row r="1983" spans="10:11">
      <c r="J1983" s="3">
        <v>37459</v>
      </c>
      <c r="K1983" s="5">
        <v>2.8816000000000002</v>
      </c>
    </row>
    <row r="1984" spans="10:11">
      <c r="J1984" s="3">
        <v>37461</v>
      </c>
      <c r="K1984" s="5">
        <v>2.9479000000000002</v>
      </c>
    </row>
    <row r="1985" spans="10:11">
      <c r="J1985" s="3">
        <v>37462</v>
      </c>
      <c r="K1985" s="5">
        <v>2.9822000000000002</v>
      </c>
    </row>
    <row r="1986" spans="10:11">
      <c r="J1986" s="3">
        <v>37463</v>
      </c>
      <c r="K1986" s="5">
        <v>3.0177</v>
      </c>
    </row>
    <row r="1987" spans="10:11">
      <c r="J1987" s="3">
        <v>37466</v>
      </c>
      <c r="K1987" s="5">
        <v>3.1448999999999998</v>
      </c>
    </row>
    <row r="1988" spans="10:11">
      <c r="J1988" s="3">
        <v>37467</v>
      </c>
      <c r="K1988" s="5">
        <v>3.2692000000000001</v>
      </c>
    </row>
    <row r="1989" spans="10:11">
      <c r="J1989" s="3">
        <v>37468</v>
      </c>
      <c r="K1989" s="5">
        <v>3.4285000000000001</v>
      </c>
    </row>
    <row r="1990" spans="10:11">
      <c r="J1990" s="3">
        <v>37469</v>
      </c>
      <c r="K1990" s="5">
        <v>3.3275000000000001</v>
      </c>
    </row>
    <row r="1991" spans="10:11">
      <c r="J1991" s="3">
        <v>37470</v>
      </c>
      <c r="K1991" s="5">
        <v>3.0301999999999998</v>
      </c>
    </row>
    <row r="1992" spans="10:11">
      <c r="J1992" s="3">
        <v>37473</v>
      </c>
      <c r="K1992" s="5">
        <v>3.0731999999999999</v>
      </c>
    </row>
    <row r="1993" spans="10:11">
      <c r="J1993" s="3">
        <v>37474</v>
      </c>
      <c r="K1993" s="5">
        <v>3.2069999999999999</v>
      </c>
    </row>
    <row r="1994" spans="10:11">
      <c r="J1994" s="3">
        <v>37475</v>
      </c>
      <c r="K1994" s="5">
        <v>3.0598000000000001</v>
      </c>
    </row>
    <row r="1995" spans="10:11">
      <c r="J1995" s="3">
        <v>37476</v>
      </c>
      <c r="K1995" s="5">
        <v>2.8883000000000001</v>
      </c>
    </row>
    <row r="1996" spans="10:11">
      <c r="J1996" s="3">
        <v>37477</v>
      </c>
      <c r="K1996" s="5">
        <v>2.9964</v>
      </c>
    </row>
    <row r="1997" spans="10:11">
      <c r="J1997" s="3">
        <v>37480</v>
      </c>
      <c r="K1997" s="5">
        <v>3.0979000000000001</v>
      </c>
    </row>
    <row r="1998" spans="10:11">
      <c r="J1998" s="3">
        <v>37481</v>
      </c>
      <c r="K1998" s="5">
        <v>3.2094</v>
      </c>
    </row>
    <row r="1999" spans="10:11">
      <c r="J1999" s="3">
        <v>37482</v>
      </c>
      <c r="K1999" s="5">
        <v>3.1964999999999999</v>
      </c>
    </row>
    <row r="2000" spans="10:11">
      <c r="J2000" s="3">
        <v>37483</v>
      </c>
      <c r="K2000" s="5">
        <v>3.1911999999999998</v>
      </c>
    </row>
    <row r="2001" spans="10:11">
      <c r="J2001" s="3">
        <v>37484</v>
      </c>
      <c r="K2001" s="5">
        <v>3.1619999999999999</v>
      </c>
    </row>
    <row r="2002" spans="10:11">
      <c r="J2002" s="3">
        <v>37487</v>
      </c>
      <c r="K2002" s="5">
        <v>3.1141999999999999</v>
      </c>
    </row>
    <row r="2003" spans="10:11">
      <c r="J2003" s="3">
        <v>37488</v>
      </c>
      <c r="K2003" s="5">
        <v>3.0922999999999998</v>
      </c>
    </row>
    <row r="2004" spans="10:11">
      <c r="J2004" s="3">
        <v>37489</v>
      </c>
      <c r="K2004" s="5">
        <v>3.0794000000000001</v>
      </c>
    </row>
    <row r="2005" spans="10:11">
      <c r="J2005" s="3">
        <v>37490</v>
      </c>
      <c r="K2005" s="5">
        <v>3.1417000000000002</v>
      </c>
    </row>
    <row r="2006" spans="10:11">
      <c r="J2006" s="3">
        <v>37491</v>
      </c>
      <c r="K2006" s="5">
        <v>3.1135999999999999</v>
      </c>
    </row>
    <row r="2007" spans="10:11">
      <c r="J2007" s="3">
        <v>37494</v>
      </c>
      <c r="K2007" s="5">
        <v>3.0788000000000002</v>
      </c>
    </row>
    <row r="2008" spans="10:11">
      <c r="J2008" s="3">
        <v>37495</v>
      </c>
      <c r="K2008" s="5">
        <v>3.0949</v>
      </c>
    </row>
    <row r="2009" spans="10:11">
      <c r="J2009" s="3">
        <v>37496</v>
      </c>
      <c r="K2009" s="5">
        <v>3.1219000000000001</v>
      </c>
    </row>
    <row r="2010" spans="10:11">
      <c r="J2010" s="3">
        <v>37497</v>
      </c>
      <c r="K2010" s="5">
        <v>3.1238999999999999</v>
      </c>
    </row>
    <row r="2011" spans="10:11">
      <c r="J2011" s="3">
        <v>37498</v>
      </c>
      <c r="K2011" s="5">
        <v>3.0223</v>
      </c>
    </row>
    <row r="2012" spans="10:11">
      <c r="J2012" s="3">
        <v>37501</v>
      </c>
      <c r="K2012" s="5">
        <v>3.0286</v>
      </c>
    </row>
    <row r="2013" spans="10:11">
      <c r="J2013" s="3">
        <v>37502</v>
      </c>
      <c r="K2013" s="5">
        <v>3.0988000000000002</v>
      </c>
    </row>
    <row r="2014" spans="10:11">
      <c r="J2014" s="3">
        <v>37503</v>
      </c>
      <c r="K2014" s="5">
        <v>3.1324999999999998</v>
      </c>
    </row>
    <row r="2015" spans="10:11">
      <c r="J2015" s="3">
        <v>37504</v>
      </c>
      <c r="K2015" s="5">
        <v>3.1511999999999998</v>
      </c>
    </row>
    <row r="2016" spans="10:11">
      <c r="J2016" s="3">
        <v>37505</v>
      </c>
      <c r="K2016" s="5">
        <v>3.1783000000000001</v>
      </c>
    </row>
    <row r="2017" spans="10:11">
      <c r="J2017" s="3">
        <v>37508</v>
      </c>
      <c r="K2017" s="5">
        <v>3.1312000000000002</v>
      </c>
    </row>
    <row r="2018" spans="10:11">
      <c r="J2018" s="3">
        <v>37509</v>
      </c>
      <c r="K2018" s="5">
        <v>3.1305999999999998</v>
      </c>
    </row>
    <row r="2019" spans="10:11">
      <c r="J2019" s="3">
        <v>37510</v>
      </c>
      <c r="K2019" s="5">
        <v>3.1153</v>
      </c>
    </row>
    <row r="2020" spans="10:11">
      <c r="J2020" s="3">
        <v>37511</v>
      </c>
      <c r="K2020" s="5">
        <v>3.1238999999999999</v>
      </c>
    </row>
    <row r="2021" spans="10:11">
      <c r="J2021" s="3">
        <v>37512</v>
      </c>
      <c r="K2021" s="5">
        <v>3.1505999999999998</v>
      </c>
    </row>
    <row r="2022" spans="10:11">
      <c r="J2022" s="3">
        <v>37515</v>
      </c>
      <c r="K2022" s="5">
        <v>3.1884000000000001</v>
      </c>
    </row>
    <row r="2023" spans="10:11">
      <c r="J2023" s="3">
        <v>37516</v>
      </c>
      <c r="K2023" s="5">
        <v>3.2248000000000001</v>
      </c>
    </row>
    <row r="2024" spans="10:11">
      <c r="J2024" s="3">
        <v>37517</v>
      </c>
      <c r="K2024" s="5">
        <v>3.3239999999999998</v>
      </c>
    </row>
    <row r="2025" spans="10:11">
      <c r="J2025" s="3">
        <v>37518</v>
      </c>
      <c r="K2025" s="5">
        <v>3.3843000000000001</v>
      </c>
    </row>
    <row r="2026" spans="10:11">
      <c r="J2026" s="3">
        <v>37519</v>
      </c>
      <c r="K2026" s="5">
        <v>3.4277000000000002</v>
      </c>
    </row>
    <row r="2027" spans="10:11">
      <c r="J2027" s="3">
        <v>37522</v>
      </c>
      <c r="K2027" s="5">
        <v>3.5448</v>
      </c>
    </row>
    <row r="2028" spans="10:11">
      <c r="J2028" s="3">
        <v>37523</v>
      </c>
      <c r="K2028" s="5">
        <v>3.6215999999999999</v>
      </c>
    </row>
    <row r="2029" spans="10:11">
      <c r="J2029" s="3">
        <v>37524</v>
      </c>
      <c r="K2029" s="5">
        <v>3.7256999999999998</v>
      </c>
    </row>
    <row r="2030" spans="10:11">
      <c r="J2030" s="3">
        <v>37525</v>
      </c>
      <c r="K2030" s="5">
        <v>3.7515999999999998</v>
      </c>
    </row>
    <row r="2031" spans="10:11">
      <c r="J2031" s="3">
        <v>37526</v>
      </c>
      <c r="K2031" s="5">
        <v>3.8540999999999999</v>
      </c>
    </row>
    <row r="2032" spans="10:11">
      <c r="J2032" s="3">
        <v>37529</v>
      </c>
      <c r="K2032" s="5">
        <v>3.8948999999999998</v>
      </c>
    </row>
    <row r="2033" spans="10:11">
      <c r="J2033" s="3">
        <v>37530</v>
      </c>
      <c r="K2033" s="5">
        <v>3.7467000000000001</v>
      </c>
    </row>
    <row r="2034" spans="10:11">
      <c r="J2034" s="3">
        <v>37531</v>
      </c>
      <c r="K2034" s="5">
        <v>3.5935999999999999</v>
      </c>
    </row>
    <row r="2035" spans="10:11">
      <c r="J2035" s="3">
        <v>37532</v>
      </c>
      <c r="K2035" s="5">
        <v>3.6951999999999998</v>
      </c>
    </row>
    <row r="2036" spans="10:11">
      <c r="J2036" s="3">
        <v>37533</v>
      </c>
      <c r="K2036" s="5">
        <v>3.6593</v>
      </c>
    </row>
    <row r="2037" spans="10:11">
      <c r="J2037" s="3">
        <v>37536</v>
      </c>
      <c r="K2037" s="5">
        <v>3.6964999999999999</v>
      </c>
    </row>
    <row r="2038" spans="10:11">
      <c r="J2038" s="3">
        <v>37537</v>
      </c>
      <c r="K2038" s="5">
        <v>3.7017000000000002</v>
      </c>
    </row>
    <row r="2039" spans="10:11">
      <c r="J2039" s="3">
        <v>37538</v>
      </c>
      <c r="K2039" s="5">
        <v>3.8519999999999999</v>
      </c>
    </row>
    <row r="2040" spans="10:11">
      <c r="J2040" s="3">
        <v>37539</v>
      </c>
      <c r="K2040" s="5">
        <v>3.9228000000000001</v>
      </c>
    </row>
    <row r="2041" spans="10:11">
      <c r="J2041" s="3">
        <v>37540</v>
      </c>
      <c r="K2041" s="5">
        <v>3.9235000000000002</v>
      </c>
    </row>
    <row r="2042" spans="10:11">
      <c r="J2042" s="3">
        <v>37543</v>
      </c>
      <c r="K2042" s="5">
        <v>3.8613</v>
      </c>
    </row>
    <row r="2043" spans="10:11">
      <c r="J2043" s="3">
        <v>37544</v>
      </c>
      <c r="K2043" s="5">
        <v>3.8567</v>
      </c>
    </row>
    <row r="2044" spans="10:11">
      <c r="J2044" s="3">
        <v>37545</v>
      </c>
      <c r="K2044" s="5">
        <v>3.8744000000000001</v>
      </c>
    </row>
    <row r="2045" spans="10:11">
      <c r="J2045" s="3">
        <v>37546</v>
      </c>
      <c r="K2045" s="5">
        <v>3.9245000000000001</v>
      </c>
    </row>
    <row r="2046" spans="10:11">
      <c r="J2046" s="3">
        <v>37547</v>
      </c>
      <c r="K2046" s="5">
        <v>3.8759000000000001</v>
      </c>
    </row>
    <row r="2047" spans="10:11">
      <c r="J2047" s="3">
        <v>37550</v>
      </c>
      <c r="K2047" s="5">
        <v>3.9125000000000001</v>
      </c>
    </row>
    <row r="2048" spans="10:11">
      <c r="J2048" s="3">
        <v>37551</v>
      </c>
      <c r="K2048" s="5">
        <v>3.9552</v>
      </c>
    </row>
    <row r="2049" spans="10:11">
      <c r="J2049" s="3">
        <v>37552</v>
      </c>
      <c r="K2049" s="5">
        <v>3.8704000000000001</v>
      </c>
    </row>
    <row r="2050" spans="10:11">
      <c r="J2050" s="3">
        <v>37553</v>
      </c>
      <c r="K2050" s="5">
        <v>3.8616999999999999</v>
      </c>
    </row>
    <row r="2051" spans="10:11">
      <c r="J2051" s="3">
        <v>37554</v>
      </c>
      <c r="K2051" s="5">
        <v>3.8014999999999999</v>
      </c>
    </row>
    <row r="2052" spans="10:11">
      <c r="J2052" s="3">
        <v>37557</v>
      </c>
      <c r="K2052" s="5">
        <v>3.7406000000000001</v>
      </c>
    </row>
    <row r="2053" spans="10:11">
      <c r="J2053" s="3">
        <v>37558</v>
      </c>
      <c r="K2053" s="5">
        <v>3.8210999999999999</v>
      </c>
    </row>
    <row r="2054" spans="10:11">
      <c r="J2054" s="3">
        <v>37560</v>
      </c>
      <c r="K2054" s="5">
        <v>3.645</v>
      </c>
    </row>
    <row r="2055" spans="10:11">
      <c r="J2055" s="3">
        <v>37561</v>
      </c>
      <c r="K2055" s="5">
        <v>3.6113</v>
      </c>
    </row>
    <row r="2056" spans="10:11">
      <c r="J2056" s="3">
        <v>37564</v>
      </c>
      <c r="K2056" s="5">
        <v>3.5417999999999998</v>
      </c>
    </row>
    <row r="2057" spans="10:11">
      <c r="J2057" s="3">
        <v>37565</v>
      </c>
      <c r="K2057" s="5">
        <v>3.5625</v>
      </c>
    </row>
    <row r="2058" spans="10:11">
      <c r="J2058" s="3">
        <v>37566</v>
      </c>
      <c r="K2058" s="5">
        <v>3.5975999999999999</v>
      </c>
    </row>
    <row r="2059" spans="10:11">
      <c r="J2059" s="3">
        <v>37567</v>
      </c>
      <c r="K2059" s="5">
        <v>3.6217999999999999</v>
      </c>
    </row>
    <row r="2060" spans="10:11">
      <c r="J2060" s="3">
        <v>37568</v>
      </c>
      <c r="K2060" s="5">
        <v>3.5270999999999999</v>
      </c>
    </row>
    <row r="2061" spans="10:11">
      <c r="J2061" s="3">
        <v>37571</v>
      </c>
      <c r="K2061" s="5">
        <v>3.5034999999999998</v>
      </c>
    </row>
    <row r="2062" spans="10:11">
      <c r="J2062" s="3">
        <v>37573</v>
      </c>
      <c r="K2062" s="5">
        <v>3.6341999999999999</v>
      </c>
    </row>
    <row r="2063" spans="10:11">
      <c r="J2063" s="3">
        <v>37574</v>
      </c>
      <c r="K2063" s="5">
        <v>3.6797</v>
      </c>
    </row>
    <row r="2064" spans="10:11">
      <c r="J2064" s="3">
        <v>37578</v>
      </c>
      <c r="K2064" s="5">
        <v>3.5889000000000002</v>
      </c>
    </row>
    <row r="2065" spans="10:11">
      <c r="J2065" s="3">
        <v>37579</v>
      </c>
      <c r="K2065" s="5">
        <v>3.5547</v>
      </c>
    </row>
    <row r="2066" spans="10:11">
      <c r="J2066" s="3">
        <v>37580</v>
      </c>
      <c r="K2066" s="5">
        <v>3.5146000000000002</v>
      </c>
    </row>
    <row r="2067" spans="10:11">
      <c r="J2067" s="3">
        <v>37581</v>
      </c>
      <c r="K2067" s="5">
        <v>3.5103</v>
      </c>
    </row>
    <row r="2068" spans="10:11">
      <c r="J2068" s="3">
        <v>37582</v>
      </c>
      <c r="K2068" s="5">
        <v>3.5615999999999999</v>
      </c>
    </row>
    <row r="2069" spans="10:11">
      <c r="J2069" s="3">
        <v>37585</v>
      </c>
      <c r="K2069" s="5">
        <v>3.5491999999999999</v>
      </c>
    </row>
    <row r="2070" spans="10:11">
      <c r="J2070" s="3">
        <v>37586</v>
      </c>
      <c r="K2070" s="5">
        <v>3.5872000000000002</v>
      </c>
    </row>
    <row r="2071" spans="10:11">
      <c r="J2071" s="3">
        <v>37587</v>
      </c>
      <c r="K2071" s="5">
        <v>3.5897999999999999</v>
      </c>
    </row>
    <row r="2072" spans="10:11">
      <c r="J2072" s="3">
        <v>37588</v>
      </c>
      <c r="K2072" s="5">
        <v>3.6030000000000002</v>
      </c>
    </row>
    <row r="2073" spans="10:11">
      <c r="J2073" s="3">
        <v>37589</v>
      </c>
      <c r="K2073" s="5">
        <v>3.6364999999999998</v>
      </c>
    </row>
    <row r="2074" spans="10:11">
      <c r="J2074" s="3">
        <v>37592</v>
      </c>
      <c r="K2074" s="5">
        <v>3.6160000000000001</v>
      </c>
    </row>
    <row r="2075" spans="10:11">
      <c r="J2075" s="3">
        <v>37593</v>
      </c>
      <c r="K2075" s="5">
        <v>3.6625000000000001</v>
      </c>
    </row>
    <row r="2076" spans="10:11">
      <c r="J2076" s="3">
        <v>37594</v>
      </c>
      <c r="K2076" s="5">
        <v>3.7048999999999999</v>
      </c>
    </row>
    <row r="2077" spans="10:11">
      <c r="J2077" s="3">
        <v>37595</v>
      </c>
      <c r="K2077" s="5">
        <v>3.7513999999999998</v>
      </c>
    </row>
    <row r="2078" spans="10:11">
      <c r="J2078" s="3">
        <v>37596</v>
      </c>
      <c r="K2078" s="5">
        <v>3.7526000000000002</v>
      </c>
    </row>
    <row r="2079" spans="10:11">
      <c r="J2079" s="3">
        <v>37599</v>
      </c>
      <c r="K2079" s="5">
        <v>3.798</v>
      </c>
    </row>
    <row r="2080" spans="10:11">
      <c r="J2080" s="3">
        <v>37600</v>
      </c>
      <c r="K2080" s="5">
        <v>3.7685</v>
      </c>
    </row>
    <row r="2081" spans="10:11">
      <c r="J2081" s="3">
        <v>37601</v>
      </c>
      <c r="K2081" s="5">
        <v>3.7953999999999999</v>
      </c>
    </row>
    <row r="2082" spans="10:11">
      <c r="J2082" s="3">
        <v>37602</v>
      </c>
      <c r="K2082" s="5">
        <v>3.7534999999999998</v>
      </c>
    </row>
    <row r="2083" spans="10:11">
      <c r="J2083" s="3">
        <v>37603</v>
      </c>
      <c r="K2083" s="5">
        <v>3.7342</v>
      </c>
    </row>
    <row r="2084" spans="10:11">
      <c r="J2084" s="3">
        <v>37606</v>
      </c>
      <c r="K2084" s="5">
        <v>3.6318000000000001</v>
      </c>
    </row>
    <row r="2085" spans="10:11">
      <c r="J2085" s="3">
        <v>37607</v>
      </c>
      <c r="K2085" s="5">
        <v>3.5827</v>
      </c>
    </row>
    <row r="2086" spans="10:11">
      <c r="J2086" s="3">
        <v>37608</v>
      </c>
      <c r="K2086" s="5">
        <v>3.5316000000000001</v>
      </c>
    </row>
    <row r="2087" spans="10:11">
      <c r="J2087" s="3">
        <v>37609</v>
      </c>
      <c r="K2087" s="5">
        <v>3.5047000000000001</v>
      </c>
    </row>
    <row r="2088" spans="10:11">
      <c r="J2088" s="3">
        <v>37610</v>
      </c>
      <c r="K2088" s="5">
        <v>3.4278</v>
      </c>
    </row>
    <row r="2089" spans="10:11">
      <c r="J2089" s="3">
        <v>37613</v>
      </c>
      <c r="K2089" s="5">
        <v>3.4946999999999999</v>
      </c>
    </row>
    <row r="2090" spans="10:11">
      <c r="J2090" s="3">
        <v>37614</v>
      </c>
      <c r="K2090" s="5">
        <v>3.5009999999999999</v>
      </c>
    </row>
    <row r="2091" spans="10:11">
      <c r="J2091" s="3">
        <v>37616</v>
      </c>
      <c r="K2091" s="5">
        <v>3.5251000000000001</v>
      </c>
    </row>
    <row r="2092" spans="10:11">
      <c r="J2092" s="3">
        <v>37617</v>
      </c>
      <c r="K2092" s="5">
        <v>3.5413000000000001</v>
      </c>
    </row>
    <row r="2093" spans="10:11">
      <c r="J2093" s="3">
        <v>37620</v>
      </c>
      <c r="K2093" s="5">
        <v>3.5333000000000001</v>
      </c>
    </row>
    <row r="2094" spans="10:11">
      <c r="J2094" s="3">
        <v>37621</v>
      </c>
      <c r="K2094" s="5">
        <v>3.5333000000000001</v>
      </c>
    </row>
    <row r="2095" spans="10:11">
      <c r="J2095" s="3">
        <v>37623</v>
      </c>
      <c r="K2095" s="5">
        <v>3.5224000000000002</v>
      </c>
    </row>
    <row r="2096" spans="10:11">
      <c r="J2096" s="3">
        <v>37624</v>
      </c>
      <c r="K2096" s="5">
        <v>3.4698000000000002</v>
      </c>
    </row>
    <row r="2097" spans="10:11">
      <c r="J2097" s="3">
        <v>37627</v>
      </c>
      <c r="K2097" s="5">
        <v>3.3664000000000001</v>
      </c>
    </row>
    <row r="2098" spans="10:11">
      <c r="J2098" s="3">
        <v>37628</v>
      </c>
      <c r="K2098" s="5">
        <v>3.3422999999999998</v>
      </c>
    </row>
    <row r="2099" spans="10:11">
      <c r="J2099" s="3">
        <v>37629</v>
      </c>
      <c r="K2099" s="5">
        <v>3.3123999999999998</v>
      </c>
    </row>
    <row r="2100" spans="10:11">
      <c r="J2100" s="3">
        <v>37630</v>
      </c>
      <c r="K2100" s="5">
        <v>3.3296999999999999</v>
      </c>
    </row>
    <row r="2101" spans="10:11">
      <c r="J2101" s="3">
        <v>37631</v>
      </c>
      <c r="K2101" s="5">
        <v>3.2917999999999998</v>
      </c>
    </row>
    <row r="2102" spans="10:11">
      <c r="J2102" s="3">
        <v>37634</v>
      </c>
      <c r="K2102" s="5">
        <v>3.2955999999999999</v>
      </c>
    </row>
    <row r="2103" spans="10:11">
      <c r="J2103" s="3">
        <v>37635</v>
      </c>
      <c r="K2103" s="5">
        <v>3.2757999999999998</v>
      </c>
    </row>
    <row r="2104" spans="10:11">
      <c r="J2104" s="3">
        <v>37636</v>
      </c>
      <c r="K2104" s="5">
        <v>3.2982999999999998</v>
      </c>
    </row>
    <row r="2105" spans="10:11">
      <c r="J2105" s="3">
        <v>37637</v>
      </c>
      <c r="K2105" s="5">
        <v>3.2936999999999999</v>
      </c>
    </row>
    <row r="2106" spans="10:11">
      <c r="J2106" s="3">
        <v>37638</v>
      </c>
      <c r="K2106" s="5">
        <v>3.3632</v>
      </c>
    </row>
    <row r="2107" spans="10:11">
      <c r="J2107" s="3">
        <v>37641</v>
      </c>
      <c r="K2107" s="5">
        <v>3.4102999999999999</v>
      </c>
    </row>
    <row r="2108" spans="10:11">
      <c r="J2108" s="3">
        <v>37642</v>
      </c>
      <c r="K2108" s="5">
        <v>3.4401999999999999</v>
      </c>
    </row>
    <row r="2109" spans="10:11">
      <c r="J2109" s="3">
        <v>37643</v>
      </c>
      <c r="K2109" s="5">
        <v>3.5188999999999999</v>
      </c>
    </row>
    <row r="2110" spans="10:11">
      <c r="J2110" s="3">
        <v>37644</v>
      </c>
      <c r="K2110" s="5">
        <v>3.4901</v>
      </c>
    </row>
    <row r="2111" spans="10:11">
      <c r="J2111" s="3">
        <v>37645</v>
      </c>
      <c r="K2111" s="5">
        <v>3.5922999999999998</v>
      </c>
    </row>
    <row r="2112" spans="10:11">
      <c r="J2112" s="3">
        <v>37648</v>
      </c>
      <c r="K2112" s="5">
        <v>3.6623000000000001</v>
      </c>
    </row>
    <row r="2113" spans="10:11">
      <c r="J2113" s="3">
        <v>37649</v>
      </c>
      <c r="K2113" s="5">
        <v>3.6312000000000002</v>
      </c>
    </row>
    <row r="2114" spans="10:11">
      <c r="J2114" s="3">
        <v>37650</v>
      </c>
      <c r="K2114" s="5">
        <v>3.6417000000000002</v>
      </c>
    </row>
    <row r="2115" spans="10:11">
      <c r="J2115" s="3">
        <v>37651</v>
      </c>
      <c r="K2115" s="5">
        <v>3.5695999999999999</v>
      </c>
    </row>
    <row r="2116" spans="10:11">
      <c r="J2116" s="3">
        <v>37652</v>
      </c>
      <c r="K2116" s="5">
        <v>3.5257999999999998</v>
      </c>
    </row>
    <row r="2117" spans="10:11">
      <c r="J2117" s="3">
        <v>37655</v>
      </c>
      <c r="K2117" s="5">
        <v>3.4929999999999999</v>
      </c>
    </row>
    <row r="2118" spans="10:11">
      <c r="J2118" s="3">
        <v>37656</v>
      </c>
      <c r="K2118" s="5">
        <v>3.5406</v>
      </c>
    </row>
    <row r="2119" spans="10:11">
      <c r="J2119" s="3">
        <v>37657</v>
      </c>
      <c r="K2119" s="5">
        <v>3.5844999999999998</v>
      </c>
    </row>
    <row r="2120" spans="10:11">
      <c r="J2120" s="3">
        <v>37658</v>
      </c>
      <c r="K2120" s="5">
        <v>3.6044999999999998</v>
      </c>
    </row>
    <row r="2121" spans="10:11">
      <c r="J2121" s="3">
        <v>37659</v>
      </c>
      <c r="K2121" s="5">
        <v>3.5802</v>
      </c>
    </row>
    <row r="2122" spans="10:11">
      <c r="J2122" s="3">
        <v>37662</v>
      </c>
      <c r="K2122" s="5">
        <v>3.6042000000000001</v>
      </c>
    </row>
    <row r="2123" spans="10:11">
      <c r="J2123" s="3">
        <v>37663</v>
      </c>
      <c r="K2123" s="5">
        <v>3.5737000000000001</v>
      </c>
    </row>
    <row r="2124" spans="10:11">
      <c r="J2124" s="3">
        <v>37664</v>
      </c>
      <c r="K2124" s="5">
        <v>3.6002999999999998</v>
      </c>
    </row>
    <row r="2125" spans="10:11">
      <c r="J2125" s="3">
        <v>37665</v>
      </c>
      <c r="K2125" s="5">
        <v>3.6358999999999999</v>
      </c>
    </row>
    <row r="2126" spans="10:11">
      <c r="J2126" s="3">
        <v>37666</v>
      </c>
      <c r="K2126" s="5">
        <v>3.6579999999999999</v>
      </c>
    </row>
    <row r="2127" spans="10:11">
      <c r="J2127" s="3">
        <v>37669</v>
      </c>
      <c r="K2127" s="5">
        <v>3.6232000000000002</v>
      </c>
    </row>
    <row r="2128" spans="10:11">
      <c r="J2128" s="3">
        <v>37670</v>
      </c>
      <c r="K2128" s="5">
        <v>3.5889000000000002</v>
      </c>
    </row>
    <row r="2129" spans="10:11">
      <c r="J2129" s="3">
        <v>37671</v>
      </c>
      <c r="K2129" s="5">
        <v>3.5935000000000001</v>
      </c>
    </row>
    <row r="2130" spans="10:11">
      <c r="J2130" s="3">
        <v>37672</v>
      </c>
      <c r="K2130" s="5">
        <v>3.6067</v>
      </c>
    </row>
    <row r="2131" spans="10:11">
      <c r="J2131" s="3">
        <v>37673</v>
      </c>
      <c r="K2131" s="5">
        <v>3.6097000000000001</v>
      </c>
    </row>
    <row r="2132" spans="10:11">
      <c r="J2132" s="3">
        <v>37676</v>
      </c>
      <c r="K2132" s="5">
        <v>3.5870000000000002</v>
      </c>
    </row>
    <row r="2133" spans="10:11">
      <c r="J2133" s="3">
        <v>37677</v>
      </c>
      <c r="K2133" s="5">
        <v>3.6013000000000002</v>
      </c>
    </row>
    <row r="2134" spans="10:11">
      <c r="J2134" s="3">
        <v>37678</v>
      </c>
      <c r="K2134" s="5">
        <v>3.5817000000000001</v>
      </c>
    </row>
    <row r="2135" spans="10:11">
      <c r="J2135" s="3">
        <v>37679</v>
      </c>
      <c r="K2135" s="5">
        <v>3.585</v>
      </c>
    </row>
    <row r="2136" spans="10:11">
      <c r="J2136" s="3">
        <v>37680</v>
      </c>
      <c r="K2136" s="5">
        <v>3.5632000000000001</v>
      </c>
    </row>
    <row r="2137" spans="10:11">
      <c r="J2137" s="3">
        <v>37685</v>
      </c>
      <c r="K2137" s="5">
        <v>3.5636999999999999</v>
      </c>
    </row>
    <row r="2138" spans="10:11">
      <c r="J2138" s="3">
        <v>37686</v>
      </c>
      <c r="K2138" s="5">
        <v>3.5259999999999998</v>
      </c>
    </row>
    <row r="2139" spans="10:11">
      <c r="J2139" s="3">
        <v>37687</v>
      </c>
      <c r="K2139" s="5">
        <v>3.5009999999999999</v>
      </c>
    </row>
    <row r="2140" spans="10:11">
      <c r="J2140" s="3">
        <v>37690</v>
      </c>
      <c r="K2140" s="5">
        <v>3.5280999999999998</v>
      </c>
    </row>
    <row r="2141" spans="10:11">
      <c r="J2141" s="3">
        <v>37691</v>
      </c>
      <c r="K2141" s="5">
        <v>3.5061</v>
      </c>
    </row>
    <row r="2142" spans="10:11">
      <c r="J2142" s="3">
        <v>37692</v>
      </c>
      <c r="K2142" s="5">
        <v>3.4763000000000002</v>
      </c>
    </row>
    <row r="2143" spans="10:11">
      <c r="J2143" s="3">
        <v>37693</v>
      </c>
      <c r="K2143" s="5">
        <v>3.4293</v>
      </c>
    </row>
    <row r="2144" spans="10:11">
      <c r="J2144" s="3">
        <v>37694</v>
      </c>
      <c r="K2144" s="5">
        <v>3.3957999999999999</v>
      </c>
    </row>
    <row r="2145" spans="10:11">
      <c r="J2145" s="3">
        <v>37697</v>
      </c>
      <c r="K2145" s="5">
        <v>3.4441999999999999</v>
      </c>
    </row>
    <row r="2146" spans="10:11">
      <c r="J2146" s="3">
        <v>37698</v>
      </c>
      <c r="K2146" s="5">
        <v>3.4308000000000001</v>
      </c>
    </row>
    <row r="2147" spans="10:11">
      <c r="J2147" s="3">
        <v>37699</v>
      </c>
      <c r="K2147" s="5">
        <v>3.4575999999999998</v>
      </c>
    </row>
    <row r="2148" spans="10:11">
      <c r="J2148" s="3">
        <v>37700</v>
      </c>
      <c r="K2148" s="5">
        <v>3.4830000000000001</v>
      </c>
    </row>
    <row r="2149" spans="10:11">
      <c r="J2149" s="3">
        <v>37701</v>
      </c>
      <c r="K2149" s="5">
        <v>3.4462000000000002</v>
      </c>
    </row>
    <row r="2150" spans="10:11">
      <c r="J2150" s="3">
        <v>37704</v>
      </c>
      <c r="K2150" s="5">
        <v>3.407</v>
      </c>
    </row>
    <row r="2151" spans="10:11">
      <c r="J2151" s="3">
        <v>37705</v>
      </c>
      <c r="K2151" s="5">
        <v>3.3892000000000002</v>
      </c>
    </row>
    <row r="2152" spans="10:11">
      <c r="J2152" s="3">
        <v>37706</v>
      </c>
      <c r="K2152" s="5">
        <v>3.3746999999999998</v>
      </c>
    </row>
    <row r="2153" spans="10:11">
      <c r="J2153" s="3">
        <v>37707</v>
      </c>
      <c r="K2153" s="5">
        <v>3.4030999999999998</v>
      </c>
    </row>
    <row r="2154" spans="10:11">
      <c r="J2154" s="3">
        <v>37708</v>
      </c>
      <c r="K2154" s="5">
        <v>3.3757000000000001</v>
      </c>
    </row>
    <row r="2155" spans="10:11">
      <c r="J2155" s="3">
        <v>37711</v>
      </c>
      <c r="K2155" s="5">
        <v>3.3531</v>
      </c>
    </row>
    <row r="2156" spans="10:11">
      <c r="J2156" s="3">
        <v>37712</v>
      </c>
      <c r="K2156" s="5">
        <v>3.3359000000000001</v>
      </c>
    </row>
    <row r="2157" spans="10:11">
      <c r="J2157" s="3">
        <v>37713</v>
      </c>
      <c r="K2157" s="5">
        <v>3.2795000000000001</v>
      </c>
    </row>
    <row r="2158" spans="10:11">
      <c r="J2158" s="3">
        <v>37714</v>
      </c>
      <c r="K2158" s="5">
        <v>3.2563</v>
      </c>
    </row>
    <row r="2159" spans="10:11">
      <c r="J2159" s="3">
        <v>37715</v>
      </c>
      <c r="K2159" s="5">
        <v>3.2469000000000001</v>
      </c>
    </row>
    <row r="2160" spans="10:11">
      <c r="J2160" s="3">
        <v>37718</v>
      </c>
      <c r="K2160" s="5">
        <v>3.1722999999999999</v>
      </c>
    </row>
    <row r="2161" spans="10:11">
      <c r="J2161" s="3">
        <v>37719</v>
      </c>
      <c r="K2161" s="5">
        <v>3.1648999999999998</v>
      </c>
    </row>
    <row r="2162" spans="10:11">
      <c r="J2162" s="3">
        <v>37720</v>
      </c>
      <c r="K2162" s="5">
        <v>3.1857000000000002</v>
      </c>
    </row>
    <row r="2163" spans="10:11">
      <c r="J2163" s="3">
        <v>37721</v>
      </c>
      <c r="K2163" s="5">
        <v>3.2157</v>
      </c>
    </row>
    <row r="2164" spans="10:11">
      <c r="J2164" s="3">
        <v>37722</v>
      </c>
      <c r="K2164" s="5">
        <v>3.2147000000000001</v>
      </c>
    </row>
    <row r="2165" spans="10:11">
      <c r="J2165" s="3">
        <v>37725</v>
      </c>
      <c r="K2165" s="5">
        <v>3.1818</v>
      </c>
    </row>
    <row r="2166" spans="10:11">
      <c r="J2166" s="3">
        <v>37726</v>
      </c>
      <c r="K2166" s="5">
        <v>3.1154000000000002</v>
      </c>
    </row>
    <row r="2167" spans="10:11">
      <c r="J2167" s="3">
        <v>37727</v>
      </c>
      <c r="K2167" s="5">
        <v>3.0752000000000002</v>
      </c>
    </row>
    <row r="2168" spans="10:11">
      <c r="J2168" s="3">
        <v>37728</v>
      </c>
      <c r="K2168" s="5">
        <v>3.0289000000000001</v>
      </c>
    </row>
    <row r="2169" spans="10:11">
      <c r="J2169" s="3">
        <v>37733</v>
      </c>
      <c r="K2169" s="5">
        <v>3.0638999999999998</v>
      </c>
    </row>
    <row r="2170" spans="10:11">
      <c r="J2170" s="3">
        <v>37734</v>
      </c>
      <c r="K2170" s="5">
        <v>3.0146999999999999</v>
      </c>
    </row>
    <row r="2171" spans="10:11">
      <c r="J2171" s="3">
        <v>37735</v>
      </c>
      <c r="K2171" s="5">
        <v>3.0028999999999999</v>
      </c>
    </row>
    <row r="2172" spans="10:11">
      <c r="J2172" s="3">
        <v>37736</v>
      </c>
      <c r="K2172" s="5">
        <v>3.0123000000000002</v>
      </c>
    </row>
    <row r="2173" spans="10:11">
      <c r="J2173" s="3">
        <v>37739</v>
      </c>
      <c r="K2173" s="5">
        <v>2.9914999999999998</v>
      </c>
    </row>
    <row r="2174" spans="10:11">
      <c r="J2174" s="3">
        <v>37740</v>
      </c>
      <c r="K2174" s="5">
        <v>2.9251</v>
      </c>
    </row>
    <row r="2175" spans="10:11">
      <c r="J2175" s="3">
        <v>37741</v>
      </c>
      <c r="K2175" s="5">
        <v>2.8898000000000001</v>
      </c>
    </row>
    <row r="2176" spans="10:11">
      <c r="J2176" s="3">
        <v>37743</v>
      </c>
      <c r="K2176" s="5">
        <v>2.9159000000000002</v>
      </c>
    </row>
    <row r="2177" spans="10:11">
      <c r="J2177" s="3">
        <v>37746</v>
      </c>
      <c r="K2177" s="5">
        <v>2.9845000000000002</v>
      </c>
    </row>
    <row r="2178" spans="10:11">
      <c r="J2178" s="3">
        <v>37747</v>
      </c>
      <c r="K2178" s="5">
        <v>3.0276999999999998</v>
      </c>
    </row>
    <row r="2179" spans="10:11">
      <c r="J2179" s="3">
        <v>37748</v>
      </c>
      <c r="K2179" s="5">
        <v>2.9639000000000002</v>
      </c>
    </row>
    <row r="2180" spans="10:11">
      <c r="J2180" s="3">
        <v>37749</v>
      </c>
      <c r="K2180" s="5">
        <v>2.9177</v>
      </c>
    </row>
    <row r="2181" spans="10:11">
      <c r="J2181" s="3">
        <v>37750</v>
      </c>
      <c r="K2181" s="5">
        <v>2.8801999999999999</v>
      </c>
    </row>
    <row r="2182" spans="10:11">
      <c r="J2182" s="3">
        <v>37753</v>
      </c>
      <c r="K2182" s="5">
        <v>2.8757000000000001</v>
      </c>
    </row>
    <row r="2183" spans="10:11">
      <c r="J2183" s="3">
        <v>37754</v>
      </c>
      <c r="K2183" s="5">
        <v>2.8653</v>
      </c>
    </row>
    <row r="2184" spans="10:11">
      <c r="J2184" s="3">
        <v>37755</v>
      </c>
      <c r="K2184" s="5">
        <v>2.8902000000000001</v>
      </c>
    </row>
    <row r="2185" spans="10:11">
      <c r="J2185" s="3">
        <v>37756</v>
      </c>
      <c r="K2185" s="5">
        <v>2.9306000000000001</v>
      </c>
    </row>
    <row r="2186" spans="10:11">
      <c r="J2186" s="3">
        <v>37757</v>
      </c>
      <c r="K2186" s="5">
        <v>2.9731000000000001</v>
      </c>
    </row>
    <row r="2187" spans="10:11">
      <c r="J2187" s="3">
        <v>37760</v>
      </c>
      <c r="K2187" s="5">
        <v>2.9815</v>
      </c>
    </row>
    <row r="2188" spans="10:11">
      <c r="J2188" s="3">
        <v>37761</v>
      </c>
      <c r="K2188" s="5">
        <v>3.0141</v>
      </c>
    </row>
    <row r="2189" spans="10:11">
      <c r="J2189" s="3">
        <v>37762</v>
      </c>
      <c r="K2189" s="5">
        <v>3.0108999999999999</v>
      </c>
    </row>
    <row r="2190" spans="10:11">
      <c r="J2190" s="3">
        <v>37763</v>
      </c>
      <c r="K2190" s="5">
        <v>2.9842</v>
      </c>
    </row>
    <row r="2191" spans="10:11">
      <c r="J2191" s="3">
        <v>37764</v>
      </c>
      <c r="K2191" s="5">
        <v>2.9445000000000001</v>
      </c>
    </row>
    <row r="2192" spans="10:11">
      <c r="J2192" s="3">
        <v>37767</v>
      </c>
      <c r="K2192" s="5">
        <v>2.9565000000000001</v>
      </c>
    </row>
    <row r="2193" spans="10:11">
      <c r="J2193" s="3">
        <v>37768</v>
      </c>
      <c r="K2193" s="5">
        <v>3.0257000000000001</v>
      </c>
    </row>
    <row r="2194" spans="10:11">
      <c r="J2194" s="3">
        <v>37769</v>
      </c>
      <c r="K2194" s="5">
        <v>3.0139999999999998</v>
      </c>
    </row>
    <row r="2195" spans="10:11">
      <c r="J2195" s="3">
        <v>37770</v>
      </c>
      <c r="K2195" s="5">
        <v>2.9487999999999999</v>
      </c>
    </row>
    <row r="2196" spans="10:11">
      <c r="J2196" s="3">
        <v>37771</v>
      </c>
      <c r="K2196" s="5">
        <v>2.9655999999999998</v>
      </c>
    </row>
    <row r="2197" spans="10:11">
      <c r="J2197" s="3">
        <v>37774</v>
      </c>
      <c r="K2197" s="5">
        <v>2.9780000000000002</v>
      </c>
    </row>
    <row r="2198" spans="10:11">
      <c r="J2198" s="3">
        <v>37775</v>
      </c>
      <c r="K2198" s="5">
        <v>2.964</v>
      </c>
    </row>
    <row r="2199" spans="10:11">
      <c r="J2199" s="3">
        <v>37776</v>
      </c>
      <c r="K2199" s="5">
        <v>2.9112</v>
      </c>
    </row>
    <row r="2200" spans="10:11">
      <c r="J2200" s="3">
        <v>37777</v>
      </c>
      <c r="K2200" s="5">
        <v>2.8929</v>
      </c>
    </row>
    <row r="2201" spans="10:11">
      <c r="J2201" s="3">
        <v>37778</v>
      </c>
      <c r="K2201" s="5">
        <v>2.8491</v>
      </c>
    </row>
    <row r="2202" spans="10:11">
      <c r="J2202" s="3">
        <v>37781</v>
      </c>
      <c r="K2202" s="5">
        <v>2.8681999999999999</v>
      </c>
    </row>
    <row r="2203" spans="10:11">
      <c r="J2203" s="3">
        <v>37782</v>
      </c>
      <c r="K2203" s="5">
        <v>2.8603000000000001</v>
      </c>
    </row>
    <row r="2204" spans="10:11">
      <c r="J2204" s="3">
        <v>37783</v>
      </c>
      <c r="K2204" s="5">
        <v>2.8692000000000002</v>
      </c>
    </row>
    <row r="2205" spans="10:11">
      <c r="J2205" s="3">
        <v>37784</v>
      </c>
      <c r="K2205" s="5">
        <v>2.8620000000000001</v>
      </c>
    </row>
    <row r="2206" spans="10:11">
      <c r="J2206" s="3">
        <v>37785</v>
      </c>
      <c r="K2206" s="5">
        <v>2.8570000000000002</v>
      </c>
    </row>
    <row r="2207" spans="10:11">
      <c r="J2207" s="3">
        <v>37788</v>
      </c>
      <c r="K2207" s="5">
        <v>2.8508</v>
      </c>
    </row>
    <row r="2208" spans="10:11">
      <c r="J2208" s="3">
        <v>37789</v>
      </c>
      <c r="K2208" s="5">
        <v>2.8744000000000001</v>
      </c>
    </row>
    <row r="2209" spans="10:11">
      <c r="J2209" s="3">
        <v>37790</v>
      </c>
      <c r="K2209" s="5">
        <v>2.8902000000000001</v>
      </c>
    </row>
    <row r="2210" spans="10:11">
      <c r="J2210" s="3">
        <v>37792</v>
      </c>
      <c r="K2210" s="5">
        <v>2.8933</v>
      </c>
    </row>
    <row r="2211" spans="10:11">
      <c r="J2211" s="3">
        <v>37795</v>
      </c>
      <c r="K2211" s="5">
        <v>2.8788</v>
      </c>
    </row>
    <row r="2212" spans="10:11">
      <c r="J2212" s="3">
        <v>37796</v>
      </c>
      <c r="K2212" s="5">
        <v>2.8616000000000001</v>
      </c>
    </row>
    <row r="2213" spans="10:11">
      <c r="J2213" s="3">
        <v>37797</v>
      </c>
      <c r="K2213" s="5">
        <v>2.8559000000000001</v>
      </c>
    </row>
    <row r="2214" spans="10:11">
      <c r="J2214" s="3">
        <v>37798</v>
      </c>
      <c r="K2214" s="5">
        <v>2.8940000000000001</v>
      </c>
    </row>
    <row r="2215" spans="10:11">
      <c r="J2215" s="3">
        <v>37799</v>
      </c>
      <c r="K2215" s="5">
        <v>2.8812000000000002</v>
      </c>
    </row>
    <row r="2216" spans="10:11">
      <c r="J2216" s="3">
        <v>37802</v>
      </c>
      <c r="K2216" s="5">
        <v>2.8719999999999999</v>
      </c>
    </row>
    <row r="2217" spans="10:11">
      <c r="J2217" s="3">
        <v>37803</v>
      </c>
      <c r="K2217" s="5">
        <v>2.8443000000000001</v>
      </c>
    </row>
    <row r="2218" spans="10:11">
      <c r="J2218" s="3">
        <v>37804</v>
      </c>
      <c r="K2218" s="5">
        <v>2.8218999999999999</v>
      </c>
    </row>
    <row r="2219" spans="10:11">
      <c r="J2219" s="3">
        <v>37805</v>
      </c>
      <c r="K2219" s="5">
        <v>2.8332000000000002</v>
      </c>
    </row>
    <row r="2220" spans="10:11">
      <c r="J2220" s="3">
        <v>37806</v>
      </c>
      <c r="K2220" s="5">
        <v>2.8298999999999999</v>
      </c>
    </row>
    <row r="2221" spans="10:11">
      <c r="J2221" s="3">
        <v>37809</v>
      </c>
      <c r="K2221" s="5">
        <v>2.8675999999999999</v>
      </c>
    </row>
    <row r="2222" spans="10:11">
      <c r="J2222" s="3">
        <v>37810</v>
      </c>
      <c r="K2222" s="5">
        <v>2.8822999999999999</v>
      </c>
    </row>
    <row r="2223" spans="10:11">
      <c r="J2223" s="3">
        <v>37811</v>
      </c>
      <c r="K2223" s="5">
        <v>2.8671000000000002</v>
      </c>
    </row>
    <row r="2224" spans="10:11">
      <c r="J2224" s="3">
        <v>37812</v>
      </c>
      <c r="K2224" s="5">
        <v>2.8921999999999999</v>
      </c>
    </row>
    <row r="2225" spans="10:11">
      <c r="J2225" s="3">
        <v>37813</v>
      </c>
      <c r="K2225" s="5">
        <v>2.9028999999999998</v>
      </c>
    </row>
    <row r="2226" spans="10:11">
      <c r="J2226" s="3">
        <v>37816</v>
      </c>
      <c r="K2226" s="5">
        <v>2.8753000000000002</v>
      </c>
    </row>
    <row r="2227" spans="10:11">
      <c r="J2227" s="3">
        <v>37817</v>
      </c>
      <c r="K2227" s="5">
        <v>2.8553999999999999</v>
      </c>
    </row>
    <row r="2228" spans="10:11">
      <c r="J2228" s="3">
        <v>37818</v>
      </c>
      <c r="K2228" s="5">
        <v>2.8677000000000001</v>
      </c>
    </row>
    <row r="2229" spans="10:11">
      <c r="J2229" s="3">
        <v>37819</v>
      </c>
      <c r="K2229" s="5">
        <v>2.8563000000000001</v>
      </c>
    </row>
    <row r="2230" spans="10:11">
      <c r="J2230" s="3">
        <v>37820</v>
      </c>
      <c r="K2230" s="5">
        <v>2.8774000000000002</v>
      </c>
    </row>
    <row r="2231" spans="10:11">
      <c r="J2231" s="3">
        <v>37823</v>
      </c>
      <c r="K2231" s="5">
        <v>2.8828</v>
      </c>
    </row>
    <row r="2232" spans="10:11">
      <c r="J2232" s="3">
        <v>37824</v>
      </c>
      <c r="K2232" s="5">
        <v>2.8826000000000001</v>
      </c>
    </row>
    <row r="2233" spans="10:11">
      <c r="J2233" s="3">
        <v>37825</v>
      </c>
      <c r="K2233" s="5">
        <v>2.8877999999999999</v>
      </c>
    </row>
    <row r="2234" spans="10:11">
      <c r="J2234" s="3">
        <v>37826</v>
      </c>
      <c r="K2234" s="5">
        <v>2.8961000000000001</v>
      </c>
    </row>
    <row r="2235" spans="10:11">
      <c r="J2235" s="3">
        <v>37827</v>
      </c>
      <c r="K2235" s="5">
        <v>2.8885000000000001</v>
      </c>
    </row>
    <row r="2236" spans="10:11">
      <c r="J2236" s="3">
        <v>37830</v>
      </c>
      <c r="K2236" s="5">
        <v>2.8965000000000001</v>
      </c>
    </row>
    <row r="2237" spans="10:11">
      <c r="J2237" s="3">
        <v>37831</v>
      </c>
      <c r="K2237" s="5">
        <v>2.9155000000000002</v>
      </c>
    </row>
    <row r="2238" spans="10:11">
      <c r="J2238" s="3">
        <v>37832</v>
      </c>
      <c r="K2238" s="5">
        <v>2.9472999999999998</v>
      </c>
    </row>
    <row r="2239" spans="10:11">
      <c r="J2239" s="3">
        <v>37833</v>
      </c>
      <c r="K2239" s="5">
        <v>2.9655</v>
      </c>
    </row>
    <row r="2240" spans="10:11">
      <c r="J2240" s="3">
        <v>37834</v>
      </c>
      <c r="K2240" s="5">
        <v>3.0005999999999999</v>
      </c>
    </row>
    <row r="2241" spans="10:11">
      <c r="J2241" s="3">
        <v>37837</v>
      </c>
      <c r="K2241" s="5">
        <v>3.0739999999999998</v>
      </c>
    </row>
    <row r="2242" spans="10:11">
      <c r="J2242" s="3">
        <v>37838</v>
      </c>
      <c r="K2242" s="5">
        <v>3.0366</v>
      </c>
    </row>
    <row r="2243" spans="10:11">
      <c r="J2243" s="3">
        <v>37839</v>
      </c>
      <c r="K2243" s="5">
        <v>3.0390000000000001</v>
      </c>
    </row>
    <row r="2244" spans="10:11">
      <c r="J2244" s="3">
        <v>37840</v>
      </c>
      <c r="K2244" s="5">
        <v>3.0068999999999999</v>
      </c>
    </row>
    <row r="2245" spans="10:11">
      <c r="J2245" s="3">
        <v>37841</v>
      </c>
      <c r="K2245" s="5">
        <v>2.9891999999999999</v>
      </c>
    </row>
    <row r="2246" spans="10:11">
      <c r="J2246" s="3">
        <v>37844</v>
      </c>
      <c r="K2246" s="5">
        <v>2.9944999999999999</v>
      </c>
    </row>
    <row r="2247" spans="10:11">
      <c r="J2247" s="3">
        <v>37845</v>
      </c>
      <c r="K2247" s="5">
        <v>3.0236999999999998</v>
      </c>
    </row>
    <row r="2248" spans="10:11">
      <c r="J2248" s="3">
        <v>37846</v>
      </c>
      <c r="K2248" s="5">
        <v>3.0308999999999999</v>
      </c>
    </row>
    <row r="2249" spans="10:11">
      <c r="J2249" s="3">
        <v>37847</v>
      </c>
      <c r="K2249" s="5">
        <v>3.0139999999999998</v>
      </c>
    </row>
    <row r="2250" spans="10:11">
      <c r="J2250" s="3">
        <v>37848</v>
      </c>
      <c r="K2250" s="5">
        <v>2.9929999999999999</v>
      </c>
    </row>
    <row r="2251" spans="10:11">
      <c r="J2251" s="3">
        <v>37851</v>
      </c>
      <c r="K2251" s="5">
        <v>2.9847999999999999</v>
      </c>
    </row>
    <row r="2252" spans="10:11">
      <c r="J2252" s="3">
        <v>37852</v>
      </c>
      <c r="K2252" s="5">
        <v>2.9973000000000001</v>
      </c>
    </row>
    <row r="2253" spans="10:11">
      <c r="J2253" s="3">
        <v>37853</v>
      </c>
      <c r="K2253" s="5">
        <v>3.0009999999999999</v>
      </c>
    </row>
    <row r="2254" spans="10:11">
      <c r="J2254" s="3">
        <v>37854</v>
      </c>
      <c r="K2254" s="5">
        <v>3.0032000000000001</v>
      </c>
    </row>
    <row r="2255" spans="10:11">
      <c r="J2255" s="3">
        <v>37855</v>
      </c>
      <c r="K2255" s="5">
        <v>2.9925999999999999</v>
      </c>
    </row>
    <row r="2256" spans="10:11">
      <c r="J2256" s="3">
        <v>37858</v>
      </c>
      <c r="K2256" s="5">
        <v>2.9895</v>
      </c>
    </row>
    <row r="2257" spans="10:11">
      <c r="J2257" s="3">
        <v>37859</v>
      </c>
      <c r="K2257" s="5">
        <v>2.9895999999999998</v>
      </c>
    </row>
    <row r="2258" spans="10:11">
      <c r="J2258" s="3">
        <v>37860</v>
      </c>
      <c r="K2258" s="5">
        <v>2.9733999999999998</v>
      </c>
    </row>
    <row r="2259" spans="10:11">
      <c r="J2259" s="3">
        <v>37861</v>
      </c>
      <c r="K2259" s="5">
        <v>2.9531000000000001</v>
      </c>
    </row>
    <row r="2260" spans="10:11">
      <c r="J2260" s="3">
        <v>37862</v>
      </c>
      <c r="K2260" s="5">
        <v>2.9664999999999999</v>
      </c>
    </row>
    <row r="2261" spans="10:11">
      <c r="J2261" s="3">
        <v>37865</v>
      </c>
      <c r="K2261" s="5">
        <v>2.984</v>
      </c>
    </row>
    <row r="2262" spans="10:11">
      <c r="J2262" s="3">
        <v>37866</v>
      </c>
      <c r="K2262" s="5">
        <v>2.9788999999999999</v>
      </c>
    </row>
    <row r="2263" spans="10:11">
      <c r="J2263" s="3">
        <v>37867</v>
      </c>
      <c r="K2263" s="5">
        <v>2.9567999999999999</v>
      </c>
    </row>
    <row r="2264" spans="10:11">
      <c r="J2264" s="3">
        <v>37868</v>
      </c>
      <c r="K2264" s="5">
        <v>2.9418000000000002</v>
      </c>
    </row>
    <row r="2265" spans="10:11">
      <c r="J2265" s="3">
        <v>37869</v>
      </c>
      <c r="K2265" s="5">
        <v>2.9216000000000002</v>
      </c>
    </row>
    <row r="2266" spans="10:11">
      <c r="J2266" s="3">
        <v>37872</v>
      </c>
      <c r="K2266" s="5">
        <v>2.9155000000000002</v>
      </c>
    </row>
    <row r="2267" spans="10:11">
      <c r="J2267" s="3">
        <v>37873</v>
      </c>
      <c r="K2267" s="5">
        <v>2.9306000000000001</v>
      </c>
    </row>
    <row r="2268" spans="10:11">
      <c r="J2268" s="3">
        <v>37874</v>
      </c>
      <c r="K2268" s="5">
        <v>2.9125000000000001</v>
      </c>
    </row>
    <row r="2269" spans="10:11">
      <c r="J2269" s="3">
        <v>37875</v>
      </c>
      <c r="K2269" s="5">
        <v>2.8990999999999998</v>
      </c>
    </row>
    <row r="2270" spans="10:11">
      <c r="J2270" s="3">
        <v>37876</v>
      </c>
      <c r="K2270" s="5">
        <v>2.8959000000000001</v>
      </c>
    </row>
    <row r="2271" spans="10:11">
      <c r="J2271" s="3">
        <v>37879</v>
      </c>
      <c r="K2271" s="5">
        <v>2.8898000000000001</v>
      </c>
    </row>
    <row r="2272" spans="10:11">
      <c r="J2272" s="3">
        <v>37880</v>
      </c>
      <c r="K2272" s="5">
        <v>2.8967000000000001</v>
      </c>
    </row>
    <row r="2273" spans="10:11">
      <c r="J2273" s="3">
        <v>37881</v>
      </c>
      <c r="K2273" s="5">
        <v>2.9056999999999999</v>
      </c>
    </row>
    <row r="2274" spans="10:11">
      <c r="J2274" s="3">
        <v>37882</v>
      </c>
      <c r="K2274" s="5">
        <v>2.8975</v>
      </c>
    </row>
    <row r="2275" spans="10:11">
      <c r="J2275" s="3">
        <v>37883</v>
      </c>
      <c r="K2275" s="5">
        <v>2.9064999999999999</v>
      </c>
    </row>
    <row r="2276" spans="10:11">
      <c r="J2276" s="3">
        <v>37886</v>
      </c>
      <c r="K2276" s="5">
        <v>2.9020999999999999</v>
      </c>
    </row>
    <row r="2277" spans="10:11">
      <c r="J2277" s="3">
        <v>37887</v>
      </c>
      <c r="K2277" s="5">
        <v>2.9144999999999999</v>
      </c>
    </row>
    <row r="2278" spans="10:11">
      <c r="J2278" s="3">
        <v>37888</v>
      </c>
      <c r="K2278" s="5">
        <v>2.9243999999999999</v>
      </c>
    </row>
    <row r="2279" spans="10:11">
      <c r="J2279" s="3">
        <v>37889</v>
      </c>
      <c r="K2279" s="5">
        <v>2.9306000000000001</v>
      </c>
    </row>
    <row r="2280" spans="10:11">
      <c r="J2280" s="3">
        <v>37890</v>
      </c>
      <c r="K2280" s="5">
        <v>2.9373</v>
      </c>
    </row>
    <row r="2281" spans="10:11">
      <c r="J2281" s="3">
        <v>37893</v>
      </c>
      <c r="K2281" s="5">
        <v>2.9373999999999998</v>
      </c>
    </row>
    <row r="2282" spans="10:11">
      <c r="J2282" s="3">
        <v>37894</v>
      </c>
      <c r="K2282" s="5">
        <v>2.9234</v>
      </c>
    </row>
    <row r="2283" spans="10:11">
      <c r="J2283" s="3">
        <v>37895</v>
      </c>
      <c r="K2283" s="5">
        <v>2.9034</v>
      </c>
    </row>
    <row r="2284" spans="10:11">
      <c r="J2284" s="3">
        <v>37896</v>
      </c>
      <c r="K2284" s="5">
        <v>2.8988999999999998</v>
      </c>
    </row>
    <row r="2285" spans="10:11">
      <c r="J2285" s="3">
        <v>37897</v>
      </c>
      <c r="K2285" s="5">
        <v>2.8875000000000002</v>
      </c>
    </row>
    <row r="2286" spans="10:11">
      <c r="J2286" s="3">
        <v>37900</v>
      </c>
      <c r="K2286" s="5">
        <v>2.875</v>
      </c>
    </row>
    <row r="2287" spans="10:11">
      <c r="J2287" s="3">
        <v>37901</v>
      </c>
      <c r="K2287" s="5">
        <v>2.87</v>
      </c>
    </row>
    <row r="2288" spans="10:11">
      <c r="J2288" s="3">
        <v>37902</v>
      </c>
      <c r="K2288" s="5">
        <v>2.8439999999999999</v>
      </c>
    </row>
    <row r="2289" spans="10:11">
      <c r="J2289" s="3">
        <v>37903</v>
      </c>
      <c r="K2289" s="5">
        <v>2.8420000000000001</v>
      </c>
    </row>
    <row r="2290" spans="10:11">
      <c r="J2290" s="3">
        <v>37904</v>
      </c>
      <c r="K2290" s="5">
        <v>2.84</v>
      </c>
    </row>
    <row r="2291" spans="10:11">
      <c r="J2291" s="3">
        <v>37907</v>
      </c>
      <c r="K2291" s="5">
        <v>2.8370000000000002</v>
      </c>
    </row>
    <row r="2292" spans="10:11">
      <c r="J2292" s="3">
        <v>37908</v>
      </c>
      <c r="K2292" s="5">
        <v>2.8420000000000001</v>
      </c>
    </row>
    <row r="2293" spans="10:11">
      <c r="J2293" s="3">
        <v>37909</v>
      </c>
      <c r="K2293" s="5">
        <v>2.8260000000000001</v>
      </c>
    </row>
    <row r="2294" spans="10:11">
      <c r="J2294" s="3">
        <v>37910</v>
      </c>
      <c r="K2294" s="5">
        <v>2.84</v>
      </c>
    </row>
    <row r="2295" spans="10:11">
      <c r="J2295" s="3">
        <v>37911</v>
      </c>
      <c r="K2295" s="5">
        <v>2.863</v>
      </c>
    </row>
    <row r="2296" spans="10:11">
      <c r="J2296" s="3">
        <v>37914</v>
      </c>
      <c r="K2296" s="5">
        <v>2.883</v>
      </c>
    </row>
    <row r="2297" spans="10:11">
      <c r="J2297" s="3">
        <v>37915</v>
      </c>
      <c r="K2297" s="5">
        <v>2.8639999999999999</v>
      </c>
    </row>
    <row r="2298" spans="10:11">
      <c r="J2298" s="3">
        <v>37916</v>
      </c>
      <c r="K2298" s="5">
        <v>2.86</v>
      </c>
    </row>
    <row r="2299" spans="10:11">
      <c r="J2299" s="3">
        <v>37917</v>
      </c>
      <c r="K2299" s="5">
        <v>2.8690000000000002</v>
      </c>
    </row>
    <row r="2300" spans="10:11">
      <c r="J2300" s="3">
        <v>37918</v>
      </c>
      <c r="K2300" s="5">
        <v>2.8690000000000002</v>
      </c>
    </row>
    <row r="2301" spans="10:11">
      <c r="J2301" s="3">
        <v>37921</v>
      </c>
      <c r="K2301" s="5">
        <v>2.8719999999999999</v>
      </c>
    </row>
    <row r="2302" spans="10:11">
      <c r="J2302" s="3">
        <v>37922</v>
      </c>
      <c r="K2302" s="5">
        <v>2.867</v>
      </c>
    </row>
    <row r="2303" spans="10:11">
      <c r="J2303" s="3">
        <v>37923</v>
      </c>
      <c r="K2303" s="5">
        <v>2.8530000000000002</v>
      </c>
    </row>
    <row r="2304" spans="10:11">
      <c r="J2304" s="3">
        <v>37924</v>
      </c>
      <c r="K2304" s="5">
        <v>2.8439999999999999</v>
      </c>
    </row>
    <row r="2305" spans="10:11">
      <c r="J2305" s="3">
        <v>37925</v>
      </c>
      <c r="K2305" s="5">
        <v>2.8559999999999999</v>
      </c>
    </row>
    <row r="2306" spans="10:11">
      <c r="J2306" s="3">
        <v>37928</v>
      </c>
      <c r="K2306" s="5">
        <v>2.855</v>
      </c>
    </row>
    <row r="2307" spans="10:11">
      <c r="J2307" s="3">
        <v>37929</v>
      </c>
      <c r="K2307" s="5">
        <v>2.86</v>
      </c>
    </row>
    <row r="2308" spans="10:11">
      <c r="J2308" s="3">
        <v>37930</v>
      </c>
      <c r="K2308" s="5">
        <v>2.859</v>
      </c>
    </row>
    <row r="2309" spans="10:11">
      <c r="J2309" s="3">
        <v>37932</v>
      </c>
      <c r="K2309" s="5">
        <v>2.8690000000000002</v>
      </c>
    </row>
    <row r="2310" spans="10:11">
      <c r="J2310" s="3">
        <v>37935</v>
      </c>
      <c r="K2310" s="5">
        <v>2.88</v>
      </c>
    </row>
    <row r="2311" spans="10:11">
      <c r="J2311" s="3">
        <v>37936</v>
      </c>
      <c r="K2311" s="5">
        <v>2.895</v>
      </c>
    </row>
    <row r="2312" spans="10:11">
      <c r="J2312" s="3">
        <v>37937</v>
      </c>
      <c r="K2312" s="5">
        <v>2.911</v>
      </c>
    </row>
    <row r="2313" spans="10:11">
      <c r="J2313" s="3">
        <v>37938</v>
      </c>
      <c r="K2313" s="5">
        <v>2.919</v>
      </c>
    </row>
    <row r="2314" spans="10:11">
      <c r="J2314" s="3">
        <v>37939</v>
      </c>
      <c r="K2314" s="5">
        <v>2.9409999999999998</v>
      </c>
    </row>
    <row r="2315" spans="10:11">
      <c r="J2315" s="3">
        <v>37942</v>
      </c>
      <c r="K2315" s="5">
        <v>2.9540000000000002</v>
      </c>
    </row>
    <row r="2316" spans="10:11">
      <c r="J2316" s="3">
        <v>37943</v>
      </c>
      <c r="K2316" s="5">
        <v>2.9420000000000002</v>
      </c>
    </row>
    <row r="2317" spans="10:11">
      <c r="J2317" s="3">
        <v>37944</v>
      </c>
      <c r="K2317" s="5">
        <v>2.95</v>
      </c>
    </row>
    <row r="2318" spans="10:11">
      <c r="J2318" s="3">
        <v>37945</v>
      </c>
      <c r="K2318" s="5">
        <v>2.948</v>
      </c>
    </row>
    <row r="2319" spans="10:11">
      <c r="J2319" s="3">
        <v>37946</v>
      </c>
      <c r="K2319" s="5">
        <v>2.93</v>
      </c>
    </row>
    <row r="2320" spans="10:11">
      <c r="J2320" s="3">
        <v>37949</v>
      </c>
      <c r="K2320" s="5">
        <v>2.927</v>
      </c>
    </row>
    <row r="2321" spans="10:11">
      <c r="J2321" s="3">
        <v>37950</v>
      </c>
      <c r="K2321" s="5">
        <v>2.9239999999999999</v>
      </c>
    </row>
    <row r="2322" spans="10:11">
      <c r="J2322" s="3">
        <v>37951</v>
      </c>
      <c r="K2322" s="5">
        <v>2.9359999999999999</v>
      </c>
    </row>
    <row r="2323" spans="10:11">
      <c r="J2323" s="3">
        <v>37952</v>
      </c>
      <c r="K2323" s="5">
        <v>2.9470000000000001</v>
      </c>
    </row>
    <row r="2324" spans="10:11">
      <c r="J2324" s="3">
        <v>37953</v>
      </c>
      <c r="K2324" s="5">
        <v>2.9489999999999998</v>
      </c>
    </row>
    <row r="2325" spans="10:11">
      <c r="J2325" s="3">
        <v>37956</v>
      </c>
      <c r="K2325" s="5">
        <v>2.9340000000000002</v>
      </c>
    </row>
    <row r="2326" spans="10:11">
      <c r="J2326" s="3">
        <v>37957</v>
      </c>
      <c r="K2326" s="5">
        <v>2.927</v>
      </c>
    </row>
    <row r="2327" spans="10:11">
      <c r="J2327" s="3">
        <v>37958</v>
      </c>
      <c r="K2327" s="5">
        <v>2.931</v>
      </c>
    </row>
    <row r="2328" spans="10:11">
      <c r="J2328" s="3">
        <v>37959</v>
      </c>
      <c r="K2328" s="5">
        <v>2.94</v>
      </c>
    </row>
    <row r="2329" spans="10:11">
      <c r="J2329" s="3">
        <v>37960</v>
      </c>
      <c r="K2329" s="5">
        <v>2.9390000000000001</v>
      </c>
    </row>
    <row r="2330" spans="10:11">
      <c r="J2330" s="3">
        <v>37963</v>
      </c>
      <c r="K2330" s="5">
        <v>2.9420000000000002</v>
      </c>
    </row>
    <row r="2331" spans="10:11">
      <c r="J2331" s="3">
        <v>37964</v>
      </c>
      <c r="K2331" s="5">
        <v>2.9350000000000001</v>
      </c>
    </row>
    <row r="2332" spans="10:11">
      <c r="J2332" s="3">
        <v>37965</v>
      </c>
      <c r="K2332" s="5">
        <v>2.9420000000000002</v>
      </c>
    </row>
    <row r="2333" spans="10:11">
      <c r="J2333" s="3">
        <v>37966</v>
      </c>
      <c r="K2333" s="5">
        <v>2.9430000000000001</v>
      </c>
    </row>
    <row r="2334" spans="10:11">
      <c r="J2334" s="3">
        <v>37967</v>
      </c>
      <c r="K2334" s="5">
        <v>2.9420000000000002</v>
      </c>
    </row>
    <row r="2335" spans="10:11">
      <c r="J2335" s="3">
        <v>37970</v>
      </c>
      <c r="K2335" s="5">
        <v>2.9289999999999998</v>
      </c>
    </row>
    <row r="2336" spans="10:11">
      <c r="J2336" s="3">
        <v>37971</v>
      </c>
      <c r="K2336" s="5">
        <v>2.9319999999999999</v>
      </c>
    </row>
    <row r="2337" spans="10:11">
      <c r="J2337" s="3">
        <v>37972</v>
      </c>
      <c r="K2337" s="5">
        <v>2.9380000000000002</v>
      </c>
    </row>
    <row r="2338" spans="10:11">
      <c r="J2338" s="3">
        <v>37973</v>
      </c>
      <c r="K2338" s="5">
        <v>2.9340000000000002</v>
      </c>
    </row>
    <row r="2339" spans="10:11">
      <c r="J2339" s="3">
        <v>37974</v>
      </c>
      <c r="K2339" s="5">
        <v>2.927</v>
      </c>
    </row>
    <row r="2340" spans="10:11">
      <c r="J2340" s="3">
        <v>37977</v>
      </c>
      <c r="K2340" s="5">
        <v>2.923</v>
      </c>
    </row>
    <row r="2341" spans="10:11">
      <c r="J2341" s="3">
        <v>37978</v>
      </c>
      <c r="K2341" s="5">
        <v>2.9169999999999998</v>
      </c>
    </row>
    <row r="2342" spans="10:11">
      <c r="J2342" s="3">
        <v>37979</v>
      </c>
      <c r="K2342" s="5">
        <v>2.9079999999999999</v>
      </c>
    </row>
    <row r="2343" spans="10:11">
      <c r="J2343" s="3">
        <v>37981</v>
      </c>
      <c r="K2343" s="5">
        <v>2.899</v>
      </c>
    </row>
    <row r="2344" spans="10:11">
      <c r="J2344" s="3">
        <v>37984</v>
      </c>
      <c r="K2344" s="5">
        <v>2.8879999999999999</v>
      </c>
    </row>
    <row r="2345" spans="10:11">
      <c r="J2345" s="3">
        <v>37985</v>
      </c>
      <c r="K2345" s="5">
        <v>2.8889999999999998</v>
      </c>
    </row>
    <row r="2346" spans="10:11">
      <c r="J2346" s="3">
        <v>37986</v>
      </c>
      <c r="K2346" s="5">
        <v>2.8889999999999998</v>
      </c>
    </row>
    <row r="2347" spans="10:11">
      <c r="J2347" s="3">
        <v>37988</v>
      </c>
      <c r="K2347" s="5">
        <v>2.8860000000000001</v>
      </c>
    </row>
    <row r="2348" spans="10:11">
      <c r="J2348" s="3">
        <v>37991</v>
      </c>
      <c r="K2348" s="5">
        <v>2.8620000000000001</v>
      </c>
    </row>
    <row r="2349" spans="10:11">
      <c r="J2349" s="3">
        <v>37992</v>
      </c>
      <c r="K2349" s="5">
        <v>2.85</v>
      </c>
    </row>
    <row r="2350" spans="10:11">
      <c r="J2350" s="3">
        <v>37993</v>
      </c>
      <c r="K2350" s="5">
        <v>2.8719999999999999</v>
      </c>
    </row>
    <row r="2351" spans="10:11">
      <c r="J2351" s="3">
        <v>37994</v>
      </c>
      <c r="K2351" s="5">
        <v>2.8580000000000001</v>
      </c>
    </row>
    <row r="2352" spans="10:11">
      <c r="J2352" s="3">
        <v>37995</v>
      </c>
      <c r="K2352" s="5">
        <v>2.8420000000000001</v>
      </c>
    </row>
    <row r="2353" spans="10:11">
      <c r="J2353" s="3">
        <v>37998</v>
      </c>
      <c r="K2353" s="5">
        <v>2.8159999999999998</v>
      </c>
    </row>
    <row r="2354" spans="10:11">
      <c r="J2354" s="3">
        <v>37999</v>
      </c>
      <c r="K2354" s="5">
        <v>2.802</v>
      </c>
    </row>
    <row r="2355" spans="10:11">
      <c r="J2355" s="3">
        <v>38000</v>
      </c>
      <c r="K2355" s="5">
        <v>2.8140000000000001</v>
      </c>
    </row>
    <row r="2356" spans="10:11">
      <c r="J2356" s="3">
        <v>38001</v>
      </c>
      <c r="K2356" s="5">
        <v>2.8119999999999998</v>
      </c>
    </row>
    <row r="2357" spans="10:11">
      <c r="J2357" s="3">
        <v>38002</v>
      </c>
      <c r="K2357" s="5">
        <v>2.8180000000000001</v>
      </c>
    </row>
    <row r="2358" spans="10:11">
      <c r="J2358" s="3">
        <v>38005</v>
      </c>
      <c r="K2358" s="5">
        <v>2.8410000000000002</v>
      </c>
    </row>
    <row r="2359" spans="10:11">
      <c r="J2359" s="3">
        <v>38006</v>
      </c>
      <c r="K2359" s="5">
        <v>2.8380000000000001</v>
      </c>
    </row>
    <row r="2360" spans="10:11">
      <c r="J2360" s="3">
        <v>38007</v>
      </c>
      <c r="K2360" s="5">
        <v>2.8410000000000002</v>
      </c>
    </row>
    <row r="2361" spans="10:11">
      <c r="J2361" s="3">
        <v>38008</v>
      </c>
      <c r="K2361" s="5">
        <v>2.8410000000000002</v>
      </c>
    </row>
    <row r="2362" spans="10:11">
      <c r="J2362" s="3">
        <v>38009</v>
      </c>
      <c r="K2362" s="5">
        <v>2.843</v>
      </c>
    </row>
    <row r="2363" spans="10:11">
      <c r="J2363" s="3">
        <v>38012</v>
      </c>
      <c r="K2363" s="5">
        <v>2.843</v>
      </c>
    </row>
    <row r="2364" spans="10:11">
      <c r="J2364" s="3">
        <v>38013</v>
      </c>
      <c r="K2364" s="5">
        <v>2.8580000000000001</v>
      </c>
    </row>
    <row r="2365" spans="10:11">
      <c r="J2365" s="3">
        <v>38014</v>
      </c>
      <c r="K2365" s="5">
        <v>2.8780000000000001</v>
      </c>
    </row>
    <row r="2366" spans="10:11">
      <c r="J2366" s="3">
        <v>38015</v>
      </c>
      <c r="K2366" s="5">
        <v>2.923</v>
      </c>
    </row>
    <row r="2367" spans="10:11">
      <c r="J2367" s="3">
        <v>38016</v>
      </c>
      <c r="K2367" s="5">
        <v>2.94</v>
      </c>
    </row>
    <row r="2368" spans="10:11">
      <c r="J2368" s="3">
        <v>38019</v>
      </c>
      <c r="K2368" s="5">
        <v>2.948</v>
      </c>
    </row>
    <row r="2369" spans="10:11">
      <c r="J2369" s="3">
        <v>38020</v>
      </c>
      <c r="K2369" s="5">
        <v>2.9319999999999999</v>
      </c>
    </row>
    <row r="2370" spans="10:11">
      <c r="J2370" s="3">
        <v>38022</v>
      </c>
      <c r="K2370" s="5">
        <v>2.9329999999999998</v>
      </c>
    </row>
    <row r="2371" spans="10:11">
      <c r="J2371" s="3">
        <v>38023</v>
      </c>
      <c r="K2371" s="5">
        <v>2.95</v>
      </c>
    </row>
    <row r="2372" spans="10:11">
      <c r="J2372" s="3">
        <v>38026</v>
      </c>
      <c r="K2372" s="5">
        <v>2.9340000000000002</v>
      </c>
    </row>
    <row r="2373" spans="10:11">
      <c r="J2373" s="3">
        <v>38027</v>
      </c>
      <c r="K2373" s="5">
        <v>2.919</v>
      </c>
    </row>
    <row r="2374" spans="10:11">
      <c r="J2374" s="3">
        <v>38028</v>
      </c>
      <c r="K2374" s="5">
        <v>2.9249999999999998</v>
      </c>
    </row>
    <row r="2375" spans="10:11">
      <c r="J2375" s="3">
        <v>38029</v>
      </c>
      <c r="K2375" s="5">
        <v>2.9039999999999999</v>
      </c>
    </row>
    <row r="2376" spans="10:11">
      <c r="J2376" s="3">
        <v>38030</v>
      </c>
      <c r="K2376" s="5">
        <v>2.9079999999999999</v>
      </c>
    </row>
    <row r="2377" spans="10:11">
      <c r="J2377" s="3">
        <v>38033</v>
      </c>
      <c r="K2377" s="5">
        <v>2.9060000000000001</v>
      </c>
    </row>
    <row r="2378" spans="10:11">
      <c r="J2378" s="3">
        <v>38034</v>
      </c>
      <c r="K2378" s="5">
        <v>2.9119999999999999</v>
      </c>
    </row>
    <row r="2379" spans="10:11">
      <c r="J2379" s="3">
        <v>38036</v>
      </c>
      <c r="K2379" s="5">
        <v>2.95</v>
      </c>
    </row>
    <row r="2380" spans="10:11">
      <c r="J2380" s="3">
        <v>38037</v>
      </c>
      <c r="K2380" s="5">
        <v>2.9870000000000001</v>
      </c>
    </row>
    <row r="2381" spans="10:11">
      <c r="J2381" s="3">
        <v>38042</v>
      </c>
      <c r="K2381" s="5">
        <v>2.94</v>
      </c>
    </row>
    <row r="2382" spans="10:11">
      <c r="J2382" s="3">
        <v>38043</v>
      </c>
      <c r="K2382" s="5">
        <v>2.9359999999999999</v>
      </c>
    </row>
    <row r="2383" spans="10:11">
      <c r="J2383" s="3">
        <v>38044</v>
      </c>
      <c r="K2383" s="5">
        <v>2.9129999999999998</v>
      </c>
    </row>
    <row r="2384" spans="10:11">
      <c r="J2384" s="3">
        <v>38047</v>
      </c>
      <c r="K2384" s="5">
        <v>2.8940000000000001</v>
      </c>
    </row>
    <row r="2385" spans="10:11">
      <c r="J2385" s="3">
        <v>38048</v>
      </c>
      <c r="K2385" s="5">
        <v>2.9079999999999999</v>
      </c>
    </row>
    <row r="2386" spans="10:11">
      <c r="J2386" s="3">
        <v>38049</v>
      </c>
      <c r="K2386" s="5">
        <v>2.8809999999999998</v>
      </c>
    </row>
    <row r="2387" spans="10:11">
      <c r="J2387" s="3">
        <v>38050</v>
      </c>
      <c r="K2387" s="5">
        <v>2.887</v>
      </c>
    </row>
    <row r="2388" spans="10:11">
      <c r="J2388" s="3">
        <v>38051</v>
      </c>
      <c r="K2388" s="5">
        <v>2.879</v>
      </c>
    </row>
    <row r="2389" spans="10:11">
      <c r="J2389" s="3">
        <v>38054</v>
      </c>
      <c r="K2389" s="5">
        <v>2.875</v>
      </c>
    </row>
    <row r="2390" spans="10:11">
      <c r="J2390" s="3">
        <v>38055</v>
      </c>
      <c r="K2390" s="5">
        <v>2.875</v>
      </c>
    </row>
    <row r="2391" spans="10:11">
      <c r="J2391" s="3">
        <v>38056</v>
      </c>
      <c r="K2391" s="5">
        <v>2.8889999999999998</v>
      </c>
    </row>
    <row r="2392" spans="10:11">
      <c r="J2392" s="3">
        <v>38057</v>
      </c>
      <c r="K2392" s="5">
        <v>2.9129999999999998</v>
      </c>
    </row>
    <row r="2393" spans="10:11">
      <c r="J2393" s="3">
        <v>38058</v>
      </c>
      <c r="K2393" s="5">
        <v>2.9060000000000001</v>
      </c>
    </row>
    <row r="2394" spans="10:11">
      <c r="J2394" s="3">
        <v>38061</v>
      </c>
      <c r="K2394" s="5">
        <v>2.9009999999999998</v>
      </c>
    </row>
    <row r="2395" spans="10:11">
      <c r="J2395" s="3">
        <v>38062</v>
      </c>
      <c r="K2395" s="5">
        <v>2.9</v>
      </c>
    </row>
    <row r="2396" spans="10:11">
      <c r="J2396" s="3">
        <v>38063</v>
      </c>
      <c r="K2396" s="5">
        <v>2.907</v>
      </c>
    </row>
    <row r="2397" spans="10:11">
      <c r="J2397" s="3">
        <v>38064</v>
      </c>
      <c r="K2397" s="5">
        <v>2.9129999999999998</v>
      </c>
    </row>
    <row r="2398" spans="10:11">
      <c r="J2398" s="3">
        <v>38065</v>
      </c>
      <c r="K2398" s="5">
        <v>2.9</v>
      </c>
    </row>
    <row r="2399" spans="10:11">
      <c r="J2399" s="3">
        <v>38068</v>
      </c>
      <c r="K2399" s="5">
        <v>2.91</v>
      </c>
    </row>
    <row r="2400" spans="10:11">
      <c r="J2400" s="3">
        <v>38069</v>
      </c>
      <c r="K2400" s="5">
        <v>2.9140000000000001</v>
      </c>
    </row>
    <row r="2401" spans="10:11">
      <c r="J2401" s="3">
        <v>38070</v>
      </c>
      <c r="K2401" s="5">
        <v>2.9260000000000002</v>
      </c>
    </row>
    <row r="2402" spans="10:11">
      <c r="J2402" s="3">
        <v>38071</v>
      </c>
      <c r="K2402" s="5">
        <v>2.9329999999999998</v>
      </c>
    </row>
    <row r="2403" spans="10:11">
      <c r="J2403" s="3">
        <v>38072</v>
      </c>
      <c r="K2403" s="5">
        <v>2.9409999999999998</v>
      </c>
    </row>
    <row r="2404" spans="10:11">
      <c r="J2404" s="3">
        <v>38075</v>
      </c>
      <c r="K2404" s="5">
        <v>2.9359999999999999</v>
      </c>
    </row>
    <row r="2405" spans="10:11">
      <c r="J2405" s="3">
        <v>38076</v>
      </c>
      <c r="K2405" s="5">
        <v>2.9209999999999998</v>
      </c>
    </row>
    <row r="2406" spans="10:11">
      <c r="J2406" s="3">
        <v>38077</v>
      </c>
      <c r="K2406" s="5">
        <v>2.9079999999999999</v>
      </c>
    </row>
    <row r="2407" spans="10:11">
      <c r="J2407" s="3">
        <v>38078</v>
      </c>
      <c r="K2407" s="5">
        <v>2.89</v>
      </c>
    </row>
    <row r="2408" spans="10:11">
      <c r="J2408" s="3">
        <v>38079</v>
      </c>
      <c r="K2408" s="5">
        <v>2.8929999999999998</v>
      </c>
    </row>
    <row r="2409" spans="10:11">
      <c r="J2409" s="3">
        <v>38082</v>
      </c>
      <c r="K2409" s="5">
        <v>2.8849999999999998</v>
      </c>
    </row>
    <row r="2410" spans="10:11">
      <c r="J2410" s="3">
        <v>38083</v>
      </c>
      <c r="K2410" s="5">
        <v>2.8740000000000001</v>
      </c>
    </row>
    <row r="2411" spans="10:11">
      <c r="J2411" s="3">
        <v>38084</v>
      </c>
      <c r="K2411" s="5">
        <v>2.8769999999999998</v>
      </c>
    </row>
    <row r="2412" spans="10:11">
      <c r="J2412" s="3">
        <v>38085</v>
      </c>
      <c r="K2412" s="5">
        <v>2.88</v>
      </c>
    </row>
    <row r="2413" spans="10:11">
      <c r="J2413" s="3">
        <v>38089</v>
      </c>
      <c r="K2413" s="5">
        <v>2.8849999999999998</v>
      </c>
    </row>
    <row r="2414" spans="10:11">
      <c r="J2414" s="3">
        <v>38090</v>
      </c>
      <c r="K2414" s="5">
        <v>2.8849999999999998</v>
      </c>
    </row>
    <row r="2415" spans="10:11">
      <c r="J2415" s="3">
        <v>38091</v>
      </c>
      <c r="K2415" s="5">
        <v>2.895</v>
      </c>
    </row>
    <row r="2416" spans="10:11">
      <c r="J2416" s="3">
        <v>38092</v>
      </c>
      <c r="K2416" s="5">
        <v>2.9060000000000001</v>
      </c>
    </row>
    <row r="2417" spans="10:11">
      <c r="J2417" s="3">
        <v>38093</v>
      </c>
      <c r="K2417" s="5">
        <v>2.915</v>
      </c>
    </row>
    <row r="2418" spans="10:11">
      <c r="J2418" s="3">
        <v>38096</v>
      </c>
      <c r="K2418" s="5">
        <v>2.91</v>
      </c>
    </row>
    <row r="2419" spans="10:11">
      <c r="J2419" s="3">
        <v>38097</v>
      </c>
      <c r="K2419" s="5">
        <v>2.9180000000000001</v>
      </c>
    </row>
    <row r="2420" spans="10:11">
      <c r="J2420" s="3">
        <v>38099</v>
      </c>
      <c r="K2420" s="5">
        <v>2.93</v>
      </c>
    </row>
    <row r="2421" spans="10:11">
      <c r="J2421" s="3">
        <v>38100</v>
      </c>
      <c r="K2421" s="5">
        <v>2.9169999999999998</v>
      </c>
    </row>
    <row r="2422" spans="10:11">
      <c r="J2422" s="3">
        <v>38103</v>
      </c>
      <c r="K2422" s="5">
        <v>2.9079999999999999</v>
      </c>
    </row>
    <row r="2423" spans="10:11">
      <c r="J2423" s="3">
        <v>38104</v>
      </c>
      <c r="K2423" s="5">
        <v>2.9159999999999999</v>
      </c>
    </row>
    <row r="2424" spans="10:11">
      <c r="J2424" s="3">
        <v>38105</v>
      </c>
      <c r="K2424" s="5">
        <v>2.9329999999999998</v>
      </c>
    </row>
    <row r="2425" spans="10:11">
      <c r="J2425" s="3">
        <v>38106</v>
      </c>
      <c r="K2425" s="5">
        <v>2.952</v>
      </c>
    </row>
    <row r="2426" spans="10:11">
      <c r="J2426" s="3">
        <v>38107</v>
      </c>
      <c r="K2426" s="5">
        <v>2.944</v>
      </c>
    </row>
    <row r="2427" spans="10:11">
      <c r="J2427" s="3">
        <v>38110</v>
      </c>
      <c r="K2427" s="5">
        <v>2.956</v>
      </c>
    </row>
    <row r="2428" spans="10:11">
      <c r="J2428" s="3">
        <v>38111</v>
      </c>
      <c r="K2428" s="5">
        <v>2.9689999999999999</v>
      </c>
    </row>
    <row r="2429" spans="10:11">
      <c r="J2429" s="3">
        <v>38112</v>
      </c>
      <c r="K2429" s="5">
        <v>2.9609999999999999</v>
      </c>
    </row>
    <row r="2430" spans="10:11">
      <c r="J2430" s="3">
        <v>38113</v>
      </c>
      <c r="K2430" s="5">
        <v>2.9889999999999999</v>
      </c>
    </row>
    <row r="2431" spans="10:11">
      <c r="J2431" s="3">
        <v>38114</v>
      </c>
      <c r="K2431" s="5">
        <v>3.05</v>
      </c>
    </row>
    <row r="2432" spans="10:11">
      <c r="J2432" s="3">
        <v>38117</v>
      </c>
      <c r="K2432" s="5">
        <v>3.1240000000000001</v>
      </c>
    </row>
    <row r="2433" spans="10:11">
      <c r="J2433" s="3">
        <v>38118</v>
      </c>
      <c r="K2433" s="5">
        <v>3.105</v>
      </c>
    </row>
    <row r="2434" spans="10:11">
      <c r="J2434" s="3">
        <v>38120</v>
      </c>
      <c r="K2434" s="5">
        <v>3.1269999999999998</v>
      </c>
    </row>
    <row r="2435" spans="10:11">
      <c r="J2435" s="3">
        <v>38121</v>
      </c>
      <c r="K2435" s="5">
        <v>3.0979999999999999</v>
      </c>
    </row>
    <row r="2436" spans="10:11">
      <c r="J2436" s="3">
        <v>38124</v>
      </c>
      <c r="K2436" s="5">
        <v>3.1219999999999999</v>
      </c>
    </row>
    <row r="2437" spans="10:11">
      <c r="J2437" s="3">
        <v>38125</v>
      </c>
      <c r="K2437" s="5">
        <v>3.1160000000000001</v>
      </c>
    </row>
    <row r="2438" spans="10:11">
      <c r="J2438" s="3">
        <v>38126</v>
      </c>
      <c r="K2438" s="5">
        <v>3.105</v>
      </c>
    </row>
    <row r="2439" spans="10:11">
      <c r="J2439" s="3">
        <v>38127</v>
      </c>
      <c r="K2439" s="5">
        <v>3.181</v>
      </c>
    </row>
    <row r="2440" spans="10:11">
      <c r="J2440" s="3">
        <v>38128</v>
      </c>
      <c r="K2440" s="5">
        <v>3.2050000000000001</v>
      </c>
    </row>
    <row r="2441" spans="10:11">
      <c r="J2441" s="3">
        <v>38131</v>
      </c>
      <c r="K2441" s="5">
        <v>3.1789999999999998</v>
      </c>
    </row>
    <row r="2442" spans="10:11">
      <c r="J2442" s="3">
        <v>38132</v>
      </c>
      <c r="K2442" s="5">
        <v>3.157</v>
      </c>
    </row>
    <row r="2443" spans="10:11">
      <c r="J2443" s="3">
        <v>38133</v>
      </c>
      <c r="K2443" s="5">
        <v>3.157</v>
      </c>
    </row>
    <row r="2444" spans="10:11">
      <c r="J2444" s="3">
        <v>38134</v>
      </c>
      <c r="K2444" s="5">
        <v>3.1520000000000001</v>
      </c>
    </row>
    <row r="2445" spans="10:11">
      <c r="J2445" s="3">
        <v>38135</v>
      </c>
      <c r="K2445" s="5">
        <v>3.0960000000000001</v>
      </c>
    </row>
    <row r="2446" spans="10:11">
      <c r="J2446" s="3">
        <v>38138</v>
      </c>
      <c r="K2446" s="5">
        <v>3.129</v>
      </c>
    </row>
    <row r="2447" spans="10:11">
      <c r="J2447" s="3">
        <v>38140</v>
      </c>
      <c r="K2447" s="5">
        <v>3.13</v>
      </c>
    </row>
    <row r="2448" spans="10:11">
      <c r="J2448" s="3">
        <v>38141</v>
      </c>
      <c r="K2448" s="5">
        <v>3.1440000000000001</v>
      </c>
    </row>
    <row r="2449" spans="10:11">
      <c r="J2449" s="3">
        <v>38142</v>
      </c>
      <c r="K2449" s="5">
        <v>3.133</v>
      </c>
    </row>
    <row r="2450" spans="10:11">
      <c r="J2450" s="3">
        <v>38145</v>
      </c>
      <c r="K2450" s="5">
        <v>3.1110000000000002</v>
      </c>
    </row>
    <row r="2451" spans="10:11">
      <c r="J2451" s="3">
        <v>38146</v>
      </c>
      <c r="K2451" s="5">
        <v>3.1150000000000002</v>
      </c>
    </row>
    <row r="2452" spans="10:11">
      <c r="J2452" s="3">
        <v>38147</v>
      </c>
      <c r="K2452" s="5">
        <v>3.1160000000000001</v>
      </c>
    </row>
    <row r="2453" spans="10:11">
      <c r="J2453" s="3">
        <v>38149</v>
      </c>
      <c r="K2453" s="5">
        <v>3.14</v>
      </c>
    </row>
    <row r="2454" spans="10:11">
      <c r="J2454" s="3">
        <v>38152</v>
      </c>
      <c r="K2454" s="5">
        <v>3.165</v>
      </c>
    </row>
    <row r="2455" spans="10:11">
      <c r="J2455" s="3">
        <v>38153</v>
      </c>
      <c r="K2455" s="5">
        <v>3.1379999999999999</v>
      </c>
    </row>
    <row r="2456" spans="10:11">
      <c r="J2456" s="3">
        <v>38154</v>
      </c>
      <c r="K2456" s="5">
        <v>3.14</v>
      </c>
    </row>
    <row r="2457" spans="10:11">
      <c r="J2457" s="3">
        <v>38155</v>
      </c>
      <c r="K2457" s="5">
        <v>3.1280000000000001</v>
      </c>
    </row>
    <row r="2458" spans="10:11">
      <c r="J2458" s="3">
        <v>38156</v>
      </c>
      <c r="K2458" s="5">
        <v>3.1379999999999999</v>
      </c>
    </row>
    <row r="2459" spans="10:11">
      <c r="J2459" s="3">
        <v>38159</v>
      </c>
      <c r="K2459" s="5">
        <v>3.129</v>
      </c>
    </row>
    <row r="2460" spans="10:11">
      <c r="J2460" s="3">
        <v>38160</v>
      </c>
      <c r="K2460" s="5">
        <v>3.1339999999999999</v>
      </c>
    </row>
    <row r="2461" spans="10:11">
      <c r="J2461" s="3">
        <v>38161</v>
      </c>
      <c r="K2461" s="5">
        <v>3.125</v>
      </c>
    </row>
    <row r="2462" spans="10:11">
      <c r="J2462" s="3">
        <v>38162</v>
      </c>
      <c r="K2462" s="5">
        <v>3.1030000000000002</v>
      </c>
    </row>
    <row r="2463" spans="10:11">
      <c r="J2463" s="3">
        <v>38163</v>
      </c>
      <c r="K2463" s="5">
        <v>3.109</v>
      </c>
    </row>
    <row r="2464" spans="10:11">
      <c r="J2464" s="3">
        <v>38166</v>
      </c>
      <c r="K2464" s="5">
        <v>3.1240000000000001</v>
      </c>
    </row>
    <row r="2465" spans="10:11">
      <c r="J2465" s="3">
        <v>38167</v>
      </c>
      <c r="K2465" s="5">
        <v>3.1179999999999999</v>
      </c>
    </row>
    <row r="2466" spans="10:11">
      <c r="J2466" s="3">
        <v>38168</v>
      </c>
      <c r="K2466" s="5">
        <v>3.1070000000000002</v>
      </c>
    </row>
    <row r="2467" spans="10:11">
      <c r="J2467" s="3">
        <v>38169</v>
      </c>
      <c r="K2467" s="5">
        <v>3.0739999999999998</v>
      </c>
    </row>
    <row r="2468" spans="10:11">
      <c r="J2468" s="3">
        <v>38170</v>
      </c>
      <c r="K2468" s="5">
        <v>3.05</v>
      </c>
    </row>
    <row r="2469" spans="10:11">
      <c r="J2469" s="3">
        <v>38173</v>
      </c>
      <c r="K2469" s="5">
        <v>3.0310000000000001</v>
      </c>
    </row>
    <row r="2470" spans="10:11">
      <c r="J2470" s="3">
        <v>38174</v>
      </c>
      <c r="K2470" s="5">
        <v>3.0409999999999999</v>
      </c>
    </row>
    <row r="2471" spans="10:11">
      <c r="J2471" s="3">
        <v>38175</v>
      </c>
      <c r="K2471" s="5">
        <v>3.036</v>
      </c>
    </row>
    <row r="2472" spans="10:11">
      <c r="J2472" s="3">
        <v>38176</v>
      </c>
      <c r="K2472" s="5">
        <v>3.0470000000000002</v>
      </c>
    </row>
    <row r="2473" spans="10:11">
      <c r="J2473" s="3">
        <v>38177</v>
      </c>
      <c r="K2473" s="5">
        <v>3.0419999999999998</v>
      </c>
    </row>
    <row r="2474" spans="10:11">
      <c r="J2474" s="3">
        <v>38180</v>
      </c>
      <c r="K2474" s="5">
        <v>3.0369999999999999</v>
      </c>
    </row>
    <row r="2475" spans="10:11">
      <c r="J2475" s="3">
        <v>38181</v>
      </c>
      <c r="K2475" s="5">
        <v>3.0419999999999998</v>
      </c>
    </row>
    <row r="2476" spans="10:11">
      <c r="J2476" s="3">
        <v>38182</v>
      </c>
      <c r="K2476" s="5">
        <v>3.028</v>
      </c>
    </row>
    <row r="2477" spans="10:11">
      <c r="J2477" s="3">
        <v>38183</v>
      </c>
      <c r="K2477" s="5">
        <v>3.0209999999999999</v>
      </c>
    </row>
    <row r="2478" spans="10:11">
      <c r="J2478" s="3">
        <v>38184</v>
      </c>
      <c r="K2478" s="5">
        <v>3.0019999999999998</v>
      </c>
    </row>
    <row r="2479" spans="10:11">
      <c r="J2479" s="3">
        <v>38187</v>
      </c>
      <c r="K2479" s="5">
        <v>2.9929999999999999</v>
      </c>
    </row>
    <row r="2480" spans="10:11">
      <c r="J2480" s="3">
        <v>38188</v>
      </c>
      <c r="K2480" s="5">
        <v>3.004</v>
      </c>
    </row>
    <row r="2481" spans="10:11">
      <c r="J2481" s="3">
        <v>38189</v>
      </c>
      <c r="K2481" s="5">
        <v>3.024</v>
      </c>
    </row>
    <row r="2482" spans="10:11">
      <c r="J2482" s="3">
        <v>38190</v>
      </c>
      <c r="K2482" s="5">
        <v>3.0390000000000001</v>
      </c>
    </row>
    <row r="2483" spans="10:11">
      <c r="J2483" s="3">
        <v>38191</v>
      </c>
      <c r="K2483" s="5">
        <v>3.0459999999999998</v>
      </c>
    </row>
    <row r="2484" spans="10:11">
      <c r="J2484" s="3">
        <v>38194</v>
      </c>
      <c r="K2484" s="5">
        <v>3.0569999999999999</v>
      </c>
    </row>
    <row r="2485" spans="10:11">
      <c r="J2485" s="3">
        <v>38195</v>
      </c>
      <c r="K2485" s="5">
        <v>3.0670000000000002</v>
      </c>
    </row>
    <row r="2486" spans="10:11">
      <c r="J2486" s="3">
        <v>38196</v>
      </c>
      <c r="K2486" s="5">
        <v>3.0550000000000002</v>
      </c>
    </row>
    <row r="2487" spans="10:11">
      <c r="J2487" s="3">
        <v>38197</v>
      </c>
      <c r="K2487" s="5">
        <v>3.0369999999999999</v>
      </c>
    </row>
    <row r="2488" spans="10:11">
      <c r="J2488" s="3">
        <v>38198</v>
      </c>
      <c r="K2488" s="5">
        <v>3.0259999999999998</v>
      </c>
    </row>
    <row r="2489" spans="10:11">
      <c r="J2489" s="3">
        <v>38201</v>
      </c>
      <c r="K2489" s="5">
        <v>3.0459999999999998</v>
      </c>
    </row>
    <row r="2490" spans="10:11">
      <c r="J2490" s="3">
        <v>38202</v>
      </c>
      <c r="K2490" s="5">
        <v>3.0550000000000002</v>
      </c>
    </row>
    <row r="2491" spans="10:11">
      <c r="J2491" s="3">
        <v>38203</v>
      </c>
      <c r="K2491" s="5">
        <v>3.0569999999999999</v>
      </c>
    </row>
    <row r="2492" spans="10:11">
      <c r="J2492" s="3">
        <v>38204</v>
      </c>
      <c r="K2492" s="5">
        <v>3.0630000000000002</v>
      </c>
    </row>
    <row r="2493" spans="10:11">
      <c r="J2493" s="3">
        <v>38205</v>
      </c>
      <c r="K2493" s="5">
        <v>3.048</v>
      </c>
    </row>
    <row r="2494" spans="10:11">
      <c r="J2494" s="3">
        <v>38208</v>
      </c>
      <c r="K2494" s="5">
        <v>3.0390000000000001</v>
      </c>
    </row>
    <row r="2495" spans="10:11">
      <c r="J2495" s="3">
        <v>38212</v>
      </c>
      <c r="K2495" s="5">
        <v>3.0230000000000001</v>
      </c>
    </row>
    <row r="2496" spans="10:11">
      <c r="J2496" s="3">
        <v>38216</v>
      </c>
      <c r="K2496" s="5">
        <v>2.9980000000000002</v>
      </c>
    </row>
    <row r="2497" spans="10:11">
      <c r="J2497" s="3">
        <v>38217</v>
      </c>
      <c r="K2497" s="5">
        <v>2.992</v>
      </c>
    </row>
    <row r="2498" spans="10:11">
      <c r="J2498" s="3">
        <v>38218</v>
      </c>
      <c r="K2498" s="5">
        <v>2.9790000000000001</v>
      </c>
    </row>
    <row r="2499" spans="10:11">
      <c r="J2499" s="3">
        <v>38219</v>
      </c>
      <c r="K2499" s="5">
        <v>2.9740000000000002</v>
      </c>
    </row>
    <row r="2500" spans="10:11">
      <c r="J2500" s="3">
        <v>38222</v>
      </c>
      <c r="K2500" s="5">
        <v>2.968</v>
      </c>
    </row>
    <row r="2501" spans="10:11">
      <c r="J2501" s="3">
        <v>38223</v>
      </c>
      <c r="K2501" s="5">
        <v>2.9569999999999999</v>
      </c>
    </row>
    <row r="2502" spans="10:11">
      <c r="J2502" s="3">
        <v>38224</v>
      </c>
      <c r="K2502" s="5">
        <v>2.9510000000000001</v>
      </c>
    </row>
    <row r="2503" spans="10:11">
      <c r="J2503" s="3">
        <v>38225</v>
      </c>
      <c r="K2503" s="5">
        <v>2.9540000000000002</v>
      </c>
    </row>
    <row r="2504" spans="10:11">
      <c r="J2504" s="3">
        <v>38226</v>
      </c>
      <c r="K2504" s="5">
        <v>2.9569999999999999</v>
      </c>
    </row>
    <row r="2505" spans="10:11">
      <c r="J2505" s="3">
        <v>38229</v>
      </c>
      <c r="K2505" s="5">
        <v>2.948</v>
      </c>
    </row>
    <row r="2506" spans="10:11">
      <c r="J2506" s="3">
        <v>38230</v>
      </c>
      <c r="K2506" s="5">
        <v>2.9329999999999998</v>
      </c>
    </row>
    <row r="2507" spans="10:11">
      <c r="J2507" s="3">
        <v>38231</v>
      </c>
      <c r="K2507" s="5">
        <v>2.9289999999999998</v>
      </c>
    </row>
    <row r="2508" spans="10:11">
      <c r="J2508" s="3">
        <v>38232</v>
      </c>
      <c r="K2508" s="5">
        <v>2.9359999999999999</v>
      </c>
    </row>
    <row r="2509" spans="10:11">
      <c r="J2509" s="3">
        <v>38233</v>
      </c>
      <c r="K2509" s="5">
        <v>2.9279999999999999</v>
      </c>
    </row>
    <row r="2510" spans="10:11">
      <c r="J2510" s="3">
        <v>38236</v>
      </c>
      <c r="K2510" s="5">
        <v>2.9140000000000001</v>
      </c>
    </row>
    <row r="2511" spans="10:11">
      <c r="J2511" s="3">
        <v>38238</v>
      </c>
      <c r="K2511" s="5">
        <v>2.9009999999999998</v>
      </c>
    </row>
    <row r="2512" spans="10:11">
      <c r="J2512" s="3">
        <v>38239</v>
      </c>
      <c r="K2512" s="5">
        <v>2.9020000000000001</v>
      </c>
    </row>
    <row r="2513" spans="10:11">
      <c r="J2513" s="3">
        <v>38240</v>
      </c>
      <c r="K2513" s="5">
        <v>2.8980000000000001</v>
      </c>
    </row>
    <row r="2514" spans="10:11">
      <c r="J2514" s="3">
        <v>38243</v>
      </c>
      <c r="K2514" s="5">
        <v>2.9060000000000001</v>
      </c>
    </row>
    <row r="2515" spans="10:11">
      <c r="J2515" s="3">
        <v>38244</v>
      </c>
      <c r="K2515" s="5">
        <v>2.9119999999999999</v>
      </c>
    </row>
    <row r="2516" spans="10:11">
      <c r="J2516" s="3">
        <v>38245</v>
      </c>
      <c r="K2516" s="5">
        <v>2.9039999999999999</v>
      </c>
    </row>
    <row r="2517" spans="10:11">
      <c r="J2517" s="3">
        <v>38246</v>
      </c>
      <c r="K2517" s="5">
        <v>2.8889999999999998</v>
      </c>
    </row>
    <row r="2518" spans="10:11">
      <c r="J2518" s="3">
        <v>38247</v>
      </c>
      <c r="K2518" s="5">
        <v>2.8740000000000001</v>
      </c>
    </row>
    <row r="2519" spans="10:11">
      <c r="J2519" s="3">
        <v>38250</v>
      </c>
      <c r="K2519" s="5">
        <v>2.867</v>
      </c>
    </row>
    <row r="2520" spans="10:11">
      <c r="J2520" s="3">
        <v>38251</v>
      </c>
      <c r="K2520" s="5">
        <v>2.8730000000000002</v>
      </c>
    </row>
    <row r="2521" spans="10:11">
      <c r="J2521" s="3">
        <v>38252</v>
      </c>
      <c r="K2521" s="5">
        <v>2.867</v>
      </c>
    </row>
    <row r="2522" spans="10:11">
      <c r="J2522" s="3">
        <v>38253</v>
      </c>
      <c r="K2522" s="5">
        <v>2.8719999999999999</v>
      </c>
    </row>
    <row r="2523" spans="10:11">
      <c r="J2523" s="3">
        <v>38254</v>
      </c>
      <c r="K2523" s="5">
        <v>2.8730000000000002</v>
      </c>
    </row>
    <row r="2524" spans="10:11">
      <c r="J2524" s="3">
        <v>38257</v>
      </c>
      <c r="K2524" s="5">
        <v>2.8719999999999999</v>
      </c>
    </row>
    <row r="2525" spans="10:11">
      <c r="J2525" s="3">
        <v>38258</v>
      </c>
      <c r="K2525" s="5">
        <v>2.8690000000000002</v>
      </c>
    </row>
    <row r="2526" spans="10:11">
      <c r="J2526" s="3">
        <v>38259</v>
      </c>
      <c r="K2526" s="5">
        <v>2.86</v>
      </c>
    </row>
    <row r="2527" spans="10:11">
      <c r="J2527" s="3">
        <v>38260</v>
      </c>
      <c r="K2527" s="5">
        <v>2.8580000000000001</v>
      </c>
    </row>
    <row r="2528" spans="10:11">
      <c r="J2528" s="3">
        <v>38261</v>
      </c>
      <c r="K2528" s="5">
        <v>2.851</v>
      </c>
    </row>
    <row r="2529" spans="10:11">
      <c r="J2529" s="3">
        <v>38264</v>
      </c>
      <c r="K2529" s="5">
        <v>2.8260000000000001</v>
      </c>
    </row>
    <row r="2530" spans="10:11">
      <c r="J2530" s="3">
        <v>38265</v>
      </c>
      <c r="K2530" s="5">
        <v>2.8239999999999998</v>
      </c>
    </row>
    <row r="2531" spans="10:11">
      <c r="J2531" s="3">
        <v>38266</v>
      </c>
      <c r="K2531" s="5">
        <v>2.8359999999999999</v>
      </c>
    </row>
    <row r="2532" spans="10:11">
      <c r="J2532" s="3">
        <v>38267</v>
      </c>
      <c r="K2532" s="5">
        <v>2.851</v>
      </c>
    </row>
    <row r="2533" spans="10:11">
      <c r="J2533" s="3">
        <v>38268</v>
      </c>
      <c r="K2533" s="5">
        <v>2.8250000000000002</v>
      </c>
    </row>
    <row r="2534" spans="10:11">
      <c r="J2534" s="3">
        <v>38271</v>
      </c>
      <c r="K2534" s="5">
        <v>2.831</v>
      </c>
    </row>
    <row r="2535" spans="10:11">
      <c r="J2535" s="3">
        <v>38273</v>
      </c>
      <c r="K2535" s="5">
        <v>2.8370000000000002</v>
      </c>
    </row>
    <row r="2536" spans="10:11">
      <c r="J2536" s="3">
        <v>38274</v>
      </c>
      <c r="K2536" s="5">
        <v>2.863</v>
      </c>
    </row>
    <row r="2537" spans="10:11">
      <c r="J2537" s="3">
        <v>38275</v>
      </c>
      <c r="K2537" s="5">
        <v>2.8620000000000001</v>
      </c>
    </row>
    <row r="2538" spans="10:11">
      <c r="J2538" s="3">
        <v>38278</v>
      </c>
      <c r="K2538" s="5">
        <v>2.8540000000000001</v>
      </c>
    </row>
    <row r="2539" spans="10:11">
      <c r="J2539" s="3">
        <v>38279</v>
      </c>
      <c r="K2539" s="5">
        <v>2.87</v>
      </c>
    </row>
    <row r="2540" spans="10:11">
      <c r="J2540" s="3">
        <v>38280</v>
      </c>
      <c r="K2540" s="5">
        <v>2.8839999999999999</v>
      </c>
    </row>
    <row r="2541" spans="10:11">
      <c r="J2541" s="3">
        <v>38281</v>
      </c>
      <c r="K2541" s="5">
        <v>2.8530000000000002</v>
      </c>
    </row>
    <row r="2542" spans="10:11">
      <c r="J2542" s="3">
        <v>38282</v>
      </c>
      <c r="K2542" s="5">
        <v>2.8479999999999999</v>
      </c>
    </row>
    <row r="2543" spans="10:11">
      <c r="J2543" s="3">
        <v>38285</v>
      </c>
      <c r="K2543" s="5">
        <v>2.8809999999999998</v>
      </c>
    </row>
    <row r="2544" spans="10:11">
      <c r="J2544" s="3">
        <v>38286</v>
      </c>
      <c r="K2544" s="5">
        <v>2.8719999999999999</v>
      </c>
    </row>
    <row r="2545" spans="10:11">
      <c r="J2545" s="3">
        <v>38287</v>
      </c>
      <c r="K2545" s="5">
        <v>2.8580000000000001</v>
      </c>
    </row>
    <row r="2546" spans="10:11">
      <c r="J2546" s="3">
        <v>38288</v>
      </c>
      <c r="K2546" s="5">
        <v>2.8650000000000002</v>
      </c>
    </row>
    <row r="2547" spans="10:11">
      <c r="J2547" s="3">
        <v>38289</v>
      </c>
      <c r="K2547" s="5">
        <v>2.8559999999999999</v>
      </c>
    </row>
    <row r="2548" spans="10:11">
      <c r="J2548" s="3">
        <v>38292</v>
      </c>
      <c r="K2548" s="5">
        <v>2.859</v>
      </c>
    </row>
    <row r="2549" spans="10:11">
      <c r="J2549" s="3">
        <v>38294</v>
      </c>
      <c r="K2549" s="5">
        <v>2.83</v>
      </c>
    </row>
    <row r="2550" spans="10:11">
      <c r="J2550" s="3">
        <v>38296</v>
      </c>
      <c r="K2550" s="5">
        <v>2.8180000000000001</v>
      </c>
    </row>
    <row r="2551" spans="10:11">
      <c r="J2551" s="3">
        <v>38299</v>
      </c>
      <c r="K2551" s="5">
        <v>2.8290000000000002</v>
      </c>
    </row>
    <row r="2552" spans="10:11">
      <c r="J2552" s="3">
        <v>38300</v>
      </c>
      <c r="K2552" s="5">
        <v>2.8279999999999998</v>
      </c>
    </row>
    <row r="2553" spans="10:11">
      <c r="J2553" s="3">
        <v>38301</v>
      </c>
      <c r="K2553" s="5">
        <v>2.82</v>
      </c>
    </row>
    <row r="2554" spans="10:11">
      <c r="J2554" s="3">
        <v>38302</v>
      </c>
      <c r="K2554" s="5">
        <v>2.82</v>
      </c>
    </row>
    <row r="2555" spans="10:11">
      <c r="J2555" s="3">
        <v>38303</v>
      </c>
      <c r="K2555" s="5">
        <v>2.7989999999999999</v>
      </c>
    </row>
    <row r="2556" spans="10:11">
      <c r="J2556" s="3">
        <v>38307</v>
      </c>
      <c r="K2556" s="5">
        <v>2.7850000000000001</v>
      </c>
    </row>
    <row r="2557" spans="10:11">
      <c r="J2557" s="3">
        <v>38309</v>
      </c>
      <c r="K2557" s="5">
        <v>2.76</v>
      </c>
    </row>
    <row r="2558" spans="10:11">
      <c r="J2558" s="3">
        <v>38310</v>
      </c>
      <c r="K2558" s="5">
        <v>2.7629999999999999</v>
      </c>
    </row>
    <row r="2559" spans="10:11">
      <c r="J2559" s="3">
        <v>38313</v>
      </c>
      <c r="K2559" s="5">
        <v>2.7669999999999999</v>
      </c>
    </row>
    <row r="2560" spans="10:11">
      <c r="J2560" s="3">
        <v>38314</v>
      </c>
      <c r="K2560" s="5">
        <v>2.7440000000000002</v>
      </c>
    </row>
    <row r="2561" spans="10:11">
      <c r="J2561" s="3">
        <v>38315</v>
      </c>
      <c r="K2561" s="5">
        <v>2.7480000000000002</v>
      </c>
    </row>
    <row r="2562" spans="10:11">
      <c r="J2562" s="3">
        <v>38316</v>
      </c>
      <c r="K2562" s="5">
        <v>2.7509999999999999</v>
      </c>
    </row>
    <row r="2563" spans="10:11">
      <c r="J2563" s="3">
        <v>38317</v>
      </c>
      <c r="K2563" s="5">
        <v>2.7330000000000001</v>
      </c>
    </row>
    <row r="2564" spans="10:11">
      <c r="J2564" s="3">
        <v>38320</v>
      </c>
      <c r="K2564" s="5">
        <v>2.74</v>
      </c>
    </row>
    <row r="2565" spans="10:11">
      <c r="J2565" s="3">
        <v>38321</v>
      </c>
      <c r="K2565" s="5">
        <v>2.73</v>
      </c>
    </row>
    <row r="2566" spans="10:11">
      <c r="J2566" s="3">
        <v>38322</v>
      </c>
      <c r="K2566" s="5">
        <v>2.714</v>
      </c>
    </row>
    <row r="2567" spans="10:11">
      <c r="J2567" s="3">
        <v>38323</v>
      </c>
      <c r="K2567" s="5">
        <v>2.7229999999999999</v>
      </c>
    </row>
    <row r="2568" spans="10:11">
      <c r="J2568" s="3">
        <v>38324</v>
      </c>
      <c r="K2568" s="5">
        <v>2.7090000000000001</v>
      </c>
    </row>
    <row r="2569" spans="10:11">
      <c r="J2569" s="3">
        <v>38327</v>
      </c>
      <c r="K2569" s="5">
        <v>2.718</v>
      </c>
    </row>
    <row r="2570" spans="10:11">
      <c r="J2570" s="3">
        <v>38328</v>
      </c>
      <c r="K2570" s="5">
        <v>2.7320000000000002</v>
      </c>
    </row>
    <row r="2571" spans="10:11">
      <c r="J2571" s="3">
        <v>38329</v>
      </c>
      <c r="K2571" s="5">
        <v>2.766</v>
      </c>
    </row>
    <row r="2572" spans="10:11">
      <c r="J2572" s="3">
        <v>38330</v>
      </c>
      <c r="K2572" s="5">
        <v>2.774</v>
      </c>
    </row>
    <row r="2573" spans="10:11">
      <c r="J2573" s="3">
        <v>38331</v>
      </c>
      <c r="K2573" s="5">
        <v>2.786</v>
      </c>
    </row>
    <row r="2574" spans="10:11">
      <c r="J2574" s="3">
        <v>38334</v>
      </c>
      <c r="K2574" s="5">
        <v>2.7690000000000001</v>
      </c>
    </row>
    <row r="2575" spans="10:11">
      <c r="J2575" s="3">
        <v>38335</v>
      </c>
      <c r="K2575" s="5">
        <v>2.758</v>
      </c>
    </row>
    <row r="2576" spans="10:11">
      <c r="J2576" s="3">
        <v>38336</v>
      </c>
      <c r="K2576" s="5">
        <v>2.75</v>
      </c>
    </row>
    <row r="2577" spans="10:11">
      <c r="J2577" s="3">
        <v>38337</v>
      </c>
      <c r="K2577" s="5">
        <v>2.7290000000000001</v>
      </c>
    </row>
    <row r="2578" spans="10:11">
      <c r="J2578" s="3">
        <v>38338</v>
      </c>
      <c r="K2578" s="5">
        <v>2.7240000000000002</v>
      </c>
    </row>
    <row r="2579" spans="10:11">
      <c r="J2579" s="3">
        <v>38341</v>
      </c>
      <c r="K2579" s="5">
        <v>2.6920000000000002</v>
      </c>
    </row>
    <row r="2580" spans="10:11">
      <c r="J2580" s="3">
        <v>38342</v>
      </c>
      <c r="K2580" s="5">
        <v>2.6890000000000001</v>
      </c>
    </row>
    <row r="2581" spans="10:11">
      <c r="J2581" s="3">
        <v>38343</v>
      </c>
      <c r="K2581" s="5">
        <v>2.6989999999999998</v>
      </c>
    </row>
    <row r="2582" spans="10:11">
      <c r="J2582" s="3">
        <v>38344</v>
      </c>
      <c r="K2582" s="5">
        <v>2.706</v>
      </c>
    </row>
    <row r="2583" spans="10:11">
      <c r="J2583" s="3">
        <v>38345</v>
      </c>
      <c r="K2583" s="5">
        <v>2.6909999999999998</v>
      </c>
    </row>
    <row r="2584" spans="10:11">
      <c r="J2584" s="3">
        <v>38348</v>
      </c>
      <c r="K2584" s="5">
        <v>2.698</v>
      </c>
    </row>
    <row r="2585" spans="10:11">
      <c r="J2585" s="3">
        <v>38349</v>
      </c>
      <c r="K2585" s="5">
        <v>2.6890000000000001</v>
      </c>
    </row>
    <row r="2586" spans="10:11">
      <c r="J2586" s="3">
        <v>38350</v>
      </c>
      <c r="K2586" s="5">
        <v>2.6829999999999998</v>
      </c>
    </row>
    <row r="2587" spans="10:11">
      <c r="J2587" s="3">
        <v>38351</v>
      </c>
      <c r="K2587" s="5">
        <v>2.6539999999999999</v>
      </c>
    </row>
    <row r="2588" spans="10:11">
      <c r="J2588" s="3">
        <v>38352</v>
      </c>
      <c r="K2588" s="5">
        <v>2.6539999999999999</v>
      </c>
    </row>
    <row r="2589" spans="10:11">
      <c r="J2589" s="3">
        <v>38355</v>
      </c>
      <c r="K2589" s="5">
        <v>2.6680000000000001</v>
      </c>
    </row>
    <row r="2590" spans="10:11">
      <c r="J2590" s="3">
        <v>38356</v>
      </c>
      <c r="K2590" s="5">
        <v>2.6880000000000002</v>
      </c>
    </row>
    <row r="2591" spans="10:11">
      <c r="J2591" s="3">
        <v>38357</v>
      </c>
      <c r="K2591" s="5">
        <v>2.7090000000000001</v>
      </c>
    </row>
    <row r="2592" spans="10:11">
      <c r="J2592" s="3">
        <v>38358</v>
      </c>
      <c r="K2592" s="5">
        <v>2.72</v>
      </c>
    </row>
    <row r="2593" spans="10:11">
      <c r="J2593" s="3">
        <v>38362</v>
      </c>
      <c r="K2593" s="5">
        <v>2.6970000000000001</v>
      </c>
    </row>
    <row r="2594" spans="10:11">
      <c r="J2594" s="3">
        <v>38363</v>
      </c>
      <c r="K2594" s="5">
        <v>2.71</v>
      </c>
    </row>
    <row r="2595" spans="10:11">
      <c r="J2595" s="3">
        <v>38364</v>
      </c>
      <c r="K2595" s="5">
        <v>2.7109999999999999</v>
      </c>
    </row>
    <row r="2596" spans="10:11">
      <c r="J2596" s="3">
        <v>38365</v>
      </c>
      <c r="K2596" s="5">
        <v>2.7010000000000001</v>
      </c>
    </row>
    <row r="2597" spans="10:11">
      <c r="J2597" s="3">
        <v>38366</v>
      </c>
      <c r="K2597" s="5">
        <v>2.7069999999999999</v>
      </c>
    </row>
    <row r="2598" spans="10:11">
      <c r="J2598" s="3">
        <v>38369</v>
      </c>
      <c r="K2598" s="5">
        <v>2.7</v>
      </c>
    </row>
    <row r="2599" spans="10:11">
      <c r="J2599" s="3">
        <v>38370</v>
      </c>
      <c r="K2599" s="5">
        <v>2.7130000000000001</v>
      </c>
    </row>
    <row r="2600" spans="10:11">
      <c r="J2600" s="3">
        <v>38371</v>
      </c>
      <c r="K2600" s="5">
        <v>2.718</v>
      </c>
    </row>
    <row r="2601" spans="10:11">
      <c r="J2601" s="3">
        <v>38372</v>
      </c>
      <c r="K2601" s="5">
        <v>2.722</v>
      </c>
    </row>
    <row r="2602" spans="10:11">
      <c r="J2602" s="3">
        <v>38373</v>
      </c>
      <c r="K2602" s="5">
        <v>2.6989999999999998</v>
      </c>
    </row>
    <row r="2603" spans="10:11">
      <c r="J2603" s="3">
        <v>38376</v>
      </c>
      <c r="K2603" s="5">
        <v>2.6779999999999999</v>
      </c>
    </row>
    <row r="2604" spans="10:11">
      <c r="J2604" s="3">
        <v>38377</v>
      </c>
      <c r="K2604" s="5">
        <v>2.6789999999999998</v>
      </c>
    </row>
    <row r="2605" spans="10:11">
      <c r="J2605" s="3">
        <v>38378</v>
      </c>
      <c r="K2605" s="5">
        <v>2.6739999999999999</v>
      </c>
    </row>
    <row r="2606" spans="10:11">
      <c r="J2606" s="3">
        <v>38379</v>
      </c>
      <c r="K2606" s="5">
        <v>2.6640000000000001</v>
      </c>
    </row>
    <row r="2607" spans="10:11">
      <c r="J2607" s="3">
        <v>38380</v>
      </c>
      <c r="K2607" s="5">
        <v>2.6579999999999999</v>
      </c>
    </row>
    <row r="2608" spans="10:11">
      <c r="J2608" s="3">
        <v>38383</v>
      </c>
      <c r="K2608" s="5">
        <v>2.6240000000000001</v>
      </c>
    </row>
    <row r="2609" spans="10:11">
      <c r="J2609" s="3">
        <v>38384</v>
      </c>
      <c r="K2609" s="5">
        <v>2.613</v>
      </c>
    </row>
    <row r="2610" spans="10:11">
      <c r="J2610" s="3">
        <v>38385</v>
      </c>
      <c r="K2610" s="5">
        <v>2.6240000000000001</v>
      </c>
    </row>
    <row r="2611" spans="10:11">
      <c r="J2611" s="3">
        <v>38387</v>
      </c>
      <c r="K2611" s="5">
        <v>2.6021999999999998</v>
      </c>
    </row>
    <row r="2612" spans="10:11">
      <c r="J2612" s="3">
        <v>38392</v>
      </c>
      <c r="K2612" s="5">
        <v>2.6070000000000002</v>
      </c>
    </row>
    <row r="2613" spans="10:11">
      <c r="J2613" s="3">
        <v>38393</v>
      </c>
      <c r="K2613" s="5">
        <v>2.6114000000000002</v>
      </c>
    </row>
    <row r="2614" spans="10:11">
      <c r="J2614" s="3">
        <v>38394</v>
      </c>
      <c r="K2614" s="5">
        <v>2.6164999999999998</v>
      </c>
    </row>
    <row r="2615" spans="10:11">
      <c r="J2615" s="3">
        <v>38397</v>
      </c>
      <c r="K2615" s="5">
        <v>2.5825999999999998</v>
      </c>
    </row>
    <row r="2616" spans="10:11">
      <c r="J2616" s="3">
        <v>38398</v>
      </c>
      <c r="K2616" s="5">
        <v>2.5754000000000001</v>
      </c>
    </row>
    <row r="2617" spans="10:11">
      <c r="J2617" s="3">
        <v>38399</v>
      </c>
      <c r="K2617" s="5">
        <v>2.5918000000000001</v>
      </c>
    </row>
    <row r="2618" spans="10:11">
      <c r="J2618" s="3">
        <v>38400</v>
      </c>
      <c r="K2618" s="5">
        <v>2.5729000000000002</v>
      </c>
    </row>
    <row r="2619" spans="10:11">
      <c r="J2619" s="3">
        <v>38401</v>
      </c>
      <c r="K2619" s="5">
        <v>2.5613000000000001</v>
      </c>
    </row>
    <row r="2620" spans="10:11">
      <c r="J2620" s="3">
        <v>38404</v>
      </c>
      <c r="K2620" s="5">
        <v>2.5754000000000001</v>
      </c>
    </row>
    <row r="2621" spans="10:11">
      <c r="J2621" s="3">
        <v>38405</v>
      </c>
      <c r="K2621" s="5">
        <v>2.5929000000000002</v>
      </c>
    </row>
    <row r="2622" spans="10:11">
      <c r="J2622" s="3">
        <v>38406</v>
      </c>
      <c r="K2622" s="5">
        <v>2.5849000000000002</v>
      </c>
    </row>
    <row r="2623" spans="10:11">
      <c r="J2623" s="3">
        <v>38407</v>
      </c>
      <c r="K2623" s="5">
        <v>2.609</v>
      </c>
    </row>
    <row r="2624" spans="10:11">
      <c r="J2624" s="3">
        <v>38408</v>
      </c>
      <c r="K2624" s="5">
        <v>2.6312000000000002</v>
      </c>
    </row>
    <row r="2625" spans="10:11">
      <c r="J2625" s="3">
        <v>38411</v>
      </c>
      <c r="K2625" s="5">
        <v>2.5941999999999998</v>
      </c>
    </row>
    <row r="2626" spans="10:11">
      <c r="J2626" s="3">
        <v>38412</v>
      </c>
      <c r="K2626" s="5">
        <v>2.6002999999999998</v>
      </c>
    </row>
    <row r="2627" spans="10:11">
      <c r="J2627" s="3">
        <v>38413</v>
      </c>
      <c r="K2627" s="5">
        <v>2.6360000000000001</v>
      </c>
    </row>
    <row r="2628" spans="10:11">
      <c r="J2628" s="3">
        <v>38414</v>
      </c>
      <c r="K2628" s="5">
        <v>2.669</v>
      </c>
    </row>
    <row r="2629" spans="10:11">
      <c r="J2629" s="3">
        <v>38415</v>
      </c>
      <c r="K2629" s="5">
        <v>2.6606999999999998</v>
      </c>
    </row>
    <row r="2630" spans="10:11">
      <c r="J2630" s="3">
        <v>38418</v>
      </c>
      <c r="K2630" s="5">
        <v>2.6616</v>
      </c>
    </row>
    <row r="2631" spans="10:11">
      <c r="J2631" s="3">
        <v>38419</v>
      </c>
      <c r="K2631" s="5">
        <v>2.6926000000000001</v>
      </c>
    </row>
    <row r="2632" spans="10:11">
      <c r="J2632" s="3">
        <v>38420</v>
      </c>
      <c r="K2632" s="5">
        <v>2.7105000000000001</v>
      </c>
    </row>
    <row r="2633" spans="10:11">
      <c r="J2633" s="3">
        <v>38421</v>
      </c>
      <c r="K2633" s="5">
        <v>2.7311000000000001</v>
      </c>
    </row>
    <row r="2634" spans="10:11">
      <c r="J2634" s="3">
        <v>38422</v>
      </c>
      <c r="K2634" s="5">
        <v>2.7012999999999998</v>
      </c>
    </row>
    <row r="2635" spans="10:11">
      <c r="J2635" s="3">
        <v>38425</v>
      </c>
      <c r="K2635" s="5">
        <v>2.7515000000000001</v>
      </c>
    </row>
    <row r="2636" spans="10:11">
      <c r="J2636" s="3">
        <v>38426</v>
      </c>
      <c r="K2636" s="5">
        <v>2.7612999999999999</v>
      </c>
    </row>
    <row r="2637" spans="10:11">
      <c r="J2637" s="3">
        <v>38427</v>
      </c>
      <c r="K2637" s="5">
        <v>2.7562000000000002</v>
      </c>
    </row>
    <row r="2638" spans="10:11">
      <c r="J2638" s="3">
        <v>38428</v>
      </c>
      <c r="K2638" s="5">
        <v>2.7513999999999998</v>
      </c>
    </row>
    <row r="2639" spans="10:11">
      <c r="J2639" s="3">
        <v>38429</v>
      </c>
      <c r="K2639" s="5">
        <v>2.7155</v>
      </c>
    </row>
    <row r="2640" spans="10:11">
      <c r="J2640" s="3">
        <v>38432</v>
      </c>
      <c r="K2640" s="5">
        <v>2.7280000000000002</v>
      </c>
    </row>
    <row r="2641" spans="10:11">
      <c r="J2641" s="3">
        <v>38433</v>
      </c>
      <c r="K2641" s="5">
        <v>2.7052</v>
      </c>
    </row>
    <row r="2642" spans="10:11">
      <c r="J2642" s="3">
        <v>38434</v>
      </c>
      <c r="K2642" s="5">
        <v>2.7395</v>
      </c>
    </row>
    <row r="2643" spans="10:11">
      <c r="J2643" s="3">
        <v>38435</v>
      </c>
      <c r="K2643" s="5">
        <v>2.7294999999999998</v>
      </c>
    </row>
    <row r="2644" spans="10:11">
      <c r="J2644" s="3">
        <v>38439</v>
      </c>
      <c r="K2644" s="5">
        <v>2.7376999999999998</v>
      </c>
    </row>
    <row r="2645" spans="10:11">
      <c r="J2645" s="3">
        <v>38440</v>
      </c>
      <c r="K2645" s="5">
        <v>2.7023000000000001</v>
      </c>
    </row>
    <row r="2646" spans="10:11">
      <c r="J2646" s="3">
        <v>38441</v>
      </c>
      <c r="K2646" s="5">
        <v>2.68</v>
      </c>
    </row>
    <row r="2647" spans="10:11">
      <c r="J2647" s="3">
        <v>38442</v>
      </c>
      <c r="K2647" s="5">
        <v>2.6654</v>
      </c>
    </row>
    <row r="2648" spans="10:11">
      <c r="J2648" s="3">
        <v>38443</v>
      </c>
      <c r="K2648" s="5">
        <v>2.6541999999999999</v>
      </c>
    </row>
    <row r="2649" spans="10:11">
      <c r="J2649" s="3">
        <v>38446</v>
      </c>
      <c r="K2649" s="5">
        <v>2.6589999999999998</v>
      </c>
    </row>
    <row r="2650" spans="10:11">
      <c r="J2650" s="3">
        <v>38448</v>
      </c>
      <c r="K2650" s="5">
        <v>2.6059000000000001</v>
      </c>
    </row>
    <row r="2651" spans="10:11">
      <c r="J2651" s="3">
        <v>38449</v>
      </c>
      <c r="K2651" s="5">
        <v>2.6011000000000002</v>
      </c>
    </row>
    <row r="2652" spans="10:11">
      <c r="J2652" s="3">
        <v>38450</v>
      </c>
      <c r="K2652" s="5">
        <v>2.5933999999999999</v>
      </c>
    </row>
    <row r="2653" spans="10:11">
      <c r="J2653" s="3">
        <v>38453</v>
      </c>
      <c r="K2653" s="5">
        <v>2.5775000000000001</v>
      </c>
    </row>
    <row r="2654" spans="10:11">
      <c r="J2654" s="3">
        <v>38454</v>
      </c>
      <c r="K2654" s="5">
        <v>2.5891000000000002</v>
      </c>
    </row>
    <row r="2655" spans="10:11">
      <c r="J2655" s="3">
        <v>38455</v>
      </c>
      <c r="K2655" s="5">
        <v>2.5590000000000002</v>
      </c>
    </row>
    <row r="2656" spans="10:11">
      <c r="J2656" s="3">
        <v>38456</v>
      </c>
      <c r="K2656" s="5">
        <v>2.5739000000000001</v>
      </c>
    </row>
    <row r="2657" spans="10:11">
      <c r="J2657" s="3">
        <v>38457</v>
      </c>
      <c r="K2657" s="5">
        <v>2.5962999999999998</v>
      </c>
    </row>
    <row r="2658" spans="10:11">
      <c r="J2658" s="3">
        <v>38460</v>
      </c>
      <c r="K2658" s="5">
        <v>2.6149</v>
      </c>
    </row>
    <row r="2659" spans="10:11">
      <c r="J2659" s="3">
        <v>38461</v>
      </c>
      <c r="K2659" s="5">
        <v>2.5817000000000001</v>
      </c>
    </row>
    <row r="2660" spans="10:11">
      <c r="J2660" s="3">
        <v>38462</v>
      </c>
      <c r="K2660" s="5">
        <v>2.5636999999999999</v>
      </c>
    </row>
    <row r="2661" spans="10:11">
      <c r="J2661" s="3">
        <v>38464</v>
      </c>
      <c r="K2661" s="5">
        <v>2.5384000000000002</v>
      </c>
    </row>
    <row r="2662" spans="10:11">
      <c r="J2662" s="3">
        <v>38467</v>
      </c>
      <c r="K2662" s="5">
        <v>2.5299999999999998</v>
      </c>
    </row>
    <row r="2663" spans="10:11">
      <c r="J2663" s="3">
        <v>38468</v>
      </c>
      <c r="K2663" s="5">
        <v>2.5347</v>
      </c>
    </row>
    <row r="2664" spans="10:11">
      <c r="J2664" s="3">
        <v>38469</v>
      </c>
      <c r="K2664" s="5">
        <v>2.5186999999999999</v>
      </c>
    </row>
    <row r="2665" spans="10:11">
      <c r="J2665" s="3">
        <v>38470</v>
      </c>
      <c r="K2665" s="5">
        <v>2.5209000000000001</v>
      </c>
    </row>
    <row r="2666" spans="10:11">
      <c r="J2666" s="3">
        <v>38471</v>
      </c>
      <c r="K2666" s="5">
        <v>2.5305</v>
      </c>
    </row>
    <row r="2667" spans="10:11">
      <c r="J2667" s="3">
        <v>38474</v>
      </c>
      <c r="K2667" s="5">
        <v>2.5137999999999998</v>
      </c>
    </row>
    <row r="2668" spans="10:11">
      <c r="J2668" s="3">
        <v>38475</v>
      </c>
      <c r="K2668" s="5">
        <v>2.4998999999999998</v>
      </c>
    </row>
    <row r="2669" spans="10:11">
      <c r="J2669" s="3">
        <v>38476</v>
      </c>
      <c r="K2669" s="5">
        <v>2.4756999999999998</v>
      </c>
    </row>
    <row r="2670" spans="10:11">
      <c r="J2670" s="3">
        <v>38477</v>
      </c>
      <c r="K2670" s="5">
        <v>2.4679000000000002</v>
      </c>
    </row>
    <row r="2671" spans="10:11">
      <c r="J2671" s="3">
        <v>38478</v>
      </c>
      <c r="K2671" s="5">
        <v>2.4586000000000001</v>
      </c>
    </row>
    <row r="2672" spans="10:11">
      <c r="J2672" s="3">
        <v>38481</v>
      </c>
      <c r="K2672" s="5">
        <v>2.4529999999999998</v>
      </c>
    </row>
    <row r="2673" spans="10:11">
      <c r="J2673" s="3">
        <v>38482</v>
      </c>
      <c r="K2673" s="5">
        <v>2.4641999999999999</v>
      </c>
    </row>
    <row r="2674" spans="10:11">
      <c r="J2674" s="3">
        <v>38483</v>
      </c>
      <c r="K2674" s="5">
        <v>2.4710999999999999</v>
      </c>
    </row>
    <row r="2675" spans="10:11">
      <c r="J2675" s="3">
        <v>38484</v>
      </c>
      <c r="K2675" s="5">
        <v>2.464</v>
      </c>
    </row>
    <row r="2676" spans="10:11">
      <c r="J2676" s="3">
        <v>38485</v>
      </c>
      <c r="K2676" s="5">
        <v>2.4706999999999999</v>
      </c>
    </row>
    <row r="2677" spans="10:11">
      <c r="J2677" s="3">
        <v>38488</v>
      </c>
      <c r="K2677" s="5">
        <v>2.4763999999999999</v>
      </c>
    </row>
    <row r="2678" spans="10:11">
      <c r="J2678" s="3">
        <v>38489</v>
      </c>
      <c r="K2678" s="5">
        <v>2.4771000000000001</v>
      </c>
    </row>
    <row r="2679" spans="10:11">
      <c r="J2679" s="3">
        <v>38490</v>
      </c>
      <c r="K2679" s="5">
        <v>2.4628000000000001</v>
      </c>
    </row>
    <row r="2680" spans="10:11">
      <c r="J2680" s="3">
        <v>38491</v>
      </c>
      <c r="K2680" s="5">
        <v>2.4449999999999998</v>
      </c>
    </row>
    <row r="2681" spans="10:11">
      <c r="J2681" s="3">
        <v>38492</v>
      </c>
      <c r="K2681" s="5">
        <v>2.4485000000000001</v>
      </c>
    </row>
    <row r="2682" spans="10:11">
      <c r="J2682" s="3">
        <v>38495</v>
      </c>
      <c r="K2682" s="5">
        <v>2.4291</v>
      </c>
    </row>
    <row r="2683" spans="10:11">
      <c r="J2683" s="3">
        <v>38496</v>
      </c>
      <c r="K2683" s="5">
        <v>2.4304999999999999</v>
      </c>
    </row>
    <row r="2684" spans="10:11">
      <c r="J2684" s="3">
        <v>38497</v>
      </c>
      <c r="K2684" s="5">
        <v>2.4108000000000001</v>
      </c>
    </row>
    <row r="2685" spans="10:11">
      <c r="J2685" s="3">
        <v>38499</v>
      </c>
      <c r="K2685" s="5">
        <v>2.3925999999999998</v>
      </c>
    </row>
    <row r="2686" spans="10:11">
      <c r="J2686" s="3">
        <v>38502</v>
      </c>
      <c r="K2686" s="5">
        <v>2.3776000000000002</v>
      </c>
    </row>
    <row r="2687" spans="10:11">
      <c r="J2687" s="3">
        <v>38503</v>
      </c>
      <c r="K2687" s="5">
        <v>2.403</v>
      </c>
    </row>
    <row r="2688" spans="10:11">
      <c r="J2688" s="3">
        <v>38504</v>
      </c>
      <c r="K2688" s="5">
        <v>2.4278</v>
      </c>
    </row>
    <row r="2689" spans="10:11">
      <c r="J2689" s="3">
        <v>38505</v>
      </c>
      <c r="K2689" s="5">
        <v>2.4194</v>
      </c>
    </row>
    <row r="2690" spans="10:11">
      <c r="J2690" s="3">
        <v>38506</v>
      </c>
      <c r="K2690" s="5">
        <v>2.4020999999999999</v>
      </c>
    </row>
    <row r="2691" spans="10:11">
      <c r="J2691" s="3">
        <v>38509</v>
      </c>
      <c r="K2691" s="5">
        <v>2.4567999999999999</v>
      </c>
    </row>
    <row r="2692" spans="10:11">
      <c r="J2692" s="3">
        <v>38510</v>
      </c>
      <c r="K2692" s="5">
        <v>2.4624000000000001</v>
      </c>
    </row>
    <row r="2693" spans="10:11">
      <c r="J2693" s="3">
        <v>38511</v>
      </c>
      <c r="K2693" s="5">
        <v>2.4456000000000002</v>
      </c>
    </row>
    <row r="2694" spans="10:11">
      <c r="J2694" s="3">
        <v>38512</v>
      </c>
      <c r="K2694" s="5">
        <v>2.4883000000000002</v>
      </c>
    </row>
    <row r="2695" spans="10:11">
      <c r="J2695" s="3">
        <v>38513</v>
      </c>
      <c r="K2695" s="5">
        <v>2.4742999999999999</v>
      </c>
    </row>
    <row r="2696" spans="10:11">
      <c r="J2696" s="3">
        <v>38516</v>
      </c>
      <c r="K2696" s="5">
        <v>2.4554</v>
      </c>
    </row>
    <row r="2697" spans="10:11">
      <c r="J2697" s="3">
        <v>38517</v>
      </c>
      <c r="K2697" s="5">
        <v>2.4367000000000001</v>
      </c>
    </row>
    <row r="2698" spans="10:11">
      <c r="J2698" s="3">
        <v>38518</v>
      </c>
      <c r="K2698" s="5">
        <v>2.4447000000000001</v>
      </c>
    </row>
    <row r="2699" spans="10:11">
      <c r="J2699" s="3">
        <v>38519</v>
      </c>
      <c r="K2699" s="5">
        <v>2.4152999999999998</v>
      </c>
    </row>
    <row r="2700" spans="10:11">
      <c r="J2700" s="3">
        <v>38520</v>
      </c>
      <c r="K2700" s="5">
        <v>2.3864999999999998</v>
      </c>
    </row>
    <row r="2701" spans="10:11">
      <c r="J2701" s="3">
        <v>38523</v>
      </c>
      <c r="K2701" s="5">
        <v>2.3847</v>
      </c>
    </row>
    <row r="2702" spans="10:11">
      <c r="J2702" s="3">
        <v>38524</v>
      </c>
      <c r="K2702" s="5">
        <v>2.3763999999999998</v>
      </c>
    </row>
    <row r="2703" spans="10:11">
      <c r="J2703" s="3">
        <v>38525</v>
      </c>
      <c r="K2703" s="5">
        <v>2.3694999999999999</v>
      </c>
    </row>
    <row r="2704" spans="10:11">
      <c r="J2704" s="3">
        <v>38526</v>
      </c>
      <c r="K2704" s="5">
        <v>2.3923999999999999</v>
      </c>
    </row>
    <row r="2705" spans="10:11">
      <c r="J2705" s="3">
        <v>38527</v>
      </c>
      <c r="K2705" s="5">
        <v>2.3868999999999998</v>
      </c>
    </row>
    <row r="2706" spans="10:11">
      <c r="J2706" s="3">
        <v>38530</v>
      </c>
      <c r="K2706" s="5">
        <v>2.3822000000000001</v>
      </c>
    </row>
    <row r="2707" spans="10:11">
      <c r="J2707" s="3">
        <v>38531</v>
      </c>
      <c r="K2707" s="5">
        <v>2.3685999999999998</v>
      </c>
    </row>
    <row r="2708" spans="10:11">
      <c r="J2708" s="3">
        <v>38532</v>
      </c>
      <c r="K2708" s="5">
        <v>2.3540999999999999</v>
      </c>
    </row>
    <row r="2709" spans="10:11">
      <c r="J2709" s="3">
        <v>38533</v>
      </c>
      <c r="K2709" s="5">
        <v>2.3496000000000001</v>
      </c>
    </row>
    <row r="2710" spans="10:11">
      <c r="J2710" s="3">
        <v>38534</v>
      </c>
      <c r="K2710" s="5">
        <v>2.3451</v>
      </c>
    </row>
    <row r="2711" spans="10:11">
      <c r="J2711" s="3">
        <v>38537</v>
      </c>
      <c r="K2711" s="5">
        <v>2.3706999999999998</v>
      </c>
    </row>
    <row r="2712" spans="10:11">
      <c r="J2712" s="3">
        <v>38538</v>
      </c>
      <c r="K2712" s="5">
        <v>2.3660000000000001</v>
      </c>
    </row>
    <row r="2713" spans="10:11">
      <c r="J2713" s="3">
        <v>38539</v>
      </c>
      <c r="K2713" s="5">
        <v>2.3893</v>
      </c>
    </row>
    <row r="2714" spans="10:11">
      <c r="J2714" s="3">
        <v>38540</v>
      </c>
      <c r="K2714" s="5">
        <v>2.3881999999999999</v>
      </c>
    </row>
    <row r="2715" spans="10:11">
      <c r="J2715" s="3">
        <v>38541</v>
      </c>
      <c r="K2715" s="5">
        <v>2.3675000000000002</v>
      </c>
    </row>
    <row r="2716" spans="10:11">
      <c r="J2716" s="3">
        <v>38544</v>
      </c>
      <c r="K2716" s="5">
        <v>2.3494000000000002</v>
      </c>
    </row>
    <row r="2717" spans="10:11">
      <c r="J2717" s="3">
        <v>38545</v>
      </c>
      <c r="K2717" s="5">
        <v>2.3344999999999998</v>
      </c>
    </row>
    <row r="2718" spans="10:11">
      <c r="J2718" s="3">
        <v>38546</v>
      </c>
      <c r="K2718" s="5">
        <v>2.3473999999999999</v>
      </c>
    </row>
    <row r="2719" spans="10:11">
      <c r="J2719" s="3">
        <v>38547</v>
      </c>
      <c r="K2719" s="5">
        <v>2.3424999999999998</v>
      </c>
    </row>
    <row r="2720" spans="10:11">
      <c r="J2720" s="3">
        <v>38548</v>
      </c>
      <c r="K2720" s="5">
        <v>2.3418999999999999</v>
      </c>
    </row>
    <row r="2721" spans="10:11">
      <c r="J2721" s="3">
        <v>38551</v>
      </c>
      <c r="K2721" s="5">
        <v>2.3296000000000001</v>
      </c>
    </row>
    <row r="2722" spans="10:11">
      <c r="J2722" s="3">
        <v>38552</v>
      </c>
      <c r="K2722" s="5">
        <v>2.3426</v>
      </c>
    </row>
    <row r="2723" spans="10:11">
      <c r="J2723" s="3">
        <v>38553</v>
      </c>
      <c r="K2723" s="5">
        <v>2.3513999999999999</v>
      </c>
    </row>
    <row r="2724" spans="10:11">
      <c r="J2724" s="3">
        <v>38554</v>
      </c>
      <c r="K2724" s="5">
        <v>2.3397000000000001</v>
      </c>
    </row>
    <row r="2725" spans="10:11">
      <c r="J2725" s="3">
        <v>38555</v>
      </c>
      <c r="K2725" s="5">
        <v>2.3753000000000002</v>
      </c>
    </row>
    <row r="2726" spans="10:11">
      <c r="J2726" s="3">
        <v>38558</v>
      </c>
      <c r="K2726" s="5">
        <v>2.4279000000000002</v>
      </c>
    </row>
    <row r="2727" spans="10:11">
      <c r="J2727" s="3">
        <v>38559</v>
      </c>
      <c r="K2727" s="5">
        <v>2.4647999999999999</v>
      </c>
    </row>
    <row r="2728" spans="10:11">
      <c r="J2728" s="3">
        <v>38560</v>
      </c>
      <c r="K2728" s="5">
        <v>2.4430999999999998</v>
      </c>
    </row>
    <row r="2729" spans="10:11">
      <c r="J2729" s="3">
        <v>38561</v>
      </c>
      <c r="K2729" s="5">
        <v>2.4203000000000001</v>
      </c>
    </row>
    <row r="2730" spans="10:11">
      <c r="J2730" s="3">
        <v>38562</v>
      </c>
      <c r="K2730" s="5">
        <v>2.3896999999999999</v>
      </c>
    </row>
    <row r="2731" spans="10:11">
      <c r="J2731" s="3">
        <v>38565</v>
      </c>
      <c r="K2731" s="5">
        <v>2.3776999999999999</v>
      </c>
    </row>
    <row r="2732" spans="10:11">
      <c r="J2732" s="3">
        <v>38566</v>
      </c>
      <c r="K2732" s="5">
        <v>2.3521999999999998</v>
      </c>
    </row>
    <row r="2733" spans="10:11">
      <c r="J2733" s="3">
        <v>38567</v>
      </c>
      <c r="K2733" s="5">
        <v>2.3142999999999998</v>
      </c>
    </row>
    <row r="2734" spans="10:11">
      <c r="J2734" s="3">
        <v>38568</v>
      </c>
      <c r="K2734" s="5">
        <v>2.3046000000000002</v>
      </c>
    </row>
    <row r="2735" spans="10:11">
      <c r="J2735" s="3">
        <v>38569</v>
      </c>
      <c r="K2735" s="5">
        <v>2.2978000000000001</v>
      </c>
    </row>
    <row r="2736" spans="10:11">
      <c r="J2736" s="3">
        <v>38572</v>
      </c>
      <c r="K2736" s="5">
        <v>2.3092000000000001</v>
      </c>
    </row>
    <row r="2737" spans="10:11">
      <c r="J2737" s="3">
        <v>38573</v>
      </c>
      <c r="K2737" s="5">
        <v>2.3142999999999998</v>
      </c>
    </row>
    <row r="2738" spans="10:11">
      <c r="J2738" s="3">
        <v>38574</v>
      </c>
      <c r="K2738" s="5">
        <v>2.2759</v>
      </c>
    </row>
    <row r="2739" spans="10:11">
      <c r="J2739" s="3">
        <v>38575</v>
      </c>
      <c r="K2739" s="5">
        <v>2.3161</v>
      </c>
    </row>
    <row r="2740" spans="10:11">
      <c r="J2740" s="3">
        <v>38576</v>
      </c>
      <c r="K2740" s="5">
        <v>2.375</v>
      </c>
    </row>
    <row r="2741" spans="10:11">
      <c r="J2741" s="3">
        <v>38579</v>
      </c>
      <c r="K2741" s="5">
        <v>2.3414000000000001</v>
      </c>
    </row>
    <row r="2742" spans="10:11">
      <c r="J2742" s="3">
        <v>38580</v>
      </c>
      <c r="K2742" s="5">
        <v>2.3433999999999999</v>
      </c>
    </row>
    <row r="2743" spans="10:11">
      <c r="J2743" s="3">
        <v>38581</v>
      </c>
      <c r="K2743" s="5">
        <v>2.3483999999999998</v>
      </c>
    </row>
    <row r="2744" spans="10:11">
      <c r="J2744" s="3">
        <v>38582</v>
      </c>
      <c r="K2744" s="5">
        <v>2.3628999999999998</v>
      </c>
    </row>
    <row r="2745" spans="10:11">
      <c r="J2745" s="3">
        <v>38583</v>
      </c>
      <c r="K2745" s="5">
        <v>2.4308000000000001</v>
      </c>
    </row>
    <row r="2746" spans="10:11">
      <c r="J2746" s="3">
        <v>38586</v>
      </c>
      <c r="K2746" s="5">
        <v>2.4020000000000001</v>
      </c>
    </row>
    <row r="2747" spans="10:11">
      <c r="J2747" s="3">
        <v>38587</v>
      </c>
      <c r="K2747" s="5">
        <v>2.4089</v>
      </c>
    </row>
    <row r="2748" spans="10:11">
      <c r="J2748" s="3">
        <v>38589</v>
      </c>
      <c r="K2748" s="5">
        <v>2.4195000000000002</v>
      </c>
    </row>
    <row r="2749" spans="10:11">
      <c r="J2749" s="3">
        <v>38590</v>
      </c>
      <c r="K2749" s="5">
        <v>2.4121000000000001</v>
      </c>
    </row>
    <row r="2750" spans="10:11">
      <c r="J2750" s="3">
        <v>38593</v>
      </c>
      <c r="K2750" s="5">
        <v>2.3986999999999998</v>
      </c>
    </row>
    <row r="2751" spans="10:11">
      <c r="J2751" s="3">
        <v>38594</v>
      </c>
      <c r="K2751" s="5">
        <v>2.3853</v>
      </c>
    </row>
    <row r="2752" spans="10:11">
      <c r="J2752" s="3">
        <v>38595</v>
      </c>
      <c r="K2752" s="5">
        <v>2.3628999999999998</v>
      </c>
    </row>
    <row r="2753" spans="10:11">
      <c r="J2753" s="3">
        <v>38596</v>
      </c>
      <c r="K2753" s="5">
        <v>2.3614999999999999</v>
      </c>
    </row>
    <row r="2754" spans="10:11">
      <c r="J2754" s="3">
        <v>38597</v>
      </c>
      <c r="K2754" s="5">
        <v>2.3420999999999998</v>
      </c>
    </row>
    <row r="2755" spans="10:11">
      <c r="J2755" s="3">
        <v>38600</v>
      </c>
      <c r="K2755" s="5">
        <v>2.3287</v>
      </c>
    </row>
    <row r="2756" spans="10:11">
      <c r="J2756" s="3">
        <v>38601</v>
      </c>
      <c r="K2756" s="5">
        <v>2.3254000000000001</v>
      </c>
    </row>
    <row r="2757" spans="10:11">
      <c r="J2757" s="3">
        <v>38603</v>
      </c>
      <c r="K2757" s="5">
        <v>2.319</v>
      </c>
    </row>
    <row r="2758" spans="10:11">
      <c r="J2758" s="3">
        <v>38604</v>
      </c>
      <c r="K2758" s="5">
        <v>2.3167</v>
      </c>
    </row>
    <row r="2759" spans="10:11">
      <c r="J2759" s="3">
        <v>38607</v>
      </c>
      <c r="K2759" s="5">
        <v>2.3189000000000002</v>
      </c>
    </row>
    <row r="2760" spans="10:11">
      <c r="J2760" s="3">
        <v>38608</v>
      </c>
      <c r="K2760" s="5">
        <v>2.3260999999999998</v>
      </c>
    </row>
    <row r="2761" spans="10:11">
      <c r="J2761" s="3">
        <v>38609</v>
      </c>
      <c r="K2761" s="5">
        <v>2.3292000000000002</v>
      </c>
    </row>
    <row r="2762" spans="10:11">
      <c r="J2762" s="3">
        <v>38610</v>
      </c>
      <c r="K2762" s="5">
        <v>2.3003999999999998</v>
      </c>
    </row>
    <row r="2763" spans="10:11">
      <c r="J2763" s="3">
        <v>38611</v>
      </c>
      <c r="K2763" s="5">
        <v>2.2928999999999999</v>
      </c>
    </row>
    <row r="2764" spans="10:11">
      <c r="J2764" s="3">
        <v>38614</v>
      </c>
      <c r="K2764" s="5">
        <v>2.2896999999999998</v>
      </c>
    </row>
    <row r="2765" spans="10:11">
      <c r="J2765" s="3">
        <v>38615</v>
      </c>
      <c r="K2765" s="5">
        <v>2.294</v>
      </c>
    </row>
    <row r="2766" spans="10:11">
      <c r="J2766" s="3">
        <v>38616</v>
      </c>
      <c r="K2766" s="5">
        <v>2.2818999999999998</v>
      </c>
    </row>
    <row r="2767" spans="10:11">
      <c r="J2767" s="3">
        <v>38617</v>
      </c>
      <c r="K2767" s="5">
        <v>2.2744</v>
      </c>
    </row>
    <row r="2768" spans="10:11">
      <c r="J2768" s="3">
        <v>38618</v>
      </c>
      <c r="K2768" s="5">
        <v>2.2673999999999999</v>
      </c>
    </row>
    <row r="2769" spans="10:11">
      <c r="J2769" s="3">
        <v>38621</v>
      </c>
      <c r="K2769" s="5">
        <v>2.2574999999999998</v>
      </c>
    </row>
    <row r="2770" spans="10:11">
      <c r="J2770" s="3">
        <v>38622</v>
      </c>
      <c r="K2770" s="5">
        <v>2.2524999999999999</v>
      </c>
    </row>
    <row r="2771" spans="10:11">
      <c r="J2771" s="3">
        <v>38623</v>
      </c>
      <c r="K2771" s="5">
        <v>2.2425000000000002</v>
      </c>
    </row>
    <row r="2772" spans="10:11">
      <c r="J2772" s="3">
        <v>38625</v>
      </c>
      <c r="K2772" s="5">
        <v>2.2214</v>
      </c>
    </row>
    <row r="2773" spans="10:11">
      <c r="J2773" s="3">
        <v>38629</v>
      </c>
      <c r="K2773" s="5">
        <v>2.2416</v>
      </c>
    </row>
    <row r="2774" spans="10:11">
      <c r="J2774" s="3">
        <v>38630</v>
      </c>
      <c r="K2774" s="5">
        <v>2.2677</v>
      </c>
    </row>
    <row r="2775" spans="10:11">
      <c r="J2775" s="3">
        <v>38631</v>
      </c>
      <c r="K2775" s="5">
        <v>2.2877999999999998</v>
      </c>
    </row>
    <row r="2776" spans="10:11">
      <c r="J2776" s="3">
        <v>38632</v>
      </c>
      <c r="K2776" s="5">
        <v>2.2629999999999999</v>
      </c>
    </row>
    <row r="2777" spans="10:11">
      <c r="J2777" s="3">
        <v>38635</v>
      </c>
      <c r="K2777" s="5">
        <v>2.2383999999999999</v>
      </c>
    </row>
    <row r="2778" spans="10:11">
      <c r="J2778" s="3">
        <v>38636</v>
      </c>
      <c r="K2778" s="5">
        <v>2.2351000000000001</v>
      </c>
    </row>
    <row r="2779" spans="10:11">
      <c r="J2779" s="3">
        <v>38637</v>
      </c>
      <c r="K2779" s="5">
        <v>2.2627000000000002</v>
      </c>
    </row>
    <row r="2780" spans="10:11">
      <c r="J2780" s="3">
        <v>38638</v>
      </c>
      <c r="K2780" s="5">
        <v>2.2511000000000001</v>
      </c>
    </row>
    <row r="2781" spans="10:11">
      <c r="J2781" s="3">
        <v>38642</v>
      </c>
      <c r="K2781" s="5">
        <v>2.2351999999999999</v>
      </c>
    </row>
    <row r="2782" spans="10:11">
      <c r="J2782" s="3">
        <v>38643</v>
      </c>
      <c r="K2782" s="5">
        <v>2.2404999999999999</v>
      </c>
    </row>
    <row r="2783" spans="10:11">
      <c r="J2783" s="3">
        <v>38644</v>
      </c>
      <c r="K2783" s="5">
        <v>2.2534999999999998</v>
      </c>
    </row>
    <row r="2784" spans="10:11">
      <c r="J2784" s="3">
        <v>38645</v>
      </c>
      <c r="K2784" s="5">
        <v>2.2435</v>
      </c>
    </row>
    <row r="2785" spans="10:11">
      <c r="J2785" s="3">
        <v>38646</v>
      </c>
      <c r="K2785" s="5">
        <v>2.2545999999999999</v>
      </c>
    </row>
    <row r="2786" spans="10:11">
      <c r="J2786" s="3">
        <v>38649</v>
      </c>
      <c r="K2786" s="5">
        <v>2.2623000000000002</v>
      </c>
    </row>
    <row r="2787" spans="10:11">
      <c r="J2787" s="3">
        <v>38650</v>
      </c>
      <c r="K2787" s="5">
        <v>2.2618</v>
      </c>
    </row>
    <row r="2788" spans="10:11">
      <c r="J2788" s="3">
        <v>38651</v>
      </c>
      <c r="K2788" s="5">
        <v>2.2746</v>
      </c>
    </row>
    <row r="2789" spans="10:11">
      <c r="J2789" s="3">
        <v>38652</v>
      </c>
      <c r="K2789" s="5">
        <v>2.2850999999999999</v>
      </c>
    </row>
    <row r="2790" spans="10:11">
      <c r="J2790" s="3">
        <v>38653</v>
      </c>
      <c r="K2790" s="5">
        <v>2.2783000000000002</v>
      </c>
    </row>
    <row r="2791" spans="10:11">
      <c r="J2791" s="3">
        <v>38656</v>
      </c>
      <c r="K2791" s="5">
        <v>2.2543000000000002</v>
      </c>
    </row>
    <row r="2792" spans="10:11">
      <c r="J2792" s="3">
        <v>38657</v>
      </c>
      <c r="K2792" s="5">
        <v>2.2515999999999998</v>
      </c>
    </row>
    <row r="2793" spans="10:11">
      <c r="J2793" s="3">
        <v>38659</v>
      </c>
      <c r="K2793" s="5">
        <v>2.2336</v>
      </c>
    </row>
    <row r="2794" spans="10:11">
      <c r="J2794" s="3">
        <v>38660</v>
      </c>
      <c r="K2794" s="5">
        <v>2.2231000000000001</v>
      </c>
    </row>
    <row r="2795" spans="10:11">
      <c r="J2795" s="3">
        <v>38663</v>
      </c>
      <c r="K2795" s="5">
        <v>2.2012999999999998</v>
      </c>
    </row>
    <row r="2796" spans="10:11">
      <c r="J2796" s="3">
        <v>38664</v>
      </c>
      <c r="K2796" s="5">
        <v>2.2031999999999998</v>
      </c>
    </row>
    <row r="2797" spans="10:11">
      <c r="J2797" s="3">
        <v>38665</v>
      </c>
      <c r="K2797" s="5">
        <v>2.1717</v>
      </c>
    </row>
    <row r="2798" spans="10:11">
      <c r="J2798" s="3">
        <v>38666</v>
      </c>
      <c r="K2798" s="5">
        <v>2.1757</v>
      </c>
    </row>
    <row r="2799" spans="10:11">
      <c r="J2799" s="3">
        <v>38667</v>
      </c>
      <c r="K2799" s="5">
        <v>2.1633</v>
      </c>
    </row>
    <row r="2800" spans="10:11">
      <c r="J2800" s="3">
        <v>38670</v>
      </c>
      <c r="K2800" s="5">
        <v>2.1989999999999998</v>
      </c>
    </row>
    <row r="2801" spans="10:11">
      <c r="J2801" s="3">
        <v>38672</v>
      </c>
      <c r="K2801" s="5">
        <v>2.1974</v>
      </c>
    </row>
    <row r="2802" spans="10:11">
      <c r="J2802" s="3">
        <v>38673</v>
      </c>
      <c r="K2802" s="5">
        <v>2.1865999999999999</v>
      </c>
    </row>
    <row r="2803" spans="10:11">
      <c r="J2803" s="3">
        <v>38674</v>
      </c>
      <c r="K2803" s="5">
        <v>2.2187000000000001</v>
      </c>
    </row>
    <row r="2804" spans="10:11">
      <c r="J2804" s="3">
        <v>38677</v>
      </c>
      <c r="K2804" s="5">
        <v>2.2181000000000002</v>
      </c>
    </row>
    <row r="2805" spans="10:11">
      <c r="J2805" s="3">
        <v>38678</v>
      </c>
      <c r="K2805" s="5">
        <v>2.2511000000000001</v>
      </c>
    </row>
    <row r="2806" spans="10:11">
      <c r="J2806" s="3">
        <v>38679</v>
      </c>
      <c r="K2806" s="5">
        <v>2.238</v>
      </c>
    </row>
    <row r="2807" spans="10:11">
      <c r="J2807" s="3">
        <v>38680</v>
      </c>
      <c r="K2807" s="5">
        <v>2.2370000000000001</v>
      </c>
    </row>
    <row r="2808" spans="10:11">
      <c r="J2808" s="3">
        <v>38681</v>
      </c>
      <c r="K2808" s="5">
        <v>2.2328999999999999</v>
      </c>
    </row>
    <row r="2809" spans="10:11">
      <c r="J2809" s="3">
        <v>38684</v>
      </c>
      <c r="K2809" s="5">
        <v>2.2094</v>
      </c>
    </row>
    <row r="2810" spans="10:11">
      <c r="J2810" s="3">
        <v>38685</v>
      </c>
      <c r="K2810" s="5">
        <v>2.198</v>
      </c>
    </row>
    <row r="2811" spans="10:11">
      <c r="J2811" s="3">
        <v>38686</v>
      </c>
      <c r="K2811" s="5">
        <v>2.2069999999999999</v>
      </c>
    </row>
    <row r="2812" spans="10:11">
      <c r="J2812" s="3">
        <v>38687</v>
      </c>
      <c r="K2812" s="5">
        <v>2.2176999999999998</v>
      </c>
    </row>
    <row r="2813" spans="10:11">
      <c r="J2813" s="3">
        <v>38688</v>
      </c>
      <c r="K2813" s="5">
        <v>2.2061000000000002</v>
      </c>
    </row>
    <row r="2814" spans="10:11">
      <c r="J2814" s="3">
        <v>38691</v>
      </c>
      <c r="K2814" s="5">
        <v>2.1960000000000002</v>
      </c>
    </row>
    <row r="2815" spans="10:11">
      <c r="J2815" s="3">
        <v>38692</v>
      </c>
      <c r="K2815" s="5">
        <v>2.1806999999999999</v>
      </c>
    </row>
    <row r="2816" spans="10:11">
      <c r="J2816" s="3">
        <v>38693</v>
      </c>
      <c r="K2816" s="5">
        <v>2.1800000000000002</v>
      </c>
    </row>
    <row r="2817" spans="10:11">
      <c r="J2817" s="3">
        <v>38694</v>
      </c>
      <c r="K2817" s="5">
        <v>2.2126999999999999</v>
      </c>
    </row>
    <row r="2818" spans="10:11">
      <c r="J2818" s="3">
        <v>38695</v>
      </c>
      <c r="K2818" s="5">
        <v>2.2446000000000002</v>
      </c>
    </row>
    <row r="2819" spans="10:11">
      <c r="J2819" s="3">
        <v>38698</v>
      </c>
      <c r="K2819" s="5">
        <v>2.2633999999999999</v>
      </c>
    </row>
    <row r="2820" spans="10:11">
      <c r="J2820" s="3">
        <v>38699</v>
      </c>
      <c r="K2820" s="5">
        <v>2.2565</v>
      </c>
    </row>
    <row r="2821" spans="10:11">
      <c r="J2821" s="3">
        <v>38700</v>
      </c>
      <c r="K2821" s="5">
        <v>2.2778999999999998</v>
      </c>
    </row>
    <row r="2822" spans="10:11">
      <c r="J2822" s="3">
        <v>38701</v>
      </c>
      <c r="K2822" s="5">
        <v>2.2957000000000001</v>
      </c>
    </row>
    <row r="2823" spans="10:11">
      <c r="J2823" s="3">
        <v>38702</v>
      </c>
      <c r="K2823" s="5">
        <v>2.3355999999999999</v>
      </c>
    </row>
    <row r="2824" spans="10:11">
      <c r="J2824" s="3">
        <v>38705</v>
      </c>
      <c r="K2824" s="5">
        <v>2.3734999999999999</v>
      </c>
    </row>
    <row r="2825" spans="10:11">
      <c r="J2825" s="3">
        <v>38706</v>
      </c>
      <c r="K2825" s="5">
        <v>2.3496999999999999</v>
      </c>
    </row>
    <row r="2826" spans="10:11">
      <c r="J2826" s="3">
        <v>38707</v>
      </c>
      <c r="K2826" s="5">
        <v>2.3168000000000002</v>
      </c>
    </row>
    <row r="2827" spans="10:11">
      <c r="J2827" s="3">
        <v>38708</v>
      </c>
      <c r="K2827" s="5">
        <v>2.3254000000000001</v>
      </c>
    </row>
    <row r="2828" spans="10:11">
      <c r="J2828" s="3">
        <v>38709</v>
      </c>
      <c r="K2828" s="5">
        <v>2.3327</v>
      </c>
    </row>
    <row r="2829" spans="10:11">
      <c r="J2829" s="3">
        <v>38712</v>
      </c>
      <c r="K2829" s="5">
        <v>2.3325</v>
      </c>
    </row>
    <row r="2830" spans="10:11">
      <c r="J2830" s="3">
        <v>38713</v>
      </c>
      <c r="K2830" s="5">
        <v>2.3525999999999998</v>
      </c>
    </row>
    <row r="2831" spans="10:11">
      <c r="J2831" s="3">
        <v>38714</v>
      </c>
      <c r="K2831" s="5">
        <v>2.3483000000000001</v>
      </c>
    </row>
    <row r="2832" spans="10:11">
      <c r="J2832" s="3">
        <v>38715</v>
      </c>
      <c r="K2832" s="5">
        <v>2.3407</v>
      </c>
    </row>
    <row r="2833" spans="10:11">
      <c r="J2833" s="3">
        <v>38716</v>
      </c>
      <c r="K2833" s="5">
        <v>2.3399000000000001</v>
      </c>
    </row>
    <row r="2834" spans="10:11">
      <c r="J2834" s="3">
        <v>38719</v>
      </c>
      <c r="K2834" s="5">
        <v>2.3370000000000002</v>
      </c>
    </row>
    <row r="2835" spans="10:11">
      <c r="J2835" s="3">
        <v>38720</v>
      </c>
      <c r="K2835" s="5">
        <v>2.3460000000000001</v>
      </c>
    </row>
    <row r="2836" spans="10:11">
      <c r="J2836" s="3">
        <v>38721</v>
      </c>
      <c r="K2836" s="5">
        <v>2.3066</v>
      </c>
    </row>
    <row r="2837" spans="10:11">
      <c r="J2837" s="3">
        <v>38722</v>
      </c>
      <c r="K2837" s="5">
        <v>2.2825000000000002</v>
      </c>
    </row>
    <row r="2838" spans="10:11">
      <c r="J2838" s="3">
        <v>38723</v>
      </c>
      <c r="K2838" s="5">
        <v>2.2869999999999999</v>
      </c>
    </row>
    <row r="2839" spans="10:11">
      <c r="J2839" s="3">
        <v>38726</v>
      </c>
      <c r="K2839" s="5">
        <v>2.2631999999999999</v>
      </c>
    </row>
    <row r="2840" spans="10:11">
      <c r="J2840" s="3">
        <v>38727</v>
      </c>
      <c r="K2840" s="5">
        <v>2.2637999999999998</v>
      </c>
    </row>
    <row r="2841" spans="10:11">
      <c r="J2841" s="3">
        <v>38728</v>
      </c>
      <c r="K2841" s="5">
        <v>2.2679</v>
      </c>
    </row>
    <row r="2842" spans="10:11">
      <c r="J2842" s="3">
        <v>38729</v>
      </c>
      <c r="K2842" s="5">
        <v>2.2721</v>
      </c>
    </row>
    <row r="2843" spans="10:11">
      <c r="J2843" s="3">
        <v>38730</v>
      </c>
      <c r="K2843" s="5">
        <v>2.2738999999999998</v>
      </c>
    </row>
    <row r="2844" spans="10:11">
      <c r="J2844" s="3">
        <v>38733</v>
      </c>
      <c r="K2844" s="5">
        <v>2.2761999999999998</v>
      </c>
    </row>
    <row r="2845" spans="10:11">
      <c r="J2845" s="3">
        <v>38734</v>
      </c>
      <c r="K2845" s="5">
        <v>2.2924000000000002</v>
      </c>
    </row>
    <row r="2846" spans="10:11">
      <c r="J2846" s="3">
        <v>38735</v>
      </c>
      <c r="K2846" s="5">
        <v>2.3275999999999999</v>
      </c>
    </row>
    <row r="2847" spans="10:11">
      <c r="J2847" s="3">
        <v>38736</v>
      </c>
      <c r="K2847" s="5">
        <v>2.3224999999999998</v>
      </c>
    </row>
    <row r="2848" spans="10:11">
      <c r="J2848" s="3">
        <v>38737</v>
      </c>
      <c r="K2848" s="5">
        <v>2.2755999999999998</v>
      </c>
    </row>
    <row r="2849" spans="10:11">
      <c r="J2849" s="3">
        <v>38740</v>
      </c>
      <c r="K2849" s="5">
        <v>2.2608999999999999</v>
      </c>
    </row>
    <row r="2850" spans="10:11">
      <c r="J2850" s="3">
        <v>38741</v>
      </c>
      <c r="K2850" s="5">
        <v>2.2440000000000002</v>
      </c>
    </row>
    <row r="2851" spans="10:11">
      <c r="J2851" s="3">
        <v>38742</v>
      </c>
      <c r="K2851" s="5">
        <v>2.2433000000000001</v>
      </c>
    </row>
    <row r="2852" spans="10:11">
      <c r="J2852" s="3">
        <v>38743</v>
      </c>
      <c r="K2852" s="5">
        <v>2.2382</v>
      </c>
    </row>
    <row r="2853" spans="10:11">
      <c r="J2853" s="3">
        <v>38744</v>
      </c>
      <c r="K2853" s="5">
        <v>2.2151999999999998</v>
      </c>
    </row>
    <row r="2854" spans="10:11">
      <c r="J2854" s="3">
        <v>38747</v>
      </c>
      <c r="K2854" s="5">
        <v>2.2115999999999998</v>
      </c>
    </row>
    <row r="2855" spans="10:11">
      <c r="J2855" s="3">
        <v>38748</v>
      </c>
      <c r="K2855" s="5">
        <v>2.2151999999999998</v>
      </c>
    </row>
    <row r="2856" spans="10:11">
      <c r="J2856" s="3">
        <v>38749</v>
      </c>
      <c r="K2856" s="5">
        <v>2.2216999999999998</v>
      </c>
    </row>
    <row r="2857" spans="10:11">
      <c r="J2857" s="3">
        <v>38750</v>
      </c>
      <c r="K2857" s="5">
        <v>2.2210000000000001</v>
      </c>
    </row>
    <row r="2858" spans="10:11">
      <c r="J2858" s="3">
        <v>38751</v>
      </c>
      <c r="K2858" s="5">
        <v>2.2202000000000002</v>
      </c>
    </row>
    <row r="2859" spans="10:11">
      <c r="J2859" s="3">
        <v>38754</v>
      </c>
      <c r="K2859" s="5">
        <v>2.1877</v>
      </c>
    </row>
    <row r="2860" spans="10:11">
      <c r="J2860" s="3">
        <v>38755</v>
      </c>
      <c r="K2860" s="5">
        <v>2.1858</v>
      </c>
    </row>
    <row r="2861" spans="10:11">
      <c r="J2861" s="3">
        <v>38756</v>
      </c>
      <c r="K2861" s="5">
        <v>2.1956000000000002</v>
      </c>
    </row>
    <row r="2862" spans="10:11">
      <c r="J2862" s="3">
        <v>38757</v>
      </c>
      <c r="K2862" s="5">
        <v>2.1778</v>
      </c>
    </row>
    <row r="2863" spans="10:11">
      <c r="J2863" s="3">
        <v>38758</v>
      </c>
      <c r="K2863" s="5">
        <v>2.1575000000000002</v>
      </c>
    </row>
    <row r="2864" spans="10:11">
      <c r="J2864" s="3">
        <v>38761</v>
      </c>
      <c r="K2864" s="5">
        <v>2.1621000000000001</v>
      </c>
    </row>
    <row r="2865" spans="10:11">
      <c r="J2865" s="3">
        <v>38762</v>
      </c>
      <c r="K2865" s="5">
        <v>2.1435</v>
      </c>
    </row>
    <row r="2866" spans="10:11">
      <c r="J2866" s="3">
        <v>38763</v>
      </c>
      <c r="K2866" s="5">
        <v>2.1375000000000002</v>
      </c>
    </row>
    <row r="2867" spans="10:11">
      <c r="J2867" s="3">
        <v>38764</v>
      </c>
      <c r="K2867" s="5">
        <v>2.1168999999999998</v>
      </c>
    </row>
    <row r="2868" spans="10:11">
      <c r="J2868" s="3">
        <v>38765</v>
      </c>
      <c r="K2868" s="5">
        <v>2.1185999999999998</v>
      </c>
    </row>
    <row r="2869" spans="10:11">
      <c r="J2869" s="3">
        <v>38768</v>
      </c>
      <c r="K2869" s="5">
        <v>2.1181999999999999</v>
      </c>
    </row>
    <row r="2870" spans="10:11">
      <c r="J2870" s="3">
        <v>38769</v>
      </c>
      <c r="K2870" s="5">
        <v>2.1297000000000001</v>
      </c>
    </row>
    <row r="2871" spans="10:11">
      <c r="J2871" s="3">
        <v>38770</v>
      </c>
      <c r="K2871" s="5">
        <v>2.1484000000000001</v>
      </c>
    </row>
    <row r="2872" spans="10:11">
      <c r="J2872" s="3">
        <v>38771</v>
      </c>
      <c r="K2872" s="5">
        <v>2.1353</v>
      </c>
    </row>
    <row r="2873" spans="10:11">
      <c r="J2873" s="3">
        <v>38772</v>
      </c>
      <c r="K2873" s="5">
        <v>2.1355</v>
      </c>
    </row>
    <row r="2874" spans="10:11">
      <c r="J2874" s="3">
        <v>38777</v>
      </c>
      <c r="K2874" s="5">
        <v>2.1181000000000001</v>
      </c>
    </row>
    <row r="2875" spans="10:11">
      <c r="J2875" s="3">
        <v>38778</v>
      </c>
      <c r="K2875" s="5">
        <v>2.1133999999999999</v>
      </c>
    </row>
    <row r="2876" spans="10:11">
      <c r="J2876" s="3">
        <v>38779</v>
      </c>
      <c r="K2876" s="5">
        <v>2.1154999999999999</v>
      </c>
    </row>
    <row r="2877" spans="10:11">
      <c r="J2877" s="3">
        <v>38782</v>
      </c>
      <c r="K2877" s="5">
        <v>2.1261000000000001</v>
      </c>
    </row>
    <row r="2878" spans="10:11">
      <c r="J2878" s="3">
        <v>38783</v>
      </c>
      <c r="K2878" s="5">
        <v>2.1682000000000001</v>
      </c>
    </row>
    <row r="2879" spans="10:11">
      <c r="J2879" s="3">
        <v>38784</v>
      </c>
      <c r="K2879" s="5">
        <v>2.1778</v>
      </c>
    </row>
    <row r="2880" spans="10:11">
      <c r="J2880" s="3">
        <v>38785</v>
      </c>
      <c r="K2880" s="5">
        <v>2.1615000000000002</v>
      </c>
    </row>
    <row r="2881" spans="10:11">
      <c r="J2881" s="3">
        <v>38786</v>
      </c>
      <c r="K2881" s="5">
        <v>2.1446999999999998</v>
      </c>
    </row>
    <row r="2882" spans="10:11">
      <c r="J2882" s="3">
        <v>38789</v>
      </c>
      <c r="K2882" s="5">
        <v>2.1349</v>
      </c>
    </row>
    <row r="2883" spans="10:11">
      <c r="J2883" s="3">
        <v>38790</v>
      </c>
      <c r="K2883" s="5">
        <v>2.1269</v>
      </c>
    </row>
    <row r="2884" spans="10:11">
      <c r="J2884" s="3">
        <v>38791</v>
      </c>
      <c r="K2884" s="5">
        <v>2.1215000000000002</v>
      </c>
    </row>
    <row r="2885" spans="10:11">
      <c r="J2885" s="3">
        <v>38792</v>
      </c>
      <c r="K2885" s="5">
        <v>2.1067</v>
      </c>
    </row>
    <row r="2886" spans="10:11">
      <c r="J2886" s="3">
        <v>38793</v>
      </c>
      <c r="K2886" s="5">
        <v>2.1187999999999998</v>
      </c>
    </row>
    <row r="2887" spans="10:11">
      <c r="J2887" s="3">
        <v>38796</v>
      </c>
      <c r="K2887" s="5">
        <v>2.1385999999999998</v>
      </c>
    </row>
    <row r="2888" spans="10:11">
      <c r="J2888" s="3">
        <v>38797</v>
      </c>
      <c r="K2888" s="5">
        <v>2.1591</v>
      </c>
    </row>
    <row r="2889" spans="10:11">
      <c r="J2889" s="3">
        <v>38798</v>
      </c>
      <c r="K2889" s="5">
        <v>2.1553</v>
      </c>
    </row>
    <row r="2890" spans="10:11">
      <c r="J2890" s="3">
        <v>38799</v>
      </c>
      <c r="K2890" s="5">
        <v>2.1505999999999998</v>
      </c>
    </row>
    <row r="2891" spans="10:11">
      <c r="J2891" s="3">
        <v>38800</v>
      </c>
      <c r="K2891" s="5">
        <v>2.1627999999999998</v>
      </c>
    </row>
    <row r="2892" spans="10:11">
      <c r="J2892" s="3">
        <v>38803</v>
      </c>
      <c r="K2892" s="5">
        <v>2.1804000000000001</v>
      </c>
    </row>
    <row r="2893" spans="10:11">
      <c r="J2893" s="3">
        <v>38804</v>
      </c>
      <c r="K2893" s="5">
        <v>2.2238000000000002</v>
      </c>
    </row>
    <row r="2894" spans="10:11">
      <c r="J2894" s="3">
        <v>38805</v>
      </c>
      <c r="K2894" s="5">
        <v>2.2227999999999999</v>
      </c>
    </row>
    <row r="2895" spans="10:11">
      <c r="J2895" s="3">
        <v>38806</v>
      </c>
      <c r="K2895" s="5">
        <v>2.1951999999999998</v>
      </c>
    </row>
    <row r="2896" spans="10:11">
      <c r="J2896" s="3">
        <v>38807</v>
      </c>
      <c r="K2896" s="5">
        <v>2.1724000000000001</v>
      </c>
    </row>
    <row r="2897" spans="10:11">
      <c r="J2897" s="3">
        <v>38810</v>
      </c>
      <c r="K2897" s="5">
        <v>2.1541999999999999</v>
      </c>
    </row>
    <row r="2898" spans="10:11">
      <c r="J2898" s="3">
        <v>38811</v>
      </c>
      <c r="K2898" s="5">
        <v>2.1293000000000002</v>
      </c>
    </row>
    <row r="2899" spans="10:11">
      <c r="J2899" s="3">
        <v>38812</v>
      </c>
      <c r="K2899" s="5">
        <v>2.1343999999999999</v>
      </c>
    </row>
    <row r="2900" spans="10:11">
      <c r="J2900" s="3">
        <v>38813</v>
      </c>
      <c r="K2900" s="5">
        <v>2.1299000000000001</v>
      </c>
    </row>
    <row r="2901" spans="10:11">
      <c r="J2901" s="3">
        <v>38814</v>
      </c>
      <c r="K2901" s="5">
        <v>2.1408999999999998</v>
      </c>
    </row>
    <row r="2902" spans="10:11">
      <c r="J2902" s="3">
        <v>38817</v>
      </c>
      <c r="K2902" s="5">
        <v>2.1522000000000001</v>
      </c>
    </row>
    <row r="2903" spans="10:11">
      <c r="J2903" s="3">
        <v>38818</v>
      </c>
      <c r="K2903" s="5">
        <v>2.1419999999999999</v>
      </c>
    </row>
    <row r="2904" spans="10:11">
      <c r="J2904" s="3">
        <v>38819</v>
      </c>
      <c r="K2904" s="5">
        <v>2.1335999999999999</v>
      </c>
    </row>
    <row r="2905" spans="10:11">
      <c r="J2905" s="3">
        <v>38820</v>
      </c>
      <c r="K2905" s="5">
        <v>2.1425999999999998</v>
      </c>
    </row>
    <row r="2906" spans="10:11">
      <c r="J2906" s="3">
        <v>38824</v>
      </c>
      <c r="K2906" s="5">
        <v>2.1343000000000001</v>
      </c>
    </row>
    <row r="2907" spans="10:11">
      <c r="J2907" s="3">
        <v>38825</v>
      </c>
      <c r="K2907" s="5">
        <v>2.1292</v>
      </c>
    </row>
    <row r="2908" spans="10:11">
      <c r="J2908" s="3">
        <v>38826</v>
      </c>
      <c r="K2908" s="5">
        <v>2.1143000000000001</v>
      </c>
    </row>
    <row r="2909" spans="10:11">
      <c r="J2909" s="3">
        <v>38827</v>
      </c>
      <c r="K2909" s="5">
        <v>2.1236000000000002</v>
      </c>
    </row>
    <row r="2910" spans="10:11">
      <c r="J2910" s="3">
        <v>38831</v>
      </c>
      <c r="K2910" s="5">
        <v>2.1181999999999999</v>
      </c>
    </row>
    <row r="2911" spans="10:11">
      <c r="J2911" s="3">
        <v>38832</v>
      </c>
      <c r="K2911" s="5">
        <v>2.1233</v>
      </c>
    </row>
    <row r="2912" spans="10:11">
      <c r="J2912" s="3">
        <v>38833</v>
      </c>
      <c r="K2912" s="5">
        <v>2.1223999999999998</v>
      </c>
    </row>
    <row r="2913" spans="10:11">
      <c r="J2913" s="3">
        <v>38834</v>
      </c>
      <c r="K2913" s="5">
        <v>2.1135999999999999</v>
      </c>
    </row>
    <row r="2914" spans="10:11">
      <c r="J2914" s="3">
        <v>38835</v>
      </c>
      <c r="K2914" s="5">
        <v>2.0891999999999999</v>
      </c>
    </row>
    <row r="2915" spans="10:11">
      <c r="J2915" s="3">
        <v>38839</v>
      </c>
      <c r="K2915" s="5">
        <v>2.0718000000000001</v>
      </c>
    </row>
    <row r="2916" spans="10:11">
      <c r="J2916" s="3">
        <v>38840</v>
      </c>
      <c r="K2916" s="5">
        <v>2.0706000000000002</v>
      </c>
    </row>
    <row r="2917" spans="10:11">
      <c r="J2917" s="3">
        <v>38841</v>
      </c>
      <c r="K2917" s="5">
        <v>2.0667</v>
      </c>
    </row>
    <row r="2918" spans="10:11">
      <c r="J2918" s="3">
        <v>38842</v>
      </c>
      <c r="K2918" s="5">
        <v>2.0587</v>
      </c>
    </row>
    <row r="2919" spans="10:11">
      <c r="J2919" s="3">
        <v>38845</v>
      </c>
      <c r="K2919" s="5">
        <v>2.0651000000000002</v>
      </c>
    </row>
    <row r="2920" spans="10:11">
      <c r="J2920" s="3">
        <v>38846</v>
      </c>
      <c r="K2920" s="5">
        <v>2.0642</v>
      </c>
    </row>
    <row r="2921" spans="10:11">
      <c r="J2921" s="3">
        <v>38847</v>
      </c>
      <c r="K2921" s="5">
        <v>2.0586000000000002</v>
      </c>
    </row>
    <row r="2922" spans="10:11">
      <c r="J2922" s="3">
        <v>38848</v>
      </c>
      <c r="K2922" s="5">
        <v>2.0880999999999998</v>
      </c>
    </row>
    <row r="2923" spans="10:11">
      <c r="J2923" s="3">
        <v>38849</v>
      </c>
      <c r="K2923" s="5">
        <v>2.1307</v>
      </c>
    </row>
    <row r="2924" spans="10:11">
      <c r="J2924" s="3">
        <v>38852</v>
      </c>
      <c r="K2924" s="5">
        <v>2.1774</v>
      </c>
    </row>
    <row r="2925" spans="10:11">
      <c r="J2925" s="3">
        <v>38853</v>
      </c>
      <c r="K2925" s="5">
        <v>2.1402999999999999</v>
      </c>
    </row>
    <row r="2926" spans="10:11">
      <c r="J2926" s="3">
        <v>38854</v>
      </c>
      <c r="K2926" s="5">
        <v>2.1825999999999999</v>
      </c>
    </row>
    <row r="2927" spans="10:11">
      <c r="J2927" s="3">
        <v>38855</v>
      </c>
      <c r="K2927" s="5">
        <v>2.1833</v>
      </c>
    </row>
    <row r="2928" spans="10:11">
      <c r="J2928" s="3">
        <v>38856</v>
      </c>
      <c r="K2928" s="5">
        <v>2.1930000000000001</v>
      </c>
    </row>
    <row r="2929" spans="10:11">
      <c r="J2929" s="3">
        <v>38859</v>
      </c>
      <c r="K2929" s="5">
        <v>2.2883</v>
      </c>
    </row>
    <row r="2930" spans="10:11">
      <c r="J2930" s="3">
        <v>38860</v>
      </c>
      <c r="K2930" s="5">
        <v>2.2601</v>
      </c>
    </row>
    <row r="2931" spans="10:11">
      <c r="J2931" s="3">
        <v>38861</v>
      </c>
      <c r="K2931" s="5">
        <v>2.3711000000000002</v>
      </c>
    </row>
    <row r="2932" spans="10:11">
      <c r="J2932" s="3">
        <v>38862</v>
      </c>
      <c r="K2932" s="5">
        <v>2.3149999999999999</v>
      </c>
    </row>
    <row r="2933" spans="10:11">
      <c r="J2933" s="3">
        <v>38863</v>
      </c>
      <c r="K2933" s="5">
        <v>2.2519999999999998</v>
      </c>
    </row>
    <row r="2934" spans="10:11">
      <c r="J2934" s="3">
        <v>38866</v>
      </c>
      <c r="K2934" s="5">
        <v>2.2566000000000002</v>
      </c>
    </row>
    <row r="2935" spans="10:11">
      <c r="J2935" s="3">
        <v>38867</v>
      </c>
      <c r="K2935" s="5">
        <v>2.3235000000000001</v>
      </c>
    </row>
    <row r="2936" spans="10:11">
      <c r="J2936" s="3">
        <v>38868</v>
      </c>
      <c r="K2936" s="5">
        <v>2.3005</v>
      </c>
    </row>
    <row r="2937" spans="10:11">
      <c r="J2937" s="3">
        <v>38869</v>
      </c>
      <c r="K2937" s="5">
        <v>2.2713000000000001</v>
      </c>
    </row>
    <row r="2938" spans="10:11">
      <c r="J2938" s="3">
        <v>38870</v>
      </c>
      <c r="K2938" s="5">
        <v>2.2595000000000001</v>
      </c>
    </row>
    <row r="2939" spans="10:11">
      <c r="J2939" s="3">
        <v>38873</v>
      </c>
      <c r="K2939" s="5">
        <v>2.2557</v>
      </c>
    </row>
    <row r="2940" spans="10:11">
      <c r="J2940" s="3">
        <v>38874</v>
      </c>
      <c r="K2940" s="5">
        <v>2.2686000000000002</v>
      </c>
    </row>
    <row r="2941" spans="10:11">
      <c r="J2941" s="3">
        <v>38875</v>
      </c>
      <c r="K2941" s="5">
        <v>2.25</v>
      </c>
    </row>
    <row r="2942" spans="10:11">
      <c r="J2942" s="3">
        <v>38876</v>
      </c>
      <c r="K2942" s="5">
        <v>2.2700999999999998</v>
      </c>
    </row>
    <row r="2943" spans="10:11">
      <c r="J2943" s="3">
        <v>38877</v>
      </c>
      <c r="K2943" s="5">
        <v>2.2614999999999998</v>
      </c>
    </row>
    <row r="2944" spans="10:11">
      <c r="J2944" s="3">
        <v>38880</v>
      </c>
      <c r="K2944" s="5">
        <v>2.2707000000000002</v>
      </c>
    </row>
    <row r="2945" spans="10:11">
      <c r="J2945" s="3">
        <v>38881</v>
      </c>
      <c r="K2945" s="5">
        <v>2.3018000000000001</v>
      </c>
    </row>
    <row r="2946" spans="10:11">
      <c r="J2946" s="3">
        <v>38882</v>
      </c>
      <c r="K2946" s="5">
        <v>2.2845</v>
      </c>
    </row>
    <row r="2947" spans="10:11">
      <c r="J2947" s="3">
        <v>38884</v>
      </c>
      <c r="K2947" s="5">
        <v>2.2521</v>
      </c>
    </row>
    <row r="2948" spans="10:11">
      <c r="J2948" s="3">
        <v>38887</v>
      </c>
      <c r="K2948" s="5">
        <v>2.2404000000000002</v>
      </c>
    </row>
    <row r="2949" spans="10:11">
      <c r="J2949" s="3">
        <v>38888</v>
      </c>
      <c r="K2949" s="5">
        <v>2.2505999999999999</v>
      </c>
    </row>
    <row r="2950" spans="10:11">
      <c r="J2950" s="3">
        <v>38889</v>
      </c>
      <c r="K2950" s="5">
        <v>2.2378</v>
      </c>
    </row>
    <row r="2951" spans="10:11">
      <c r="J2951" s="3">
        <v>38890</v>
      </c>
      <c r="K2951" s="5">
        <v>2.2391000000000001</v>
      </c>
    </row>
    <row r="2952" spans="10:11">
      <c r="J2952" s="3">
        <v>38891</v>
      </c>
      <c r="K2952" s="5">
        <v>2.2462</v>
      </c>
    </row>
    <row r="2953" spans="10:11">
      <c r="J2953" s="3">
        <v>38894</v>
      </c>
      <c r="K2953" s="5">
        <v>2.2259000000000002</v>
      </c>
    </row>
    <row r="2954" spans="10:11">
      <c r="J2954" s="3">
        <v>38895</v>
      </c>
      <c r="K2954" s="5">
        <v>2.2315</v>
      </c>
    </row>
    <row r="2955" spans="10:11">
      <c r="J2955" s="3">
        <v>38896</v>
      </c>
      <c r="K2955" s="5">
        <v>2.2262</v>
      </c>
    </row>
    <row r="2956" spans="10:11">
      <c r="J2956" s="3">
        <v>38897</v>
      </c>
      <c r="K2956" s="5">
        <v>2.2063000000000001</v>
      </c>
    </row>
    <row r="2957" spans="10:11">
      <c r="J2957" s="3">
        <v>38898</v>
      </c>
      <c r="K2957" s="5">
        <v>2.1642999999999999</v>
      </c>
    </row>
    <row r="2958" spans="10:11">
      <c r="J2958" s="3">
        <v>38901</v>
      </c>
      <c r="K2958" s="5">
        <v>2.1701000000000001</v>
      </c>
    </row>
    <row r="2959" spans="10:11">
      <c r="J2959" s="3">
        <v>38902</v>
      </c>
      <c r="K2959" s="5">
        <v>2.1646000000000001</v>
      </c>
    </row>
    <row r="2960" spans="10:11">
      <c r="J2960" s="3">
        <v>38903</v>
      </c>
      <c r="K2960" s="5">
        <v>2.1955</v>
      </c>
    </row>
    <row r="2961" spans="10:11">
      <c r="J2961" s="3">
        <v>38904</v>
      </c>
      <c r="K2961" s="5">
        <v>2.1840000000000002</v>
      </c>
    </row>
    <row r="2962" spans="10:11">
      <c r="J2962" s="3">
        <v>38905</v>
      </c>
      <c r="K2962" s="5">
        <v>2.1764999999999999</v>
      </c>
    </row>
    <row r="2963" spans="10:11">
      <c r="J2963" s="3">
        <v>38908</v>
      </c>
      <c r="K2963" s="5">
        <v>2.1749999999999998</v>
      </c>
    </row>
    <row r="2964" spans="10:11">
      <c r="J2964" s="3">
        <v>38909</v>
      </c>
      <c r="K2964" s="5">
        <v>2.1859000000000002</v>
      </c>
    </row>
    <row r="2965" spans="10:11">
      <c r="J2965" s="3">
        <v>38910</v>
      </c>
      <c r="K2965" s="5">
        <v>2.1915</v>
      </c>
    </row>
    <row r="2966" spans="10:11">
      <c r="J2966" s="3">
        <v>38911</v>
      </c>
      <c r="K2966" s="5">
        <v>2.2105999999999999</v>
      </c>
    </row>
    <row r="2967" spans="10:11">
      <c r="J2967" s="3">
        <v>38912</v>
      </c>
      <c r="K2967" s="5">
        <v>2.2130000000000001</v>
      </c>
    </row>
    <row r="2968" spans="10:11">
      <c r="J2968" s="3">
        <v>38915</v>
      </c>
      <c r="K2968" s="5">
        <v>2.2126000000000001</v>
      </c>
    </row>
    <row r="2969" spans="10:11">
      <c r="J2969" s="3">
        <v>38916</v>
      </c>
      <c r="K2969" s="5">
        <v>2.1962000000000002</v>
      </c>
    </row>
    <row r="2970" spans="10:11">
      <c r="J2970" s="3">
        <v>38917</v>
      </c>
      <c r="K2970" s="5">
        <v>2.181</v>
      </c>
    </row>
    <row r="2971" spans="10:11">
      <c r="J2971" s="3">
        <v>38918</v>
      </c>
      <c r="K2971" s="5">
        <v>2.1894999999999998</v>
      </c>
    </row>
    <row r="2972" spans="10:11">
      <c r="J2972" s="3">
        <v>38919</v>
      </c>
      <c r="K2972" s="5">
        <v>2.1934999999999998</v>
      </c>
    </row>
    <row r="2973" spans="10:11">
      <c r="J2973" s="3">
        <v>38922</v>
      </c>
      <c r="K2973" s="5">
        <v>2.1916000000000002</v>
      </c>
    </row>
    <row r="2974" spans="10:11">
      <c r="J2974" s="3">
        <v>38923</v>
      </c>
      <c r="K2974" s="5">
        <v>2.1993</v>
      </c>
    </row>
    <row r="2975" spans="10:11">
      <c r="J2975" s="3">
        <v>38924</v>
      </c>
      <c r="K2975" s="5">
        <v>2.1976</v>
      </c>
    </row>
    <row r="2976" spans="10:11">
      <c r="J2976" s="3">
        <v>38925</v>
      </c>
      <c r="K2976" s="5">
        <v>2.1899000000000002</v>
      </c>
    </row>
    <row r="2977" spans="10:11">
      <c r="J2977" s="3">
        <v>38926</v>
      </c>
      <c r="K2977" s="5">
        <v>2.1800000000000002</v>
      </c>
    </row>
    <row r="2978" spans="10:11">
      <c r="J2978" s="3">
        <v>38929</v>
      </c>
      <c r="K2978" s="5">
        <v>2.1762000000000001</v>
      </c>
    </row>
    <row r="2979" spans="10:11">
      <c r="J2979" s="3">
        <v>38930</v>
      </c>
      <c r="K2979" s="5">
        <v>2.1905000000000001</v>
      </c>
    </row>
    <row r="2980" spans="10:11">
      <c r="J2980" s="3">
        <v>38931</v>
      </c>
      <c r="K2980" s="5">
        <v>2.1821000000000002</v>
      </c>
    </row>
    <row r="2981" spans="10:11">
      <c r="J2981" s="3">
        <v>38932</v>
      </c>
      <c r="K2981" s="5">
        <v>2.1835</v>
      </c>
    </row>
    <row r="2982" spans="10:11">
      <c r="J2982" s="3">
        <v>38933</v>
      </c>
      <c r="K2982" s="5">
        <v>2.1720000000000002</v>
      </c>
    </row>
    <row r="2983" spans="10:11">
      <c r="J2983" s="3">
        <v>38936</v>
      </c>
      <c r="K2983" s="5">
        <v>2.1793</v>
      </c>
    </row>
    <row r="2984" spans="10:11">
      <c r="J2984" s="3">
        <v>38937</v>
      </c>
      <c r="K2984" s="5">
        <v>2.1839</v>
      </c>
    </row>
    <row r="2985" spans="10:11">
      <c r="J2985" s="3">
        <v>38938</v>
      </c>
      <c r="K2985" s="5">
        <v>2.1686999999999999</v>
      </c>
    </row>
    <row r="2986" spans="10:11">
      <c r="J2986" s="3">
        <v>38939</v>
      </c>
      <c r="K2986" s="5">
        <v>2.1627999999999998</v>
      </c>
    </row>
    <row r="2987" spans="10:11">
      <c r="J2987" s="3">
        <v>38940</v>
      </c>
      <c r="K2987" s="5">
        <v>2.1616</v>
      </c>
    </row>
    <row r="2988" spans="10:11">
      <c r="J2988" s="3">
        <v>38943</v>
      </c>
      <c r="K2988" s="5">
        <v>2.1604999999999999</v>
      </c>
    </row>
    <row r="2989" spans="10:11">
      <c r="J2989" s="3">
        <v>38944</v>
      </c>
      <c r="K2989" s="5">
        <v>2.1480000000000001</v>
      </c>
    </row>
    <row r="2990" spans="10:11">
      <c r="J2990" s="3">
        <v>38945</v>
      </c>
      <c r="K2990" s="5">
        <v>2.1328999999999998</v>
      </c>
    </row>
    <row r="2991" spans="10:11">
      <c r="J2991" s="3">
        <v>38946</v>
      </c>
      <c r="K2991" s="5">
        <v>2.1364999999999998</v>
      </c>
    </row>
    <row r="2992" spans="10:11">
      <c r="J2992" s="3">
        <v>38947</v>
      </c>
      <c r="K2992" s="5">
        <v>2.1456</v>
      </c>
    </row>
    <row r="2993" spans="10:11">
      <c r="J2993" s="3">
        <v>38950</v>
      </c>
      <c r="K2993" s="5">
        <v>2.1360999999999999</v>
      </c>
    </row>
    <row r="2994" spans="10:11">
      <c r="J2994" s="3">
        <v>38951</v>
      </c>
      <c r="K2994" s="5">
        <v>2.1355</v>
      </c>
    </row>
    <row r="2995" spans="10:11">
      <c r="J2995" s="3">
        <v>38952</v>
      </c>
      <c r="K2995" s="5">
        <v>2.1354000000000002</v>
      </c>
    </row>
    <row r="2996" spans="10:11">
      <c r="J2996" s="3">
        <v>38953</v>
      </c>
      <c r="K2996" s="5">
        <v>2.1522999999999999</v>
      </c>
    </row>
    <row r="2997" spans="10:11">
      <c r="J2997" s="3">
        <v>38954</v>
      </c>
      <c r="K2997" s="5">
        <v>2.1570999999999998</v>
      </c>
    </row>
    <row r="2998" spans="10:11">
      <c r="J2998" s="3">
        <v>38957</v>
      </c>
      <c r="K2998" s="5">
        <v>2.1473</v>
      </c>
    </row>
    <row r="2999" spans="10:11">
      <c r="J2999" s="3">
        <v>38958</v>
      </c>
      <c r="K2999" s="5">
        <v>2.1419000000000001</v>
      </c>
    </row>
    <row r="3000" spans="10:11">
      <c r="J3000" s="3">
        <v>38959</v>
      </c>
      <c r="K3000" s="5">
        <v>2.133</v>
      </c>
    </row>
    <row r="3001" spans="10:11">
      <c r="J3001" s="3">
        <v>38960</v>
      </c>
      <c r="K3001" s="5">
        <v>2.1387999999999998</v>
      </c>
    </row>
    <row r="3002" spans="10:11">
      <c r="J3002" s="3">
        <v>38961</v>
      </c>
      <c r="K3002" s="5">
        <v>2.1467999999999998</v>
      </c>
    </row>
    <row r="3003" spans="10:11">
      <c r="J3003" s="3">
        <v>38964</v>
      </c>
      <c r="K3003" s="5">
        <v>2.1282000000000001</v>
      </c>
    </row>
    <row r="3004" spans="10:11">
      <c r="J3004" s="3">
        <v>38965</v>
      </c>
      <c r="K3004" s="5">
        <v>2.1288</v>
      </c>
    </row>
    <row r="3005" spans="10:11">
      <c r="J3005" s="3">
        <v>38966</v>
      </c>
      <c r="K3005" s="5">
        <v>2.1442999999999999</v>
      </c>
    </row>
    <row r="3006" spans="10:11">
      <c r="J3006" s="3">
        <v>38968</v>
      </c>
      <c r="K3006" s="5">
        <v>2.1581999999999999</v>
      </c>
    </row>
    <row r="3007" spans="10:11">
      <c r="J3007" s="3">
        <v>38971</v>
      </c>
      <c r="K3007" s="5">
        <v>2.1751</v>
      </c>
    </row>
    <row r="3008" spans="10:11">
      <c r="J3008" s="3">
        <v>38972</v>
      </c>
      <c r="K3008" s="5">
        <v>2.1732</v>
      </c>
    </row>
    <row r="3009" spans="10:11">
      <c r="J3009" s="3">
        <v>38973</v>
      </c>
      <c r="K3009" s="5">
        <v>2.17</v>
      </c>
    </row>
    <row r="3010" spans="10:11">
      <c r="J3010" s="3">
        <v>38974</v>
      </c>
      <c r="K3010" s="5">
        <v>2.1593</v>
      </c>
    </row>
    <row r="3011" spans="10:11">
      <c r="J3011" s="3">
        <v>38975</v>
      </c>
      <c r="K3011" s="5">
        <v>2.1539999999999999</v>
      </c>
    </row>
    <row r="3012" spans="10:11">
      <c r="J3012" s="3">
        <v>38978</v>
      </c>
      <c r="K3012" s="5">
        <v>2.1453000000000002</v>
      </c>
    </row>
    <row r="3013" spans="10:11">
      <c r="J3013" s="3">
        <v>38979</v>
      </c>
      <c r="K3013" s="5">
        <v>2.1518000000000002</v>
      </c>
    </row>
    <row r="3014" spans="10:11">
      <c r="J3014" s="3">
        <v>38980</v>
      </c>
      <c r="K3014" s="5">
        <v>2.169</v>
      </c>
    </row>
    <row r="3015" spans="10:11">
      <c r="J3015" s="3">
        <v>38981</v>
      </c>
      <c r="K3015" s="5">
        <v>2.1968999999999999</v>
      </c>
    </row>
    <row r="3016" spans="10:11">
      <c r="J3016" s="3">
        <v>38982</v>
      </c>
      <c r="K3016" s="5">
        <v>2.2176999999999998</v>
      </c>
    </row>
    <row r="3017" spans="10:11">
      <c r="J3017" s="3">
        <v>38985</v>
      </c>
      <c r="K3017" s="5">
        <v>2.2187999999999999</v>
      </c>
    </row>
    <row r="3018" spans="10:11">
      <c r="J3018" s="3">
        <v>38986</v>
      </c>
      <c r="K3018" s="5">
        <v>2.198</v>
      </c>
    </row>
    <row r="3019" spans="10:11">
      <c r="J3019" s="3">
        <v>38987</v>
      </c>
      <c r="K3019" s="5">
        <v>2.1859999999999999</v>
      </c>
    </row>
    <row r="3020" spans="10:11">
      <c r="J3020" s="3">
        <v>38988</v>
      </c>
      <c r="K3020" s="5">
        <v>2.1793</v>
      </c>
    </row>
    <row r="3021" spans="10:11">
      <c r="J3021" s="3">
        <v>38989</v>
      </c>
      <c r="K3021" s="5">
        <v>2.1741999999999999</v>
      </c>
    </row>
    <row r="3022" spans="10:11">
      <c r="J3022" s="3">
        <v>38992</v>
      </c>
      <c r="K3022" s="5">
        <v>2.1623000000000001</v>
      </c>
    </row>
    <row r="3023" spans="10:11">
      <c r="J3023" s="3">
        <v>38993</v>
      </c>
      <c r="K3023" s="5">
        <v>2.1655000000000002</v>
      </c>
    </row>
    <row r="3024" spans="10:11">
      <c r="J3024" s="3">
        <v>38994</v>
      </c>
      <c r="K3024" s="5">
        <v>2.1676000000000002</v>
      </c>
    </row>
    <row r="3025" spans="10:11">
      <c r="J3025" s="3">
        <v>38995</v>
      </c>
      <c r="K3025" s="5">
        <v>2.1629</v>
      </c>
    </row>
    <row r="3026" spans="10:11">
      <c r="J3026" s="3">
        <v>38996</v>
      </c>
      <c r="K3026" s="5">
        <v>2.1636000000000002</v>
      </c>
    </row>
    <row r="3027" spans="10:11">
      <c r="J3027" s="3">
        <v>38999</v>
      </c>
      <c r="K3027" s="5">
        <v>2.1587999999999998</v>
      </c>
    </row>
    <row r="3028" spans="10:11">
      <c r="J3028" s="3">
        <v>39000</v>
      </c>
      <c r="K3028" s="5">
        <v>2.1497000000000002</v>
      </c>
    </row>
    <row r="3029" spans="10:11">
      <c r="J3029" s="3">
        <v>39001</v>
      </c>
      <c r="K3029" s="5">
        <v>2.1545999999999998</v>
      </c>
    </row>
    <row r="3030" spans="10:11">
      <c r="J3030" s="3">
        <v>39003</v>
      </c>
      <c r="K3030" s="5">
        <v>2.1419000000000001</v>
      </c>
    </row>
    <row r="3031" spans="10:11">
      <c r="J3031" s="3">
        <v>39006</v>
      </c>
      <c r="K3031" s="5">
        <v>2.1331000000000002</v>
      </c>
    </row>
    <row r="3032" spans="10:11">
      <c r="J3032" s="3">
        <v>39007</v>
      </c>
      <c r="K3032" s="5">
        <v>2.1360999999999999</v>
      </c>
    </row>
    <row r="3033" spans="10:11">
      <c r="J3033" s="3">
        <v>39008</v>
      </c>
      <c r="K3033" s="5">
        <v>2.1339000000000001</v>
      </c>
    </row>
    <row r="3034" spans="10:11">
      <c r="J3034" s="3">
        <v>39009</v>
      </c>
      <c r="K3034" s="5">
        <v>2.1387</v>
      </c>
    </row>
    <row r="3035" spans="10:11">
      <c r="J3035" s="3">
        <v>39010</v>
      </c>
      <c r="K3035" s="5">
        <v>2.1457000000000002</v>
      </c>
    </row>
    <row r="3036" spans="10:11">
      <c r="J3036" s="3">
        <v>39013</v>
      </c>
      <c r="K3036" s="5">
        <v>2.1391</v>
      </c>
    </row>
    <row r="3037" spans="10:11">
      <c r="J3037" s="3">
        <v>39014</v>
      </c>
      <c r="K3037" s="5">
        <v>2.1467000000000001</v>
      </c>
    </row>
    <row r="3038" spans="10:11">
      <c r="J3038" s="3">
        <v>39015</v>
      </c>
      <c r="K3038" s="5">
        <v>2.1509999999999998</v>
      </c>
    </row>
    <row r="3039" spans="10:11">
      <c r="J3039" s="3">
        <v>39016</v>
      </c>
      <c r="K3039" s="5">
        <v>2.1362999999999999</v>
      </c>
    </row>
    <row r="3040" spans="10:11">
      <c r="J3040" s="3">
        <v>39017</v>
      </c>
      <c r="K3040" s="5">
        <v>2.1377999999999999</v>
      </c>
    </row>
    <row r="3041" spans="10:11">
      <c r="J3041" s="3">
        <v>39020</v>
      </c>
      <c r="K3041" s="5">
        <v>2.1456</v>
      </c>
    </row>
    <row r="3042" spans="10:11">
      <c r="J3042" s="3">
        <v>39021</v>
      </c>
      <c r="K3042" s="5">
        <v>2.1429999999999998</v>
      </c>
    </row>
    <row r="3043" spans="10:11">
      <c r="J3043" s="3">
        <v>39022</v>
      </c>
      <c r="K3043" s="5">
        <v>2.141</v>
      </c>
    </row>
    <row r="3044" spans="10:11">
      <c r="J3044" s="3">
        <v>39024</v>
      </c>
      <c r="K3044" s="5">
        <v>2.1419999999999999</v>
      </c>
    </row>
    <row r="3045" spans="10:11">
      <c r="J3045" s="3">
        <v>39027</v>
      </c>
      <c r="K3045" s="5">
        <v>2.1377999999999999</v>
      </c>
    </row>
    <row r="3046" spans="10:11">
      <c r="J3046" s="3">
        <v>39028</v>
      </c>
      <c r="K3046" s="5">
        <v>2.1353</v>
      </c>
    </row>
    <row r="3047" spans="10:11">
      <c r="J3047" s="3">
        <v>39029</v>
      </c>
      <c r="K3047" s="5">
        <v>2.1463999999999999</v>
      </c>
    </row>
    <row r="3048" spans="10:11">
      <c r="J3048" s="3">
        <v>39030</v>
      </c>
      <c r="K3048" s="5">
        <v>2.1412</v>
      </c>
    </row>
    <row r="3049" spans="10:11">
      <c r="J3049" s="3">
        <v>39031</v>
      </c>
      <c r="K3049" s="5">
        <v>2.1488999999999998</v>
      </c>
    </row>
    <row r="3050" spans="10:11">
      <c r="J3050" s="3">
        <v>39034</v>
      </c>
      <c r="K3050" s="5">
        <v>2.1619999999999999</v>
      </c>
    </row>
    <row r="3051" spans="10:11">
      <c r="J3051" s="3">
        <v>39035</v>
      </c>
      <c r="K3051" s="5">
        <v>2.1537000000000002</v>
      </c>
    </row>
    <row r="3052" spans="10:11">
      <c r="J3052" s="3">
        <v>39037</v>
      </c>
      <c r="K3052" s="5">
        <v>2.1516999999999999</v>
      </c>
    </row>
    <row r="3053" spans="10:11">
      <c r="J3053" s="3">
        <v>39038</v>
      </c>
      <c r="K3053" s="5">
        <v>2.1593</v>
      </c>
    </row>
    <row r="3054" spans="10:11">
      <c r="J3054" s="3">
        <v>39041</v>
      </c>
      <c r="K3054" s="5">
        <v>2.1621999999999999</v>
      </c>
    </row>
    <row r="3055" spans="10:11">
      <c r="J3055" s="3">
        <v>39042</v>
      </c>
      <c r="K3055" s="5">
        <v>2.1629999999999998</v>
      </c>
    </row>
    <row r="3056" spans="10:11">
      <c r="J3056" s="3">
        <v>39043</v>
      </c>
      <c r="K3056" s="5">
        <v>2.1623000000000001</v>
      </c>
    </row>
    <row r="3057" spans="10:11">
      <c r="J3057" s="3">
        <v>39044</v>
      </c>
      <c r="K3057" s="5">
        <v>2.1682999999999999</v>
      </c>
    </row>
    <row r="3058" spans="10:11">
      <c r="J3058" s="3">
        <v>39045</v>
      </c>
      <c r="K3058" s="5">
        <v>2.17</v>
      </c>
    </row>
    <row r="3059" spans="10:11">
      <c r="J3059" s="3">
        <v>39048</v>
      </c>
      <c r="K3059" s="5">
        <v>2.1800000000000002</v>
      </c>
    </row>
    <row r="3060" spans="10:11">
      <c r="J3060" s="3">
        <v>39049</v>
      </c>
      <c r="K3060" s="5">
        <v>2.1869999999999998</v>
      </c>
    </row>
    <row r="3061" spans="10:11">
      <c r="J3061" s="3">
        <v>39050</v>
      </c>
      <c r="K3061" s="5">
        <v>2.1783000000000001</v>
      </c>
    </row>
    <row r="3062" spans="10:11">
      <c r="J3062" s="3">
        <v>39051</v>
      </c>
      <c r="K3062" s="5">
        <v>2.1667999999999998</v>
      </c>
    </row>
    <row r="3063" spans="10:11">
      <c r="J3063" s="3">
        <v>39052</v>
      </c>
      <c r="K3063" s="5">
        <v>2.1671999999999998</v>
      </c>
    </row>
    <row r="3064" spans="10:11">
      <c r="J3064" s="3">
        <v>39055</v>
      </c>
      <c r="K3064" s="5">
        <v>2.1692999999999998</v>
      </c>
    </row>
    <row r="3065" spans="10:11">
      <c r="J3065" s="3">
        <v>39056</v>
      </c>
      <c r="K3065" s="5">
        <v>2.1560000000000001</v>
      </c>
    </row>
    <row r="3066" spans="10:11">
      <c r="J3066" s="3">
        <v>39057</v>
      </c>
      <c r="K3066" s="5">
        <v>2.1528</v>
      </c>
    </row>
    <row r="3067" spans="10:11">
      <c r="J3067" s="3">
        <v>39058</v>
      </c>
      <c r="K3067" s="5">
        <v>2.1427999999999998</v>
      </c>
    </row>
    <row r="3068" spans="10:11">
      <c r="J3068" s="3">
        <v>39059</v>
      </c>
      <c r="K3068" s="5">
        <v>2.1442000000000001</v>
      </c>
    </row>
    <row r="3069" spans="10:11">
      <c r="J3069" s="3">
        <v>39062</v>
      </c>
      <c r="K3069" s="5">
        <v>2.1383999999999999</v>
      </c>
    </row>
    <row r="3070" spans="10:11">
      <c r="J3070" s="3">
        <v>39063</v>
      </c>
      <c r="K3070" s="5">
        <v>2.1480999999999999</v>
      </c>
    </row>
    <row r="3071" spans="10:11">
      <c r="J3071" s="3">
        <v>39064</v>
      </c>
      <c r="K3071" s="5">
        <v>2.1459000000000001</v>
      </c>
    </row>
    <row r="3072" spans="10:11">
      <c r="J3072" s="3">
        <v>39065</v>
      </c>
      <c r="K3072" s="5">
        <v>2.1459999999999999</v>
      </c>
    </row>
    <row r="3073" spans="10:11">
      <c r="J3073" s="3">
        <v>39066</v>
      </c>
      <c r="K3073" s="5">
        <v>2.1469999999999998</v>
      </c>
    </row>
    <row r="3074" spans="10:11">
      <c r="J3074" s="3">
        <v>39069</v>
      </c>
      <c r="K3074" s="5">
        <v>2.1461999999999999</v>
      </c>
    </row>
    <row r="3075" spans="10:11">
      <c r="J3075" s="3">
        <v>39070</v>
      </c>
      <c r="K3075" s="5">
        <v>2.1572</v>
      </c>
    </row>
    <row r="3076" spans="10:11">
      <c r="J3076" s="3">
        <v>39071</v>
      </c>
      <c r="K3076" s="5">
        <v>2.1560000000000001</v>
      </c>
    </row>
    <row r="3077" spans="10:11">
      <c r="J3077" s="3">
        <v>39072</v>
      </c>
      <c r="K3077" s="5">
        <v>2.1593</v>
      </c>
    </row>
    <row r="3078" spans="10:11">
      <c r="J3078" s="3">
        <v>39073</v>
      </c>
      <c r="K3078" s="5">
        <v>2.1518000000000002</v>
      </c>
    </row>
    <row r="3079" spans="10:11">
      <c r="J3079" s="3">
        <v>39077</v>
      </c>
      <c r="K3079" s="5">
        <v>2.1436999999999999</v>
      </c>
    </row>
    <row r="3080" spans="10:11">
      <c r="J3080" s="3">
        <v>39078</v>
      </c>
      <c r="K3080" s="5">
        <v>2.1497000000000002</v>
      </c>
    </row>
    <row r="3081" spans="10:11">
      <c r="J3081" s="3">
        <v>39079</v>
      </c>
      <c r="K3081" s="5">
        <v>2.1379999999999999</v>
      </c>
    </row>
    <row r="3082" spans="10:11">
      <c r="J3082" s="3">
        <v>39080</v>
      </c>
      <c r="K3082" s="5">
        <v>2.1379999999999999</v>
      </c>
    </row>
    <row r="3083" spans="10:11">
      <c r="J3083" s="3">
        <v>39084</v>
      </c>
      <c r="K3083" s="5">
        <v>2.1341999999999999</v>
      </c>
    </row>
    <row r="3084" spans="10:11">
      <c r="J3084" s="3">
        <v>39085</v>
      </c>
      <c r="K3084" s="5">
        <v>2.1372</v>
      </c>
    </row>
    <row r="3085" spans="10:11">
      <c r="J3085" s="3">
        <v>39086</v>
      </c>
      <c r="K3085" s="5">
        <v>2.1429</v>
      </c>
    </row>
    <row r="3086" spans="10:11">
      <c r="J3086" s="3">
        <v>39087</v>
      </c>
      <c r="K3086" s="5">
        <v>2.1474000000000002</v>
      </c>
    </row>
    <row r="3087" spans="10:11">
      <c r="J3087" s="3">
        <v>39090</v>
      </c>
      <c r="K3087" s="5">
        <v>2.1497000000000002</v>
      </c>
    </row>
    <row r="3088" spans="10:11">
      <c r="J3088" s="3">
        <v>39091</v>
      </c>
      <c r="K3088" s="5">
        <v>2.1497999999999999</v>
      </c>
    </row>
    <row r="3089" spans="10:11">
      <c r="J3089" s="3">
        <v>39092</v>
      </c>
      <c r="K3089" s="5">
        <v>2.1556000000000002</v>
      </c>
    </row>
    <row r="3090" spans="10:11">
      <c r="J3090" s="3">
        <v>39093</v>
      </c>
      <c r="K3090" s="5">
        <v>2.1465000000000001</v>
      </c>
    </row>
    <row r="3091" spans="10:11">
      <c r="J3091" s="3">
        <v>39094</v>
      </c>
      <c r="K3091" s="5">
        <v>2.1421000000000001</v>
      </c>
    </row>
    <row r="3092" spans="10:11">
      <c r="J3092" s="3">
        <v>39097</v>
      </c>
      <c r="K3092" s="5">
        <v>2.1406999999999998</v>
      </c>
    </row>
    <row r="3093" spans="10:11">
      <c r="J3093" s="3">
        <v>39098</v>
      </c>
      <c r="K3093" s="5">
        <v>2.1444000000000001</v>
      </c>
    </row>
    <row r="3094" spans="10:11">
      <c r="J3094" s="3">
        <v>39099</v>
      </c>
      <c r="K3094" s="5">
        <v>2.1341999999999999</v>
      </c>
    </row>
    <row r="3095" spans="10:11">
      <c r="J3095" s="3">
        <v>39100</v>
      </c>
      <c r="K3095" s="5">
        <v>2.1328999999999998</v>
      </c>
    </row>
    <row r="3096" spans="10:11">
      <c r="J3096" s="3">
        <v>39101</v>
      </c>
      <c r="K3096" s="5">
        <v>2.1307</v>
      </c>
    </row>
    <row r="3097" spans="10:11">
      <c r="J3097" s="3">
        <v>39104</v>
      </c>
      <c r="K3097" s="5">
        <v>2.1326999999999998</v>
      </c>
    </row>
    <row r="3098" spans="10:11">
      <c r="J3098" s="3">
        <v>39105</v>
      </c>
      <c r="K3098" s="5">
        <v>2.1368</v>
      </c>
    </row>
    <row r="3099" spans="10:11">
      <c r="J3099" s="3">
        <v>39106</v>
      </c>
      <c r="K3099" s="5">
        <v>2.1286</v>
      </c>
    </row>
    <row r="3100" spans="10:11">
      <c r="J3100" s="3">
        <v>39107</v>
      </c>
      <c r="K3100" s="5">
        <v>2.1280999999999999</v>
      </c>
    </row>
    <row r="3101" spans="10:11">
      <c r="J3101" s="3">
        <v>39108</v>
      </c>
      <c r="K3101" s="5">
        <v>2.1360000000000001</v>
      </c>
    </row>
    <row r="3102" spans="10:11">
      <c r="J3102" s="3">
        <v>39111</v>
      </c>
      <c r="K3102" s="5">
        <v>2.1360000000000001</v>
      </c>
    </row>
    <row r="3103" spans="10:11">
      <c r="J3103" s="3">
        <v>39112</v>
      </c>
      <c r="K3103" s="5">
        <v>2.1328999999999998</v>
      </c>
    </row>
    <row r="3104" spans="10:11">
      <c r="J3104" s="3">
        <v>39113</v>
      </c>
      <c r="K3104" s="5">
        <v>2.1246999999999998</v>
      </c>
    </row>
    <row r="3105" spans="10:11">
      <c r="J3105" s="3">
        <v>39114</v>
      </c>
      <c r="K3105" s="5">
        <v>2.1093000000000002</v>
      </c>
    </row>
    <row r="3106" spans="10:11">
      <c r="J3106" s="3">
        <v>39115</v>
      </c>
      <c r="K3106" s="5">
        <v>2.0981999999999998</v>
      </c>
    </row>
    <row r="3107" spans="10:11">
      <c r="J3107" s="3">
        <v>39118</v>
      </c>
      <c r="K3107" s="5">
        <v>2.0964</v>
      </c>
    </row>
    <row r="3108" spans="10:11">
      <c r="J3108" s="3">
        <v>39119</v>
      </c>
      <c r="K3108" s="5">
        <v>2.0832999999999999</v>
      </c>
    </row>
    <row r="3109" spans="10:11">
      <c r="J3109" s="3">
        <v>39120</v>
      </c>
      <c r="K3109" s="5">
        <v>2.0851999999999999</v>
      </c>
    </row>
    <row r="3110" spans="10:11">
      <c r="J3110" s="3">
        <v>39121</v>
      </c>
      <c r="K3110" s="5">
        <v>2.0951</v>
      </c>
    </row>
    <row r="3111" spans="10:11">
      <c r="J3111" s="3">
        <v>39122</v>
      </c>
      <c r="K3111" s="5">
        <v>2.1032999999999999</v>
      </c>
    </row>
    <row r="3112" spans="10:11">
      <c r="J3112" s="3">
        <v>39125</v>
      </c>
      <c r="K3112" s="5">
        <v>2.1139999999999999</v>
      </c>
    </row>
    <row r="3113" spans="10:11">
      <c r="J3113" s="3">
        <v>39126</v>
      </c>
      <c r="K3113" s="5">
        <v>2.1088</v>
      </c>
    </row>
    <row r="3114" spans="10:11">
      <c r="J3114" s="3">
        <v>39127</v>
      </c>
      <c r="K3114" s="5">
        <v>2.1</v>
      </c>
    </row>
    <row r="3115" spans="10:11">
      <c r="J3115" s="3">
        <v>39128</v>
      </c>
      <c r="K3115" s="5">
        <v>2.0895999999999999</v>
      </c>
    </row>
    <row r="3116" spans="10:11">
      <c r="J3116" s="3">
        <v>39129</v>
      </c>
      <c r="K3116" s="5">
        <v>2.0912999999999999</v>
      </c>
    </row>
    <row r="3117" spans="10:11">
      <c r="J3117" s="3">
        <v>39134</v>
      </c>
      <c r="K3117" s="5">
        <v>2.0802</v>
      </c>
    </row>
    <row r="3118" spans="10:11">
      <c r="J3118" s="3">
        <v>39135</v>
      </c>
      <c r="K3118" s="5">
        <v>2.0766</v>
      </c>
    </row>
    <row r="3119" spans="10:11">
      <c r="J3119" s="3">
        <v>39136</v>
      </c>
      <c r="K3119" s="5">
        <v>2.0868000000000002</v>
      </c>
    </row>
    <row r="3120" spans="10:11">
      <c r="J3120" s="3">
        <v>39139</v>
      </c>
      <c r="K3120" s="5">
        <v>2.0863</v>
      </c>
    </row>
    <row r="3121" spans="10:11">
      <c r="J3121" s="3">
        <v>39140</v>
      </c>
      <c r="K3121" s="5">
        <v>2.1099000000000001</v>
      </c>
    </row>
    <row r="3122" spans="10:11">
      <c r="J3122" s="3">
        <v>39141</v>
      </c>
      <c r="K3122" s="5">
        <v>2.1181999999999999</v>
      </c>
    </row>
    <row r="3123" spans="10:11">
      <c r="J3123" s="3">
        <v>39142</v>
      </c>
      <c r="K3123" s="5">
        <v>2.1259999999999999</v>
      </c>
    </row>
    <row r="3124" spans="10:11">
      <c r="J3124" s="3">
        <v>39143</v>
      </c>
      <c r="K3124" s="5">
        <v>2.1274000000000002</v>
      </c>
    </row>
    <row r="3125" spans="10:11">
      <c r="J3125" s="3">
        <v>39146</v>
      </c>
      <c r="K3125" s="5">
        <v>2.1387999999999998</v>
      </c>
    </row>
    <row r="3126" spans="10:11">
      <c r="J3126" s="3">
        <v>39147</v>
      </c>
      <c r="K3126" s="5">
        <v>2.1208999999999998</v>
      </c>
    </row>
    <row r="3127" spans="10:11">
      <c r="J3127" s="3">
        <v>39148</v>
      </c>
      <c r="K3127" s="5">
        <v>2.1120999999999999</v>
      </c>
    </row>
    <row r="3128" spans="10:11">
      <c r="J3128" s="3">
        <v>39149</v>
      </c>
      <c r="K3128" s="5">
        <v>2.1053999999999999</v>
      </c>
    </row>
    <row r="3129" spans="10:11">
      <c r="J3129" s="3">
        <v>39150</v>
      </c>
      <c r="K3129" s="5">
        <v>2.0983000000000001</v>
      </c>
    </row>
    <row r="3130" spans="10:11">
      <c r="J3130" s="3">
        <v>39153</v>
      </c>
      <c r="K3130" s="5">
        <v>2.0901999999999998</v>
      </c>
    </row>
    <row r="3131" spans="10:11">
      <c r="J3131" s="3">
        <v>39154</v>
      </c>
      <c r="K3131" s="5">
        <v>2.0962000000000001</v>
      </c>
    </row>
    <row r="3132" spans="10:11">
      <c r="J3132" s="3">
        <v>39155</v>
      </c>
      <c r="K3132" s="5">
        <v>2.1044</v>
      </c>
    </row>
    <row r="3133" spans="10:11">
      <c r="J3133" s="3">
        <v>39156</v>
      </c>
      <c r="K3133" s="5">
        <v>2.0909</v>
      </c>
    </row>
    <row r="3134" spans="10:11">
      <c r="J3134" s="3">
        <v>39157</v>
      </c>
      <c r="K3134" s="5">
        <v>2.0914999999999999</v>
      </c>
    </row>
    <row r="3135" spans="10:11">
      <c r="J3135" s="3">
        <v>39160</v>
      </c>
      <c r="K3135" s="5">
        <v>2.0792000000000002</v>
      </c>
    </row>
    <row r="3136" spans="10:11">
      <c r="J3136" s="3">
        <v>39161</v>
      </c>
      <c r="K3136" s="5">
        <v>2.0762999999999998</v>
      </c>
    </row>
    <row r="3137" spans="10:11">
      <c r="J3137" s="3">
        <v>39162</v>
      </c>
      <c r="K3137" s="5">
        <v>2.0676000000000001</v>
      </c>
    </row>
    <row r="3138" spans="10:11">
      <c r="J3138" s="3">
        <v>39163</v>
      </c>
      <c r="K3138" s="5">
        <v>2.0602</v>
      </c>
    </row>
    <row r="3139" spans="10:11">
      <c r="J3139" s="3">
        <v>39164</v>
      </c>
      <c r="K3139" s="5">
        <v>2.0651999999999999</v>
      </c>
    </row>
    <row r="3140" spans="10:11">
      <c r="J3140" s="3">
        <v>39167</v>
      </c>
      <c r="K3140" s="5">
        <v>2.0600999999999998</v>
      </c>
    </row>
    <row r="3141" spans="10:11">
      <c r="J3141" s="3">
        <v>39168</v>
      </c>
      <c r="K3141" s="5">
        <v>2.0636999999999999</v>
      </c>
    </row>
    <row r="3142" spans="10:11">
      <c r="J3142" s="3">
        <v>39169</v>
      </c>
      <c r="K3142" s="5">
        <v>2.0716000000000001</v>
      </c>
    </row>
    <row r="3143" spans="10:11">
      <c r="J3143" s="3">
        <v>39170</v>
      </c>
      <c r="K3143" s="5">
        <v>2.0545</v>
      </c>
    </row>
    <row r="3144" spans="10:11">
      <c r="J3144" s="3">
        <v>39171</v>
      </c>
      <c r="K3144" s="5">
        <v>2.0503999999999998</v>
      </c>
    </row>
    <row r="3145" spans="10:11">
      <c r="J3145" s="3">
        <v>39174</v>
      </c>
      <c r="K3145" s="5">
        <v>2.0478000000000001</v>
      </c>
    </row>
    <row r="3146" spans="10:11">
      <c r="J3146" s="3">
        <v>39175</v>
      </c>
      <c r="K3146" s="5">
        <v>2.0371999999999999</v>
      </c>
    </row>
    <row r="3147" spans="10:11">
      <c r="J3147" s="3">
        <v>39176</v>
      </c>
      <c r="K3147" s="5">
        <v>2.0320999999999998</v>
      </c>
    </row>
    <row r="3148" spans="10:11">
      <c r="J3148" s="3">
        <v>39177</v>
      </c>
      <c r="K3148" s="5">
        <v>2.0333000000000001</v>
      </c>
    </row>
    <row r="3149" spans="10:11">
      <c r="J3149" s="3">
        <v>39181</v>
      </c>
      <c r="K3149" s="5">
        <v>2.0236000000000001</v>
      </c>
    </row>
    <row r="3150" spans="10:11">
      <c r="J3150" s="3">
        <v>39182</v>
      </c>
      <c r="K3150" s="5">
        <v>2.0282</v>
      </c>
    </row>
    <row r="3151" spans="10:11">
      <c r="J3151" s="3">
        <v>39183</v>
      </c>
      <c r="K3151" s="5">
        <v>2.0333000000000001</v>
      </c>
    </row>
    <row r="3152" spans="10:11">
      <c r="J3152" s="3">
        <v>39184</v>
      </c>
      <c r="K3152" s="5">
        <v>2.0371000000000001</v>
      </c>
    </row>
    <row r="3153" spans="10:11">
      <c r="J3153" s="3">
        <v>39185</v>
      </c>
      <c r="K3153" s="5">
        <v>2.0230999999999999</v>
      </c>
    </row>
    <row r="3154" spans="10:11">
      <c r="J3154" s="3">
        <v>39188</v>
      </c>
      <c r="K3154" s="5">
        <v>2.0339999999999998</v>
      </c>
    </row>
    <row r="3155" spans="10:11">
      <c r="J3155" s="3">
        <v>39189</v>
      </c>
      <c r="K3155" s="5">
        <v>2.0348000000000002</v>
      </c>
    </row>
    <row r="3156" spans="10:11">
      <c r="J3156" s="3">
        <v>39190</v>
      </c>
      <c r="K3156" s="5">
        <v>2.0365000000000002</v>
      </c>
    </row>
    <row r="3157" spans="10:11">
      <c r="J3157" s="3">
        <v>39191</v>
      </c>
      <c r="K3157" s="5">
        <v>2.0312000000000001</v>
      </c>
    </row>
    <row r="3158" spans="10:11">
      <c r="J3158" s="3">
        <v>39192</v>
      </c>
      <c r="K3158" s="5">
        <v>2.0261999999999998</v>
      </c>
    </row>
    <row r="3159" spans="10:11">
      <c r="J3159" s="3">
        <v>39195</v>
      </c>
      <c r="K3159" s="5">
        <v>2.0289999999999999</v>
      </c>
    </row>
    <row r="3160" spans="10:11">
      <c r="J3160" s="3">
        <v>39196</v>
      </c>
      <c r="K3160" s="5">
        <v>2.0385</v>
      </c>
    </row>
    <row r="3161" spans="10:11">
      <c r="J3161" s="3">
        <v>39197</v>
      </c>
      <c r="K3161" s="5">
        <v>2.0236000000000001</v>
      </c>
    </row>
    <row r="3162" spans="10:11">
      <c r="J3162" s="3">
        <v>39198</v>
      </c>
      <c r="K3162" s="5">
        <v>2.0251999999999999</v>
      </c>
    </row>
    <row r="3163" spans="10:11">
      <c r="J3163" s="3">
        <v>39199</v>
      </c>
      <c r="K3163" s="5">
        <v>2.0320999999999998</v>
      </c>
    </row>
    <row r="3164" spans="10:11">
      <c r="J3164" s="3">
        <v>39202</v>
      </c>
      <c r="K3164" s="5">
        <v>2.0339</v>
      </c>
    </row>
    <row r="3165" spans="10:11">
      <c r="J3165" s="3">
        <v>39204</v>
      </c>
      <c r="K3165" s="5">
        <v>2.0268000000000002</v>
      </c>
    </row>
    <row r="3166" spans="10:11">
      <c r="J3166" s="3">
        <v>39205</v>
      </c>
      <c r="K3166" s="5">
        <v>2.0238999999999998</v>
      </c>
    </row>
    <row r="3167" spans="10:11">
      <c r="J3167" s="3">
        <v>39206</v>
      </c>
      <c r="K3167" s="5">
        <v>2.0308999999999999</v>
      </c>
    </row>
    <row r="3168" spans="10:11">
      <c r="J3168" s="3">
        <v>39209</v>
      </c>
      <c r="K3168" s="5">
        <v>2.0266000000000002</v>
      </c>
    </row>
    <row r="3169" spans="10:11">
      <c r="J3169" s="3">
        <v>39210</v>
      </c>
      <c r="K3169" s="5">
        <v>2.0226000000000002</v>
      </c>
    </row>
    <row r="3170" spans="10:11">
      <c r="J3170" s="3">
        <v>39211</v>
      </c>
      <c r="K3170" s="5">
        <v>2.0222000000000002</v>
      </c>
    </row>
    <row r="3171" spans="10:11">
      <c r="J3171" s="3">
        <v>39212</v>
      </c>
      <c r="K3171" s="5">
        <v>2.0217000000000001</v>
      </c>
    </row>
    <row r="3172" spans="10:11">
      <c r="J3172" s="3">
        <v>39213</v>
      </c>
      <c r="K3172" s="5">
        <v>2.0194000000000001</v>
      </c>
    </row>
    <row r="3173" spans="10:11">
      <c r="J3173" s="3">
        <v>39216</v>
      </c>
      <c r="K3173" s="5">
        <v>2.0137999999999998</v>
      </c>
    </row>
    <row r="3174" spans="10:11">
      <c r="J3174" s="3">
        <v>39217</v>
      </c>
      <c r="K3174" s="5">
        <v>1.9922</v>
      </c>
    </row>
    <row r="3175" spans="10:11">
      <c r="J3175" s="3">
        <v>39218</v>
      </c>
      <c r="K3175" s="5">
        <v>1.9585999999999999</v>
      </c>
    </row>
    <row r="3176" spans="10:11">
      <c r="J3176" s="3">
        <v>39219</v>
      </c>
      <c r="K3176" s="5">
        <v>1.9573</v>
      </c>
    </row>
    <row r="3177" spans="10:11">
      <c r="J3177" s="3">
        <v>39220</v>
      </c>
      <c r="K3177" s="5">
        <v>1.9630000000000001</v>
      </c>
    </row>
    <row r="3178" spans="10:11">
      <c r="J3178" s="3">
        <v>39223</v>
      </c>
      <c r="K3178" s="5">
        <v>1.9435</v>
      </c>
    </row>
    <row r="3179" spans="10:11">
      <c r="J3179" s="3">
        <v>39224</v>
      </c>
      <c r="K3179" s="5">
        <v>1.9409000000000001</v>
      </c>
    </row>
    <row r="3180" spans="10:11">
      <c r="J3180" s="3">
        <v>39225</v>
      </c>
      <c r="K3180" s="5">
        <v>1.9489000000000001</v>
      </c>
    </row>
    <row r="3181" spans="10:11">
      <c r="J3181" s="3">
        <v>39226</v>
      </c>
      <c r="K3181" s="5">
        <v>1.9653</v>
      </c>
    </row>
    <row r="3182" spans="10:11">
      <c r="J3182" s="3">
        <v>39227</v>
      </c>
      <c r="K3182" s="5">
        <v>1.952</v>
      </c>
    </row>
    <row r="3183" spans="10:11">
      <c r="J3183" s="3">
        <v>39230</v>
      </c>
      <c r="K3183" s="5">
        <v>1.9440999999999999</v>
      </c>
    </row>
    <row r="3184" spans="10:11">
      <c r="J3184" s="3">
        <v>39231</v>
      </c>
      <c r="K3184" s="5">
        <v>1.9460999999999999</v>
      </c>
    </row>
    <row r="3185" spans="10:11">
      <c r="J3185" s="3">
        <v>39232</v>
      </c>
      <c r="K3185" s="5">
        <v>1.9468000000000001</v>
      </c>
    </row>
    <row r="3186" spans="10:11">
      <c r="J3186" s="3">
        <v>39233</v>
      </c>
      <c r="K3186" s="5">
        <v>1.9280999999999999</v>
      </c>
    </row>
    <row r="3187" spans="10:11">
      <c r="J3187" s="3">
        <v>39234</v>
      </c>
      <c r="K3187" s="5">
        <v>1.9056</v>
      </c>
    </row>
    <row r="3188" spans="10:11">
      <c r="J3188" s="3">
        <v>39237</v>
      </c>
      <c r="K3188" s="5">
        <v>1.9207000000000001</v>
      </c>
    </row>
    <row r="3189" spans="10:11">
      <c r="J3189" s="3">
        <v>39238</v>
      </c>
      <c r="K3189" s="5">
        <v>1.9395</v>
      </c>
    </row>
    <row r="3190" spans="10:11">
      <c r="J3190" s="3">
        <v>39239</v>
      </c>
      <c r="K3190" s="5">
        <v>1.9617</v>
      </c>
    </row>
    <row r="3191" spans="10:11">
      <c r="J3191" s="3">
        <v>39241</v>
      </c>
      <c r="K3191" s="5">
        <v>1.9638</v>
      </c>
    </row>
    <row r="3192" spans="10:11">
      <c r="J3192" s="3">
        <v>39244</v>
      </c>
      <c r="K3192" s="5">
        <v>1.9473</v>
      </c>
    </row>
    <row r="3193" spans="10:11">
      <c r="J3193" s="3">
        <v>39245</v>
      </c>
      <c r="K3193" s="5">
        <v>1.9419999999999999</v>
      </c>
    </row>
    <row r="3194" spans="10:11">
      <c r="J3194" s="3">
        <v>39246</v>
      </c>
      <c r="K3194" s="5">
        <v>1.9441999999999999</v>
      </c>
    </row>
    <row r="3195" spans="10:11">
      <c r="J3195" s="3">
        <v>39247</v>
      </c>
      <c r="K3195" s="5">
        <v>1.9302999999999999</v>
      </c>
    </row>
    <row r="3196" spans="10:11">
      <c r="J3196" s="3">
        <v>39248</v>
      </c>
      <c r="K3196" s="5">
        <v>1.9097</v>
      </c>
    </row>
    <row r="3197" spans="10:11">
      <c r="J3197" s="3">
        <v>39251</v>
      </c>
      <c r="K3197" s="5">
        <v>1.9047000000000001</v>
      </c>
    </row>
    <row r="3198" spans="10:11">
      <c r="J3198" s="3">
        <v>39252</v>
      </c>
      <c r="K3198" s="5">
        <v>1.9057999999999999</v>
      </c>
    </row>
    <row r="3199" spans="10:11">
      <c r="J3199" s="3">
        <v>39253</v>
      </c>
      <c r="K3199" s="5">
        <v>1.9198</v>
      </c>
    </row>
    <row r="3200" spans="10:11">
      <c r="J3200" s="3">
        <v>39254</v>
      </c>
      <c r="K3200" s="5">
        <v>1.9197</v>
      </c>
    </row>
    <row r="3201" spans="10:11">
      <c r="J3201" s="3">
        <v>39255</v>
      </c>
      <c r="K3201" s="5">
        <v>1.9334</v>
      </c>
    </row>
    <row r="3202" spans="10:11">
      <c r="J3202" s="3">
        <v>39258</v>
      </c>
      <c r="K3202" s="5">
        <v>1.9379</v>
      </c>
    </row>
    <row r="3203" spans="10:11">
      <c r="J3203" s="3">
        <v>39259</v>
      </c>
      <c r="K3203" s="5">
        <v>1.9488000000000001</v>
      </c>
    </row>
    <row r="3204" spans="10:11">
      <c r="J3204" s="3">
        <v>39260</v>
      </c>
      <c r="K3204" s="5">
        <v>1.9499</v>
      </c>
    </row>
    <row r="3205" spans="10:11">
      <c r="J3205" s="3">
        <v>39261</v>
      </c>
      <c r="K3205" s="5">
        <v>1.9256</v>
      </c>
    </row>
    <row r="3206" spans="10:11">
      <c r="J3206" s="3">
        <v>39262</v>
      </c>
      <c r="K3206" s="5">
        <v>1.9261999999999999</v>
      </c>
    </row>
    <row r="3207" spans="10:11">
      <c r="J3207" s="3">
        <v>39265</v>
      </c>
      <c r="K3207" s="5">
        <v>1.9176</v>
      </c>
    </row>
    <row r="3208" spans="10:11">
      <c r="J3208" s="3">
        <v>39266</v>
      </c>
      <c r="K3208" s="5">
        <v>1.9121999999999999</v>
      </c>
    </row>
    <row r="3209" spans="10:11">
      <c r="J3209" s="3">
        <v>39267</v>
      </c>
      <c r="K3209" s="5">
        <v>1.9098999999999999</v>
      </c>
    </row>
    <row r="3210" spans="10:11">
      <c r="J3210" s="3">
        <v>39268</v>
      </c>
      <c r="K3210" s="5">
        <v>1.9157</v>
      </c>
    </row>
    <row r="3211" spans="10:11">
      <c r="J3211" s="3">
        <v>39269</v>
      </c>
      <c r="K3211" s="5">
        <v>1.9033</v>
      </c>
    </row>
    <row r="3212" spans="10:11">
      <c r="J3212" s="3">
        <v>39272</v>
      </c>
      <c r="K3212" s="5">
        <v>1.8992</v>
      </c>
    </row>
    <row r="3213" spans="10:11">
      <c r="J3213" s="3">
        <v>39273</v>
      </c>
      <c r="K3213" s="5">
        <v>1.8947000000000001</v>
      </c>
    </row>
    <row r="3214" spans="10:11">
      <c r="J3214" s="3">
        <v>39274</v>
      </c>
      <c r="K3214" s="5">
        <v>1.89</v>
      </c>
    </row>
    <row r="3215" spans="10:11">
      <c r="J3215" s="3">
        <v>39275</v>
      </c>
      <c r="K3215" s="5">
        <v>1.8767</v>
      </c>
    </row>
    <row r="3216" spans="10:11">
      <c r="J3216" s="3">
        <v>39276</v>
      </c>
      <c r="K3216" s="5">
        <v>1.8684000000000001</v>
      </c>
    </row>
    <row r="3217" spans="10:11">
      <c r="J3217" s="3">
        <v>39279</v>
      </c>
      <c r="K3217" s="5">
        <v>1.8647</v>
      </c>
    </row>
    <row r="3218" spans="10:11">
      <c r="J3218" s="3">
        <v>39280</v>
      </c>
      <c r="K3218" s="5">
        <v>1.8621000000000001</v>
      </c>
    </row>
    <row r="3219" spans="10:11">
      <c r="J3219" s="3">
        <v>39281</v>
      </c>
      <c r="K3219" s="5">
        <v>1.8609</v>
      </c>
    </row>
    <row r="3220" spans="10:11">
      <c r="J3220" s="3">
        <v>39282</v>
      </c>
      <c r="K3220" s="5">
        <v>1.8535999999999999</v>
      </c>
    </row>
    <row r="3221" spans="10:11">
      <c r="J3221" s="3">
        <v>39283</v>
      </c>
      <c r="K3221" s="5">
        <v>1.8606</v>
      </c>
    </row>
    <row r="3222" spans="10:11">
      <c r="J3222" s="3">
        <v>39286</v>
      </c>
      <c r="K3222" s="5">
        <v>1.8448</v>
      </c>
    </row>
    <row r="3223" spans="10:11">
      <c r="J3223" s="3">
        <v>39287</v>
      </c>
      <c r="K3223" s="5">
        <v>1.8525</v>
      </c>
    </row>
    <row r="3224" spans="10:11">
      <c r="J3224" s="3">
        <v>39288</v>
      </c>
      <c r="K3224" s="5">
        <v>1.8634999999999999</v>
      </c>
    </row>
    <row r="3225" spans="10:11">
      <c r="J3225" s="3">
        <v>39289</v>
      </c>
      <c r="K3225" s="5">
        <v>1.9046000000000001</v>
      </c>
    </row>
    <row r="3226" spans="10:11">
      <c r="J3226" s="3">
        <v>39290</v>
      </c>
      <c r="K3226" s="5">
        <v>1.9069</v>
      </c>
    </row>
    <row r="3227" spans="10:11">
      <c r="J3227" s="3">
        <v>39293</v>
      </c>
      <c r="K3227" s="5">
        <v>1.8809</v>
      </c>
    </row>
    <row r="3228" spans="10:11">
      <c r="J3228" s="3">
        <v>39294</v>
      </c>
      <c r="K3228" s="5">
        <v>1.8775999999999999</v>
      </c>
    </row>
    <row r="3229" spans="10:11">
      <c r="J3229" s="3">
        <v>39295</v>
      </c>
      <c r="K3229" s="5">
        <v>1.8855999999999999</v>
      </c>
    </row>
    <row r="3230" spans="10:11">
      <c r="J3230" s="3">
        <v>39296</v>
      </c>
      <c r="K3230" s="5">
        <v>1.8729</v>
      </c>
    </row>
    <row r="3231" spans="10:11">
      <c r="J3231" s="3">
        <v>39297</v>
      </c>
      <c r="K3231" s="5">
        <v>1.8814</v>
      </c>
    </row>
    <row r="3232" spans="10:11">
      <c r="J3232" s="3">
        <v>39300</v>
      </c>
      <c r="K3232" s="5">
        <v>1.9106000000000001</v>
      </c>
    </row>
    <row r="3233" spans="10:11">
      <c r="J3233" s="3">
        <v>39301</v>
      </c>
      <c r="K3233" s="5">
        <v>1.9077</v>
      </c>
    </row>
    <row r="3234" spans="10:11">
      <c r="J3234" s="3">
        <v>39302</v>
      </c>
      <c r="K3234" s="5">
        <v>1.8866000000000001</v>
      </c>
    </row>
    <row r="3235" spans="10:11">
      <c r="J3235" s="3">
        <v>39303</v>
      </c>
      <c r="K3235" s="5">
        <v>1.9191</v>
      </c>
    </row>
    <row r="3236" spans="10:11">
      <c r="J3236" s="3">
        <v>39304</v>
      </c>
      <c r="K3236" s="5">
        <v>1.9550000000000001</v>
      </c>
    </row>
    <row r="3237" spans="10:11">
      <c r="J3237" s="3">
        <v>39307</v>
      </c>
      <c r="K3237" s="5">
        <v>1.9411</v>
      </c>
    </row>
    <row r="3238" spans="10:11">
      <c r="J3238" s="3">
        <v>39308</v>
      </c>
      <c r="K3238" s="5">
        <v>1.9809000000000001</v>
      </c>
    </row>
    <row r="3239" spans="10:11">
      <c r="J3239" s="3">
        <v>39309</v>
      </c>
      <c r="K3239" s="5">
        <v>2.0043000000000002</v>
      </c>
    </row>
    <row r="3240" spans="10:11">
      <c r="J3240" s="3">
        <v>39310</v>
      </c>
      <c r="K3240" s="5">
        <v>2.1116000000000001</v>
      </c>
    </row>
    <row r="3241" spans="10:11">
      <c r="J3241" s="3">
        <v>39311</v>
      </c>
      <c r="K3241" s="5">
        <v>2.0367999999999999</v>
      </c>
    </row>
    <row r="3242" spans="10:11">
      <c r="J3242" s="3">
        <v>39314</v>
      </c>
      <c r="K3242" s="5">
        <v>2.028</v>
      </c>
    </row>
    <row r="3243" spans="10:11">
      <c r="J3243" s="3">
        <v>39315</v>
      </c>
      <c r="K3243" s="5">
        <v>2.0385</v>
      </c>
    </row>
    <row r="3244" spans="10:11">
      <c r="J3244" s="3">
        <v>39316</v>
      </c>
      <c r="K3244" s="5">
        <v>2.0165000000000002</v>
      </c>
    </row>
    <row r="3245" spans="10:11">
      <c r="J3245" s="3">
        <v>39317</v>
      </c>
      <c r="K3245" s="5">
        <v>1.9931000000000001</v>
      </c>
    </row>
    <row r="3246" spans="10:11">
      <c r="J3246" s="3">
        <v>39318</v>
      </c>
      <c r="K3246" s="5">
        <v>1.9855</v>
      </c>
    </row>
    <row r="3247" spans="10:11">
      <c r="J3247" s="3">
        <v>39321</v>
      </c>
      <c r="K3247" s="5">
        <v>1.9480999999999999</v>
      </c>
    </row>
    <row r="3248" spans="10:11">
      <c r="J3248" s="3">
        <v>39322</v>
      </c>
      <c r="K3248" s="5">
        <v>1.9849000000000001</v>
      </c>
    </row>
    <row r="3249" spans="10:11">
      <c r="J3249" s="3">
        <v>39323</v>
      </c>
      <c r="K3249" s="5">
        <v>1.9863999999999999</v>
      </c>
    </row>
    <row r="3250" spans="10:11">
      <c r="J3250" s="3">
        <v>39324</v>
      </c>
      <c r="K3250" s="5">
        <v>1.9769000000000001</v>
      </c>
    </row>
    <row r="3251" spans="10:11">
      <c r="J3251" s="3">
        <v>39325</v>
      </c>
      <c r="K3251" s="5">
        <v>1.9612000000000001</v>
      </c>
    </row>
    <row r="3252" spans="10:11">
      <c r="J3252" s="3">
        <v>39328</v>
      </c>
      <c r="K3252" s="5">
        <v>1.9547000000000001</v>
      </c>
    </row>
    <row r="3253" spans="10:11">
      <c r="J3253" s="3">
        <v>39329</v>
      </c>
      <c r="K3253" s="5">
        <v>1.9528000000000001</v>
      </c>
    </row>
    <row r="3254" spans="10:11">
      <c r="J3254" s="3">
        <v>39330</v>
      </c>
      <c r="K3254" s="5">
        <v>1.964</v>
      </c>
    </row>
    <row r="3255" spans="10:11">
      <c r="J3255" s="3">
        <v>39331</v>
      </c>
      <c r="K3255" s="5">
        <v>1.9544999999999999</v>
      </c>
    </row>
    <row r="3256" spans="10:11">
      <c r="J3256" s="3">
        <v>39335</v>
      </c>
      <c r="K3256" s="5">
        <v>1.9591000000000001</v>
      </c>
    </row>
    <row r="3257" spans="10:11">
      <c r="J3257" s="3">
        <v>39336</v>
      </c>
      <c r="K3257" s="5">
        <v>1.9303999999999999</v>
      </c>
    </row>
    <row r="3258" spans="10:11">
      <c r="J3258" s="3">
        <v>39337</v>
      </c>
      <c r="K3258" s="5">
        <v>1.9125000000000001</v>
      </c>
    </row>
    <row r="3259" spans="10:11">
      <c r="J3259" s="3">
        <v>39338</v>
      </c>
      <c r="K3259" s="5">
        <v>1.8983000000000001</v>
      </c>
    </row>
    <row r="3260" spans="10:11">
      <c r="J3260" s="3">
        <v>39339</v>
      </c>
      <c r="K3260" s="5">
        <v>1.9031</v>
      </c>
    </row>
    <row r="3261" spans="10:11">
      <c r="J3261" s="3">
        <v>39342</v>
      </c>
      <c r="K3261" s="5">
        <v>1.9123000000000001</v>
      </c>
    </row>
    <row r="3262" spans="10:11">
      <c r="J3262" s="3">
        <v>39343</v>
      </c>
      <c r="K3262" s="5">
        <v>1.8959999999999999</v>
      </c>
    </row>
    <row r="3263" spans="10:11">
      <c r="J3263" s="3">
        <v>39344</v>
      </c>
      <c r="K3263" s="5">
        <v>1.8638999999999999</v>
      </c>
    </row>
    <row r="3264" spans="10:11">
      <c r="J3264" s="3">
        <v>39345</v>
      </c>
      <c r="K3264" s="5">
        <v>1.8636999999999999</v>
      </c>
    </row>
    <row r="3265" spans="10:11">
      <c r="J3265" s="3">
        <v>39346</v>
      </c>
      <c r="K3265" s="5">
        <v>1.8617999999999999</v>
      </c>
    </row>
    <row r="3266" spans="10:11">
      <c r="J3266" s="3">
        <v>39349</v>
      </c>
      <c r="K3266" s="5">
        <v>1.8694</v>
      </c>
    </row>
    <row r="3267" spans="10:11">
      <c r="J3267" s="3">
        <v>39350</v>
      </c>
      <c r="K3267" s="5">
        <v>1.8655999999999999</v>
      </c>
    </row>
    <row r="3268" spans="10:11">
      <c r="J3268" s="3">
        <v>39351</v>
      </c>
      <c r="K3268" s="5">
        <v>1.8492999999999999</v>
      </c>
    </row>
    <row r="3269" spans="10:11">
      <c r="J3269" s="3">
        <v>39352</v>
      </c>
      <c r="K3269" s="5">
        <v>1.8409</v>
      </c>
    </row>
    <row r="3270" spans="10:11">
      <c r="J3270" s="3">
        <v>39353</v>
      </c>
      <c r="K3270" s="5">
        <v>1.8389</v>
      </c>
    </row>
    <row r="3271" spans="10:11">
      <c r="J3271" s="3">
        <v>39356</v>
      </c>
      <c r="K3271" s="5">
        <v>1.8225</v>
      </c>
    </row>
    <row r="3272" spans="10:11">
      <c r="J3272" s="3">
        <v>39357</v>
      </c>
      <c r="K3272" s="5">
        <v>1.8227</v>
      </c>
    </row>
    <row r="3273" spans="10:11">
      <c r="J3273" s="3">
        <v>39358</v>
      </c>
      <c r="K3273" s="5">
        <v>1.8273999999999999</v>
      </c>
    </row>
    <row r="3274" spans="10:11">
      <c r="J3274" s="3">
        <v>39359</v>
      </c>
      <c r="K3274" s="5">
        <v>1.8284</v>
      </c>
    </row>
    <row r="3275" spans="10:11">
      <c r="J3275" s="3">
        <v>39360</v>
      </c>
      <c r="K3275" s="5">
        <v>1.8091999999999999</v>
      </c>
    </row>
    <row r="3276" spans="10:11">
      <c r="J3276" s="3">
        <v>39363</v>
      </c>
      <c r="K3276" s="5">
        <v>1.8132999999999999</v>
      </c>
    </row>
    <row r="3277" spans="10:11">
      <c r="J3277" s="3">
        <v>39364</v>
      </c>
      <c r="K3277" s="5">
        <v>1.8108</v>
      </c>
    </row>
    <row r="3278" spans="10:11">
      <c r="J3278" s="3">
        <v>39365</v>
      </c>
      <c r="K3278" s="5">
        <v>1.8048</v>
      </c>
    </row>
    <row r="3279" spans="10:11">
      <c r="J3279" s="3">
        <v>39366</v>
      </c>
      <c r="K3279" s="5">
        <v>1.792</v>
      </c>
    </row>
    <row r="3280" spans="10:11">
      <c r="J3280" s="3">
        <v>39370</v>
      </c>
      <c r="K3280" s="5">
        <v>1.8078000000000001</v>
      </c>
    </row>
    <row r="3281" spans="10:11">
      <c r="J3281" s="3">
        <v>39371</v>
      </c>
      <c r="K3281" s="5">
        <v>1.8242</v>
      </c>
    </row>
    <row r="3282" spans="10:11">
      <c r="J3282" s="3">
        <v>39372</v>
      </c>
      <c r="K3282" s="5">
        <v>1.8138000000000001</v>
      </c>
    </row>
    <row r="3283" spans="10:11">
      <c r="J3283" s="3">
        <v>39373</v>
      </c>
      <c r="K3283" s="5">
        <v>1.8070999999999999</v>
      </c>
    </row>
    <row r="3284" spans="10:11">
      <c r="J3284" s="3">
        <v>39374</v>
      </c>
      <c r="K3284" s="5">
        <v>1.7964</v>
      </c>
    </row>
    <row r="3285" spans="10:11">
      <c r="J3285" s="3">
        <v>39377</v>
      </c>
      <c r="K3285" s="5">
        <v>1.8206</v>
      </c>
    </row>
    <row r="3286" spans="10:11">
      <c r="J3286" s="3">
        <v>39378</v>
      </c>
      <c r="K3286" s="5">
        <v>1.8007</v>
      </c>
    </row>
    <row r="3287" spans="10:11">
      <c r="J3287" s="3">
        <v>39379</v>
      </c>
      <c r="K3287" s="5">
        <v>1.7968999999999999</v>
      </c>
    </row>
    <row r="3288" spans="10:11">
      <c r="J3288" s="3">
        <v>39380</v>
      </c>
      <c r="K3288" s="5">
        <v>1.7896000000000001</v>
      </c>
    </row>
    <row r="3289" spans="10:11">
      <c r="J3289" s="3">
        <v>39381</v>
      </c>
      <c r="K3289" s="5">
        <v>1.7751999999999999</v>
      </c>
    </row>
    <row r="3290" spans="10:11">
      <c r="J3290" s="3">
        <v>39384</v>
      </c>
      <c r="K3290" s="5">
        <v>1.7595000000000001</v>
      </c>
    </row>
    <row r="3291" spans="10:11">
      <c r="J3291" s="3">
        <v>39385</v>
      </c>
      <c r="K3291" s="5">
        <v>1.7552000000000001</v>
      </c>
    </row>
    <row r="3292" spans="10:11">
      <c r="J3292" s="3">
        <v>39386</v>
      </c>
      <c r="K3292" s="5">
        <v>1.744</v>
      </c>
    </row>
    <row r="3293" spans="10:11">
      <c r="J3293" s="3">
        <v>39387</v>
      </c>
      <c r="K3293" s="5">
        <v>1.746</v>
      </c>
    </row>
    <row r="3294" spans="10:11">
      <c r="J3294" s="3">
        <v>39391</v>
      </c>
      <c r="K3294" s="5">
        <v>1.7556</v>
      </c>
    </row>
    <row r="3295" spans="10:11">
      <c r="J3295" s="3">
        <v>39392</v>
      </c>
      <c r="K3295" s="5">
        <v>1.7324999999999999</v>
      </c>
    </row>
    <row r="3296" spans="10:11">
      <c r="J3296" s="3">
        <v>39393</v>
      </c>
      <c r="K3296" s="5">
        <v>1.74</v>
      </c>
    </row>
    <row r="3297" spans="10:11">
      <c r="J3297" s="3">
        <v>39394</v>
      </c>
      <c r="K3297" s="5">
        <v>1.7354000000000001</v>
      </c>
    </row>
    <row r="3298" spans="10:11">
      <c r="J3298" s="3">
        <v>39395</v>
      </c>
      <c r="K3298" s="5">
        <v>1.7490000000000001</v>
      </c>
    </row>
    <row r="3299" spans="10:11">
      <c r="J3299" s="3">
        <v>39398</v>
      </c>
      <c r="K3299" s="5">
        <v>1.774</v>
      </c>
    </row>
    <row r="3300" spans="10:11">
      <c r="J3300" s="3">
        <v>39399</v>
      </c>
      <c r="K3300" s="5">
        <v>1.7674000000000001</v>
      </c>
    </row>
    <row r="3301" spans="10:11">
      <c r="J3301" s="3">
        <v>39400</v>
      </c>
      <c r="K3301" s="5">
        <v>1.7378</v>
      </c>
    </row>
    <row r="3302" spans="10:11">
      <c r="J3302" s="3">
        <v>39402</v>
      </c>
      <c r="K3302" s="5">
        <v>1.7414000000000001</v>
      </c>
    </row>
    <row r="3303" spans="10:11">
      <c r="J3303" s="3">
        <v>39405</v>
      </c>
      <c r="K3303" s="5">
        <v>1.7593000000000001</v>
      </c>
    </row>
    <row r="3304" spans="10:11">
      <c r="J3304" s="3">
        <v>39406</v>
      </c>
      <c r="K3304" s="5">
        <v>1.7646999999999999</v>
      </c>
    </row>
    <row r="3305" spans="10:11">
      <c r="J3305" s="3">
        <v>39407</v>
      </c>
      <c r="K3305" s="5">
        <v>1.7866</v>
      </c>
    </row>
    <row r="3306" spans="10:11">
      <c r="J3306" s="3">
        <v>39408</v>
      </c>
      <c r="K3306" s="5">
        <v>1.7746999999999999</v>
      </c>
    </row>
    <row r="3307" spans="10:11">
      <c r="J3307" s="3">
        <v>39409</v>
      </c>
      <c r="K3307" s="5">
        <v>1.7962</v>
      </c>
    </row>
    <row r="3308" spans="10:11">
      <c r="J3308" s="3">
        <v>39412</v>
      </c>
      <c r="K3308" s="5">
        <v>1.8109999999999999</v>
      </c>
    </row>
    <row r="3309" spans="10:11">
      <c r="J3309" s="3">
        <v>39413</v>
      </c>
      <c r="K3309" s="5">
        <v>1.8501000000000001</v>
      </c>
    </row>
    <row r="3310" spans="10:11">
      <c r="J3310" s="3">
        <v>39414</v>
      </c>
      <c r="K3310" s="5">
        <v>1.8018000000000001</v>
      </c>
    </row>
    <row r="3311" spans="10:11">
      <c r="J3311" s="3">
        <v>39415</v>
      </c>
      <c r="K3311" s="5">
        <v>1.7905</v>
      </c>
    </row>
    <row r="3312" spans="10:11">
      <c r="J3312" s="3">
        <v>39416</v>
      </c>
      <c r="K3312" s="5">
        <v>1.7837000000000001</v>
      </c>
    </row>
    <row r="3313" spans="10:11">
      <c r="J3313" s="3">
        <v>39419</v>
      </c>
      <c r="K3313" s="5">
        <v>1.7887999999999999</v>
      </c>
    </row>
    <row r="3314" spans="10:11">
      <c r="J3314" s="3">
        <v>39420</v>
      </c>
      <c r="K3314" s="5">
        <v>1.8232999999999999</v>
      </c>
    </row>
    <row r="3315" spans="10:11">
      <c r="J3315" s="3">
        <v>39421</v>
      </c>
      <c r="K3315" s="5">
        <v>1.7956000000000001</v>
      </c>
    </row>
    <row r="3316" spans="10:11">
      <c r="J3316" s="3">
        <v>39422</v>
      </c>
      <c r="K3316" s="5">
        <v>1.7873000000000001</v>
      </c>
    </row>
    <row r="3317" spans="10:11">
      <c r="J3317" s="3">
        <v>39423</v>
      </c>
      <c r="K3317" s="5">
        <v>1.7616000000000001</v>
      </c>
    </row>
    <row r="3318" spans="10:11">
      <c r="J3318" s="3">
        <v>39426</v>
      </c>
      <c r="K3318" s="5">
        <v>1.762</v>
      </c>
    </row>
    <row r="3319" spans="10:11">
      <c r="J3319" s="3">
        <v>39427</v>
      </c>
      <c r="K3319" s="5">
        <v>1.7649999999999999</v>
      </c>
    </row>
    <row r="3320" spans="10:11">
      <c r="J3320" s="3">
        <v>39428</v>
      </c>
      <c r="K3320" s="5">
        <v>1.7616000000000001</v>
      </c>
    </row>
    <row r="3321" spans="10:11">
      <c r="J3321" s="3">
        <v>39429</v>
      </c>
      <c r="K3321" s="5">
        <v>1.7746</v>
      </c>
    </row>
    <row r="3322" spans="10:11">
      <c r="J3322" s="3">
        <v>39430</v>
      </c>
      <c r="K3322" s="5">
        <v>1.7959000000000001</v>
      </c>
    </row>
    <row r="3323" spans="10:11">
      <c r="J3323" s="3">
        <v>39433</v>
      </c>
      <c r="K3323" s="5">
        <v>1.8123</v>
      </c>
    </row>
    <row r="3324" spans="10:11">
      <c r="J3324" s="3">
        <v>39434</v>
      </c>
      <c r="K3324" s="5">
        <v>1.8090999999999999</v>
      </c>
    </row>
    <row r="3325" spans="10:11">
      <c r="J3325" s="3">
        <v>39435</v>
      </c>
      <c r="K3325" s="5">
        <v>1.8019000000000001</v>
      </c>
    </row>
    <row r="3326" spans="10:11">
      <c r="J3326" s="3">
        <v>39436</v>
      </c>
      <c r="K3326" s="5">
        <v>1.8031999999999999</v>
      </c>
    </row>
    <row r="3327" spans="10:11">
      <c r="J3327" s="3">
        <v>39437</v>
      </c>
      <c r="K3327" s="5">
        <v>1.7966</v>
      </c>
    </row>
    <row r="3328" spans="10:11">
      <c r="J3328" s="3">
        <v>39440</v>
      </c>
      <c r="K3328" s="5">
        <v>1.7908999999999999</v>
      </c>
    </row>
    <row r="3329" spans="10:11">
      <c r="J3329" s="3">
        <v>39442</v>
      </c>
      <c r="K3329" s="5">
        <v>1.7795000000000001</v>
      </c>
    </row>
    <row r="3330" spans="10:11">
      <c r="J3330" s="3">
        <v>39443</v>
      </c>
      <c r="K3330" s="5">
        <v>1.7670999999999999</v>
      </c>
    </row>
    <row r="3331" spans="10:11">
      <c r="J3331" s="3">
        <v>39444</v>
      </c>
      <c r="K3331" s="5">
        <v>1.7713000000000001</v>
      </c>
    </row>
    <row r="3332" spans="10:11">
      <c r="J3332" s="3">
        <v>39447</v>
      </c>
      <c r="K3332" s="5">
        <v>1.7713000000000001</v>
      </c>
    </row>
    <row r="3333" spans="10:11">
      <c r="J3333" s="3">
        <v>39449</v>
      </c>
      <c r="K3333" s="5">
        <v>1.7722</v>
      </c>
    </row>
    <row r="3334" spans="10:11">
      <c r="J3334" s="3">
        <v>39450</v>
      </c>
      <c r="K3334" s="5">
        <v>1.7568999999999999</v>
      </c>
    </row>
    <row r="3335" spans="10:11">
      <c r="J3335" s="3">
        <v>39451</v>
      </c>
      <c r="K3335" s="5">
        <v>1.7574000000000001</v>
      </c>
    </row>
    <row r="3336" spans="10:11">
      <c r="J3336" s="3">
        <v>39454</v>
      </c>
      <c r="K3336" s="5">
        <v>1.7675000000000001</v>
      </c>
    </row>
    <row r="3337" spans="10:11">
      <c r="J3337" s="3">
        <v>39455</v>
      </c>
      <c r="K3337" s="5">
        <v>1.7554000000000001</v>
      </c>
    </row>
    <row r="3338" spans="10:11">
      <c r="J3338" s="3">
        <v>39456</v>
      </c>
      <c r="K3338" s="5">
        <v>1.7690999999999999</v>
      </c>
    </row>
    <row r="3339" spans="10:11">
      <c r="J3339" s="3">
        <v>39457</v>
      </c>
      <c r="K3339" s="5">
        <v>1.7627999999999999</v>
      </c>
    </row>
    <row r="3340" spans="10:11">
      <c r="J3340" s="3">
        <v>39458</v>
      </c>
      <c r="K3340" s="5">
        <v>1.7536</v>
      </c>
    </row>
    <row r="3341" spans="10:11">
      <c r="J3341" s="3">
        <v>39461</v>
      </c>
      <c r="K3341" s="5">
        <v>1.7414000000000001</v>
      </c>
    </row>
    <row r="3342" spans="10:11">
      <c r="J3342" s="3">
        <v>39462</v>
      </c>
      <c r="K3342" s="5">
        <v>1.7450000000000001</v>
      </c>
    </row>
    <row r="3343" spans="10:11">
      <c r="J3343" s="3">
        <v>39463</v>
      </c>
      <c r="K3343" s="5">
        <v>1.7622</v>
      </c>
    </row>
    <row r="3344" spans="10:11">
      <c r="J3344" s="3">
        <v>39464</v>
      </c>
      <c r="K3344" s="5">
        <v>1.7679</v>
      </c>
    </row>
    <row r="3345" spans="10:11">
      <c r="J3345" s="3">
        <v>39465</v>
      </c>
      <c r="K3345" s="5">
        <v>1.7842</v>
      </c>
    </row>
    <row r="3346" spans="10:11">
      <c r="J3346" s="3">
        <v>39468</v>
      </c>
      <c r="K3346" s="5">
        <v>1.8292999999999999</v>
      </c>
    </row>
    <row r="3347" spans="10:11">
      <c r="J3347" s="3">
        <v>39469</v>
      </c>
      <c r="K3347" s="5">
        <v>1.8032999999999999</v>
      </c>
    </row>
    <row r="3348" spans="10:11">
      <c r="J3348" s="3">
        <v>39470</v>
      </c>
      <c r="K3348" s="5">
        <v>1.8139000000000001</v>
      </c>
    </row>
    <row r="3349" spans="10:11">
      <c r="J3349" s="3">
        <v>39471</v>
      </c>
      <c r="K3349" s="5">
        <v>1.7875000000000001</v>
      </c>
    </row>
    <row r="3350" spans="10:11">
      <c r="J3350" s="3">
        <v>39472</v>
      </c>
      <c r="K3350" s="5">
        <v>1.7904</v>
      </c>
    </row>
    <row r="3351" spans="10:11">
      <c r="J3351" s="3">
        <v>39484</v>
      </c>
      <c r="K3351" s="5">
        <v>1.7523</v>
      </c>
    </row>
    <row r="3352" spans="10:11">
      <c r="J3352" s="3">
        <v>39485</v>
      </c>
      <c r="K3352" s="5">
        <v>1.7619</v>
      </c>
    </row>
    <row r="3353" spans="10:11">
      <c r="J3353" s="3">
        <v>39486</v>
      </c>
      <c r="K3353" s="5">
        <v>1.7673000000000001</v>
      </c>
    </row>
    <row r="3354" spans="10:11">
      <c r="J3354" s="3">
        <v>39489</v>
      </c>
      <c r="K3354" s="5">
        <v>1.7593000000000001</v>
      </c>
    </row>
    <row r="3355" spans="10:11">
      <c r="J3355" s="3">
        <v>39490</v>
      </c>
      <c r="K3355" s="5">
        <v>1.7470000000000001</v>
      </c>
    </row>
    <row r="3356" spans="10:11">
      <c r="J3356" s="3">
        <v>39491</v>
      </c>
      <c r="K3356" s="5">
        <v>1.7451000000000001</v>
      </c>
    </row>
    <row r="3357" spans="10:11">
      <c r="J3357" s="3">
        <v>39492</v>
      </c>
      <c r="K3357" s="5">
        <v>1.7461</v>
      </c>
    </row>
    <row r="3358" spans="10:11">
      <c r="J3358" s="3">
        <v>39493</v>
      </c>
      <c r="K3358" s="5">
        <v>1.7533000000000001</v>
      </c>
    </row>
    <row r="3359" spans="10:11">
      <c r="J3359" s="3">
        <v>39496</v>
      </c>
      <c r="K3359" s="5">
        <v>1.7385999999999999</v>
      </c>
    </row>
    <row r="3360" spans="10:11">
      <c r="J3360" s="3">
        <v>39497</v>
      </c>
      <c r="K3360" s="5">
        <v>1.7321</v>
      </c>
    </row>
    <row r="3361" spans="10:11">
      <c r="J3361" s="3">
        <v>39498</v>
      </c>
      <c r="K3361" s="5">
        <v>1.7343</v>
      </c>
    </row>
    <row r="3362" spans="10:11">
      <c r="J3362" s="3">
        <v>39499</v>
      </c>
      <c r="K3362" s="5">
        <v>1.7096</v>
      </c>
    </row>
    <row r="3363" spans="10:11">
      <c r="J3363" s="3">
        <v>39500</v>
      </c>
      <c r="K3363" s="5">
        <v>1.7032</v>
      </c>
    </row>
    <row r="3364" spans="10:11">
      <c r="J3364" s="3">
        <v>39503</v>
      </c>
      <c r="K3364" s="5">
        <v>1.7054</v>
      </c>
    </row>
    <row r="3365" spans="10:11">
      <c r="J3365" s="3">
        <v>39504</v>
      </c>
      <c r="K3365" s="5">
        <v>1.6874</v>
      </c>
    </row>
    <row r="3366" spans="10:11">
      <c r="J3366" s="3">
        <v>39505</v>
      </c>
      <c r="K3366" s="5">
        <v>1.6707000000000001</v>
      </c>
    </row>
    <row r="3367" spans="10:11">
      <c r="J3367" s="3">
        <v>39506</v>
      </c>
      <c r="K3367" s="5">
        <v>1.6715</v>
      </c>
    </row>
    <row r="3368" spans="10:11">
      <c r="J3368" s="3">
        <v>39507</v>
      </c>
      <c r="K3368" s="5">
        <v>1.6825000000000001</v>
      </c>
    </row>
    <row r="3369" spans="10:11">
      <c r="J3369" s="3">
        <v>39510</v>
      </c>
      <c r="K3369" s="5">
        <v>1.6808000000000001</v>
      </c>
    </row>
    <row r="3370" spans="10:11">
      <c r="J3370" s="3">
        <v>39511</v>
      </c>
      <c r="K3370" s="5">
        <v>1.6721999999999999</v>
      </c>
    </row>
    <row r="3371" spans="10:11">
      <c r="J3371" s="3">
        <v>39512</v>
      </c>
      <c r="K3371" s="5">
        <v>1.6692</v>
      </c>
    </row>
    <row r="3372" spans="10:11">
      <c r="J3372" s="3">
        <v>39513</v>
      </c>
      <c r="K3372" s="5">
        <v>1.6712</v>
      </c>
    </row>
    <row r="3373" spans="10:11">
      <c r="J3373" s="3">
        <v>39514</v>
      </c>
      <c r="K3373" s="5">
        <v>1.6833</v>
      </c>
    </row>
    <row r="3374" spans="10:11">
      <c r="J3374" s="3">
        <v>39517</v>
      </c>
      <c r="K3374" s="5">
        <v>1.6988000000000001</v>
      </c>
    </row>
    <row r="3375" spans="10:11">
      <c r="J3375" s="3">
        <v>39518</v>
      </c>
      <c r="K3375" s="5">
        <v>1.6939</v>
      </c>
    </row>
    <row r="3376" spans="10:11">
      <c r="J3376" s="3">
        <v>39519</v>
      </c>
      <c r="K3376" s="5">
        <v>1.6788000000000001</v>
      </c>
    </row>
    <row r="3377" spans="10:11">
      <c r="J3377" s="3">
        <v>39520</v>
      </c>
      <c r="K3377" s="5">
        <v>1.6962999999999999</v>
      </c>
    </row>
    <row r="3378" spans="10:11">
      <c r="J3378" s="3">
        <v>39521</v>
      </c>
      <c r="K3378" s="5">
        <v>1.6939</v>
      </c>
    </row>
    <row r="3379" spans="10:11">
      <c r="J3379" s="3">
        <v>39524</v>
      </c>
      <c r="K3379" s="5">
        <v>1.724</v>
      </c>
    </row>
    <row r="3380" spans="10:11">
      <c r="J3380" s="3">
        <v>39525</v>
      </c>
      <c r="K3380" s="5">
        <v>1.6999</v>
      </c>
    </row>
    <row r="3381" spans="10:11">
      <c r="J3381" s="3">
        <v>39526</v>
      </c>
      <c r="K3381" s="5">
        <v>1.7037</v>
      </c>
    </row>
    <row r="3382" spans="10:11">
      <c r="J3382" s="3">
        <v>39527</v>
      </c>
      <c r="K3382" s="5">
        <v>1.7416</v>
      </c>
    </row>
    <row r="3383" spans="10:11">
      <c r="J3383" s="3">
        <v>39531</v>
      </c>
      <c r="K3383" s="5">
        <v>1.7399</v>
      </c>
    </row>
    <row r="3384" spans="10:11">
      <c r="J3384" s="3">
        <v>39532</v>
      </c>
      <c r="K3384" s="5">
        <v>1.7333000000000001</v>
      </c>
    </row>
    <row r="3385" spans="10:11">
      <c r="J3385" s="3">
        <v>39533</v>
      </c>
      <c r="K3385" s="5">
        <v>1.728</v>
      </c>
    </row>
    <row r="3386" spans="10:11">
      <c r="J3386" s="3">
        <v>39534</v>
      </c>
      <c r="K3386" s="5">
        <v>1.7337</v>
      </c>
    </row>
    <row r="3387" spans="10:11">
      <c r="J3387" s="3">
        <v>39535</v>
      </c>
      <c r="K3387" s="5">
        <v>1.7447999999999999</v>
      </c>
    </row>
    <row r="3388" spans="10:11">
      <c r="J3388" s="3">
        <v>39538</v>
      </c>
      <c r="K3388" s="5">
        <v>1.7483</v>
      </c>
    </row>
    <row r="3389" spans="10:11">
      <c r="J3389" s="3">
        <v>39539</v>
      </c>
      <c r="K3389" s="5">
        <v>1.7525999999999999</v>
      </c>
    </row>
    <row r="3390" spans="10:11">
      <c r="J3390" s="3">
        <v>39540</v>
      </c>
      <c r="K3390" s="5">
        <v>1.7264999999999999</v>
      </c>
    </row>
    <row r="3391" spans="10:11">
      <c r="J3391" s="3">
        <v>39541</v>
      </c>
      <c r="K3391" s="5">
        <v>1.7243999999999999</v>
      </c>
    </row>
    <row r="3392" spans="10:11">
      <c r="J3392" s="3">
        <v>39542</v>
      </c>
      <c r="K3392" s="5">
        <v>1.7109000000000001</v>
      </c>
    </row>
    <row r="3393" spans="10:11">
      <c r="J3393" s="3">
        <v>39545</v>
      </c>
      <c r="K3393" s="5">
        <v>1.6981999999999999</v>
      </c>
    </row>
    <row r="3394" spans="10:11">
      <c r="J3394" s="3">
        <v>39546</v>
      </c>
      <c r="K3394" s="5">
        <v>1.7030000000000001</v>
      </c>
    </row>
    <row r="3395" spans="10:11">
      <c r="J3395" s="3">
        <v>39547</v>
      </c>
      <c r="K3395" s="5">
        <v>1.6870000000000001</v>
      </c>
    </row>
    <row r="3396" spans="10:11">
      <c r="J3396" s="3">
        <v>39548</v>
      </c>
      <c r="K3396" s="5">
        <v>1.6814</v>
      </c>
    </row>
    <row r="3397" spans="10:11">
      <c r="J3397" s="3">
        <v>39549</v>
      </c>
      <c r="K3397" s="5">
        <v>1.6868000000000001</v>
      </c>
    </row>
    <row r="3398" spans="10:11">
      <c r="J3398" s="3">
        <v>39552</v>
      </c>
      <c r="K3398" s="5">
        <v>1.6859</v>
      </c>
    </row>
    <row r="3399" spans="10:11">
      <c r="J3399" s="3">
        <v>39553</v>
      </c>
      <c r="K3399" s="5">
        <v>1.6814</v>
      </c>
    </row>
    <row r="3400" spans="10:11">
      <c r="J3400" s="3">
        <v>39554</v>
      </c>
      <c r="K3400" s="5">
        <v>1.6691</v>
      </c>
    </row>
    <row r="3401" spans="10:11">
      <c r="J3401" s="3">
        <v>39555</v>
      </c>
      <c r="K3401" s="5">
        <v>1.6579999999999999</v>
      </c>
    </row>
    <row r="3402" spans="10:11">
      <c r="J3402" s="3">
        <v>39556</v>
      </c>
      <c r="K3402" s="5">
        <v>1.6685000000000001</v>
      </c>
    </row>
    <row r="3403" spans="10:11">
      <c r="J3403" s="3">
        <v>39560</v>
      </c>
      <c r="K3403" s="5">
        <v>1.6567000000000001</v>
      </c>
    </row>
    <row r="3404" spans="10:11">
      <c r="J3404" s="3">
        <v>39561</v>
      </c>
      <c r="K3404" s="5">
        <v>1.6574</v>
      </c>
    </row>
    <row r="3405" spans="10:11">
      <c r="J3405" s="3">
        <v>39562</v>
      </c>
      <c r="K3405" s="5">
        <v>1.6678999999999999</v>
      </c>
    </row>
    <row r="3406" spans="10:11">
      <c r="J3406" s="3">
        <v>39563</v>
      </c>
      <c r="K3406" s="5">
        <v>1.6679999999999999</v>
      </c>
    </row>
    <row r="3407" spans="10:11">
      <c r="J3407" s="3">
        <v>39566</v>
      </c>
      <c r="K3407" s="5">
        <v>1.6756</v>
      </c>
    </row>
    <row r="3408" spans="10:11">
      <c r="J3408" s="3">
        <v>39567</v>
      </c>
      <c r="K3408" s="5">
        <v>1.7050000000000001</v>
      </c>
    </row>
    <row r="3409" spans="10:11">
      <c r="J3409" s="3">
        <v>39568</v>
      </c>
      <c r="K3409" s="5">
        <v>1.6863999999999999</v>
      </c>
    </row>
    <row r="3410" spans="10:11">
      <c r="J3410" s="3">
        <v>39570</v>
      </c>
      <c r="K3410" s="5">
        <v>1.6497999999999999</v>
      </c>
    </row>
    <row r="3411" spans="10:11">
      <c r="J3411" s="3">
        <v>39573</v>
      </c>
      <c r="K3411" s="5">
        <v>1.657</v>
      </c>
    </row>
    <row r="3412" spans="10:11">
      <c r="J3412" s="3">
        <v>39574</v>
      </c>
      <c r="K3412" s="5">
        <v>1.6607000000000001</v>
      </c>
    </row>
    <row r="3413" spans="10:11">
      <c r="J3413" s="3">
        <v>39575</v>
      </c>
      <c r="K3413" s="5">
        <v>1.6733</v>
      </c>
    </row>
    <row r="3414" spans="10:11">
      <c r="J3414" s="3">
        <v>39576</v>
      </c>
      <c r="K3414" s="5">
        <v>1.6928000000000001</v>
      </c>
    </row>
    <row r="3415" spans="10:11">
      <c r="J3415" s="3">
        <v>39577</v>
      </c>
      <c r="K3415" s="5">
        <v>1.6940999999999999</v>
      </c>
    </row>
    <row r="3416" spans="10:11">
      <c r="J3416" s="3">
        <v>39580</v>
      </c>
      <c r="K3416" s="5">
        <v>1.6735</v>
      </c>
    </row>
    <row r="3417" spans="10:11">
      <c r="J3417" s="3">
        <v>39581</v>
      </c>
      <c r="K3417" s="5">
        <v>1.6575</v>
      </c>
    </row>
    <row r="3418" spans="10:11">
      <c r="J3418" s="3">
        <v>39582</v>
      </c>
      <c r="K3418" s="5">
        <v>1.6633</v>
      </c>
    </row>
    <row r="3419" spans="10:11">
      <c r="J3419" s="3">
        <v>39583</v>
      </c>
      <c r="K3419" s="5">
        <v>1.6593</v>
      </c>
    </row>
    <row r="3420" spans="10:11">
      <c r="J3420" s="3">
        <v>39584</v>
      </c>
      <c r="K3420" s="5">
        <v>1.6426000000000001</v>
      </c>
    </row>
    <row r="3421" spans="10:11">
      <c r="J3421" s="3">
        <v>39587</v>
      </c>
      <c r="K3421" s="5">
        <v>1.6452</v>
      </c>
    </row>
    <row r="3422" spans="10:11">
      <c r="J3422" s="3">
        <v>39588</v>
      </c>
      <c r="K3422" s="5">
        <v>1.6561999999999999</v>
      </c>
    </row>
    <row r="3423" spans="10:11">
      <c r="J3423" s="3">
        <v>39589</v>
      </c>
      <c r="K3423" s="5">
        <v>1.6484000000000001</v>
      </c>
    </row>
    <row r="3424" spans="10:11">
      <c r="J3424" s="3">
        <v>39591</v>
      </c>
      <c r="K3424" s="5">
        <v>1.6538999999999999</v>
      </c>
    </row>
    <row r="3425" spans="10:11">
      <c r="J3425" s="3">
        <v>39594</v>
      </c>
      <c r="K3425" s="5">
        <v>1.6601999999999999</v>
      </c>
    </row>
    <row r="3426" spans="10:11">
      <c r="J3426" s="3">
        <v>39595</v>
      </c>
      <c r="K3426" s="5">
        <v>1.6673</v>
      </c>
    </row>
    <row r="3427" spans="10:11">
      <c r="J3427" s="3">
        <v>39596</v>
      </c>
      <c r="K3427" s="5">
        <v>1.6621999999999999</v>
      </c>
    </row>
    <row r="3428" spans="10:11">
      <c r="J3428" s="3">
        <v>39597</v>
      </c>
      <c r="K3428" s="5">
        <v>1.6488</v>
      </c>
    </row>
    <row r="3429" spans="10:11">
      <c r="J3429" s="3">
        <v>39598</v>
      </c>
      <c r="K3429" s="5">
        <v>1.6286</v>
      </c>
    </row>
    <row r="3430" spans="10:11">
      <c r="J3430" s="3">
        <v>39601</v>
      </c>
      <c r="K3430" s="5">
        <v>1.6312</v>
      </c>
    </row>
    <row r="3431" spans="10:11">
      <c r="J3431" s="3">
        <v>39602</v>
      </c>
      <c r="K3431" s="5">
        <v>1.6207</v>
      </c>
    </row>
    <row r="3432" spans="10:11">
      <c r="J3432" s="3">
        <v>39603</v>
      </c>
      <c r="K3432" s="5">
        <v>1.6298999999999999</v>
      </c>
    </row>
    <row r="3433" spans="10:11">
      <c r="J3433" s="3">
        <v>39604</v>
      </c>
      <c r="K3433" s="5">
        <v>1.6254</v>
      </c>
    </row>
    <row r="3434" spans="10:11">
      <c r="J3434" s="3">
        <v>39605</v>
      </c>
      <c r="K3434" s="5">
        <v>1.6274</v>
      </c>
    </row>
    <row r="3435" spans="10:11">
      <c r="J3435" s="3">
        <v>39608</v>
      </c>
      <c r="K3435" s="5">
        <v>1.6256999999999999</v>
      </c>
    </row>
    <row r="3436" spans="10:11">
      <c r="J3436" s="3">
        <v>39609</v>
      </c>
      <c r="K3436" s="5">
        <v>1.6384000000000001</v>
      </c>
    </row>
    <row r="3437" spans="10:11">
      <c r="J3437" s="3">
        <v>39610</v>
      </c>
      <c r="K3437" s="5">
        <v>1.6419999999999999</v>
      </c>
    </row>
    <row r="3438" spans="10:11">
      <c r="J3438" s="3">
        <v>39611</v>
      </c>
      <c r="K3438" s="5">
        <v>1.6392</v>
      </c>
    </row>
    <row r="3439" spans="10:11">
      <c r="J3439" s="3">
        <v>39612</v>
      </c>
      <c r="K3439" s="5">
        <v>1.6359999999999999</v>
      </c>
    </row>
    <row r="3440" spans="10:11">
      <c r="J3440" s="3">
        <v>39615</v>
      </c>
      <c r="K3440" s="5">
        <v>1.6269</v>
      </c>
    </row>
    <row r="3441" spans="10:11">
      <c r="J3441" s="3">
        <v>39616</v>
      </c>
      <c r="K3441" s="5">
        <v>1.6119000000000001</v>
      </c>
    </row>
    <row r="3442" spans="10:11">
      <c r="J3442" s="3">
        <v>39617</v>
      </c>
      <c r="K3442" s="5">
        <v>1.6105</v>
      </c>
    </row>
    <row r="3443" spans="10:11">
      <c r="J3443" s="3">
        <v>39618</v>
      </c>
      <c r="K3443" s="5">
        <v>1.6043000000000001</v>
      </c>
    </row>
    <row r="3444" spans="10:11">
      <c r="J3444" s="3">
        <v>39619</v>
      </c>
      <c r="K3444" s="5">
        <v>1.6033999999999999</v>
      </c>
    </row>
    <row r="3445" spans="10:11">
      <c r="J3445" s="3">
        <v>39622</v>
      </c>
      <c r="K3445" s="5">
        <v>1.6109</v>
      </c>
    </row>
    <row r="3446" spans="10:11">
      <c r="J3446" s="3">
        <v>39623</v>
      </c>
      <c r="K3446" s="5">
        <v>1.6037999999999999</v>
      </c>
    </row>
    <row r="3447" spans="10:11">
      <c r="J3447" s="3">
        <v>39624</v>
      </c>
      <c r="K3447" s="5">
        <v>1.5992999999999999</v>
      </c>
    </row>
    <row r="3448" spans="10:11">
      <c r="J3448" s="3">
        <v>39625</v>
      </c>
      <c r="K3448" s="5">
        <v>1.5943000000000001</v>
      </c>
    </row>
    <row r="3449" spans="10:11">
      <c r="J3449" s="3">
        <v>39626</v>
      </c>
      <c r="K3449" s="5">
        <v>1.6069</v>
      </c>
    </row>
    <row r="3450" spans="10:11">
      <c r="J3450" s="3">
        <v>39629</v>
      </c>
      <c r="K3450" s="5">
        <v>1.5911</v>
      </c>
    </row>
    <row r="3451" spans="10:11">
      <c r="J3451" s="3">
        <v>39630</v>
      </c>
      <c r="K3451" s="5">
        <v>1.6052999999999999</v>
      </c>
    </row>
    <row r="3452" spans="10:11">
      <c r="J3452" s="3">
        <v>39631</v>
      </c>
      <c r="K3452" s="5">
        <v>1.5985</v>
      </c>
    </row>
    <row r="3453" spans="10:11">
      <c r="J3453" s="3">
        <v>39632</v>
      </c>
      <c r="K3453" s="5">
        <v>1.6081000000000001</v>
      </c>
    </row>
    <row r="3454" spans="10:11">
      <c r="J3454" s="3">
        <v>39633</v>
      </c>
      <c r="K3454" s="5">
        <v>1.6092</v>
      </c>
    </row>
    <row r="3455" spans="10:11">
      <c r="J3455" s="3">
        <v>39636</v>
      </c>
      <c r="K3455" s="5">
        <v>1.6032999999999999</v>
      </c>
    </row>
    <row r="3456" spans="10:11">
      <c r="J3456" s="3">
        <v>39637</v>
      </c>
      <c r="K3456" s="5">
        <v>1.6019000000000001</v>
      </c>
    </row>
    <row r="3457" spans="10:11">
      <c r="J3457" s="3">
        <v>39638</v>
      </c>
      <c r="K3457" s="5">
        <v>1.6084000000000001</v>
      </c>
    </row>
    <row r="3458" spans="10:11">
      <c r="J3458" s="3">
        <v>39639</v>
      </c>
      <c r="K3458" s="5">
        <v>1.6138999999999999</v>
      </c>
    </row>
    <row r="3459" spans="10:11">
      <c r="J3459" s="3">
        <v>39640</v>
      </c>
      <c r="K3459" s="5">
        <v>1.6024</v>
      </c>
    </row>
    <row r="3460" spans="10:11">
      <c r="J3460" s="3">
        <v>39643</v>
      </c>
      <c r="K3460" s="5">
        <v>1.5933999999999999</v>
      </c>
    </row>
    <row r="3461" spans="10:11">
      <c r="J3461" s="3">
        <v>39644</v>
      </c>
      <c r="K3461" s="5">
        <v>1.5902000000000001</v>
      </c>
    </row>
    <row r="3462" spans="10:11">
      <c r="J3462" s="3">
        <v>39645</v>
      </c>
      <c r="K3462" s="5">
        <v>1.5952</v>
      </c>
    </row>
    <row r="3463" spans="10:11">
      <c r="J3463" s="3">
        <v>39646</v>
      </c>
      <c r="K3463" s="5">
        <v>1.5905</v>
      </c>
    </row>
    <row r="3464" spans="10:11">
      <c r="J3464" s="3">
        <v>39647</v>
      </c>
      <c r="K3464" s="5">
        <v>1.593</v>
      </c>
    </row>
    <row r="3465" spans="10:11">
      <c r="J3465" s="3">
        <v>39650</v>
      </c>
      <c r="K3465" s="5">
        <v>1.581</v>
      </c>
    </row>
    <row r="3466" spans="10:11">
      <c r="J3466" s="3">
        <v>39651</v>
      </c>
      <c r="K3466" s="5">
        <v>1.5803</v>
      </c>
    </row>
    <row r="3467" spans="10:11">
      <c r="J3467" s="3">
        <v>39652</v>
      </c>
      <c r="K3467" s="5">
        <v>1.5826</v>
      </c>
    </row>
    <row r="3468" spans="10:11">
      <c r="J3468" s="3">
        <v>39653</v>
      </c>
      <c r="K3468" s="5">
        <v>1.5772999999999999</v>
      </c>
    </row>
    <row r="3469" spans="10:11">
      <c r="J3469" s="3">
        <v>39654</v>
      </c>
      <c r="K3469" s="5">
        <v>1.5737000000000001</v>
      </c>
    </row>
    <row r="3470" spans="10:11">
      <c r="J3470" s="3">
        <v>39657</v>
      </c>
      <c r="K3470" s="5">
        <v>1.5746</v>
      </c>
    </row>
    <row r="3471" spans="10:11">
      <c r="J3471" s="3">
        <v>39658</v>
      </c>
      <c r="K3471" s="5">
        <v>1.5722</v>
      </c>
    </row>
    <row r="3472" spans="10:11">
      <c r="J3472" s="3">
        <v>39659</v>
      </c>
      <c r="K3472" s="5">
        <v>1.5632999999999999</v>
      </c>
    </row>
    <row r="3473" spans="10:11">
      <c r="J3473" s="3">
        <v>39660</v>
      </c>
      <c r="K3473" s="5">
        <v>1.5658000000000001</v>
      </c>
    </row>
    <row r="3474" spans="10:11">
      <c r="J3474" s="3">
        <v>39661</v>
      </c>
      <c r="K3474" s="5">
        <v>1.5585</v>
      </c>
    </row>
    <row r="3475" spans="10:11">
      <c r="J3475" s="3">
        <v>39664</v>
      </c>
      <c r="K3475" s="5">
        <v>1.5650999999999999</v>
      </c>
    </row>
    <row r="3476" spans="10:11">
      <c r="J3476" s="3">
        <v>39665</v>
      </c>
      <c r="K3476" s="5">
        <v>1.5724</v>
      </c>
    </row>
    <row r="3477" spans="10:11">
      <c r="J3477" s="3">
        <v>39666</v>
      </c>
      <c r="K3477" s="5">
        <v>1.5773999999999999</v>
      </c>
    </row>
    <row r="3478" spans="10:11">
      <c r="J3478" s="3">
        <v>39667</v>
      </c>
      <c r="K3478" s="5">
        <v>1.5834999999999999</v>
      </c>
    </row>
    <row r="3479" spans="10:11">
      <c r="J3479" s="3">
        <v>39668</v>
      </c>
      <c r="K3479" s="5">
        <v>1.6128</v>
      </c>
    </row>
    <row r="3480" spans="10:11">
      <c r="J3480" s="3">
        <v>39671</v>
      </c>
      <c r="K3480" s="5">
        <v>1.6140000000000001</v>
      </c>
    </row>
    <row r="3481" spans="10:11">
      <c r="J3481" s="3">
        <v>39672</v>
      </c>
      <c r="K3481" s="5">
        <v>1.6153</v>
      </c>
    </row>
    <row r="3482" spans="10:11">
      <c r="J3482" s="3">
        <v>39673</v>
      </c>
      <c r="K3482" s="5">
        <v>1.6203000000000001</v>
      </c>
    </row>
    <row r="3483" spans="10:11">
      <c r="J3483" s="3">
        <v>39674</v>
      </c>
      <c r="K3483" s="5">
        <v>1.6195999999999999</v>
      </c>
    </row>
    <row r="3484" spans="10:11">
      <c r="J3484" s="3">
        <v>39675</v>
      </c>
      <c r="K3484" s="5">
        <v>1.6380999999999999</v>
      </c>
    </row>
    <row r="3485" spans="10:11">
      <c r="J3485" s="3">
        <v>39678</v>
      </c>
      <c r="K3485" s="5">
        <v>1.6341000000000001</v>
      </c>
    </row>
    <row r="3486" spans="10:11">
      <c r="J3486" s="3">
        <v>39679</v>
      </c>
      <c r="K3486" s="5">
        <v>1.6335</v>
      </c>
    </row>
    <row r="3487" spans="10:11">
      <c r="J3487" s="3">
        <v>39680</v>
      </c>
      <c r="K3487" s="5">
        <v>1.6198999999999999</v>
      </c>
    </row>
    <row r="3488" spans="10:11">
      <c r="J3488" s="3">
        <v>39681</v>
      </c>
      <c r="K3488" s="5">
        <v>1.6134999999999999</v>
      </c>
    </row>
    <row r="3489" spans="10:11">
      <c r="J3489" s="3">
        <v>39682</v>
      </c>
      <c r="K3489" s="5">
        <v>1.6209</v>
      </c>
    </row>
    <row r="3490" spans="10:11">
      <c r="J3490" s="3">
        <v>39685</v>
      </c>
      <c r="K3490" s="5">
        <v>1.6267</v>
      </c>
    </row>
    <row r="3491" spans="10:11">
      <c r="J3491" s="3">
        <v>39686</v>
      </c>
      <c r="K3491" s="5">
        <v>1.6367</v>
      </c>
    </row>
    <row r="3492" spans="10:11">
      <c r="J3492" s="3">
        <v>39687</v>
      </c>
      <c r="K3492" s="5">
        <v>1.6205000000000001</v>
      </c>
    </row>
    <row r="3493" spans="10:11">
      <c r="J3493" s="3">
        <v>39688</v>
      </c>
      <c r="K3493" s="5">
        <v>1.6254</v>
      </c>
    </row>
    <row r="3494" spans="10:11">
      <c r="J3494" s="3">
        <v>39689</v>
      </c>
      <c r="K3494" s="5">
        <v>1.6335999999999999</v>
      </c>
    </row>
    <row r="3495" spans="10:11">
      <c r="J3495" s="3">
        <v>39692</v>
      </c>
      <c r="K3495" s="5">
        <v>1.6438999999999999</v>
      </c>
    </row>
    <row r="3496" spans="10:11">
      <c r="J3496" s="3">
        <v>39693</v>
      </c>
      <c r="K3496" s="5">
        <v>1.6594</v>
      </c>
    </row>
    <row r="3497" spans="10:11">
      <c r="J3497" s="3">
        <v>39694</v>
      </c>
      <c r="K3497" s="5">
        <v>1.6719999999999999</v>
      </c>
    </row>
    <row r="3498" spans="10:11">
      <c r="J3498" s="3">
        <v>39695</v>
      </c>
      <c r="K3498" s="5">
        <v>1.7001999999999999</v>
      </c>
    </row>
    <row r="3499" spans="10:11">
      <c r="J3499" s="3">
        <v>39696</v>
      </c>
      <c r="K3499" s="5">
        <v>1.7297</v>
      </c>
    </row>
    <row r="3500" spans="10:11">
      <c r="J3500" s="3">
        <v>39699</v>
      </c>
      <c r="K3500" s="5">
        <v>1.7274</v>
      </c>
    </row>
    <row r="3501" spans="10:11">
      <c r="J3501" s="3">
        <v>39700</v>
      </c>
      <c r="K3501" s="5">
        <v>1.7536</v>
      </c>
    </row>
    <row r="3502" spans="10:11">
      <c r="J3502" s="3">
        <v>39701</v>
      </c>
      <c r="K3502" s="5">
        <v>1.7849999999999999</v>
      </c>
    </row>
    <row r="3503" spans="10:11">
      <c r="J3503" s="3">
        <v>39702</v>
      </c>
      <c r="K3503" s="5">
        <v>1.8247</v>
      </c>
    </row>
    <row r="3504" spans="10:11">
      <c r="J3504" s="3">
        <v>39703</v>
      </c>
      <c r="K3504" s="5">
        <v>1.7904</v>
      </c>
    </row>
    <row r="3505" spans="10:11">
      <c r="J3505" s="3">
        <v>39706</v>
      </c>
      <c r="K3505" s="5">
        <v>1.8117000000000001</v>
      </c>
    </row>
    <row r="3506" spans="10:11">
      <c r="J3506" s="3">
        <v>39707</v>
      </c>
      <c r="K3506" s="5">
        <v>1.8402000000000001</v>
      </c>
    </row>
    <row r="3507" spans="10:11">
      <c r="J3507" s="3">
        <v>39708</v>
      </c>
      <c r="K3507" s="5">
        <v>1.8652</v>
      </c>
    </row>
    <row r="3508" spans="10:11">
      <c r="J3508" s="3">
        <v>39709</v>
      </c>
      <c r="K3508" s="5">
        <v>1.9151</v>
      </c>
    </row>
    <row r="3509" spans="10:11">
      <c r="J3509" s="3">
        <v>39710</v>
      </c>
      <c r="K3509" s="5">
        <v>1.839</v>
      </c>
    </row>
    <row r="3510" spans="10:11">
      <c r="J3510" s="3">
        <v>39713</v>
      </c>
      <c r="K3510" s="5">
        <v>1.7981</v>
      </c>
    </row>
    <row r="3511" spans="10:11">
      <c r="J3511" s="3">
        <v>39714</v>
      </c>
      <c r="K3511" s="5">
        <v>1.8233999999999999</v>
      </c>
    </row>
    <row r="3512" spans="10:11">
      <c r="J3512" s="3">
        <v>39715</v>
      </c>
      <c r="K3512" s="5">
        <v>1.8436999999999999</v>
      </c>
    </row>
    <row r="3513" spans="10:11">
      <c r="J3513" s="3">
        <v>39716</v>
      </c>
      <c r="K3513" s="5">
        <v>1.8269</v>
      </c>
    </row>
    <row r="3514" spans="10:11">
      <c r="J3514" s="3">
        <v>39717</v>
      </c>
      <c r="K3514" s="5">
        <v>1.8547</v>
      </c>
    </row>
    <row r="3515" spans="10:11">
      <c r="J3515" s="3">
        <v>39720</v>
      </c>
      <c r="K3515" s="5">
        <v>1.9551000000000001</v>
      </c>
    </row>
    <row r="3516" spans="10:11">
      <c r="J3516" s="3">
        <v>39721</v>
      </c>
      <c r="K3516" s="5">
        <v>1.9135</v>
      </c>
    </row>
    <row r="3517" spans="10:11">
      <c r="J3517" s="3">
        <v>39722</v>
      </c>
      <c r="K3517" s="5">
        <v>1.9205000000000001</v>
      </c>
    </row>
    <row r="3518" spans="10:11">
      <c r="J3518" s="3">
        <v>39723</v>
      </c>
      <c r="K3518" s="5">
        <v>2.0072999999999999</v>
      </c>
    </row>
    <row r="3519" spans="10:11">
      <c r="J3519" s="3">
        <v>39724</v>
      </c>
      <c r="K3519" s="5">
        <v>2.0531999999999999</v>
      </c>
    </row>
    <row r="3520" spans="10:11">
      <c r="J3520" s="3">
        <v>39727</v>
      </c>
      <c r="K3520" s="5">
        <v>2.1760999999999999</v>
      </c>
    </row>
    <row r="3521" spans="10:11">
      <c r="J3521" s="3">
        <v>39728</v>
      </c>
      <c r="K3521" s="5">
        <v>2.1875</v>
      </c>
    </row>
    <row r="3522" spans="10:11">
      <c r="J3522" s="3">
        <v>39729</v>
      </c>
      <c r="K3522" s="5">
        <v>2.3915999999999999</v>
      </c>
    </row>
    <row r="3523" spans="10:11">
      <c r="J3523" s="3">
        <v>39730</v>
      </c>
      <c r="K3523" s="5">
        <v>2.181</v>
      </c>
    </row>
    <row r="3524" spans="10:11">
      <c r="J3524" s="3">
        <v>39731</v>
      </c>
      <c r="K3524" s="5">
        <v>2.2871999999999999</v>
      </c>
    </row>
    <row r="3525" spans="10:11">
      <c r="J3525" s="3">
        <v>39734</v>
      </c>
      <c r="K3525" s="5">
        <v>2.1554000000000002</v>
      </c>
    </row>
    <row r="3526" spans="10:11">
      <c r="J3526" s="3">
        <v>39735</v>
      </c>
      <c r="K3526" s="5">
        <v>2.0781000000000001</v>
      </c>
    </row>
    <row r="3527" spans="10:11">
      <c r="J3527" s="3">
        <v>39736</v>
      </c>
      <c r="K3527" s="5">
        <v>2.1543000000000001</v>
      </c>
    </row>
    <row r="3528" spans="10:11">
      <c r="J3528" s="3">
        <v>39737</v>
      </c>
      <c r="K3528" s="5">
        <v>2.1846000000000001</v>
      </c>
    </row>
    <row r="3529" spans="10:11">
      <c r="J3529" s="3">
        <v>39738</v>
      </c>
      <c r="K3529" s="5">
        <v>2.1012</v>
      </c>
    </row>
    <row r="3530" spans="10:11">
      <c r="J3530" s="3">
        <v>39741</v>
      </c>
      <c r="K3530" s="5">
        <v>2.1166</v>
      </c>
    </row>
    <row r="3531" spans="10:11">
      <c r="J3531" s="3">
        <v>39742</v>
      </c>
      <c r="K3531" s="5">
        <v>2.1932999999999998</v>
      </c>
    </row>
    <row r="3532" spans="10:11">
      <c r="J3532" s="3">
        <v>39743</v>
      </c>
      <c r="K3532" s="5">
        <v>2.3641999999999999</v>
      </c>
    </row>
    <row r="3533" spans="10:11">
      <c r="J3533" s="3">
        <v>39744</v>
      </c>
      <c r="K3533" s="5">
        <v>2.3138999999999998</v>
      </c>
    </row>
    <row r="3534" spans="10:11">
      <c r="J3534" s="3">
        <v>39745</v>
      </c>
      <c r="K3534" s="5">
        <v>2.3104</v>
      </c>
    </row>
    <row r="3535" spans="10:11">
      <c r="J3535" s="3">
        <v>39748</v>
      </c>
      <c r="K3535" s="5">
        <v>2.2515999999999998</v>
      </c>
    </row>
    <row r="3536" spans="10:11">
      <c r="J3536" s="3">
        <v>39749</v>
      </c>
      <c r="K3536" s="5">
        <v>2.1692</v>
      </c>
    </row>
    <row r="3537" spans="10:11">
      <c r="J3537" s="3">
        <v>39750</v>
      </c>
      <c r="K3537" s="5">
        <v>2.1312000000000002</v>
      </c>
    </row>
    <row r="3538" spans="10:11">
      <c r="J3538" s="3">
        <v>39751</v>
      </c>
      <c r="K3538" s="5">
        <v>2.1143000000000001</v>
      </c>
    </row>
    <row r="3539" spans="10:11">
      <c r="J3539" s="3">
        <v>39752</v>
      </c>
      <c r="K3539" s="5">
        <v>2.1145</v>
      </c>
    </row>
    <row r="3540" spans="10:11">
      <c r="J3540" s="3">
        <v>39755</v>
      </c>
      <c r="K3540" s="5">
        <v>2.181</v>
      </c>
    </row>
    <row r="3541" spans="10:11">
      <c r="J3541" s="3">
        <v>39756</v>
      </c>
      <c r="K3541" s="5">
        <v>2.1219000000000001</v>
      </c>
    </row>
    <row r="3542" spans="10:11">
      <c r="J3542" s="3">
        <v>39757</v>
      </c>
      <c r="K3542" s="5">
        <v>2.1202000000000001</v>
      </c>
    </row>
    <row r="3543" spans="10:11">
      <c r="J3543" s="3">
        <v>39758</v>
      </c>
      <c r="K3543" s="5">
        <v>2.1585000000000001</v>
      </c>
    </row>
    <row r="3544" spans="10:11">
      <c r="J3544" s="3">
        <v>39759</v>
      </c>
      <c r="K3544" s="5">
        <v>2.1604999999999999</v>
      </c>
    </row>
    <row r="3545" spans="10:11">
      <c r="J3545" s="3">
        <v>39762</v>
      </c>
      <c r="K3545" s="5">
        <v>2.1326999999999998</v>
      </c>
    </row>
    <row r="3546" spans="10:11">
      <c r="J3546" s="3">
        <v>39763</v>
      </c>
      <c r="K3546" s="5">
        <v>2.2002000000000002</v>
      </c>
    </row>
    <row r="3547" spans="10:11">
      <c r="J3547" s="3">
        <v>39764</v>
      </c>
      <c r="K3547" s="5">
        <v>2.2624</v>
      </c>
    </row>
    <row r="3548" spans="10:11">
      <c r="J3548" s="3">
        <v>39765</v>
      </c>
      <c r="K3548" s="5">
        <v>2.3306</v>
      </c>
    </row>
    <row r="3549" spans="10:11">
      <c r="J3549" s="3">
        <v>39766</v>
      </c>
      <c r="K3549" s="5">
        <v>2.2791999999999999</v>
      </c>
    </row>
    <row r="3550" spans="10:11">
      <c r="J3550" s="3">
        <v>39769</v>
      </c>
      <c r="K3550" s="5">
        <v>2.2932000000000001</v>
      </c>
    </row>
    <row r="3551" spans="10:11">
      <c r="J3551" s="3">
        <v>39770</v>
      </c>
      <c r="K3551" s="5">
        <v>2.2988</v>
      </c>
    </row>
    <row r="3552" spans="10:11">
      <c r="J3552" s="3">
        <v>39771</v>
      </c>
      <c r="K3552" s="5">
        <v>2.3757999999999999</v>
      </c>
    </row>
    <row r="3553" spans="10:11">
      <c r="J3553" s="3">
        <v>39772</v>
      </c>
      <c r="K3553" s="5">
        <v>2.3954</v>
      </c>
    </row>
    <row r="3554" spans="10:11">
      <c r="J3554" s="3">
        <v>39773</v>
      </c>
      <c r="K3554" s="5">
        <v>2.4268999999999998</v>
      </c>
    </row>
    <row r="3555" spans="10:11">
      <c r="J3555" s="3">
        <v>39776</v>
      </c>
      <c r="K3555" s="5">
        <v>2.3492000000000002</v>
      </c>
    </row>
    <row r="3556" spans="10:11">
      <c r="J3556" s="3">
        <v>39777</v>
      </c>
      <c r="K3556" s="5">
        <v>2.3048000000000002</v>
      </c>
    </row>
    <row r="3557" spans="10:11">
      <c r="J3557" s="3">
        <v>39778</v>
      </c>
      <c r="K3557" s="5">
        <v>2.3212999999999999</v>
      </c>
    </row>
    <row r="3558" spans="10:11">
      <c r="J3558" s="3">
        <v>39779</v>
      </c>
      <c r="K3558" s="5">
        <v>2.2648999999999999</v>
      </c>
    </row>
    <row r="3559" spans="10:11">
      <c r="J3559" s="3">
        <v>39780</v>
      </c>
      <c r="K3559" s="5">
        <v>2.3323</v>
      </c>
    </row>
    <row r="3560" spans="10:11">
      <c r="J3560" s="3">
        <v>39783</v>
      </c>
      <c r="K3560" s="5">
        <v>2.3557000000000001</v>
      </c>
    </row>
    <row r="3561" spans="10:11">
      <c r="J3561" s="3">
        <v>39784</v>
      </c>
      <c r="K3561" s="5">
        <v>2.3449</v>
      </c>
    </row>
    <row r="3562" spans="10:11">
      <c r="J3562" s="3">
        <v>39785</v>
      </c>
      <c r="K3562" s="5">
        <v>2.4205000000000001</v>
      </c>
    </row>
    <row r="3563" spans="10:11">
      <c r="J3563" s="3">
        <v>39786</v>
      </c>
      <c r="K3563" s="5">
        <v>2.4897</v>
      </c>
    </row>
    <row r="3564" spans="10:11">
      <c r="J3564" s="3">
        <v>39787</v>
      </c>
      <c r="K3564" s="5">
        <v>2.4996</v>
      </c>
    </row>
    <row r="3565" spans="10:11">
      <c r="J3565" s="3">
        <v>39790</v>
      </c>
      <c r="K3565" s="5">
        <v>2.4681000000000002</v>
      </c>
    </row>
    <row r="3566" spans="10:11">
      <c r="J3566" s="3">
        <v>39791</v>
      </c>
      <c r="K3566" s="5">
        <v>2.4821</v>
      </c>
    </row>
    <row r="3567" spans="10:11">
      <c r="J3567" s="3">
        <v>39792</v>
      </c>
      <c r="K3567" s="5">
        <v>2.4674999999999998</v>
      </c>
    </row>
    <row r="3568" spans="10:11">
      <c r="J3568" s="3">
        <v>39793</v>
      </c>
      <c r="K3568" s="5">
        <v>2.3389000000000002</v>
      </c>
    </row>
    <row r="3569" spans="10:11">
      <c r="J3569" s="3">
        <v>39794</v>
      </c>
      <c r="K3569" s="5">
        <v>2.3912</v>
      </c>
    </row>
    <row r="3570" spans="10:11">
      <c r="J3570" s="3">
        <v>39799</v>
      </c>
      <c r="K3570" s="5">
        <v>2.3567999999999998</v>
      </c>
    </row>
    <row r="3571" spans="10:11">
      <c r="J3571" s="3">
        <v>39800</v>
      </c>
      <c r="K3571" s="5">
        <v>2.3563999999999998</v>
      </c>
    </row>
    <row r="3572" spans="10:11">
      <c r="J3572" s="3">
        <v>39801</v>
      </c>
      <c r="K3572" s="5">
        <v>2.3851</v>
      </c>
    </row>
    <row r="3573" spans="10:11">
      <c r="J3573" s="3">
        <v>39804</v>
      </c>
      <c r="K3573" s="5">
        <v>2.3732000000000002</v>
      </c>
    </row>
    <row r="3574" spans="10:11">
      <c r="J3574" s="3">
        <v>39805</v>
      </c>
      <c r="K3574" s="5">
        <v>2.3820999999999999</v>
      </c>
    </row>
    <row r="3575" spans="10:11">
      <c r="J3575" s="3">
        <v>39806</v>
      </c>
      <c r="K3575" s="5">
        <v>2.3742999999999999</v>
      </c>
    </row>
    <row r="3576" spans="10:11">
      <c r="J3576" s="3">
        <v>39808</v>
      </c>
      <c r="K3576" s="5">
        <v>2.3605</v>
      </c>
    </row>
    <row r="3577" spans="10:11">
      <c r="J3577" s="3">
        <v>39811</v>
      </c>
      <c r="K3577" s="5">
        <v>2.3948</v>
      </c>
    </row>
    <row r="3578" spans="10:11">
      <c r="J3578" s="3">
        <v>39812</v>
      </c>
      <c r="K3578" s="5">
        <v>2.3361999999999998</v>
      </c>
    </row>
    <row r="3579" spans="10:11">
      <c r="J3579" s="3">
        <v>39813</v>
      </c>
      <c r="K3579" s="5">
        <v>2.3361999999999998</v>
      </c>
    </row>
    <row r="3580" spans="10:11">
      <c r="J3580" s="3">
        <v>39815</v>
      </c>
      <c r="K3580" s="5">
        <v>2.3290000000000002</v>
      </c>
    </row>
    <row r="3581" spans="10:11">
      <c r="J3581" s="3">
        <v>39818</v>
      </c>
      <c r="K3581" s="5">
        <v>2.2772000000000001</v>
      </c>
    </row>
    <row r="3582" spans="10:11">
      <c r="J3582" s="3">
        <v>39819</v>
      </c>
      <c r="K3582" s="5">
        <v>2.1880999999999999</v>
      </c>
    </row>
    <row r="3583" spans="10:11">
      <c r="J3583" s="3">
        <v>39820</v>
      </c>
      <c r="K3583" s="5">
        <v>2.2166000000000001</v>
      </c>
    </row>
    <row r="3584" spans="10:11">
      <c r="J3584" s="3">
        <v>39821</v>
      </c>
      <c r="K3584" s="5">
        <v>2.2675000000000001</v>
      </c>
    </row>
    <row r="3585" spans="10:11">
      <c r="J3585" s="3">
        <v>39822</v>
      </c>
      <c r="K3585" s="5">
        <v>2.2858999999999998</v>
      </c>
    </row>
    <row r="3586" spans="10:11">
      <c r="J3586" s="3">
        <v>39825</v>
      </c>
      <c r="K3586" s="5">
        <v>2.2961</v>
      </c>
    </row>
    <row r="3587" spans="10:11">
      <c r="J3587" s="3">
        <v>39826</v>
      </c>
      <c r="K3587" s="5">
        <v>2.3075000000000001</v>
      </c>
    </row>
    <row r="3588" spans="10:11">
      <c r="J3588" s="3">
        <v>39827</v>
      </c>
      <c r="K3588" s="5">
        <v>2.3332999999999999</v>
      </c>
    </row>
    <row r="3589" spans="10:11">
      <c r="J3589" s="3">
        <v>39828</v>
      </c>
      <c r="K3589" s="5">
        <v>2.3795000000000002</v>
      </c>
    </row>
    <row r="3590" spans="10:11">
      <c r="J3590" s="3">
        <v>39829</v>
      </c>
      <c r="K3590" s="5">
        <v>2.3239999999999998</v>
      </c>
    </row>
    <row r="3591" spans="10:11">
      <c r="J3591" s="3">
        <v>39832</v>
      </c>
      <c r="K3591" s="5">
        <v>2.3298000000000001</v>
      </c>
    </row>
    <row r="3592" spans="10:11">
      <c r="J3592" s="3">
        <v>39833</v>
      </c>
      <c r="K3592" s="5">
        <v>2.3540000000000001</v>
      </c>
    </row>
    <row r="3593" spans="10:11">
      <c r="J3593" s="3">
        <v>39834</v>
      </c>
      <c r="K3593" s="5">
        <v>2.3536000000000001</v>
      </c>
    </row>
    <row r="3594" spans="10:11">
      <c r="J3594" s="3">
        <v>39835</v>
      </c>
      <c r="K3594" s="5">
        <v>2.3290999999999999</v>
      </c>
    </row>
    <row r="3595" spans="10:11">
      <c r="J3595" s="3">
        <v>39836</v>
      </c>
      <c r="K3595" s="5">
        <v>2.3559999999999999</v>
      </c>
    </row>
    <row r="3596" spans="10:11">
      <c r="J3596" s="3">
        <v>39839</v>
      </c>
      <c r="K3596" s="5">
        <v>2.3140999999999998</v>
      </c>
    </row>
    <row r="3597" spans="10:11">
      <c r="J3597" s="3">
        <v>39840</v>
      </c>
      <c r="K3597" s="5">
        <v>2.3100999999999998</v>
      </c>
    </row>
    <row r="3598" spans="10:11">
      <c r="J3598" s="3">
        <v>39841</v>
      </c>
      <c r="K3598" s="5">
        <v>2.2974000000000001</v>
      </c>
    </row>
    <row r="3599" spans="10:11">
      <c r="J3599" s="3">
        <v>39842</v>
      </c>
      <c r="K3599" s="5">
        <v>2.2753000000000001</v>
      </c>
    </row>
    <row r="3600" spans="10:11">
      <c r="J3600" s="3">
        <v>39843</v>
      </c>
      <c r="K3600" s="5">
        <v>2.3153999999999999</v>
      </c>
    </row>
    <row r="3601" spans="10:11">
      <c r="J3601" s="3">
        <v>39846</v>
      </c>
      <c r="K3601" s="5">
        <v>2.3466999999999998</v>
      </c>
    </row>
    <row r="3602" spans="10:11">
      <c r="J3602" s="3">
        <v>39847</v>
      </c>
      <c r="K3602" s="5">
        <v>2.3136000000000001</v>
      </c>
    </row>
    <row r="3603" spans="10:11">
      <c r="J3603" s="3">
        <v>39848</v>
      </c>
      <c r="K3603" s="5">
        <v>2.2986</v>
      </c>
    </row>
    <row r="3604" spans="10:11">
      <c r="J3604" s="3">
        <v>39849</v>
      </c>
      <c r="K3604" s="5">
        <v>2.3056999999999999</v>
      </c>
    </row>
    <row r="3605" spans="10:11">
      <c r="J3605" s="3">
        <v>39850</v>
      </c>
      <c r="K3605" s="5">
        <v>2.2650000000000001</v>
      </c>
    </row>
    <row r="3606" spans="10:11">
      <c r="J3606" s="3">
        <v>39853</v>
      </c>
      <c r="K3606" s="5">
        <v>2.2437999999999998</v>
      </c>
    </row>
    <row r="3607" spans="10:11">
      <c r="J3607" s="3">
        <v>39854</v>
      </c>
      <c r="K3607" s="5">
        <v>2.2519999999999998</v>
      </c>
    </row>
    <row r="3608" spans="10:11">
      <c r="J3608" s="3">
        <v>39855</v>
      </c>
      <c r="K3608" s="5">
        <v>2.2862</v>
      </c>
    </row>
    <row r="3609" spans="10:11">
      <c r="J3609" s="3">
        <v>39856</v>
      </c>
      <c r="K3609" s="5">
        <v>2.2900999999999998</v>
      </c>
    </row>
    <row r="3610" spans="10:11">
      <c r="J3610" s="3">
        <v>39857</v>
      </c>
      <c r="K3610" s="5">
        <v>2.2671999999999999</v>
      </c>
    </row>
    <row r="3611" spans="10:11">
      <c r="J3611" s="3">
        <v>39860</v>
      </c>
      <c r="K3611" s="5">
        <v>2.2711000000000001</v>
      </c>
    </row>
    <row r="3612" spans="10:11">
      <c r="J3612" s="3">
        <v>39861</v>
      </c>
      <c r="K3612" s="5">
        <v>2.3123</v>
      </c>
    </row>
    <row r="3613" spans="10:11">
      <c r="J3613" s="3">
        <v>39862</v>
      </c>
      <c r="K3613" s="5">
        <v>2.3388</v>
      </c>
    </row>
    <row r="3614" spans="10:11">
      <c r="J3614" s="3">
        <v>39863</v>
      </c>
      <c r="K3614" s="5">
        <v>2.3241000000000001</v>
      </c>
    </row>
    <row r="3615" spans="10:11">
      <c r="J3615" s="3">
        <v>39864</v>
      </c>
      <c r="K3615" s="5">
        <v>2.3908</v>
      </c>
    </row>
    <row r="3616" spans="10:11">
      <c r="J3616" s="3">
        <v>39869</v>
      </c>
      <c r="K3616" s="5">
        <v>2.3805999999999998</v>
      </c>
    </row>
    <row r="3617" spans="10:11">
      <c r="J3617" s="3">
        <v>39870</v>
      </c>
      <c r="K3617" s="5">
        <v>2.3494999999999999</v>
      </c>
    </row>
    <row r="3618" spans="10:11">
      <c r="J3618" s="3">
        <v>39871</v>
      </c>
      <c r="K3618" s="5">
        <v>2.3776000000000002</v>
      </c>
    </row>
    <row r="3619" spans="10:11">
      <c r="J3619" s="3">
        <v>39874</v>
      </c>
      <c r="K3619" s="5">
        <v>2.4113000000000002</v>
      </c>
    </row>
    <row r="3620" spans="10:11">
      <c r="J3620" s="3">
        <v>39875</v>
      </c>
      <c r="K3620" s="5">
        <v>2.4209999999999998</v>
      </c>
    </row>
    <row r="3621" spans="10:11">
      <c r="J3621" s="3">
        <v>39876</v>
      </c>
      <c r="K3621" s="5">
        <v>2.3908999999999998</v>
      </c>
    </row>
    <row r="3622" spans="10:11">
      <c r="J3622" s="3">
        <v>39877</v>
      </c>
      <c r="K3622" s="5">
        <v>2.3814000000000002</v>
      </c>
    </row>
    <row r="3623" spans="10:11">
      <c r="J3623" s="3">
        <v>39878</v>
      </c>
      <c r="K3623" s="5">
        <v>2.3759999999999999</v>
      </c>
    </row>
    <row r="3624" spans="10:11">
      <c r="J3624" s="3">
        <v>39881</v>
      </c>
      <c r="K3624" s="5">
        <v>2.3773</v>
      </c>
    </row>
    <row r="3625" spans="10:11">
      <c r="J3625" s="3">
        <v>39882</v>
      </c>
      <c r="K3625" s="5">
        <v>2.3506999999999998</v>
      </c>
    </row>
    <row r="3626" spans="10:11">
      <c r="J3626" s="3">
        <v>39883</v>
      </c>
      <c r="K3626" s="5">
        <v>2.3357999999999999</v>
      </c>
    </row>
    <row r="3627" spans="10:11">
      <c r="J3627" s="3">
        <v>39884</v>
      </c>
      <c r="K3627" s="5">
        <v>2.3149999999999999</v>
      </c>
    </row>
    <row r="3628" spans="10:11">
      <c r="J3628" s="3">
        <v>39885</v>
      </c>
      <c r="K3628" s="5">
        <v>2.3003999999999998</v>
      </c>
    </row>
    <row r="3629" spans="10:11">
      <c r="J3629" s="3">
        <v>39888</v>
      </c>
      <c r="K3629" s="5">
        <v>2.2696999999999998</v>
      </c>
    </row>
    <row r="3630" spans="10:11">
      <c r="J3630" s="3">
        <v>39889</v>
      </c>
      <c r="K3630" s="5">
        <v>2.2825000000000002</v>
      </c>
    </row>
    <row r="3631" spans="10:11">
      <c r="J3631" s="3">
        <v>39890</v>
      </c>
      <c r="K3631" s="5">
        <v>2.2797999999999998</v>
      </c>
    </row>
    <row r="3632" spans="10:11">
      <c r="J3632" s="3">
        <v>39891</v>
      </c>
      <c r="K3632" s="5">
        <v>2.2370999999999999</v>
      </c>
    </row>
    <row r="3633" spans="10:11">
      <c r="J3633" s="3">
        <v>39892</v>
      </c>
      <c r="K3633" s="5">
        <v>2.2559</v>
      </c>
    </row>
    <row r="3634" spans="10:11">
      <c r="J3634" s="3">
        <v>39896</v>
      </c>
      <c r="K3634" s="5">
        <v>2.2559</v>
      </c>
    </row>
    <row r="3635" spans="10:11">
      <c r="J3635" s="3">
        <v>39897</v>
      </c>
      <c r="K3635" s="5">
        <v>2.2427000000000001</v>
      </c>
    </row>
    <row r="3636" spans="10:11">
      <c r="J3636" s="3">
        <v>39898</v>
      </c>
      <c r="K3636" s="5">
        <v>2.2366999999999999</v>
      </c>
    </row>
    <row r="3637" spans="10:11">
      <c r="J3637" s="3">
        <v>39899</v>
      </c>
      <c r="K3637" s="5">
        <v>2.2736999999999998</v>
      </c>
    </row>
    <row r="3638" spans="10:11">
      <c r="J3638" s="3">
        <v>39902</v>
      </c>
      <c r="K3638" s="5">
        <v>2.3289</v>
      </c>
    </row>
    <row r="3639" spans="10:11">
      <c r="J3639" s="3">
        <v>39903</v>
      </c>
      <c r="K3639" s="5">
        <v>2.3144</v>
      </c>
    </row>
    <row r="3640" spans="10:11">
      <c r="J3640" s="3">
        <v>39904</v>
      </c>
      <c r="K3640" s="5">
        <v>2.2890999999999999</v>
      </c>
    </row>
    <row r="3641" spans="10:11">
      <c r="J3641" s="3">
        <v>39905</v>
      </c>
      <c r="K3641" s="5">
        <v>2.2347000000000001</v>
      </c>
    </row>
    <row r="3642" spans="10:11">
      <c r="J3642" s="3">
        <v>39906</v>
      </c>
      <c r="K3642" s="5">
        <v>2.2063999999999999</v>
      </c>
    </row>
    <row r="3643" spans="10:11">
      <c r="J3643" s="3">
        <v>39909</v>
      </c>
      <c r="K3643" s="5">
        <v>2.2244000000000002</v>
      </c>
    </row>
    <row r="3644" spans="10:11">
      <c r="J3644" s="3">
        <v>39910</v>
      </c>
      <c r="K3644" s="5">
        <v>2.2241</v>
      </c>
    </row>
    <row r="3645" spans="10:11">
      <c r="J3645" s="3">
        <v>39911</v>
      </c>
      <c r="K3645" s="5">
        <v>2.2006000000000001</v>
      </c>
    </row>
    <row r="3646" spans="10:11">
      <c r="J3646" s="3">
        <v>39912</v>
      </c>
      <c r="K3646" s="5">
        <v>2.1758000000000002</v>
      </c>
    </row>
    <row r="3647" spans="10:11">
      <c r="J3647" s="3">
        <v>39916</v>
      </c>
      <c r="K3647" s="5">
        <v>2.1690999999999998</v>
      </c>
    </row>
    <row r="3648" spans="10:11">
      <c r="J3648" s="3">
        <v>39917</v>
      </c>
      <c r="K3648" s="5">
        <v>2.1867999999999999</v>
      </c>
    </row>
    <row r="3649" spans="10:11">
      <c r="J3649" s="3">
        <v>39918</v>
      </c>
      <c r="K3649" s="5">
        <v>2.1983999999999999</v>
      </c>
    </row>
    <row r="3650" spans="10:11">
      <c r="J3650" s="3">
        <v>39919</v>
      </c>
      <c r="K3650" s="5">
        <v>2.1783000000000001</v>
      </c>
    </row>
    <row r="3651" spans="10:11">
      <c r="J3651" s="3">
        <v>39920</v>
      </c>
      <c r="K3651" s="5">
        <v>2.1856</v>
      </c>
    </row>
    <row r="3652" spans="10:11">
      <c r="J3652" s="3">
        <v>39923</v>
      </c>
      <c r="K3652" s="5">
        <v>2.2342</v>
      </c>
    </row>
    <row r="3653" spans="10:11">
      <c r="J3653" s="3">
        <v>39925</v>
      </c>
      <c r="K3653" s="5">
        <v>2.2120000000000002</v>
      </c>
    </row>
    <row r="3654" spans="10:11">
      <c r="J3654" s="3">
        <v>39926</v>
      </c>
      <c r="K3654" s="5">
        <v>2.2099000000000002</v>
      </c>
    </row>
    <row r="3655" spans="10:11">
      <c r="J3655" s="3">
        <v>39927</v>
      </c>
      <c r="K3655" s="5">
        <v>2.1924999999999999</v>
      </c>
    </row>
    <row r="3656" spans="10:11">
      <c r="J3656" s="3">
        <v>39930</v>
      </c>
      <c r="K3656" s="5">
        <v>2.2157</v>
      </c>
    </row>
    <row r="3657" spans="10:11">
      <c r="J3657" s="3">
        <v>39931</v>
      </c>
      <c r="K3657" s="5">
        <v>2.2029000000000001</v>
      </c>
    </row>
    <row r="3658" spans="10:11">
      <c r="J3658" s="3">
        <v>39932</v>
      </c>
      <c r="K3658" s="5">
        <v>2.1829999999999998</v>
      </c>
    </row>
    <row r="3659" spans="10:11">
      <c r="J3659" s="3">
        <v>39933</v>
      </c>
      <c r="K3659" s="5">
        <v>2.1775000000000002</v>
      </c>
    </row>
    <row r="3660" spans="10:11">
      <c r="J3660" s="3">
        <v>39937</v>
      </c>
      <c r="K3660" s="5">
        <v>2.1360999999999999</v>
      </c>
    </row>
    <row r="3661" spans="10:11">
      <c r="J3661" s="3">
        <v>39938</v>
      </c>
      <c r="K3661" s="5">
        <v>2.1467999999999998</v>
      </c>
    </row>
    <row r="3662" spans="10:11">
      <c r="J3662" s="3">
        <v>39939</v>
      </c>
      <c r="K3662" s="5">
        <v>2.1204999999999998</v>
      </c>
    </row>
    <row r="3663" spans="10:11">
      <c r="J3663" s="3">
        <v>39940</v>
      </c>
      <c r="K3663" s="5">
        <v>2.0975999999999999</v>
      </c>
    </row>
    <row r="3664" spans="10:11">
      <c r="J3664" s="3">
        <v>39944</v>
      </c>
      <c r="K3664" s="5">
        <v>2.0571000000000002</v>
      </c>
    </row>
    <row r="3665" spans="10:11">
      <c r="J3665" s="3">
        <v>39945</v>
      </c>
      <c r="K3665" s="5">
        <v>2.0640999999999998</v>
      </c>
    </row>
    <row r="3666" spans="10:11">
      <c r="J3666" s="3">
        <v>39946</v>
      </c>
      <c r="K3666" s="5">
        <v>2.0983999999999998</v>
      </c>
    </row>
    <row r="3667" spans="10:11">
      <c r="J3667" s="3">
        <v>39947</v>
      </c>
      <c r="K3667" s="5">
        <v>2.0920999999999998</v>
      </c>
    </row>
    <row r="3668" spans="10:11">
      <c r="J3668" s="3">
        <v>39948</v>
      </c>
      <c r="K3668" s="5">
        <v>2.0754000000000001</v>
      </c>
    </row>
    <row r="3669" spans="10:11">
      <c r="J3669" s="3">
        <v>39951</v>
      </c>
      <c r="K3669" s="5">
        <v>2.0775999999999999</v>
      </c>
    </row>
    <row r="3670" spans="10:11">
      <c r="J3670" s="3">
        <v>39952</v>
      </c>
      <c r="K3670" s="5">
        <v>2.048</v>
      </c>
    </row>
    <row r="3671" spans="10:11">
      <c r="J3671" s="3">
        <v>39953</v>
      </c>
      <c r="K3671" s="5">
        <v>2.0190999999999999</v>
      </c>
    </row>
    <row r="3672" spans="10:11">
      <c r="J3672" s="3">
        <v>39954</v>
      </c>
      <c r="K3672" s="5">
        <v>2.0255999999999998</v>
      </c>
    </row>
    <row r="3673" spans="10:11">
      <c r="J3673" s="3">
        <v>39955</v>
      </c>
      <c r="K3673" s="5">
        <v>2.0270999999999999</v>
      </c>
    </row>
    <row r="3674" spans="10:11">
      <c r="J3674" s="3">
        <v>39958</v>
      </c>
      <c r="K3674" s="5">
        <v>2.0226000000000002</v>
      </c>
    </row>
    <row r="3675" spans="10:11">
      <c r="J3675" s="3">
        <v>39959</v>
      </c>
      <c r="K3675" s="5">
        <v>2.0253000000000001</v>
      </c>
    </row>
    <row r="3676" spans="10:11">
      <c r="J3676" s="3">
        <v>39960</v>
      </c>
      <c r="K3676" s="5">
        <v>2.0087000000000002</v>
      </c>
    </row>
    <row r="3677" spans="10:11">
      <c r="J3677" s="3">
        <v>39961</v>
      </c>
      <c r="K3677" s="5">
        <v>2.0135999999999998</v>
      </c>
    </row>
    <row r="3678" spans="10:11">
      <c r="J3678" s="3">
        <v>39962</v>
      </c>
      <c r="K3678" s="5">
        <v>1.9722</v>
      </c>
    </row>
    <row r="3679" spans="10:11">
      <c r="J3679" s="3">
        <v>39965</v>
      </c>
      <c r="K3679" s="5">
        <v>1.9432</v>
      </c>
    </row>
    <row r="3680" spans="10:11">
      <c r="J3680" s="3">
        <v>39966</v>
      </c>
      <c r="K3680" s="5">
        <v>1.9361999999999999</v>
      </c>
    </row>
    <row r="3681" spans="10:11">
      <c r="J3681" s="3">
        <v>39967</v>
      </c>
      <c r="K3681" s="5">
        <v>1.9592000000000001</v>
      </c>
    </row>
    <row r="3682" spans="10:11">
      <c r="J3682" s="3">
        <v>39968</v>
      </c>
      <c r="K3682" s="5">
        <v>1.9489000000000001</v>
      </c>
    </row>
    <row r="3683" spans="10:11">
      <c r="J3683" s="3">
        <v>39969</v>
      </c>
      <c r="K3683" s="5">
        <v>1.9525999999999999</v>
      </c>
    </row>
    <row r="3684" spans="10:11">
      <c r="J3684" s="3">
        <v>39972</v>
      </c>
      <c r="K3684" s="5">
        <v>1.9696</v>
      </c>
    </row>
    <row r="3685" spans="10:11">
      <c r="J3685" s="3">
        <v>39973</v>
      </c>
      <c r="K3685" s="5">
        <v>1.9377</v>
      </c>
    </row>
    <row r="3686" spans="10:11">
      <c r="J3686" s="3">
        <v>39974</v>
      </c>
      <c r="K3686" s="5">
        <v>1.9466000000000001</v>
      </c>
    </row>
    <row r="3687" spans="10:11">
      <c r="J3687" s="3">
        <v>39976</v>
      </c>
      <c r="K3687" s="5">
        <v>1.9293</v>
      </c>
    </row>
    <row r="3688" spans="10:11">
      <c r="J3688" s="3">
        <v>39979</v>
      </c>
      <c r="K3688" s="5">
        <v>1.9450000000000001</v>
      </c>
    </row>
    <row r="3689" spans="10:11">
      <c r="J3689" s="3">
        <v>39980</v>
      </c>
      <c r="K3689" s="5">
        <v>1.9453</v>
      </c>
    </row>
    <row r="3690" spans="10:11">
      <c r="J3690" s="3">
        <v>39981</v>
      </c>
      <c r="K3690" s="5">
        <v>1.9776</v>
      </c>
    </row>
    <row r="3691" spans="10:11">
      <c r="J3691" s="3">
        <v>39982</v>
      </c>
      <c r="K3691" s="5">
        <v>1.9701</v>
      </c>
    </row>
    <row r="3692" spans="10:11">
      <c r="J3692" s="3">
        <v>39983</v>
      </c>
      <c r="K3692" s="5">
        <v>1.9583999999999999</v>
      </c>
    </row>
    <row r="3693" spans="10:11">
      <c r="J3693" s="3">
        <v>39986</v>
      </c>
      <c r="K3693" s="5">
        <v>2.0066000000000002</v>
      </c>
    </row>
    <row r="3694" spans="10:11">
      <c r="J3694" s="3">
        <v>39987</v>
      </c>
      <c r="K3694" s="5">
        <v>2.0011000000000001</v>
      </c>
    </row>
    <row r="3695" spans="10:11">
      <c r="J3695" s="3">
        <v>39988</v>
      </c>
      <c r="K3695" s="5">
        <v>1.9716</v>
      </c>
    </row>
    <row r="3696" spans="10:11">
      <c r="J3696" s="3">
        <v>39989</v>
      </c>
      <c r="K3696" s="5">
        <v>1.9554</v>
      </c>
    </row>
    <row r="3697" spans="10:11">
      <c r="J3697" s="3">
        <v>39990</v>
      </c>
      <c r="K3697" s="5">
        <v>1.9388000000000001</v>
      </c>
    </row>
    <row r="3698" spans="10:11">
      <c r="J3698" s="3">
        <v>39993</v>
      </c>
      <c r="K3698" s="5">
        <v>1.9479</v>
      </c>
    </row>
    <row r="3699" spans="10:11">
      <c r="J3699" s="3">
        <v>39994</v>
      </c>
      <c r="K3699" s="5">
        <v>1.9508000000000001</v>
      </c>
    </row>
    <row r="3700" spans="10:11">
      <c r="J3700" s="3">
        <v>39995</v>
      </c>
      <c r="K3700" s="5">
        <v>1.9334</v>
      </c>
    </row>
    <row r="3701" spans="10:11">
      <c r="J3701" s="3">
        <v>39996</v>
      </c>
      <c r="K3701" s="5">
        <v>1.9460999999999999</v>
      </c>
    </row>
    <row r="3702" spans="10:11">
      <c r="J3702" s="3">
        <v>39997</v>
      </c>
      <c r="K3702" s="5">
        <v>1.9466000000000001</v>
      </c>
    </row>
    <row r="3703" spans="10:11">
      <c r="J3703" s="3">
        <v>40000</v>
      </c>
      <c r="K3703" s="5">
        <v>1.9702999999999999</v>
      </c>
    </row>
    <row r="3704" spans="10:11">
      <c r="J3704" s="3">
        <v>40001</v>
      </c>
      <c r="K3704" s="5">
        <v>1.9633</v>
      </c>
    </row>
    <row r="3705" spans="10:11">
      <c r="J3705" s="3">
        <v>40002</v>
      </c>
      <c r="K3705" s="5">
        <v>1.9974000000000001</v>
      </c>
    </row>
    <row r="3706" spans="10:11">
      <c r="J3706" s="3">
        <v>40003</v>
      </c>
      <c r="K3706" s="5">
        <v>1.9913000000000001</v>
      </c>
    </row>
    <row r="3707" spans="10:11">
      <c r="J3707" s="3">
        <v>40004</v>
      </c>
      <c r="K3707" s="5">
        <v>2.0139</v>
      </c>
    </row>
    <row r="3708" spans="10:11">
      <c r="J3708" s="3">
        <v>40007</v>
      </c>
      <c r="K3708" s="5">
        <v>1.9886999999999999</v>
      </c>
    </row>
    <row r="3709" spans="10:11">
      <c r="J3709" s="3">
        <v>40008</v>
      </c>
      <c r="K3709" s="5">
        <v>1.9696</v>
      </c>
    </row>
    <row r="3710" spans="10:11">
      <c r="J3710" s="3">
        <v>40009</v>
      </c>
      <c r="K3710" s="5">
        <v>1.9412</v>
      </c>
    </row>
    <row r="3711" spans="10:11">
      <c r="J3711" s="3">
        <v>40010</v>
      </c>
      <c r="K3711" s="5">
        <v>1.9332</v>
      </c>
    </row>
    <row r="3712" spans="10:11">
      <c r="J3712" s="3">
        <v>40011</v>
      </c>
      <c r="K3712" s="5">
        <v>1.9281999999999999</v>
      </c>
    </row>
    <row r="3713" spans="10:11">
      <c r="J3713" s="3">
        <v>40014</v>
      </c>
      <c r="K3713" s="5">
        <v>1.9059999999999999</v>
      </c>
    </row>
    <row r="3714" spans="10:11">
      <c r="J3714" s="3">
        <v>40015</v>
      </c>
      <c r="K3714" s="5">
        <v>1.9035</v>
      </c>
    </row>
    <row r="3715" spans="10:11">
      <c r="J3715" s="3">
        <v>40016</v>
      </c>
      <c r="K3715" s="5">
        <v>1.9020999999999999</v>
      </c>
    </row>
    <row r="3716" spans="10:11">
      <c r="J3716" s="3">
        <v>40017</v>
      </c>
      <c r="K3716" s="5">
        <v>1.8914</v>
      </c>
    </row>
    <row r="3717" spans="10:11">
      <c r="J3717" s="3">
        <v>40018</v>
      </c>
      <c r="K3717" s="5">
        <v>1.8952</v>
      </c>
    </row>
    <row r="3718" spans="10:11">
      <c r="J3718" s="3">
        <v>40021</v>
      </c>
      <c r="K3718" s="5">
        <v>1.8829</v>
      </c>
    </row>
    <row r="3719" spans="10:11">
      <c r="J3719" s="3">
        <v>40022</v>
      </c>
      <c r="K3719" s="5">
        <v>1.8811</v>
      </c>
    </row>
    <row r="3720" spans="10:11">
      <c r="J3720" s="3">
        <v>40023</v>
      </c>
      <c r="K3720" s="5">
        <v>1.8974</v>
      </c>
    </row>
    <row r="3721" spans="10:11">
      <c r="J3721" s="3">
        <v>40024</v>
      </c>
      <c r="K3721" s="5">
        <v>1.8803000000000001</v>
      </c>
    </row>
    <row r="3722" spans="10:11">
      <c r="J3722" s="3">
        <v>40025</v>
      </c>
      <c r="K3722" s="5">
        <v>1.8717999999999999</v>
      </c>
    </row>
    <row r="3723" spans="10:11">
      <c r="J3723" s="3">
        <v>40028</v>
      </c>
      <c r="K3723" s="5">
        <v>1.8361000000000001</v>
      </c>
    </row>
    <row r="3724" spans="10:11">
      <c r="J3724" s="3">
        <v>40029</v>
      </c>
      <c r="K3724" s="5">
        <v>1.8264</v>
      </c>
    </row>
    <row r="3725" spans="10:11">
      <c r="J3725" s="3">
        <v>40030</v>
      </c>
      <c r="K3725" s="5">
        <v>1.8172999999999999</v>
      </c>
    </row>
    <row r="3726" spans="10:11">
      <c r="J3726" s="3">
        <v>40031</v>
      </c>
      <c r="K3726" s="5">
        <v>1.8340000000000001</v>
      </c>
    </row>
    <row r="3727" spans="10:11">
      <c r="J3727" s="3">
        <v>40032</v>
      </c>
      <c r="K3727" s="5">
        <v>1.8224</v>
      </c>
    </row>
    <row r="3728" spans="10:11">
      <c r="J3728" s="3">
        <v>40035</v>
      </c>
      <c r="K3728" s="5">
        <v>1.8404</v>
      </c>
    </row>
    <row r="3729" spans="10:11">
      <c r="J3729" s="3">
        <v>40036</v>
      </c>
      <c r="K3729" s="5">
        <v>1.8449</v>
      </c>
    </row>
    <row r="3730" spans="10:11">
      <c r="J3730" s="3">
        <v>40037</v>
      </c>
      <c r="K3730" s="5">
        <v>1.8378000000000001</v>
      </c>
    </row>
    <row r="3731" spans="10:11">
      <c r="J3731" s="3">
        <v>40038</v>
      </c>
      <c r="K3731" s="5">
        <v>1.8317000000000001</v>
      </c>
    </row>
    <row r="3732" spans="10:11">
      <c r="J3732" s="3">
        <v>40039</v>
      </c>
      <c r="K3732" s="5">
        <v>1.8376999999999999</v>
      </c>
    </row>
    <row r="3733" spans="10:11">
      <c r="J3733" s="3">
        <v>40042</v>
      </c>
      <c r="K3733" s="5">
        <v>1.8673999999999999</v>
      </c>
    </row>
    <row r="3734" spans="10:11">
      <c r="J3734" s="3">
        <v>40043</v>
      </c>
      <c r="K3734" s="5">
        <v>1.8566</v>
      </c>
    </row>
    <row r="3735" spans="10:11">
      <c r="J3735" s="3">
        <v>40044</v>
      </c>
      <c r="K3735" s="5">
        <v>1.8425</v>
      </c>
    </row>
    <row r="3736" spans="10:11">
      <c r="J3736" s="3">
        <v>40045</v>
      </c>
      <c r="K3736" s="5">
        <v>1.8426</v>
      </c>
    </row>
    <row r="3737" spans="10:11">
      <c r="J3737" s="3">
        <v>40046</v>
      </c>
      <c r="K3737" s="5">
        <v>1.8289</v>
      </c>
    </row>
    <row r="3738" spans="10:11">
      <c r="J3738" s="3">
        <v>40049</v>
      </c>
      <c r="K3738" s="5">
        <v>1.8331</v>
      </c>
    </row>
    <row r="3739" spans="10:11">
      <c r="J3739" s="3">
        <v>40050</v>
      </c>
      <c r="K3739" s="5">
        <v>1.8411</v>
      </c>
    </row>
    <row r="3740" spans="10:11">
      <c r="J3740" s="3">
        <v>40051</v>
      </c>
      <c r="K3740" s="5">
        <v>1.8662000000000001</v>
      </c>
    </row>
    <row r="3741" spans="10:11">
      <c r="J3741" s="3">
        <v>40052</v>
      </c>
      <c r="K3741" s="5">
        <v>1.8661000000000001</v>
      </c>
    </row>
    <row r="3742" spans="10:11">
      <c r="J3742" s="3">
        <v>40053</v>
      </c>
      <c r="K3742" s="5">
        <v>1.8732</v>
      </c>
    </row>
    <row r="3743" spans="10:11">
      <c r="J3743" s="3">
        <v>40056</v>
      </c>
      <c r="K3743" s="5">
        <v>1.8855999999999999</v>
      </c>
    </row>
    <row r="3744" spans="10:11">
      <c r="J3744" s="3">
        <v>40057</v>
      </c>
      <c r="K3744" s="5">
        <v>1.8821000000000001</v>
      </c>
    </row>
    <row r="3745" spans="10:11">
      <c r="J3745" s="3">
        <v>40058</v>
      </c>
      <c r="K3745" s="5">
        <v>1.903</v>
      </c>
    </row>
    <row r="3746" spans="10:11">
      <c r="J3746" s="3">
        <v>40059</v>
      </c>
      <c r="K3746" s="5">
        <v>1.8694</v>
      </c>
    </row>
    <row r="3747" spans="10:11">
      <c r="J3747" s="3">
        <v>40060</v>
      </c>
      <c r="K3747" s="5">
        <v>1.8492999999999999</v>
      </c>
    </row>
    <row r="3748" spans="10:11">
      <c r="J3748" s="3">
        <v>40064</v>
      </c>
      <c r="K3748" s="5">
        <v>1.8246</v>
      </c>
    </row>
    <row r="3749" spans="10:11">
      <c r="J3749" s="3">
        <v>40065</v>
      </c>
      <c r="K3749" s="5">
        <v>1.8271999999999999</v>
      </c>
    </row>
    <row r="3750" spans="10:11">
      <c r="J3750" s="3">
        <v>40066</v>
      </c>
      <c r="K3750" s="5">
        <v>1.8252999999999999</v>
      </c>
    </row>
    <row r="3751" spans="10:11">
      <c r="J3751" s="3">
        <v>40067</v>
      </c>
      <c r="K3751" s="5">
        <v>1.8170999999999999</v>
      </c>
    </row>
    <row r="3752" spans="10:11">
      <c r="J3752" s="3">
        <v>40070</v>
      </c>
      <c r="K3752" s="5">
        <v>1.8189</v>
      </c>
    </row>
    <row r="3753" spans="10:11">
      <c r="J3753" s="3">
        <v>40071</v>
      </c>
      <c r="K3753" s="5">
        <v>1.8079000000000001</v>
      </c>
    </row>
    <row r="3754" spans="10:11">
      <c r="J3754" s="3">
        <v>40072</v>
      </c>
      <c r="K3754" s="5">
        <v>1.7976000000000001</v>
      </c>
    </row>
    <row r="3755" spans="10:11">
      <c r="J3755" s="3">
        <v>40073</v>
      </c>
      <c r="K3755" s="5">
        <v>1.8086</v>
      </c>
    </row>
    <row r="3756" spans="10:11">
      <c r="J3756" s="3">
        <v>40074</v>
      </c>
      <c r="K3756" s="5">
        <v>1.8041</v>
      </c>
    </row>
    <row r="3757" spans="10:11">
      <c r="J3757" s="3">
        <v>40077</v>
      </c>
      <c r="K3757" s="5">
        <v>1.8164</v>
      </c>
    </row>
    <row r="3758" spans="10:11">
      <c r="J3758" s="3">
        <v>40078</v>
      </c>
      <c r="K3758" s="5">
        <v>1.8052999999999999</v>
      </c>
    </row>
    <row r="3759" spans="10:11">
      <c r="J3759" s="3">
        <v>40079</v>
      </c>
      <c r="K3759" s="5">
        <v>1.7907999999999999</v>
      </c>
    </row>
    <row r="3760" spans="10:11">
      <c r="J3760" s="3">
        <v>40080</v>
      </c>
      <c r="K3760" s="5">
        <v>1.7908999999999999</v>
      </c>
    </row>
    <row r="3761" spans="10:11">
      <c r="J3761" s="3">
        <v>40081</v>
      </c>
      <c r="K3761" s="5">
        <v>1.8008999999999999</v>
      </c>
    </row>
    <row r="3762" spans="10:11">
      <c r="J3762" s="3">
        <v>40084</v>
      </c>
      <c r="K3762" s="5">
        <v>1.7902</v>
      </c>
    </row>
    <row r="3763" spans="10:11">
      <c r="J3763" s="3">
        <v>40085</v>
      </c>
      <c r="K3763" s="5">
        <v>1.792</v>
      </c>
    </row>
    <row r="3764" spans="10:11">
      <c r="J3764" s="3">
        <v>40086</v>
      </c>
      <c r="K3764" s="5">
        <v>1.7773000000000001</v>
      </c>
    </row>
    <row r="3765" spans="10:11">
      <c r="J3765" s="3">
        <v>40087</v>
      </c>
      <c r="K3765" s="5">
        <v>1.7786</v>
      </c>
    </row>
    <row r="3766" spans="10:11">
      <c r="J3766" s="3">
        <v>40088</v>
      </c>
      <c r="K3766" s="5">
        <v>1.7836000000000001</v>
      </c>
    </row>
    <row r="3767" spans="10:11">
      <c r="J3767" s="3">
        <v>40091</v>
      </c>
      <c r="K3767" s="5">
        <v>1.7665</v>
      </c>
    </row>
    <row r="3768" spans="10:11">
      <c r="J3768" s="3">
        <v>40092</v>
      </c>
      <c r="K3768" s="5">
        <v>1.7524999999999999</v>
      </c>
    </row>
    <row r="3769" spans="10:11">
      <c r="J3769" s="3">
        <v>40093</v>
      </c>
      <c r="K3769" s="5">
        <v>1.7586999999999999</v>
      </c>
    </row>
    <row r="3770" spans="10:11">
      <c r="J3770" s="3">
        <v>40094</v>
      </c>
      <c r="K3770" s="5">
        <v>1.7403999999999999</v>
      </c>
    </row>
    <row r="3771" spans="10:11">
      <c r="J3771" s="3">
        <v>40095</v>
      </c>
      <c r="K3771" s="5">
        <v>1.7381</v>
      </c>
    </row>
    <row r="3772" spans="10:11">
      <c r="J3772" s="3">
        <v>40099</v>
      </c>
      <c r="K3772" s="5">
        <v>1.7290000000000001</v>
      </c>
    </row>
    <row r="3773" spans="10:11">
      <c r="J3773" s="3">
        <v>40100</v>
      </c>
      <c r="K3773" s="5">
        <v>1.7091000000000001</v>
      </c>
    </row>
    <row r="3774" spans="10:11">
      <c r="J3774" s="3">
        <v>40101</v>
      </c>
      <c r="K3774" s="5">
        <v>1.7029000000000001</v>
      </c>
    </row>
    <row r="3775" spans="10:11">
      <c r="J3775" s="3">
        <v>40102</v>
      </c>
      <c r="K3775" s="5">
        <v>1.7126999999999999</v>
      </c>
    </row>
    <row r="3776" spans="10:11">
      <c r="J3776" s="3">
        <v>40105</v>
      </c>
      <c r="K3776" s="5">
        <v>1.7121999999999999</v>
      </c>
    </row>
    <row r="3777" spans="10:11">
      <c r="J3777" s="3">
        <v>40106</v>
      </c>
      <c r="K3777" s="5">
        <v>1.7442</v>
      </c>
    </row>
    <row r="3778" spans="10:11">
      <c r="J3778" s="3">
        <v>40107</v>
      </c>
      <c r="K3778" s="5">
        <v>1.7432000000000001</v>
      </c>
    </row>
    <row r="3779" spans="10:11">
      <c r="J3779" s="3">
        <v>40108</v>
      </c>
      <c r="K3779" s="5">
        <v>1.7296</v>
      </c>
    </row>
    <row r="3780" spans="10:11">
      <c r="J3780" s="3">
        <v>40109</v>
      </c>
      <c r="K3780" s="5">
        <v>1.7104999999999999</v>
      </c>
    </row>
    <row r="3781" spans="10:11">
      <c r="J3781" s="3">
        <v>40112</v>
      </c>
      <c r="K3781" s="5">
        <v>1.7149000000000001</v>
      </c>
    </row>
    <row r="3782" spans="10:11">
      <c r="J3782" s="3">
        <v>40113</v>
      </c>
      <c r="K3782" s="5">
        <v>1.7334000000000001</v>
      </c>
    </row>
    <row r="3783" spans="10:11">
      <c r="J3783" s="3">
        <v>40114</v>
      </c>
      <c r="K3783" s="5">
        <v>1.7439</v>
      </c>
    </row>
    <row r="3784" spans="10:11">
      <c r="J3784" s="3">
        <v>40115</v>
      </c>
      <c r="K3784" s="5">
        <v>1.7427999999999999</v>
      </c>
    </row>
    <row r="3785" spans="10:11">
      <c r="J3785" s="3">
        <v>40116</v>
      </c>
      <c r="K3785" s="5">
        <v>1.7432000000000001</v>
      </c>
    </row>
    <row r="3786" spans="10:11">
      <c r="J3786" s="3">
        <v>40120</v>
      </c>
      <c r="K3786" s="5">
        <v>1.758</v>
      </c>
    </row>
    <row r="3787" spans="10:11">
      <c r="J3787" s="3">
        <v>40121</v>
      </c>
      <c r="K3787" s="5">
        <v>1.7262999999999999</v>
      </c>
    </row>
    <row r="3788" spans="10:11">
      <c r="J3788" s="3">
        <v>40122</v>
      </c>
      <c r="K3788" s="5">
        <v>1.7232000000000001</v>
      </c>
    </row>
    <row r="3789" spans="10:11">
      <c r="J3789" s="3">
        <v>40123</v>
      </c>
      <c r="K3789" s="5">
        <v>1.7171000000000001</v>
      </c>
    </row>
    <row r="3790" spans="10:11">
      <c r="J3790" s="3">
        <v>40126</v>
      </c>
      <c r="K3790" s="5">
        <v>1.7016</v>
      </c>
    </row>
    <row r="3791" spans="10:11">
      <c r="J3791" s="3">
        <v>40127</v>
      </c>
      <c r="K3791" s="5">
        <v>1.7088000000000001</v>
      </c>
    </row>
    <row r="3792" spans="10:11">
      <c r="J3792" s="3">
        <v>40128</v>
      </c>
      <c r="K3792" s="5">
        <v>1.7103999999999999</v>
      </c>
    </row>
    <row r="3793" spans="10:11">
      <c r="J3793" s="3">
        <v>40129</v>
      </c>
      <c r="K3793" s="5">
        <v>1.7242</v>
      </c>
    </row>
    <row r="3794" spans="10:11">
      <c r="J3794" s="3">
        <v>40130</v>
      </c>
      <c r="K3794" s="5">
        <v>1.7282</v>
      </c>
    </row>
    <row r="3795" spans="10:11">
      <c r="J3795" s="3">
        <v>40133</v>
      </c>
      <c r="K3795" s="5">
        <v>1.7119</v>
      </c>
    </row>
    <row r="3796" spans="10:11">
      <c r="J3796" s="3">
        <v>40134</v>
      </c>
      <c r="K3796" s="5">
        <v>1.7144999999999999</v>
      </c>
    </row>
    <row r="3797" spans="10:11">
      <c r="J3797" s="3">
        <v>40135</v>
      </c>
      <c r="K3797" s="5">
        <v>1.7095</v>
      </c>
    </row>
    <row r="3798" spans="10:11">
      <c r="J3798" s="3">
        <v>40136</v>
      </c>
      <c r="K3798" s="5">
        <v>1.7279</v>
      </c>
    </row>
    <row r="3799" spans="10:11">
      <c r="J3799" s="3">
        <v>40137</v>
      </c>
      <c r="K3799" s="5">
        <v>1.7347999999999999</v>
      </c>
    </row>
    <row r="3800" spans="10:11">
      <c r="J3800" s="3">
        <v>40140</v>
      </c>
      <c r="K3800" s="5">
        <v>1.7237</v>
      </c>
    </row>
    <row r="3801" spans="10:11">
      <c r="J3801" s="3">
        <v>40141</v>
      </c>
      <c r="K3801" s="5">
        <v>1.7274</v>
      </c>
    </row>
    <row r="3802" spans="10:11">
      <c r="J3802" s="3">
        <v>40142</v>
      </c>
      <c r="K3802" s="5">
        <v>1.7263999999999999</v>
      </c>
    </row>
    <row r="3803" spans="10:11">
      <c r="J3803" s="3">
        <v>40143</v>
      </c>
      <c r="K3803" s="5">
        <v>1.7401</v>
      </c>
    </row>
    <row r="3804" spans="10:11">
      <c r="J3804" s="3">
        <v>40144</v>
      </c>
      <c r="K3804" s="5">
        <v>1.7435</v>
      </c>
    </row>
    <row r="3805" spans="10:11">
      <c r="J3805" s="3">
        <v>40147</v>
      </c>
      <c r="K3805" s="5">
        <v>1.7497</v>
      </c>
    </row>
    <row r="3806" spans="10:11">
      <c r="J3806" s="3">
        <v>40148</v>
      </c>
      <c r="K3806" s="5">
        <v>1.7284999999999999</v>
      </c>
    </row>
    <row r="3807" spans="10:11">
      <c r="J3807" s="3">
        <v>40149</v>
      </c>
      <c r="K3807" s="5">
        <v>1.7193000000000001</v>
      </c>
    </row>
    <row r="3808" spans="10:11">
      <c r="J3808" s="3">
        <v>40150</v>
      </c>
      <c r="K3808" s="5">
        <v>1.7088000000000001</v>
      </c>
    </row>
    <row r="3809" spans="10:11">
      <c r="J3809" s="3">
        <v>40151</v>
      </c>
      <c r="K3809" s="5">
        <v>1.7122999999999999</v>
      </c>
    </row>
    <row r="3810" spans="10:11">
      <c r="J3810" s="3">
        <v>40154</v>
      </c>
      <c r="K3810" s="5">
        <v>1.7294</v>
      </c>
    </row>
    <row r="3811" spans="10:11">
      <c r="J3811" s="3">
        <v>40155</v>
      </c>
      <c r="K3811" s="5">
        <v>1.7474000000000001</v>
      </c>
    </row>
    <row r="3812" spans="10:11">
      <c r="J3812" s="3">
        <v>40156</v>
      </c>
      <c r="K3812" s="5">
        <v>1.7603</v>
      </c>
    </row>
    <row r="3813" spans="10:11">
      <c r="J3813" s="3">
        <v>40157</v>
      </c>
      <c r="K3813" s="5">
        <v>1.7619</v>
      </c>
    </row>
    <row r="3814" spans="10:11">
      <c r="J3814" s="3">
        <v>40158</v>
      </c>
      <c r="K3814" s="5">
        <v>1.7513000000000001</v>
      </c>
    </row>
    <row r="3815" spans="10:11">
      <c r="J3815" s="3">
        <v>40161</v>
      </c>
      <c r="K3815" s="5">
        <v>1.7475000000000001</v>
      </c>
    </row>
    <row r="3816" spans="10:11">
      <c r="J3816" s="3">
        <v>40162</v>
      </c>
      <c r="K3816" s="5">
        <v>1.7548999999999999</v>
      </c>
    </row>
    <row r="3817" spans="10:11">
      <c r="J3817" s="3">
        <v>40163</v>
      </c>
      <c r="K3817" s="5">
        <v>1.7509999999999999</v>
      </c>
    </row>
    <row r="3818" spans="10:11">
      <c r="J3818" s="3">
        <v>40164</v>
      </c>
      <c r="K3818" s="5">
        <v>1.7815000000000001</v>
      </c>
    </row>
    <row r="3819" spans="10:11">
      <c r="J3819" s="3">
        <v>40165</v>
      </c>
      <c r="K3819" s="5">
        <v>1.7870999999999999</v>
      </c>
    </row>
    <row r="3820" spans="10:11">
      <c r="J3820" s="3">
        <v>40168</v>
      </c>
      <c r="K3820" s="5">
        <v>1.7779</v>
      </c>
    </row>
    <row r="3821" spans="10:11">
      <c r="J3821" s="3">
        <v>40169</v>
      </c>
      <c r="K3821" s="5">
        <v>1.7817000000000001</v>
      </c>
    </row>
    <row r="3822" spans="10:11">
      <c r="J3822" s="3">
        <v>40170</v>
      </c>
      <c r="K3822" s="5">
        <v>1.7755000000000001</v>
      </c>
    </row>
    <row r="3823" spans="10:11">
      <c r="J3823" s="3">
        <v>40171</v>
      </c>
      <c r="K3823" s="5">
        <v>1.7519</v>
      </c>
    </row>
    <row r="3824" spans="10:11">
      <c r="J3824" s="3">
        <v>40175</v>
      </c>
      <c r="K3824" s="5">
        <v>1.7390000000000001</v>
      </c>
    </row>
    <row r="3825" spans="10:11">
      <c r="J3825" s="3">
        <v>40176</v>
      </c>
      <c r="K3825" s="5">
        <v>1.7413000000000001</v>
      </c>
    </row>
    <row r="3826" spans="10:11">
      <c r="J3826" s="3">
        <v>40177</v>
      </c>
      <c r="K3826" s="5">
        <v>1.7403999999999999</v>
      </c>
    </row>
    <row r="3827" spans="10:11">
      <c r="J3827" s="3">
        <v>40178</v>
      </c>
      <c r="K3827" s="5">
        <v>1.7403999999999999</v>
      </c>
    </row>
    <row r="3828" spans="10:11">
      <c r="J3828" s="3">
        <v>40182</v>
      </c>
      <c r="K3828" s="5">
        <v>1.7232000000000001</v>
      </c>
    </row>
    <row r="3829" spans="10:11">
      <c r="J3829" s="3">
        <v>40183</v>
      </c>
      <c r="K3829" s="5">
        <v>1.7219</v>
      </c>
    </row>
    <row r="3830" spans="10:11">
      <c r="J3830" s="3">
        <v>40184</v>
      </c>
      <c r="K3830" s="5">
        <v>1.7329000000000001</v>
      </c>
    </row>
    <row r="3831" spans="10:11">
      <c r="J3831" s="3">
        <v>40185</v>
      </c>
      <c r="K3831" s="5">
        <v>1.7404999999999999</v>
      </c>
    </row>
    <row r="3832" spans="10:11">
      <c r="J3832" s="3">
        <v>40186</v>
      </c>
      <c r="K3832" s="5">
        <v>1.7382</v>
      </c>
    </row>
    <row r="3833" spans="10:11">
      <c r="J3833" s="3">
        <v>40189</v>
      </c>
      <c r="K3833" s="5">
        <v>1.7315</v>
      </c>
    </row>
    <row r="3834" spans="10:11">
      <c r="J3834" s="3">
        <v>40190</v>
      </c>
      <c r="K3834" s="5">
        <v>1.7431000000000001</v>
      </c>
    </row>
    <row r="3835" spans="10:11">
      <c r="J3835" s="3">
        <v>40191</v>
      </c>
      <c r="K3835" s="5">
        <v>1.7434000000000001</v>
      </c>
    </row>
    <row r="3836" spans="10:11">
      <c r="J3836" s="3">
        <v>40193</v>
      </c>
      <c r="K3836" s="5">
        <v>1.7703</v>
      </c>
    </row>
    <row r="3837" spans="10:11">
      <c r="J3837" s="3">
        <v>40197</v>
      </c>
      <c r="K3837" s="5">
        <v>1.7739</v>
      </c>
    </row>
    <row r="3838" spans="10:11">
      <c r="J3838" s="3">
        <v>40198</v>
      </c>
      <c r="K3838" s="5">
        <v>1.7846</v>
      </c>
    </row>
    <row r="3839" spans="10:11">
      <c r="J3839" s="3">
        <v>40199</v>
      </c>
      <c r="K3839" s="5">
        <v>1.7895000000000001</v>
      </c>
    </row>
    <row r="3840" spans="10:11">
      <c r="J3840" s="3">
        <v>40200</v>
      </c>
      <c r="K3840" s="5">
        <v>1.8179000000000001</v>
      </c>
    </row>
    <row r="3841" spans="10:11">
      <c r="J3841" s="3">
        <v>40203</v>
      </c>
      <c r="K3841" s="5">
        <v>1.8186</v>
      </c>
    </row>
    <row r="3842" spans="10:11">
      <c r="J3842" s="3">
        <v>40204</v>
      </c>
      <c r="K3842" s="5">
        <v>1.8359000000000001</v>
      </c>
    </row>
    <row r="3843" spans="10:11">
      <c r="J3843" s="3">
        <v>40205</v>
      </c>
      <c r="K3843" s="5">
        <v>1.8505</v>
      </c>
    </row>
    <row r="3844" spans="10:11">
      <c r="J3844" s="3">
        <v>40206</v>
      </c>
      <c r="K3844" s="5">
        <v>1.8552</v>
      </c>
    </row>
    <row r="3845" spans="10:11">
      <c r="J3845" s="3">
        <v>40207</v>
      </c>
      <c r="K3845" s="5">
        <v>1.8740000000000001</v>
      </c>
    </row>
    <row r="3846" spans="10:11">
      <c r="J3846" s="3">
        <v>40210</v>
      </c>
      <c r="K3846" s="5">
        <v>1.8765000000000001</v>
      </c>
    </row>
    <row r="3847" spans="10:11">
      <c r="J3847" s="3">
        <v>40211</v>
      </c>
      <c r="K3847" s="5">
        <v>1.8354999999999999</v>
      </c>
    </row>
    <row r="3848" spans="10:11">
      <c r="J3848" s="3">
        <v>40212</v>
      </c>
      <c r="K3848" s="5">
        <v>1.8329</v>
      </c>
    </row>
    <row r="3849" spans="10:11">
      <c r="J3849" s="3">
        <v>40213</v>
      </c>
      <c r="K3849" s="5">
        <v>1.8707</v>
      </c>
    </row>
    <row r="3850" spans="10:11">
      <c r="J3850" s="3">
        <v>40214</v>
      </c>
      <c r="K3850" s="5">
        <v>1.8745000000000001</v>
      </c>
    </row>
    <row r="3851" spans="10:11">
      <c r="J3851" s="3">
        <v>40217</v>
      </c>
      <c r="K3851" s="5">
        <v>1.8722000000000001</v>
      </c>
    </row>
    <row r="3852" spans="10:11">
      <c r="J3852" s="3">
        <v>40218</v>
      </c>
      <c r="K3852" s="5">
        <v>1.8542000000000001</v>
      </c>
    </row>
    <row r="3853" spans="10:11">
      <c r="J3853" s="3">
        <v>40219</v>
      </c>
      <c r="K3853" s="5">
        <v>1.8474999999999999</v>
      </c>
    </row>
    <row r="3854" spans="10:11">
      <c r="J3854" s="3">
        <v>40220</v>
      </c>
      <c r="K3854" s="5">
        <v>1.8508</v>
      </c>
    </row>
    <row r="3855" spans="10:11">
      <c r="J3855" s="3">
        <v>40221</v>
      </c>
      <c r="K3855" s="5">
        <v>1.8662000000000001</v>
      </c>
    </row>
    <row r="3856" spans="10:11">
      <c r="J3856" s="3">
        <v>40226</v>
      </c>
      <c r="K3856" s="5">
        <v>1.8305</v>
      </c>
    </row>
    <row r="3857" spans="10:11">
      <c r="J3857" s="3">
        <v>40227</v>
      </c>
      <c r="K3857" s="5">
        <v>1.8258000000000001</v>
      </c>
    </row>
    <row r="3858" spans="10:11">
      <c r="J3858" s="3">
        <v>40228</v>
      </c>
      <c r="K3858" s="5">
        <v>1.8108</v>
      </c>
    </row>
    <row r="3859" spans="10:11">
      <c r="J3859" s="3">
        <v>40231</v>
      </c>
      <c r="K3859" s="5">
        <v>1.8038000000000001</v>
      </c>
    </row>
    <row r="3860" spans="10:11">
      <c r="J3860" s="3">
        <v>40232</v>
      </c>
      <c r="K3860" s="5">
        <v>1.8178000000000001</v>
      </c>
    </row>
    <row r="3861" spans="10:11">
      <c r="J3861" s="3">
        <v>40233</v>
      </c>
      <c r="K3861" s="5">
        <v>1.8194999999999999</v>
      </c>
    </row>
    <row r="3862" spans="10:11">
      <c r="J3862" s="3">
        <v>40234</v>
      </c>
      <c r="K3862" s="5">
        <v>1.8355999999999999</v>
      </c>
    </row>
    <row r="3863" spans="10:11">
      <c r="J3863" s="3">
        <v>40235</v>
      </c>
      <c r="K3863" s="5">
        <v>1.8102</v>
      </c>
    </row>
    <row r="3864" spans="10:11">
      <c r="J3864" s="3">
        <v>40238</v>
      </c>
      <c r="K3864" s="5">
        <v>1.7991999999999999</v>
      </c>
    </row>
    <row r="3865" spans="10:11">
      <c r="J3865" s="3">
        <v>40239</v>
      </c>
      <c r="K3865" s="5">
        <v>1.7843</v>
      </c>
    </row>
    <row r="3866" spans="10:11">
      <c r="J3866" s="3">
        <v>40240</v>
      </c>
      <c r="K3866" s="5">
        <v>1.7838000000000001</v>
      </c>
    </row>
    <row r="3867" spans="10:11">
      <c r="J3867" s="3">
        <v>40241</v>
      </c>
      <c r="K3867" s="5">
        <v>1.788</v>
      </c>
    </row>
    <row r="3868" spans="10:11">
      <c r="J3868" s="3">
        <v>40242</v>
      </c>
      <c r="K3868" s="5">
        <v>1.7816000000000001</v>
      </c>
    </row>
    <row r="3869" spans="10:11">
      <c r="J3869" s="3">
        <v>40245</v>
      </c>
      <c r="K3869" s="5">
        <v>1.7818000000000001</v>
      </c>
    </row>
    <row r="3870" spans="10:11">
      <c r="J3870" s="3">
        <v>40246</v>
      </c>
      <c r="K3870" s="5">
        <v>1.7890999999999999</v>
      </c>
    </row>
    <row r="3871" spans="10:11">
      <c r="J3871" s="3">
        <v>40247</v>
      </c>
      <c r="K3871" s="5">
        <v>1.7707999999999999</v>
      </c>
    </row>
    <row r="3872" spans="10:11">
      <c r="J3872" s="3">
        <v>40248</v>
      </c>
      <c r="K3872" s="5">
        <v>1.7685</v>
      </c>
    </row>
    <row r="3873" spans="10:11">
      <c r="J3873" s="3">
        <v>40249</v>
      </c>
      <c r="K3873" s="5">
        <v>1.7628999999999999</v>
      </c>
    </row>
    <row r="3874" spans="10:11">
      <c r="J3874" s="3">
        <v>40252</v>
      </c>
      <c r="K3874" s="5">
        <v>1.7636000000000001</v>
      </c>
    </row>
    <row r="3875" spans="10:11">
      <c r="J3875" s="3">
        <v>40253</v>
      </c>
      <c r="K3875" s="5">
        <v>1.7658</v>
      </c>
    </row>
    <row r="3876" spans="10:11">
      <c r="J3876" s="3">
        <v>40254</v>
      </c>
      <c r="K3876" s="5">
        <v>1.7632000000000001</v>
      </c>
    </row>
    <row r="3877" spans="10:11">
      <c r="J3877" s="3">
        <v>40255</v>
      </c>
      <c r="K3877" s="5">
        <v>1.784</v>
      </c>
    </row>
    <row r="3878" spans="10:11">
      <c r="J3878" s="3">
        <v>40256</v>
      </c>
      <c r="K3878" s="5">
        <v>1.7946</v>
      </c>
    </row>
    <row r="3879" spans="10:11">
      <c r="J3879" s="3">
        <v>40259</v>
      </c>
      <c r="K3879" s="5">
        <v>1.8022</v>
      </c>
    </row>
    <row r="3880" spans="10:11">
      <c r="J3880" s="3">
        <v>40260</v>
      </c>
      <c r="K3880" s="5">
        <v>1.7805</v>
      </c>
    </row>
    <row r="3881" spans="10:11">
      <c r="J3881" s="3">
        <v>40261</v>
      </c>
      <c r="K3881" s="5">
        <v>1.7896000000000001</v>
      </c>
    </row>
    <row r="3882" spans="10:11">
      <c r="J3882" s="3">
        <v>40262</v>
      </c>
      <c r="K3882" s="5">
        <v>1.8</v>
      </c>
    </row>
    <row r="3883" spans="10:11">
      <c r="J3883" s="3">
        <v>40263</v>
      </c>
      <c r="K3883" s="5">
        <v>1.8223</v>
      </c>
    </row>
    <row r="3884" spans="10:11">
      <c r="J3884" s="3">
        <v>40266</v>
      </c>
      <c r="K3884" s="5">
        <v>1.8056000000000001</v>
      </c>
    </row>
    <row r="3885" spans="10:11">
      <c r="J3885" s="3">
        <v>40267</v>
      </c>
      <c r="K3885" s="5">
        <v>1.7944</v>
      </c>
    </row>
    <row r="3886" spans="10:11">
      <c r="J3886" s="3">
        <v>40283</v>
      </c>
      <c r="K3886" s="5">
        <v>1.7475000000000001</v>
      </c>
    </row>
    <row r="3887" spans="10:11">
      <c r="J3887" s="3">
        <v>40284</v>
      </c>
      <c r="K3887" s="5">
        <v>1.7549999999999999</v>
      </c>
    </row>
    <row r="3888" spans="10:11">
      <c r="J3888" s="3">
        <v>40287</v>
      </c>
      <c r="K3888" s="5">
        <v>1.758</v>
      </c>
    </row>
    <row r="3889" spans="10:11">
      <c r="J3889" s="3">
        <v>40288</v>
      </c>
      <c r="K3889" s="5">
        <v>1.7488999999999999</v>
      </c>
    </row>
    <row r="3890" spans="10:11">
      <c r="J3890" s="3">
        <v>40290</v>
      </c>
      <c r="K3890" s="5">
        <v>1.7618</v>
      </c>
    </row>
    <row r="3891" spans="10:11">
      <c r="J3891" s="3">
        <v>40291</v>
      </c>
      <c r="K3891" s="5">
        <v>1.7616000000000001</v>
      </c>
    </row>
    <row r="3892" spans="10:11">
      <c r="J3892" s="3">
        <v>40294</v>
      </c>
      <c r="K3892" s="5">
        <v>1.7438</v>
      </c>
    </row>
    <row r="3893" spans="10:11">
      <c r="J3893" s="3">
        <v>40295</v>
      </c>
      <c r="K3893" s="5">
        <v>1.7584</v>
      </c>
    </row>
    <row r="3894" spans="10:11">
      <c r="J3894" s="3">
        <v>40297</v>
      </c>
      <c r="K3894" s="5">
        <v>1.7313000000000001</v>
      </c>
    </row>
    <row r="3895" spans="10:11">
      <c r="J3895" s="3">
        <v>40298</v>
      </c>
      <c r="K3895" s="5">
        <v>1.7298</v>
      </c>
    </row>
    <row r="3896" spans="10:11">
      <c r="J3896" s="3">
        <v>40301</v>
      </c>
      <c r="K3896" s="5">
        <v>1.7306999999999999</v>
      </c>
    </row>
    <row r="3897" spans="10:11">
      <c r="J3897" s="3">
        <v>40302</v>
      </c>
      <c r="K3897" s="5">
        <v>1.7548999999999999</v>
      </c>
    </row>
    <row r="3898" spans="10:11">
      <c r="J3898" s="3">
        <v>40303</v>
      </c>
      <c r="K3898" s="5">
        <v>1.7854000000000001</v>
      </c>
    </row>
    <row r="3899" spans="10:11">
      <c r="J3899" s="3">
        <v>40304</v>
      </c>
      <c r="K3899" s="5">
        <v>1.8345</v>
      </c>
    </row>
    <row r="3900" spans="10:11">
      <c r="J3900" s="3">
        <v>40305</v>
      </c>
      <c r="K3900" s="5">
        <v>1.8334999999999999</v>
      </c>
    </row>
    <row r="3901" spans="10:11">
      <c r="J3901" s="3">
        <v>40308</v>
      </c>
      <c r="K3901" s="5">
        <v>1.7825</v>
      </c>
    </row>
    <row r="3902" spans="10:11">
      <c r="J3902" s="3">
        <v>40309</v>
      </c>
      <c r="K3902" s="5">
        <v>1.7835000000000001</v>
      </c>
    </row>
    <row r="3903" spans="10:11">
      <c r="J3903" s="3">
        <v>40310</v>
      </c>
      <c r="K3903" s="5">
        <v>1.7715000000000001</v>
      </c>
    </row>
    <row r="3904" spans="10:11">
      <c r="J3904" s="3">
        <v>40311</v>
      </c>
      <c r="K3904" s="5">
        <v>1.7728999999999999</v>
      </c>
    </row>
    <row r="3905" spans="10:11">
      <c r="J3905" s="3">
        <v>40312</v>
      </c>
      <c r="K3905" s="5">
        <v>1.7959000000000001</v>
      </c>
    </row>
    <row r="3906" spans="10:11">
      <c r="J3906" s="3">
        <v>40315</v>
      </c>
      <c r="K3906" s="5">
        <v>1.8037000000000001</v>
      </c>
    </row>
    <row r="3907" spans="10:11">
      <c r="J3907" s="3">
        <v>40316</v>
      </c>
      <c r="K3907" s="5">
        <v>1.7912999999999999</v>
      </c>
    </row>
    <row r="3908" spans="10:11">
      <c r="J3908" s="3">
        <v>40317</v>
      </c>
      <c r="K3908" s="5">
        <v>1.8358000000000001</v>
      </c>
    </row>
    <row r="3909" spans="10:11">
      <c r="J3909" s="3">
        <v>40318</v>
      </c>
      <c r="K3909" s="5">
        <v>1.8669</v>
      </c>
    </row>
    <row r="3910" spans="10:11">
      <c r="J3910" s="3">
        <v>40319</v>
      </c>
      <c r="K3910" s="5">
        <v>1.8702000000000001</v>
      </c>
    </row>
    <row r="3911" spans="10:11">
      <c r="J3911" s="3">
        <v>40322</v>
      </c>
      <c r="K3911" s="5">
        <v>1.8513999999999999</v>
      </c>
    </row>
    <row r="3912" spans="10:11">
      <c r="J3912" s="3">
        <v>40323</v>
      </c>
      <c r="K3912" s="5">
        <v>1.8803000000000001</v>
      </c>
    </row>
    <row r="3913" spans="10:11">
      <c r="J3913" s="3">
        <v>40324</v>
      </c>
      <c r="K3913" s="5">
        <v>1.8452999999999999</v>
      </c>
    </row>
    <row r="3914" spans="10:11">
      <c r="J3914" s="3">
        <v>40325</v>
      </c>
      <c r="K3914" s="5">
        <v>1.8320000000000001</v>
      </c>
    </row>
    <row r="3915" spans="10:11">
      <c r="J3915" s="3">
        <v>40326</v>
      </c>
      <c r="K3915" s="5">
        <v>1.8221000000000001</v>
      </c>
    </row>
    <row r="3916" spans="10:11">
      <c r="J3916" s="3">
        <v>40329</v>
      </c>
      <c r="K3916" s="5">
        <v>1.8159000000000001</v>
      </c>
    </row>
    <row r="3917" spans="10:11">
      <c r="J3917" s="3">
        <v>40330</v>
      </c>
      <c r="K3917" s="5">
        <v>1.8247</v>
      </c>
    </row>
    <row r="3918" spans="10:11">
      <c r="J3918" s="3">
        <v>40331</v>
      </c>
      <c r="K3918" s="5">
        <v>1.8353999999999999</v>
      </c>
    </row>
    <row r="3919" spans="10:11">
      <c r="J3919" s="3">
        <v>40333</v>
      </c>
      <c r="K3919" s="5">
        <v>1.8392999999999999</v>
      </c>
    </row>
    <row r="3920" spans="10:11">
      <c r="J3920" s="3">
        <v>40336</v>
      </c>
      <c r="K3920" s="5">
        <v>1.8626</v>
      </c>
    </row>
    <row r="3921" spans="10:11">
      <c r="J3921" s="3">
        <v>40337</v>
      </c>
      <c r="K3921" s="5">
        <v>1.865</v>
      </c>
    </row>
    <row r="3922" spans="10:11">
      <c r="J3922" s="3">
        <v>40338</v>
      </c>
      <c r="K3922" s="5">
        <v>1.8414999999999999</v>
      </c>
    </row>
    <row r="3923" spans="10:11">
      <c r="J3923" s="3">
        <v>40339</v>
      </c>
      <c r="K3923" s="5">
        <v>1.8177000000000001</v>
      </c>
    </row>
    <row r="3924" spans="10:11">
      <c r="J3924" s="3">
        <v>40340</v>
      </c>
      <c r="K3924" s="5">
        <v>1.8117000000000001</v>
      </c>
    </row>
    <row r="3925" spans="10:11">
      <c r="J3925" s="3">
        <v>40343</v>
      </c>
      <c r="K3925" s="5">
        <v>1.8022</v>
      </c>
    </row>
    <row r="3926" spans="10:11">
      <c r="J3926" s="3">
        <v>40344</v>
      </c>
      <c r="K3926" s="5">
        <v>1.7963</v>
      </c>
    </row>
    <row r="3927" spans="10:11">
      <c r="J3927" s="3">
        <v>40345</v>
      </c>
      <c r="K3927" s="5">
        <v>1.7885</v>
      </c>
    </row>
    <row r="3928" spans="10:11">
      <c r="J3928" s="3">
        <v>40346</v>
      </c>
      <c r="K3928" s="5">
        <v>1.7808999999999999</v>
      </c>
    </row>
    <row r="3929" spans="10:11">
      <c r="J3929" s="3">
        <v>40347</v>
      </c>
      <c r="K3929" s="5">
        <v>1.7753000000000001</v>
      </c>
    </row>
    <row r="3930" spans="10:11">
      <c r="J3930" s="3">
        <v>40350</v>
      </c>
      <c r="K3930" s="5">
        <v>1.7655000000000001</v>
      </c>
    </row>
    <row r="3931" spans="10:11">
      <c r="J3931" s="3">
        <v>40351</v>
      </c>
      <c r="K3931" s="5">
        <v>1.7672000000000001</v>
      </c>
    </row>
    <row r="3932" spans="10:11">
      <c r="J3932" s="3">
        <v>40352</v>
      </c>
      <c r="K3932" s="5">
        <v>1.79</v>
      </c>
    </row>
    <row r="3933" spans="10:11">
      <c r="J3933" s="3">
        <v>40353</v>
      </c>
      <c r="K3933" s="5">
        <v>1.7899</v>
      </c>
    </row>
    <row r="3934" spans="10:11">
      <c r="J3934" s="3">
        <v>40354</v>
      </c>
      <c r="K3934" s="5">
        <v>1.7773000000000001</v>
      </c>
    </row>
    <row r="3935" spans="10:11">
      <c r="J3935" s="3">
        <v>40357</v>
      </c>
      <c r="K3935" s="5">
        <v>1.7818000000000001</v>
      </c>
    </row>
    <row r="3936" spans="10:11">
      <c r="J3936" s="3">
        <v>40358</v>
      </c>
      <c r="K3936" s="5">
        <v>1.8068</v>
      </c>
    </row>
    <row r="3937" spans="10:11">
      <c r="J3937" s="3">
        <v>40359</v>
      </c>
      <c r="K3937" s="5">
        <v>1.8007</v>
      </c>
    </row>
    <row r="3938" spans="10:11">
      <c r="J3938" s="3">
        <v>40360</v>
      </c>
      <c r="K3938" s="5">
        <v>1.7998000000000001</v>
      </c>
    </row>
    <row r="3939" spans="10:11">
      <c r="J3939" s="3">
        <v>40361</v>
      </c>
      <c r="K3939" s="5">
        <v>1.7777000000000001</v>
      </c>
    </row>
    <row r="3940" spans="10:11">
      <c r="J3940" s="3">
        <v>40364</v>
      </c>
      <c r="K3940" s="5">
        <v>1.7746999999999999</v>
      </c>
    </row>
    <row r="3941" spans="10:11">
      <c r="J3941" s="3">
        <v>40365</v>
      </c>
      <c r="K3941" s="5">
        <v>1.7657</v>
      </c>
    </row>
    <row r="3942" spans="10:11">
      <c r="J3942" s="3">
        <v>40366</v>
      </c>
      <c r="K3942" s="5">
        <v>1.7710999999999999</v>
      </c>
    </row>
    <row r="3943" spans="10:11">
      <c r="J3943" s="3">
        <v>40367</v>
      </c>
      <c r="K3943" s="5">
        <v>1.7644</v>
      </c>
    </row>
    <row r="3944" spans="10:11">
      <c r="J3944" s="3">
        <v>40368</v>
      </c>
      <c r="K3944" s="5">
        <v>1.7564</v>
      </c>
    </row>
    <row r="3945" spans="10:11">
      <c r="J3945" s="3">
        <v>40371</v>
      </c>
      <c r="K3945" s="5">
        <v>1.7636000000000001</v>
      </c>
    </row>
    <row r="3946" spans="10:11">
      <c r="J3946" s="3">
        <v>40372</v>
      </c>
      <c r="K3946" s="5">
        <v>1.7517</v>
      </c>
    </row>
    <row r="3947" spans="10:11">
      <c r="J3947" s="3">
        <v>40373</v>
      </c>
      <c r="K3947" s="5">
        <v>1.7648999999999999</v>
      </c>
    </row>
    <row r="3948" spans="10:11">
      <c r="J3948" s="3">
        <v>40374</v>
      </c>
      <c r="K3948" s="5">
        <v>1.7682</v>
      </c>
    </row>
    <row r="3949" spans="10:11">
      <c r="J3949" s="3">
        <v>40375</v>
      </c>
      <c r="K3949" s="5">
        <v>1.7784</v>
      </c>
    </row>
    <row r="3950" spans="10:11">
      <c r="J3950" s="3">
        <v>40378</v>
      </c>
      <c r="K3950" s="5">
        <v>1.7846</v>
      </c>
    </row>
    <row r="3951" spans="10:11">
      <c r="J3951" s="3">
        <v>40379</v>
      </c>
      <c r="K3951" s="5">
        <v>1.7791999999999999</v>
      </c>
    </row>
    <row r="3952" spans="10:11">
      <c r="J3952" s="3">
        <v>40380</v>
      </c>
      <c r="K3952" s="5">
        <v>1.7758</v>
      </c>
    </row>
    <row r="3953" spans="10:11">
      <c r="J3953" s="3">
        <v>40381</v>
      </c>
      <c r="K3953" s="5">
        <v>1.7621</v>
      </c>
    </row>
    <row r="3954" spans="10:11">
      <c r="J3954" s="3">
        <v>40382</v>
      </c>
      <c r="K3954" s="5">
        <v>1.7608999999999999</v>
      </c>
    </row>
    <row r="3955" spans="10:11">
      <c r="J3955" s="3">
        <v>40385</v>
      </c>
      <c r="K3955" s="5">
        <v>1.7661</v>
      </c>
    </row>
    <row r="3956" spans="10:11">
      <c r="J3956" s="3">
        <v>40386</v>
      </c>
      <c r="K3956" s="5">
        <v>1.7649999999999999</v>
      </c>
    </row>
    <row r="3957" spans="10:11">
      <c r="J3957" s="3">
        <v>40387</v>
      </c>
      <c r="K3957" s="5">
        <v>1.7642</v>
      </c>
    </row>
    <row r="3958" spans="10:11">
      <c r="J3958" s="3">
        <v>40388</v>
      </c>
      <c r="K3958" s="5">
        <v>1.7635000000000001</v>
      </c>
    </row>
    <row r="3959" spans="10:11">
      <c r="J3959" s="3">
        <v>40389</v>
      </c>
      <c r="K3959" s="5">
        <v>1.7564</v>
      </c>
    </row>
    <row r="3960" spans="10:11">
      <c r="J3960" s="3">
        <v>40392</v>
      </c>
      <c r="K3960" s="5">
        <v>1.7481</v>
      </c>
    </row>
    <row r="3961" spans="10:11">
      <c r="J3961" s="3">
        <v>40393</v>
      </c>
      <c r="K3961" s="5">
        <v>1.7585999999999999</v>
      </c>
    </row>
    <row r="3962" spans="10:11">
      <c r="J3962" s="3">
        <v>40394</v>
      </c>
      <c r="K3962" s="5">
        <v>1.7555000000000001</v>
      </c>
    </row>
    <row r="3963" spans="10:11">
      <c r="J3963" s="3">
        <v>40395</v>
      </c>
      <c r="K3963" s="5">
        <v>1.7526999999999999</v>
      </c>
    </row>
    <row r="3964" spans="10:11">
      <c r="J3964" s="3">
        <v>40396</v>
      </c>
      <c r="K3964" s="5">
        <v>1.7558</v>
      </c>
    </row>
    <row r="3965" spans="10:11">
      <c r="J3965" s="3">
        <v>40399</v>
      </c>
      <c r="K3965" s="5">
        <v>1.7528999999999999</v>
      </c>
    </row>
    <row r="3966" spans="10:11">
      <c r="J3966" s="3">
        <v>40400</v>
      </c>
      <c r="K3966" s="5">
        <v>1.7567999999999999</v>
      </c>
    </row>
    <row r="3967" spans="10:11">
      <c r="J3967" s="3">
        <v>40401</v>
      </c>
      <c r="K3967" s="5">
        <v>1.7655000000000001</v>
      </c>
    </row>
    <row r="3968" spans="10:11">
      <c r="J3968" s="3">
        <v>40403</v>
      </c>
      <c r="K3968" s="5">
        <v>1.7707999999999999</v>
      </c>
    </row>
    <row r="3969" spans="10:11">
      <c r="J3969" s="3">
        <v>40406</v>
      </c>
      <c r="K3969" s="5">
        <v>1.7630999999999999</v>
      </c>
    </row>
    <row r="3970" spans="10:11">
      <c r="J3970" s="3">
        <v>40407</v>
      </c>
      <c r="K3970" s="5">
        <v>1.752</v>
      </c>
    </row>
    <row r="3971" spans="10:11">
      <c r="J3971" s="3">
        <v>40408</v>
      </c>
      <c r="K3971" s="5">
        <v>1.7504999999999999</v>
      </c>
    </row>
    <row r="3972" spans="10:11">
      <c r="J3972" s="3">
        <v>40409</v>
      </c>
      <c r="K3972" s="5">
        <v>1.7576000000000001</v>
      </c>
    </row>
    <row r="3973" spans="10:11">
      <c r="J3973" s="3">
        <v>40410</v>
      </c>
      <c r="K3973" s="5">
        <v>1.7588999999999999</v>
      </c>
    </row>
    <row r="3974" spans="10:11">
      <c r="J3974" s="3">
        <v>40413</v>
      </c>
      <c r="K3974" s="5">
        <v>1.7579</v>
      </c>
    </row>
    <row r="3975" spans="10:11">
      <c r="J3975" s="3">
        <v>40414</v>
      </c>
      <c r="K3975" s="5">
        <v>1.7719</v>
      </c>
    </row>
    <row r="3976" spans="10:11">
      <c r="J3976" s="3">
        <v>40415</v>
      </c>
      <c r="K3976" s="5">
        <v>1.766</v>
      </c>
    </row>
    <row r="3977" spans="10:11">
      <c r="J3977" s="3">
        <v>40416</v>
      </c>
      <c r="K3977" s="5">
        <v>1.7587999999999999</v>
      </c>
    </row>
    <row r="3978" spans="10:11">
      <c r="J3978" s="3">
        <v>40417</v>
      </c>
      <c r="K3978" s="5">
        <v>1.7536</v>
      </c>
    </row>
    <row r="3979" spans="10:11">
      <c r="J3979" s="3">
        <v>40420</v>
      </c>
      <c r="K3979" s="5">
        <v>1.7583</v>
      </c>
    </row>
    <row r="3980" spans="10:11">
      <c r="J3980" s="3">
        <v>40421</v>
      </c>
      <c r="K3980" s="5">
        <v>1.7552000000000001</v>
      </c>
    </row>
    <row r="3981" spans="10:11">
      <c r="J3981" s="3">
        <v>40422</v>
      </c>
      <c r="K3981" s="5">
        <v>1.7433000000000001</v>
      </c>
    </row>
    <row r="3982" spans="10:11">
      <c r="J3982" s="3">
        <v>40423</v>
      </c>
      <c r="K3982" s="5">
        <v>1.7359</v>
      </c>
    </row>
    <row r="3983" spans="10:11">
      <c r="J3983" s="3">
        <v>40424</v>
      </c>
      <c r="K3983" s="5">
        <v>1.7273000000000001</v>
      </c>
    </row>
    <row r="3984" spans="10:11">
      <c r="J3984" s="3">
        <v>40427</v>
      </c>
      <c r="K3984" s="5">
        <v>1.7251000000000001</v>
      </c>
    </row>
    <row r="3985" spans="10:11">
      <c r="J3985" s="3">
        <v>40429</v>
      </c>
      <c r="K3985" s="5">
        <v>1.7222999999999999</v>
      </c>
    </row>
    <row r="3986" spans="10:11">
      <c r="J3986" s="3">
        <v>40430</v>
      </c>
      <c r="K3986" s="5">
        <v>1.7230000000000001</v>
      </c>
    </row>
    <row r="3987" spans="10:11">
      <c r="J3987" s="3">
        <v>40431</v>
      </c>
      <c r="K3987" s="5">
        <v>1.7178</v>
      </c>
    </row>
    <row r="3988" spans="10:11">
      <c r="J3988" s="3">
        <v>40434</v>
      </c>
      <c r="K3988" s="5">
        <v>1.7165999999999999</v>
      </c>
    </row>
    <row r="3989" spans="10:11">
      <c r="J3989" s="3">
        <v>40435</v>
      </c>
      <c r="K3989" s="5">
        <v>1.7068000000000001</v>
      </c>
    </row>
    <row r="3990" spans="10:11">
      <c r="J3990" s="3">
        <v>40436</v>
      </c>
      <c r="K3990" s="5">
        <v>1.7161</v>
      </c>
    </row>
    <row r="3991" spans="10:11">
      <c r="J3991" s="3">
        <v>40437</v>
      </c>
      <c r="K3991" s="5">
        <v>1.7176</v>
      </c>
    </row>
    <row r="3992" spans="10:11">
      <c r="J3992" s="3">
        <v>40438</v>
      </c>
      <c r="K3992" s="5">
        <v>1.7158</v>
      </c>
    </row>
    <row r="3993" spans="10:11">
      <c r="J3993" s="3">
        <v>40441</v>
      </c>
      <c r="K3993" s="5">
        <v>1.7208000000000001</v>
      </c>
    </row>
    <row r="3994" spans="10:11">
      <c r="J3994" s="3">
        <v>40442</v>
      </c>
      <c r="K3994" s="5">
        <v>1.7246999999999999</v>
      </c>
    </row>
    <row r="3995" spans="10:11">
      <c r="J3995" s="3">
        <v>40443</v>
      </c>
      <c r="K3995" s="5">
        <v>1.7176</v>
      </c>
    </row>
    <row r="3996" spans="10:11">
      <c r="J3996" s="3">
        <v>40444</v>
      </c>
      <c r="K3996" s="5">
        <v>1.7185999999999999</v>
      </c>
    </row>
    <row r="3997" spans="10:11">
      <c r="J3997" s="3">
        <v>40445</v>
      </c>
      <c r="K3997" s="5">
        <v>1.7112000000000001</v>
      </c>
    </row>
    <row r="3998" spans="10:11">
      <c r="J3998" s="3">
        <v>40448</v>
      </c>
      <c r="K3998" s="5">
        <v>1.7092000000000001</v>
      </c>
    </row>
    <row r="3999" spans="10:11">
      <c r="J3999" s="3">
        <v>40449</v>
      </c>
      <c r="K3999" s="5">
        <v>1.7084999999999999</v>
      </c>
    </row>
    <row r="4000" spans="10:11">
      <c r="J4000" s="3">
        <v>40450</v>
      </c>
      <c r="K4000" s="5">
        <v>1.7044999999999999</v>
      </c>
    </row>
    <row r="4001" spans="10:11">
      <c r="J4001" s="3">
        <v>40451</v>
      </c>
      <c r="K4001" s="5">
        <v>1.6934</v>
      </c>
    </row>
    <row r="4002" spans="10:11">
      <c r="J4002" s="3">
        <v>40452</v>
      </c>
      <c r="K4002" s="5">
        <v>1.6803999999999999</v>
      </c>
    </row>
    <row r="4003" spans="10:11">
      <c r="J4003" s="3">
        <v>40455</v>
      </c>
      <c r="K4003" s="5">
        <v>1.6874</v>
      </c>
    </row>
    <row r="4004" spans="10:11">
      <c r="J4004" s="3">
        <v>40456</v>
      </c>
      <c r="K4004" s="5">
        <v>1.68</v>
      </c>
    </row>
    <row r="4005" spans="10:11">
      <c r="J4005" s="3">
        <v>40457</v>
      </c>
      <c r="K4005" s="5">
        <v>1.675</v>
      </c>
    </row>
    <row r="4006" spans="10:11">
      <c r="J4006" s="3">
        <v>40472</v>
      </c>
      <c r="K4006" s="5">
        <v>1.6889000000000001</v>
      </c>
    </row>
    <row r="4007" spans="10:11">
      <c r="J4007" s="3">
        <v>40473</v>
      </c>
      <c r="K4007" s="5">
        <v>1.6989000000000001</v>
      </c>
    </row>
    <row r="4008" spans="10:11">
      <c r="J4008" s="3">
        <v>40476</v>
      </c>
      <c r="K4008" s="5">
        <v>1.7018</v>
      </c>
    </row>
    <row r="4009" spans="10:11">
      <c r="J4009" s="3">
        <v>40477</v>
      </c>
      <c r="K4009" s="5">
        <v>1.7037</v>
      </c>
    </row>
    <row r="4010" spans="10:11">
      <c r="J4010" s="3">
        <v>40478</v>
      </c>
      <c r="K4010" s="5">
        <v>1.7069000000000001</v>
      </c>
    </row>
    <row r="4011" spans="10:11">
      <c r="J4011" s="3">
        <v>40479</v>
      </c>
      <c r="K4011" s="5">
        <v>1.7103999999999999</v>
      </c>
    </row>
    <row r="4012" spans="10:11">
      <c r="J4012" s="3">
        <v>40480</v>
      </c>
      <c r="K4012" s="5">
        <v>1.7005999999999999</v>
      </c>
    </row>
    <row r="4013" spans="10:11">
      <c r="J4013" s="3">
        <v>40483</v>
      </c>
      <c r="K4013" s="5">
        <v>1.7036</v>
      </c>
    </row>
    <row r="4014" spans="10:11">
      <c r="J4014" s="3">
        <v>40485</v>
      </c>
      <c r="K4014" s="5">
        <v>1.6929000000000001</v>
      </c>
    </row>
    <row r="4015" spans="10:11">
      <c r="J4015" s="3">
        <v>40486</v>
      </c>
      <c r="K4015" s="5">
        <v>1.6811</v>
      </c>
    </row>
    <row r="4016" spans="10:11">
      <c r="J4016" s="3">
        <v>40487</v>
      </c>
      <c r="K4016" s="5">
        <v>1.6793</v>
      </c>
    </row>
    <row r="4017" spans="10:11">
      <c r="J4017" s="3">
        <v>40490</v>
      </c>
      <c r="K4017" s="5">
        <v>1.6961999999999999</v>
      </c>
    </row>
    <row r="4018" spans="10:11">
      <c r="J4018" s="3">
        <v>40491</v>
      </c>
      <c r="K4018" s="5">
        <v>1.6961999999999999</v>
      </c>
    </row>
    <row r="4019" spans="10:11">
      <c r="J4019" s="3">
        <v>40492</v>
      </c>
      <c r="K4019" s="5">
        <v>1.7061999999999999</v>
      </c>
    </row>
    <row r="4020" spans="10:11">
      <c r="J4020" s="3">
        <v>40493</v>
      </c>
      <c r="K4020" s="5">
        <v>1.7170000000000001</v>
      </c>
    </row>
    <row r="4021" spans="10:11">
      <c r="J4021" s="3">
        <v>40494</v>
      </c>
      <c r="K4021" s="5">
        <v>1.7190000000000001</v>
      </c>
    </row>
    <row r="4022" spans="10:11">
      <c r="J4022" s="3">
        <v>40498</v>
      </c>
      <c r="K4022" s="5">
        <v>1.7286999999999999</v>
      </c>
    </row>
    <row r="4023" spans="10:11">
      <c r="J4023" s="3">
        <v>40499</v>
      </c>
      <c r="K4023" s="5">
        <v>1.7290000000000001</v>
      </c>
    </row>
    <row r="4024" spans="10:11">
      <c r="J4024" s="3">
        <v>40500</v>
      </c>
      <c r="K4024" s="5">
        <v>1.7135</v>
      </c>
    </row>
    <row r="4025" spans="10:11">
      <c r="J4025" s="3">
        <v>40501</v>
      </c>
      <c r="K4025" s="5">
        <v>1.7181</v>
      </c>
    </row>
    <row r="4026" spans="10:11">
      <c r="J4026" s="3">
        <v>40504</v>
      </c>
      <c r="K4026" s="5">
        <v>1.7226999999999999</v>
      </c>
    </row>
    <row r="4027" spans="10:11">
      <c r="J4027" s="3">
        <v>40505</v>
      </c>
      <c r="K4027" s="5">
        <v>1.7327999999999999</v>
      </c>
    </row>
    <row r="4028" spans="10:11">
      <c r="J4028" s="3">
        <v>40506</v>
      </c>
      <c r="K4028" s="5">
        <v>1.7239</v>
      </c>
    </row>
    <row r="4029" spans="10:11">
      <c r="J4029" s="3">
        <v>40507</v>
      </c>
      <c r="K4029" s="5">
        <v>1.7198</v>
      </c>
    </row>
    <row r="4030" spans="10:11">
      <c r="J4030" s="3">
        <v>40508</v>
      </c>
      <c r="K4030" s="5">
        <v>1.7290000000000001</v>
      </c>
    </row>
    <row r="4031" spans="10:11">
      <c r="J4031" s="3">
        <v>40511</v>
      </c>
      <c r="K4031" s="5">
        <v>1.7262999999999999</v>
      </c>
    </row>
    <row r="4032" spans="10:11">
      <c r="J4032" s="3">
        <v>40512</v>
      </c>
      <c r="K4032" s="5">
        <v>1.7153</v>
      </c>
    </row>
    <row r="4033" spans="10:11">
      <c r="J4033" s="3">
        <v>40513</v>
      </c>
      <c r="K4033" s="5">
        <v>1.7043999999999999</v>
      </c>
    </row>
    <row r="4034" spans="10:11">
      <c r="J4034" s="3">
        <v>40514</v>
      </c>
      <c r="K4034" s="5">
        <v>1.7020999999999999</v>
      </c>
    </row>
    <row r="4035" spans="10:11">
      <c r="J4035" s="3">
        <v>40515</v>
      </c>
      <c r="K4035" s="5">
        <v>1.6909000000000001</v>
      </c>
    </row>
    <row r="4036" spans="10:11">
      <c r="J4036" s="3">
        <v>40518</v>
      </c>
      <c r="K4036" s="5">
        <v>1.6828000000000001</v>
      </c>
    </row>
    <row r="4037" spans="10:11">
      <c r="J4037" s="3">
        <v>40519</v>
      </c>
      <c r="K4037" s="5">
        <v>1.6731</v>
      </c>
    </row>
    <row r="4038" spans="10:11">
      <c r="J4038" s="3">
        <v>40520</v>
      </c>
      <c r="K4038" s="5">
        <v>1.6883999999999999</v>
      </c>
    </row>
    <row r="4039" spans="10:11">
      <c r="J4039" s="3">
        <v>40521</v>
      </c>
      <c r="K4039" s="5">
        <v>1.7016</v>
      </c>
    </row>
    <row r="4040" spans="10:11">
      <c r="J4040" s="3">
        <v>40522</v>
      </c>
      <c r="K4040" s="5">
        <v>1.7109000000000001</v>
      </c>
    </row>
    <row r="4041" spans="10:11">
      <c r="J4041" s="3">
        <v>40525</v>
      </c>
      <c r="K4041" s="5">
        <v>1.7019</v>
      </c>
    </row>
    <row r="4042" spans="10:11">
      <c r="J4042" s="3">
        <v>40526</v>
      </c>
      <c r="K4042" s="5">
        <v>1.6940999999999999</v>
      </c>
    </row>
    <row r="4043" spans="10:11">
      <c r="J4043" s="3">
        <v>40527</v>
      </c>
      <c r="K4043" s="5">
        <v>1.698</v>
      </c>
    </row>
    <row r="4044" spans="10:11">
      <c r="J4044" s="3">
        <v>40528</v>
      </c>
      <c r="K4044" s="5">
        <v>1.702</v>
      </c>
    </row>
    <row r="4045" spans="10:11">
      <c r="J4045" s="3">
        <v>40529</v>
      </c>
      <c r="K4045" s="5">
        <v>1.7090000000000001</v>
      </c>
    </row>
    <row r="4046" spans="10:11">
      <c r="J4046" s="3">
        <v>40532</v>
      </c>
      <c r="K4046" s="5">
        <v>1.7074</v>
      </c>
    </row>
    <row r="4047" spans="10:11">
      <c r="J4047" s="3">
        <v>40533</v>
      </c>
      <c r="K4047" s="5">
        <v>1.6966000000000001</v>
      </c>
    </row>
    <row r="4048" spans="10:11">
      <c r="J4048" s="3">
        <v>40535</v>
      </c>
      <c r="K4048" s="5">
        <v>1.6976</v>
      </c>
    </row>
    <row r="4049" spans="10:11">
      <c r="J4049" s="3">
        <v>40536</v>
      </c>
      <c r="K4049" s="5">
        <v>1.6895</v>
      </c>
    </row>
    <row r="4050" spans="10:11">
      <c r="J4050" s="3">
        <v>40539</v>
      </c>
      <c r="K4050" s="5">
        <v>1.6914</v>
      </c>
    </row>
    <row r="4051" spans="10:11">
      <c r="J4051" s="3">
        <v>40541</v>
      </c>
      <c r="K4051" s="5">
        <v>1.6779999999999999</v>
      </c>
    </row>
    <row r="4052" spans="10:11">
      <c r="J4052" s="3">
        <v>40542</v>
      </c>
      <c r="K4052" s="5">
        <v>1.6654</v>
      </c>
    </row>
    <row r="4053" spans="10:11">
      <c r="J4053" s="3">
        <v>40543</v>
      </c>
      <c r="K4053" s="5">
        <v>1.6654</v>
      </c>
    </row>
    <row r="4054" spans="10:11">
      <c r="J4054" s="3">
        <v>40546</v>
      </c>
      <c r="K4054" s="5">
        <v>1.6501999999999999</v>
      </c>
    </row>
    <row r="4055" spans="10:11">
      <c r="J4055" s="3">
        <v>40547</v>
      </c>
      <c r="K4055" s="5">
        <v>1.6548</v>
      </c>
    </row>
    <row r="4056" spans="10:11">
      <c r="J4056" s="3">
        <v>40548</v>
      </c>
      <c r="K4056" s="5">
        <v>1.6705000000000001</v>
      </c>
    </row>
    <row r="4057" spans="10:11">
      <c r="J4057" s="3">
        <v>40549</v>
      </c>
      <c r="K4057" s="5">
        <v>1.6849000000000001</v>
      </c>
    </row>
    <row r="4058" spans="10:11">
      <c r="J4058" s="3">
        <v>40550</v>
      </c>
      <c r="K4058" s="5">
        <v>1.6853</v>
      </c>
    </row>
    <row r="4059" spans="10:11">
      <c r="J4059" s="3">
        <v>40553</v>
      </c>
      <c r="K4059" s="5">
        <v>1.6903999999999999</v>
      </c>
    </row>
    <row r="4060" spans="10:11">
      <c r="J4060" s="3">
        <v>40555</v>
      </c>
      <c r="K4060" s="5">
        <v>1.6765000000000001</v>
      </c>
    </row>
    <row r="4061" spans="10:11">
      <c r="J4061" s="3">
        <v>40556</v>
      </c>
      <c r="K4061" s="5">
        <v>1.6693</v>
      </c>
    </row>
    <row r="4062" spans="10:11">
      <c r="J4062" s="3">
        <v>40557</v>
      </c>
      <c r="K4062" s="5">
        <v>1.6835</v>
      </c>
    </row>
    <row r="4063" spans="10:11">
      <c r="J4063" s="3">
        <v>40560</v>
      </c>
      <c r="K4063" s="5">
        <v>1.681</v>
      </c>
    </row>
    <row r="4064" spans="10:11">
      <c r="J4064" s="3">
        <v>40561</v>
      </c>
      <c r="K4064" s="5">
        <v>1.6737</v>
      </c>
    </row>
    <row r="4065" spans="10:11">
      <c r="J4065" s="3">
        <v>40562</v>
      </c>
      <c r="K4065" s="5">
        <v>1.6706000000000001</v>
      </c>
    </row>
    <row r="4066" spans="10:11">
      <c r="J4066" s="3">
        <v>40563</v>
      </c>
      <c r="K4066" s="5">
        <v>1.6707000000000001</v>
      </c>
    </row>
    <row r="4067" spans="10:11">
      <c r="J4067" s="3">
        <v>40564</v>
      </c>
      <c r="K4067" s="5">
        <v>1.6715</v>
      </c>
    </row>
    <row r="4068" spans="10:11">
      <c r="J4068" s="3">
        <v>40567</v>
      </c>
      <c r="K4068" s="5">
        <v>1.6722999999999999</v>
      </c>
    </row>
    <row r="4069" spans="10:11">
      <c r="J4069" s="3">
        <v>40568</v>
      </c>
      <c r="K4069" s="5">
        <v>1.6737</v>
      </c>
    </row>
    <row r="4070" spans="10:11">
      <c r="J4070" s="3">
        <v>40569</v>
      </c>
      <c r="K4070" s="5">
        <v>1.6684000000000001</v>
      </c>
    </row>
    <row r="4071" spans="10:11">
      <c r="J4071" s="3">
        <v>40570</v>
      </c>
      <c r="K4071" s="5">
        <v>1.6712</v>
      </c>
    </row>
    <row r="4072" spans="10:11">
      <c r="J4072" s="3">
        <v>40571</v>
      </c>
      <c r="K4072" s="5">
        <v>1.6774</v>
      </c>
    </row>
    <row r="4073" spans="10:11">
      <c r="J4073" s="3">
        <v>40574</v>
      </c>
      <c r="K4073" s="5">
        <v>1.6726000000000001</v>
      </c>
    </row>
    <row r="4074" spans="10:11">
      <c r="J4074" s="3">
        <v>40575</v>
      </c>
      <c r="K4074" s="5">
        <v>1.6623000000000001</v>
      </c>
    </row>
    <row r="4075" spans="10:11">
      <c r="J4075" s="3">
        <v>40576</v>
      </c>
      <c r="K4075" s="5">
        <v>1.6662999999999999</v>
      </c>
    </row>
    <row r="4076" spans="10:11">
      <c r="J4076" s="3">
        <v>40577</v>
      </c>
      <c r="K4076" s="5">
        <v>1.6689000000000001</v>
      </c>
    </row>
    <row r="4077" spans="10:11">
      <c r="J4077" s="3">
        <v>40578</v>
      </c>
      <c r="K4077" s="5">
        <v>1.673</v>
      </c>
    </row>
    <row r="4078" spans="10:11">
      <c r="J4078" s="3">
        <v>40581</v>
      </c>
      <c r="K4078" s="5">
        <v>1.6768000000000001</v>
      </c>
    </row>
    <row r="4079" spans="10:11">
      <c r="J4079" s="3">
        <v>40582</v>
      </c>
      <c r="K4079" s="5">
        <v>1.6702999999999999</v>
      </c>
    </row>
    <row r="4080" spans="10:11">
      <c r="J4080" s="3">
        <v>40583</v>
      </c>
      <c r="K4080" s="5">
        <v>1.6635</v>
      </c>
    </row>
    <row r="4081" spans="10:11">
      <c r="J4081" s="3">
        <v>40584</v>
      </c>
      <c r="K4081" s="5">
        <v>1.6672</v>
      </c>
    </row>
    <row r="4082" spans="10:11">
      <c r="J4082" s="3">
        <v>40585</v>
      </c>
      <c r="K4082" s="5">
        <v>1.6671</v>
      </c>
    </row>
    <row r="4083" spans="10:11">
      <c r="J4083" s="3">
        <v>40588</v>
      </c>
      <c r="K4083" s="5">
        <v>1.6673</v>
      </c>
    </row>
    <row r="4084" spans="10:11">
      <c r="J4084" s="3">
        <v>40589</v>
      </c>
      <c r="K4084" s="5">
        <v>1.6674</v>
      </c>
    </row>
    <row r="4085" spans="10:11">
      <c r="J4085" s="3">
        <v>40590</v>
      </c>
      <c r="K4085" s="5">
        <v>1.6696</v>
      </c>
    </row>
    <row r="4086" spans="10:11">
      <c r="J4086" s="3">
        <v>40591</v>
      </c>
      <c r="K4086" s="5">
        <v>1.6653</v>
      </c>
    </row>
    <row r="4087" spans="10:11">
      <c r="J4087" s="3">
        <v>40592</v>
      </c>
      <c r="K4087" s="5">
        <v>1.6669</v>
      </c>
    </row>
    <row r="4088" spans="10:11">
      <c r="J4088" s="3">
        <v>40595</v>
      </c>
      <c r="K4088" s="5">
        <v>1.6658999999999999</v>
      </c>
    </row>
    <row r="4089" spans="10:11">
      <c r="J4089" s="3">
        <v>40596</v>
      </c>
      <c r="K4089" s="5">
        <v>1.6686000000000001</v>
      </c>
    </row>
    <row r="4090" spans="10:11">
      <c r="J4090" s="3">
        <v>40597</v>
      </c>
      <c r="K4090" s="5">
        <v>1.6712</v>
      </c>
    </row>
    <row r="4091" spans="10:11">
      <c r="J4091" s="3">
        <v>40598</v>
      </c>
      <c r="K4091" s="5">
        <v>1.6640999999999999</v>
      </c>
    </row>
    <row r="4092" spans="10:11">
      <c r="J4092" s="3">
        <v>40599</v>
      </c>
      <c r="K4092" s="5">
        <v>1.6617</v>
      </c>
    </row>
    <row r="4093" spans="10:11">
      <c r="J4093" s="3">
        <v>40602</v>
      </c>
      <c r="K4093" s="5">
        <v>1.6604000000000001</v>
      </c>
    </row>
    <row r="4094" spans="10:11">
      <c r="J4094" s="3">
        <v>40603</v>
      </c>
      <c r="K4094" s="5">
        <v>1.6618999999999999</v>
      </c>
    </row>
    <row r="4095" spans="10:11">
      <c r="J4095" s="3">
        <v>40604</v>
      </c>
      <c r="K4095" s="5">
        <v>1.6601999999999999</v>
      </c>
    </row>
    <row r="4096" spans="10:11">
      <c r="J4096" s="3">
        <v>40605</v>
      </c>
      <c r="K4096" s="5">
        <v>1.6536999999999999</v>
      </c>
    </row>
    <row r="4097" spans="10:11">
      <c r="J4097" s="3">
        <v>40606</v>
      </c>
      <c r="K4097" s="5">
        <v>1.6454</v>
      </c>
    </row>
    <row r="4098" spans="10:11">
      <c r="J4098" s="3">
        <v>40611</v>
      </c>
      <c r="K4098" s="5">
        <v>1.6551</v>
      </c>
    </row>
    <row r="4099" spans="10:11">
      <c r="J4099" s="3">
        <v>40612</v>
      </c>
      <c r="K4099" s="5">
        <v>1.6604000000000001</v>
      </c>
    </row>
    <row r="4100" spans="10:11">
      <c r="J4100" s="3">
        <v>40613</v>
      </c>
      <c r="K4100" s="5">
        <v>1.6640999999999999</v>
      </c>
    </row>
    <row r="4101" spans="10:11">
      <c r="J4101" s="3">
        <v>40616</v>
      </c>
      <c r="K4101" s="5">
        <v>1.6623000000000001</v>
      </c>
    </row>
    <row r="4102" spans="10:11">
      <c r="J4102" s="3">
        <v>40618</v>
      </c>
      <c r="K4102" s="5">
        <v>1.6666000000000001</v>
      </c>
    </row>
    <row r="4103" spans="10:11">
      <c r="J4103" s="3">
        <v>40620</v>
      </c>
      <c r="K4103" s="5">
        <v>1.6712</v>
      </c>
    </row>
    <row r="4104" spans="10:11">
      <c r="J4104" s="3">
        <v>40623</v>
      </c>
      <c r="K4104" s="5">
        <v>1.6644000000000001</v>
      </c>
    </row>
    <row r="4105" spans="10:11">
      <c r="J4105" s="3">
        <v>40624</v>
      </c>
      <c r="K4105" s="5">
        <v>1.663</v>
      </c>
    </row>
    <row r="4106" spans="10:11">
      <c r="J4106" s="3">
        <v>40625</v>
      </c>
      <c r="K4106" s="5">
        <v>1.6594</v>
      </c>
    </row>
    <row r="4107" spans="10:11">
      <c r="J4107" s="3">
        <v>40626</v>
      </c>
      <c r="K4107" s="5">
        <v>1.6585000000000001</v>
      </c>
    </row>
    <row r="4108" spans="10:11">
      <c r="J4108" s="3">
        <v>40627</v>
      </c>
      <c r="K4108" s="5">
        <v>1.6573</v>
      </c>
    </row>
    <row r="4109" spans="10:11">
      <c r="J4109" s="3">
        <v>40630</v>
      </c>
      <c r="K4109" s="5">
        <v>1.6606000000000001</v>
      </c>
    </row>
    <row r="4110" spans="10:11">
      <c r="J4110" s="3">
        <v>40631</v>
      </c>
      <c r="K4110" s="5">
        <v>1.6537999999999999</v>
      </c>
    </row>
    <row r="4111" spans="10:11">
      <c r="J4111" s="3">
        <v>40632</v>
      </c>
      <c r="K4111" s="5">
        <v>1.6352</v>
      </c>
    </row>
    <row r="4112" spans="10:11">
      <c r="J4112" s="3">
        <v>40633</v>
      </c>
      <c r="K4112" s="5">
        <v>1.6278999999999999</v>
      </c>
    </row>
    <row r="4113" spans="10:11">
      <c r="J4113" s="3">
        <v>40634</v>
      </c>
      <c r="K4113" s="5">
        <v>1.6186</v>
      </c>
    </row>
    <row r="4114" spans="10:11">
      <c r="J4114" s="3">
        <v>40637</v>
      </c>
      <c r="K4114" s="5">
        <v>1.6102000000000001</v>
      </c>
    </row>
    <row r="4115" spans="10:11">
      <c r="J4115" s="3">
        <v>40638</v>
      </c>
      <c r="K4115" s="5">
        <v>1.6079000000000001</v>
      </c>
    </row>
    <row r="4116" spans="10:11">
      <c r="J4116" s="3">
        <v>40639</v>
      </c>
      <c r="K4116" s="5">
        <v>1.6089</v>
      </c>
    </row>
    <row r="4117" spans="10:11">
      <c r="J4117" s="3">
        <v>40640</v>
      </c>
      <c r="K4117" s="5">
        <v>1.5919000000000001</v>
      </c>
    </row>
    <row r="4118" spans="10:11">
      <c r="J4118" s="3">
        <v>40641</v>
      </c>
      <c r="K4118" s="5">
        <v>1.5753999999999999</v>
      </c>
    </row>
    <row r="4119" spans="10:11">
      <c r="J4119" s="3">
        <v>40644</v>
      </c>
      <c r="K4119" s="5">
        <v>1.5797000000000001</v>
      </c>
    </row>
    <row r="4120" spans="10:11">
      <c r="J4120" s="3">
        <v>40645</v>
      </c>
      <c r="K4120" s="5">
        <v>1.5862000000000001</v>
      </c>
    </row>
    <row r="4121" spans="10:11">
      <c r="J4121" s="3">
        <v>40646</v>
      </c>
      <c r="K4121" s="5">
        <v>1.5855999999999999</v>
      </c>
    </row>
    <row r="4122" spans="10:11">
      <c r="J4122" s="3">
        <v>40647</v>
      </c>
      <c r="K4122" s="5">
        <v>1.5833999999999999</v>
      </c>
    </row>
    <row r="4123" spans="10:11">
      <c r="J4123" s="3">
        <v>40648</v>
      </c>
      <c r="K4123" s="5">
        <v>1.5768</v>
      </c>
    </row>
    <row r="4124" spans="10:11">
      <c r="J4124" s="3">
        <v>40651</v>
      </c>
      <c r="K4124" s="5">
        <v>1.5904</v>
      </c>
    </row>
    <row r="4125" spans="10:11">
      <c r="J4125" s="3">
        <v>40652</v>
      </c>
      <c r="K4125" s="5">
        <v>1.5784</v>
      </c>
    </row>
    <row r="4126" spans="10:11">
      <c r="J4126" s="3">
        <v>40653</v>
      </c>
      <c r="K4126" s="5">
        <v>1.5713999999999999</v>
      </c>
    </row>
    <row r="4127" spans="10:11">
      <c r="J4127" s="3">
        <v>40658</v>
      </c>
      <c r="K4127" s="5">
        <v>1.5711999999999999</v>
      </c>
    </row>
    <row r="4128" spans="10:11">
      <c r="J4128" s="3">
        <v>40659</v>
      </c>
      <c r="K4128" s="5">
        <v>1.5646</v>
      </c>
    </row>
    <row r="4129" spans="10:11">
      <c r="J4129" s="3">
        <v>40660</v>
      </c>
      <c r="K4129" s="5">
        <v>1.5697000000000001</v>
      </c>
    </row>
    <row r="4130" spans="10:11">
      <c r="J4130" s="3">
        <v>40661</v>
      </c>
      <c r="K4130" s="5">
        <v>1.5845</v>
      </c>
    </row>
    <row r="4131" spans="10:11">
      <c r="J4131" s="3">
        <v>40662</v>
      </c>
      <c r="K4131" s="5">
        <v>1.5725</v>
      </c>
    </row>
    <row r="4132" spans="10:11">
      <c r="J4132" s="3">
        <v>40665</v>
      </c>
      <c r="K4132" s="5">
        <v>1.5739000000000001</v>
      </c>
    </row>
    <row r="4133" spans="10:11">
      <c r="J4133" s="3">
        <v>40666</v>
      </c>
      <c r="K4133" s="5">
        <v>1.5882000000000001</v>
      </c>
    </row>
    <row r="4134" spans="10:11">
      <c r="J4134" s="3">
        <v>40667</v>
      </c>
      <c r="K4134" s="5">
        <v>1.6022000000000001</v>
      </c>
    </row>
    <row r="4135" spans="10:11">
      <c r="J4135" s="3">
        <v>40668</v>
      </c>
      <c r="K4135" s="5">
        <v>1.6211</v>
      </c>
    </row>
    <row r="4136" spans="10:11">
      <c r="J4136" s="3">
        <v>40669</v>
      </c>
      <c r="K4136" s="5">
        <v>1.6103000000000001</v>
      </c>
    </row>
    <row r="4137" spans="10:11">
      <c r="J4137" s="3">
        <v>40672</v>
      </c>
      <c r="K4137" s="5">
        <v>1.6191</v>
      </c>
    </row>
    <row r="4138" spans="10:11">
      <c r="J4138" s="3">
        <v>40673</v>
      </c>
      <c r="K4138" s="5">
        <v>1.6061000000000001</v>
      </c>
    </row>
    <row r="4139" spans="10:11">
      <c r="J4139" s="3">
        <v>40674</v>
      </c>
      <c r="K4139" s="5">
        <v>1.617</v>
      </c>
    </row>
    <row r="4140" spans="10:11">
      <c r="J4140" s="3">
        <v>40675</v>
      </c>
      <c r="K4140" s="5">
        <v>1.6198999999999999</v>
      </c>
    </row>
    <row r="4141" spans="10:11">
      <c r="J4141" s="3">
        <v>40676</v>
      </c>
      <c r="K4141" s="5">
        <v>1.6319999999999999</v>
      </c>
    </row>
    <row r="4142" spans="10:11">
      <c r="J4142" s="3">
        <v>40679</v>
      </c>
      <c r="K4142" s="5">
        <v>1.6309</v>
      </c>
    </row>
    <row r="4143" spans="10:11">
      <c r="J4143" s="3">
        <v>40680</v>
      </c>
      <c r="K4143" s="5">
        <v>1.6282000000000001</v>
      </c>
    </row>
    <row r="4144" spans="10:11">
      <c r="J4144" s="3">
        <v>40681</v>
      </c>
      <c r="K4144" s="5">
        <v>1.6157999999999999</v>
      </c>
    </row>
    <row r="4145" spans="10:11">
      <c r="J4145" s="3">
        <v>40682</v>
      </c>
      <c r="K4145" s="5">
        <v>1.6156999999999999</v>
      </c>
    </row>
    <row r="4146" spans="10:11">
      <c r="J4146" s="3">
        <v>40683</v>
      </c>
      <c r="K4146" s="5">
        <v>1.6161000000000001</v>
      </c>
    </row>
    <row r="4147" spans="10:11">
      <c r="J4147" s="3">
        <v>40686</v>
      </c>
      <c r="K4147" s="5">
        <v>1.6331</v>
      </c>
    </row>
    <row r="4148" spans="10:11">
      <c r="J4148" s="3">
        <v>40687</v>
      </c>
      <c r="K4148" s="5">
        <v>1.6248</v>
      </c>
    </row>
    <row r="4149" spans="10:11">
      <c r="J4149" s="3">
        <v>40688</v>
      </c>
      <c r="K4149" s="5">
        <v>1.6289</v>
      </c>
    </row>
    <row r="4150" spans="10:11">
      <c r="J4150" s="3">
        <v>40689</v>
      </c>
      <c r="K4150" s="5">
        <v>1.6188</v>
      </c>
    </row>
    <row r="4151" spans="10:11">
      <c r="J4151" s="3">
        <v>40690</v>
      </c>
      <c r="K4151" s="5">
        <v>1.603</v>
      </c>
    </row>
    <row r="4152" spans="10:11">
      <c r="J4152" s="3">
        <v>40693</v>
      </c>
      <c r="K4152" s="5">
        <v>1.595</v>
      </c>
    </row>
    <row r="4153" spans="10:11">
      <c r="J4153" s="3">
        <v>40694</v>
      </c>
      <c r="K4153" s="5">
        <v>1.5790999999999999</v>
      </c>
    </row>
    <row r="4154" spans="10:11">
      <c r="J4154" s="3">
        <v>40695</v>
      </c>
      <c r="K4154" s="5">
        <v>1.587</v>
      </c>
    </row>
    <row r="4155" spans="10:11">
      <c r="J4155" s="3">
        <v>40696</v>
      </c>
      <c r="K4155" s="5">
        <v>1.5797000000000001</v>
      </c>
    </row>
    <row r="4156" spans="10:11">
      <c r="J4156" s="3">
        <v>40697</v>
      </c>
      <c r="K4156" s="5">
        <v>1.5736000000000001</v>
      </c>
    </row>
    <row r="4157" spans="10:11">
      <c r="J4157" s="3">
        <v>40700</v>
      </c>
      <c r="K4157" s="5">
        <v>1.5802</v>
      </c>
    </row>
    <row r="4158" spans="10:11">
      <c r="J4158" s="3">
        <v>40701</v>
      </c>
      <c r="K4158" s="5">
        <v>1.5755999999999999</v>
      </c>
    </row>
    <row r="4159" spans="10:11">
      <c r="J4159" s="3">
        <v>40702</v>
      </c>
      <c r="K4159" s="5">
        <v>1.5811999999999999</v>
      </c>
    </row>
    <row r="4160" spans="10:11">
      <c r="J4160" s="3">
        <v>40703</v>
      </c>
      <c r="K4160" s="5">
        <v>1.5869</v>
      </c>
    </row>
    <row r="4161" spans="10:11">
      <c r="J4161" s="3">
        <v>40704</v>
      </c>
      <c r="K4161" s="5">
        <v>1.593</v>
      </c>
    </row>
    <row r="4162" spans="10:11">
      <c r="J4162" s="3">
        <v>40707</v>
      </c>
      <c r="K4162" s="5">
        <v>1.5880000000000001</v>
      </c>
    </row>
    <row r="4163" spans="10:11">
      <c r="J4163" s="3">
        <v>40708</v>
      </c>
      <c r="K4163" s="5">
        <v>1.5812999999999999</v>
      </c>
    </row>
    <row r="4164" spans="10:11">
      <c r="J4164" s="3">
        <v>40709</v>
      </c>
      <c r="K4164" s="5">
        <v>1.5952</v>
      </c>
    </row>
    <row r="4165" spans="10:11">
      <c r="J4165" s="3">
        <v>40710</v>
      </c>
      <c r="K4165" s="5">
        <v>1.61</v>
      </c>
    </row>
    <row r="4166" spans="10:11">
      <c r="J4166" s="3">
        <v>40711</v>
      </c>
      <c r="K4166" s="5">
        <v>1.5971</v>
      </c>
    </row>
    <row r="4167" spans="10:11">
      <c r="J4167" s="3">
        <v>40714</v>
      </c>
      <c r="K4167" s="5">
        <v>1.5961000000000001</v>
      </c>
    </row>
    <row r="4168" spans="10:11">
      <c r="J4168" s="3">
        <v>40715</v>
      </c>
      <c r="K4168" s="5">
        <v>1.5902000000000001</v>
      </c>
    </row>
    <row r="4169" spans="10:11">
      <c r="J4169" s="3">
        <v>40716</v>
      </c>
      <c r="K4169" s="5">
        <v>1.5869</v>
      </c>
    </row>
    <row r="4170" spans="10:11">
      <c r="J4170" s="3">
        <v>40718</v>
      </c>
      <c r="K4170" s="5">
        <v>1.5980000000000001</v>
      </c>
    </row>
    <row r="4171" spans="10:11">
      <c r="J4171" s="3">
        <v>40721</v>
      </c>
      <c r="K4171" s="5">
        <v>1.5961000000000001</v>
      </c>
    </row>
    <row r="4172" spans="10:11">
      <c r="J4172" s="3">
        <v>40722</v>
      </c>
      <c r="K4172" s="5">
        <v>1.5825</v>
      </c>
    </row>
    <row r="4173" spans="10:11">
      <c r="J4173" s="3">
        <v>40723</v>
      </c>
      <c r="K4173" s="5">
        <v>1.5722</v>
      </c>
    </row>
    <row r="4174" spans="10:11">
      <c r="J4174" s="3">
        <v>40724</v>
      </c>
      <c r="K4174" s="5">
        <v>1.5603</v>
      </c>
    </row>
    <row r="4175" spans="10:11">
      <c r="J4175" s="3">
        <v>40725</v>
      </c>
      <c r="K4175" s="5">
        <v>1.5590999999999999</v>
      </c>
    </row>
    <row r="4176" spans="10:11">
      <c r="J4176" s="3">
        <v>40728</v>
      </c>
      <c r="K4176" s="5">
        <v>1.5571999999999999</v>
      </c>
    </row>
    <row r="4177" spans="10:11">
      <c r="J4177" s="3">
        <v>40729</v>
      </c>
      <c r="K4177" s="5">
        <v>1.5629</v>
      </c>
    </row>
    <row r="4178" spans="10:11">
      <c r="J4178" s="3">
        <v>40730</v>
      </c>
      <c r="K4178" s="5">
        <v>1.5653999999999999</v>
      </c>
    </row>
    <row r="4179" spans="10:11">
      <c r="J4179" s="3">
        <v>40731</v>
      </c>
      <c r="K4179" s="5">
        <v>1.5572999999999999</v>
      </c>
    </row>
    <row r="4180" spans="10:11">
      <c r="J4180" s="3">
        <v>40732</v>
      </c>
      <c r="K4180" s="5">
        <v>1.5626</v>
      </c>
    </row>
    <row r="4181" spans="10:11">
      <c r="J4181" s="3">
        <v>40735</v>
      </c>
      <c r="K4181" s="5">
        <v>1.5788</v>
      </c>
    </row>
    <row r="4182" spans="10:11">
      <c r="J4182" s="3">
        <v>40736</v>
      </c>
      <c r="K4182" s="5">
        <v>1.5765</v>
      </c>
    </row>
    <row r="4183" spans="10:11">
      <c r="J4183" s="3">
        <v>40737</v>
      </c>
      <c r="K4183" s="5">
        <v>1.5753999999999999</v>
      </c>
    </row>
    <row r="4184" spans="10:11">
      <c r="J4184" s="3">
        <v>40738</v>
      </c>
      <c r="K4184" s="5">
        <v>1.5721000000000001</v>
      </c>
    </row>
    <row r="4185" spans="10:11">
      <c r="J4185" s="3">
        <v>40739</v>
      </c>
      <c r="K4185" s="5">
        <v>1.5734999999999999</v>
      </c>
    </row>
    <row r="4186" spans="10:11">
      <c r="J4186" s="3">
        <v>40742</v>
      </c>
      <c r="K4186" s="5">
        <v>1.5820000000000001</v>
      </c>
    </row>
    <row r="4187" spans="10:11">
      <c r="J4187" s="3">
        <v>40743</v>
      </c>
      <c r="K4187" s="5">
        <v>1.5683</v>
      </c>
    </row>
    <row r="4188" spans="10:11">
      <c r="J4188" s="3">
        <v>40749</v>
      </c>
      <c r="K4188" s="5">
        <v>1.5441</v>
      </c>
    </row>
    <row r="4189" spans="10:11">
      <c r="J4189" s="3">
        <v>40750</v>
      </c>
      <c r="K4189" s="5">
        <v>1.5337000000000001</v>
      </c>
    </row>
    <row r="4190" spans="10:11">
      <c r="J4190" s="3">
        <v>40751</v>
      </c>
      <c r="K4190" s="5">
        <v>1.5630999999999999</v>
      </c>
    </row>
    <row r="4191" spans="10:11">
      <c r="J4191" s="3">
        <v>40752</v>
      </c>
      <c r="K4191" s="5">
        <v>1.5643</v>
      </c>
    </row>
    <row r="4192" spans="10:11">
      <c r="J4192" s="3">
        <v>40753</v>
      </c>
      <c r="K4192" s="5">
        <v>1.5555000000000001</v>
      </c>
    </row>
    <row r="4193" spans="10:11">
      <c r="J4193" s="3">
        <v>40756</v>
      </c>
      <c r="K4193" s="5">
        <v>1.5543</v>
      </c>
    </row>
    <row r="4194" spans="10:11">
      <c r="J4194" s="3">
        <v>40757</v>
      </c>
      <c r="K4194" s="5">
        <v>1.5648</v>
      </c>
    </row>
    <row r="4195" spans="10:11">
      <c r="J4195" s="3">
        <v>40758</v>
      </c>
      <c r="K4195" s="5">
        <v>1.5643</v>
      </c>
    </row>
    <row r="4196" spans="10:11">
      <c r="J4196" s="3">
        <v>40759</v>
      </c>
      <c r="K4196" s="5">
        <v>1.5744</v>
      </c>
    </row>
    <row r="4197" spans="10:11">
      <c r="J4197" s="3">
        <v>40760</v>
      </c>
      <c r="K4197" s="5">
        <v>1.5887</v>
      </c>
    </row>
    <row r="4198" spans="10:11">
      <c r="J4198" s="3">
        <v>40763</v>
      </c>
      <c r="K4198" s="5">
        <v>1.5991</v>
      </c>
    </row>
    <row r="4199" spans="10:11">
      <c r="J4199" s="3">
        <v>40764</v>
      </c>
      <c r="K4199" s="5">
        <v>1.6326000000000001</v>
      </c>
    </row>
    <row r="4200" spans="10:11">
      <c r="J4200" s="3">
        <v>40765</v>
      </c>
      <c r="K4200" s="5">
        <v>1.6174999999999999</v>
      </c>
    </row>
    <row r="4201" spans="10:11">
      <c r="J4201" s="3">
        <v>40766</v>
      </c>
      <c r="K4201" s="5">
        <v>1.6297999999999999</v>
      </c>
    </row>
    <row r="4202" spans="10:11">
      <c r="J4202" s="3">
        <v>40767</v>
      </c>
      <c r="K4202" s="5">
        <v>1.6149</v>
      </c>
    </row>
    <row r="4203" spans="10:11">
      <c r="J4203" s="3">
        <v>40770</v>
      </c>
      <c r="K4203" s="5">
        <v>1.5948</v>
      </c>
    </row>
    <row r="4204" spans="10:11">
      <c r="J4204" s="3">
        <v>40771</v>
      </c>
      <c r="K4204" s="5">
        <v>1.591</v>
      </c>
    </row>
    <row r="4205" spans="10:11">
      <c r="J4205" s="3">
        <v>40772</v>
      </c>
      <c r="K4205" s="5">
        <v>1.5822000000000001</v>
      </c>
    </row>
    <row r="4206" spans="10:11">
      <c r="J4206" s="3">
        <v>40773</v>
      </c>
      <c r="K4206" s="5">
        <v>1.6053999999999999</v>
      </c>
    </row>
    <row r="4207" spans="10:11">
      <c r="J4207" s="3">
        <v>40774</v>
      </c>
      <c r="K4207" s="5">
        <v>1.5952</v>
      </c>
    </row>
    <row r="4208" spans="10:11">
      <c r="J4208" s="3">
        <v>40777</v>
      </c>
      <c r="K4208" s="5">
        <v>1.6001000000000001</v>
      </c>
    </row>
    <row r="4209" spans="10:11">
      <c r="J4209" s="3">
        <v>40778</v>
      </c>
      <c r="K4209" s="5">
        <v>1.6028</v>
      </c>
    </row>
    <row r="4210" spans="10:11">
      <c r="J4210" s="3">
        <v>40779</v>
      </c>
      <c r="K4210" s="5">
        <v>1.6031</v>
      </c>
    </row>
    <row r="4211" spans="10:11">
      <c r="J4211" s="3">
        <v>40780</v>
      </c>
      <c r="K4211" s="5">
        <v>1.6146</v>
      </c>
    </row>
    <row r="4212" spans="10:11">
      <c r="J4212" s="3">
        <v>40781</v>
      </c>
      <c r="K4212" s="5">
        <v>1.6106</v>
      </c>
    </row>
    <row r="4213" spans="10:11">
      <c r="J4213" s="3">
        <v>40784</v>
      </c>
      <c r="K4213" s="5">
        <v>1.5966</v>
      </c>
    </row>
    <row r="4214" spans="10:11">
      <c r="J4214" s="3">
        <v>40785</v>
      </c>
      <c r="K4214" s="5">
        <v>1.5895999999999999</v>
      </c>
    </row>
    <row r="4215" spans="10:11">
      <c r="J4215" s="3">
        <v>40786</v>
      </c>
      <c r="K4215" s="5">
        <v>1.5864</v>
      </c>
    </row>
    <row r="4216" spans="10:11">
      <c r="J4216" s="3">
        <v>40787</v>
      </c>
      <c r="K4216" s="5">
        <v>1.6032</v>
      </c>
    </row>
    <row r="4217" spans="10:11">
      <c r="J4217" s="3">
        <v>40788</v>
      </c>
      <c r="K4217" s="5">
        <v>1.6335</v>
      </c>
    </row>
    <row r="4218" spans="10:11">
      <c r="J4218" s="3">
        <v>40791</v>
      </c>
      <c r="K4218" s="5">
        <v>1.6514</v>
      </c>
    </row>
    <row r="4219" spans="10:11">
      <c r="J4219" s="3">
        <v>40792</v>
      </c>
      <c r="K4219" s="5">
        <v>1.6575</v>
      </c>
    </row>
    <row r="4220" spans="10:11">
      <c r="J4220" s="3">
        <v>40794</v>
      </c>
      <c r="K4220" s="5">
        <v>1.6557999999999999</v>
      </c>
    </row>
    <row r="4221" spans="10:11">
      <c r="J4221" s="3">
        <v>40795</v>
      </c>
      <c r="K4221" s="5">
        <v>1.6766000000000001</v>
      </c>
    </row>
    <row r="4222" spans="10:11">
      <c r="J4222" s="3">
        <v>40798</v>
      </c>
      <c r="K4222" s="5">
        <v>1.6891</v>
      </c>
    </row>
    <row r="4223" spans="10:11">
      <c r="J4223" s="3">
        <v>40799</v>
      </c>
      <c r="K4223" s="5">
        <v>1.7119</v>
      </c>
    </row>
    <row r="4224" spans="10:11">
      <c r="J4224" s="3">
        <v>40800</v>
      </c>
      <c r="K4224" s="5">
        <v>1.728</v>
      </c>
    </row>
    <row r="4225" spans="10:11">
      <c r="J4225" s="3">
        <v>40801</v>
      </c>
      <c r="K4225" s="5">
        <v>1.7098</v>
      </c>
    </row>
    <row r="4226" spans="10:11">
      <c r="J4226" s="3">
        <v>40802</v>
      </c>
      <c r="K4226" s="5">
        <v>1.7114</v>
      </c>
    </row>
    <row r="4227" spans="10:11">
      <c r="J4227" s="3">
        <v>40805</v>
      </c>
      <c r="K4227" s="5">
        <v>1.7755000000000001</v>
      </c>
    </row>
    <row r="4228" spans="10:11">
      <c r="J4228" s="3">
        <v>40806</v>
      </c>
      <c r="K4228" s="5">
        <v>1.7862</v>
      </c>
    </row>
    <row r="4229" spans="10:11">
      <c r="J4229" s="3">
        <v>40807</v>
      </c>
      <c r="K4229" s="5">
        <v>1.8271999999999999</v>
      </c>
    </row>
    <row r="4230" spans="10:11">
      <c r="J4230" s="3">
        <v>40808</v>
      </c>
      <c r="K4230" s="5">
        <v>1.9008</v>
      </c>
    </row>
    <row r="4231" spans="10:11">
      <c r="J4231" s="3">
        <v>40809</v>
      </c>
      <c r="K4231" s="5">
        <v>1.8727</v>
      </c>
    </row>
    <row r="4232" spans="10:11">
      <c r="J4232" s="3">
        <v>40812</v>
      </c>
      <c r="K4232" s="5">
        <v>1.8436999999999999</v>
      </c>
    </row>
    <row r="4233" spans="10:11">
      <c r="J4233" s="3">
        <v>40813</v>
      </c>
      <c r="K4233" s="5">
        <v>1.8</v>
      </c>
    </row>
    <row r="4234" spans="10:11">
      <c r="J4234" s="3">
        <v>40814</v>
      </c>
      <c r="K4234" s="5">
        <v>1.8123</v>
      </c>
    </row>
    <row r="4235" spans="10:11">
      <c r="J4235" s="3">
        <v>40815</v>
      </c>
      <c r="K4235" s="5">
        <v>1.8283</v>
      </c>
    </row>
    <row r="4236" spans="10:11">
      <c r="J4236" s="3">
        <v>40816</v>
      </c>
      <c r="K4236" s="5">
        <v>1.8535999999999999</v>
      </c>
    </row>
    <row r="4237" spans="10:11">
      <c r="J4237" s="3">
        <v>40819</v>
      </c>
      <c r="K4237" s="5">
        <v>1.8804000000000001</v>
      </c>
    </row>
    <row r="4238" spans="10:11">
      <c r="J4238" s="3">
        <v>40820</v>
      </c>
      <c r="K4238" s="5">
        <v>1.8848</v>
      </c>
    </row>
    <row r="4239" spans="10:11">
      <c r="J4239" s="3">
        <v>40821</v>
      </c>
      <c r="K4239" s="5">
        <v>1.8449</v>
      </c>
    </row>
    <row r="4240" spans="10:11">
      <c r="J4240" s="3">
        <v>40822</v>
      </c>
      <c r="K4240" s="5">
        <v>1.8109</v>
      </c>
    </row>
    <row r="4241" spans="10:11">
      <c r="J4241" s="3">
        <v>40823</v>
      </c>
      <c r="K4241" s="5">
        <v>1.7659</v>
      </c>
    </row>
    <row r="4242" spans="10:11">
      <c r="J4242" s="3">
        <v>40826</v>
      </c>
      <c r="K4242" s="5">
        <v>1.7471000000000001</v>
      </c>
    </row>
    <row r="4243" spans="10:11">
      <c r="J4243" s="3">
        <v>40827</v>
      </c>
      <c r="K4243" s="5">
        <v>1.7652000000000001</v>
      </c>
    </row>
    <row r="4244" spans="10:11">
      <c r="J4244" s="3">
        <v>40829</v>
      </c>
      <c r="K4244" s="5">
        <v>1.7528999999999999</v>
      </c>
    </row>
    <row r="4245" spans="10:11">
      <c r="J4245" s="3">
        <v>40830</v>
      </c>
      <c r="K4245" s="5">
        <v>1.7369000000000001</v>
      </c>
    </row>
    <row r="4246" spans="10:11">
      <c r="J4246" s="3">
        <v>40833</v>
      </c>
      <c r="K4246" s="5">
        <v>1.7481</v>
      </c>
    </row>
    <row r="4247" spans="10:11">
      <c r="J4247" s="3">
        <v>40834</v>
      </c>
      <c r="K4247" s="5">
        <v>1.7717000000000001</v>
      </c>
    </row>
    <row r="4248" spans="10:11">
      <c r="J4248" s="3">
        <v>40835</v>
      </c>
      <c r="K4248" s="5">
        <v>1.7597</v>
      </c>
    </row>
    <row r="4249" spans="10:11">
      <c r="J4249" s="3">
        <v>40836</v>
      </c>
      <c r="K4249" s="5">
        <v>1.7819</v>
      </c>
    </row>
    <row r="4250" spans="10:11">
      <c r="J4250" s="3">
        <v>40837</v>
      </c>
      <c r="K4250" s="5">
        <v>1.7796000000000001</v>
      </c>
    </row>
    <row r="4251" spans="10:11">
      <c r="J4251" s="3">
        <v>40840</v>
      </c>
      <c r="K4251" s="5">
        <v>1.7761</v>
      </c>
    </row>
    <row r="4252" spans="10:11">
      <c r="J4252" s="3">
        <v>40841</v>
      </c>
      <c r="K4252" s="5">
        <v>1.7541</v>
      </c>
    </row>
    <row r="4253" spans="10:11">
      <c r="J4253" s="3">
        <v>40842</v>
      </c>
      <c r="K4253" s="5">
        <v>1.7599</v>
      </c>
    </row>
    <row r="4254" spans="10:11">
      <c r="J4254" s="3">
        <v>40843</v>
      </c>
      <c r="K4254" s="5">
        <v>1.7316</v>
      </c>
    </row>
    <row r="4255" spans="10:11">
      <c r="J4255" s="3">
        <v>40844</v>
      </c>
      <c r="K4255" s="5">
        <v>1.6979</v>
      </c>
    </row>
    <row r="4256" spans="10:11">
      <c r="J4256" s="3">
        <v>40847</v>
      </c>
      <c r="K4256" s="5">
        <v>1.6878</v>
      </c>
    </row>
    <row r="4257" spans="10:11">
      <c r="J4257" s="3">
        <v>40851</v>
      </c>
      <c r="K4257" s="5">
        <v>1.7407999999999999</v>
      </c>
    </row>
    <row r="4258" spans="10:11">
      <c r="J4258" s="3">
        <v>40854</v>
      </c>
      <c r="K4258" s="5">
        <v>1.7496</v>
      </c>
    </row>
    <row r="4259" spans="10:11">
      <c r="J4259" s="3">
        <v>40855</v>
      </c>
      <c r="K4259" s="5">
        <v>1.7445999999999999</v>
      </c>
    </row>
    <row r="4260" spans="10:11">
      <c r="J4260" s="3">
        <v>40856</v>
      </c>
      <c r="K4260" s="5">
        <v>1.7509999999999999</v>
      </c>
    </row>
    <row r="4261" spans="10:11">
      <c r="J4261" s="3">
        <v>40857</v>
      </c>
      <c r="K4261" s="5">
        <v>1.7603</v>
      </c>
    </row>
    <row r="4262" spans="10:11">
      <c r="J4262" s="3">
        <v>40858</v>
      </c>
      <c r="K4262" s="5">
        <v>1.754</v>
      </c>
    </row>
    <row r="4263" spans="10:11">
      <c r="J4263" s="3">
        <v>40861</v>
      </c>
      <c r="K4263" s="5">
        <v>1.7642</v>
      </c>
    </row>
    <row r="4264" spans="10:11">
      <c r="J4264" s="3">
        <v>40863</v>
      </c>
      <c r="K4264" s="5">
        <v>1.7765</v>
      </c>
    </row>
    <row r="4265" spans="10:11">
      <c r="J4265" s="3">
        <v>40864</v>
      </c>
      <c r="K4265" s="5">
        <v>1.7766999999999999</v>
      </c>
    </row>
    <row r="4266" spans="10:11">
      <c r="J4266" s="3">
        <v>40865</v>
      </c>
      <c r="K4266" s="5">
        <v>1.7716000000000001</v>
      </c>
    </row>
    <row r="4267" spans="10:11">
      <c r="J4267" s="3">
        <v>40868</v>
      </c>
      <c r="K4267" s="5">
        <v>1.8052999999999999</v>
      </c>
    </row>
    <row r="4268" spans="10:11">
      <c r="J4268" s="3">
        <v>40869</v>
      </c>
      <c r="K4268" s="5">
        <v>1.8062</v>
      </c>
    </row>
    <row r="4269" spans="10:11">
      <c r="J4269" s="3">
        <v>40870</v>
      </c>
      <c r="K4269" s="5">
        <v>1.8433999999999999</v>
      </c>
    </row>
    <row r="4270" spans="10:11">
      <c r="J4270" s="3">
        <v>40871</v>
      </c>
      <c r="K4270" s="5">
        <v>1.8652</v>
      </c>
    </row>
    <row r="4271" spans="10:11">
      <c r="J4271" s="3">
        <v>40872</v>
      </c>
      <c r="K4271" s="5">
        <v>1.893</v>
      </c>
    </row>
    <row r="4272" spans="10:11">
      <c r="J4272" s="3">
        <v>40875</v>
      </c>
      <c r="K4272" s="5">
        <v>1.859</v>
      </c>
    </row>
    <row r="4273" spans="10:11">
      <c r="J4273" s="3">
        <v>40876</v>
      </c>
      <c r="K4273" s="5">
        <v>1.8478000000000001</v>
      </c>
    </row>
    <row r="4274" spans="10:11">
      <c r="J4274" s="3">
        <v>40877</v>
      </c>
      <c r="K4274" s="5">
        <v>1.8102</v>
      </c>
    </row>
    <row r="4275" spans="10:11">
      <c r="J4275" s="3">
        <v>40878</v>
      </c>
      <c r="K4275" s="5">
        <v>1.7922</v>
      </c>
    </row>
    <row r="4276" spans="10:11">
      <c r="J4276" s="3">
        <v>40879</v>
      </c>
      <c r="K4276" s="5">
        <v>1.7836000000000001</v>
      </c>
    </row>
    <row r="4277" spans="10:11">
      <c r="J4277" s="3">
        <v>40882</v>
      </c>
      <c r="K4277" s="5">
        <v>1.7823</v>
      </c>
    </row>
    <row r="4278" spans="10:11">
      <c r="J4278" s="3">
        <v>40883</v>
      </c>
      <c r="K4278" s="5">
        <v>1.7906</v>
      </c>
    </row>
    <row r="4279" spans="10:11">
      <c r="J4279" s="3">
        <v>40884</v>
      </c>
      <c r="K4279" s="5">
        <v>1.7974000000000001</v>
      </c>
    </row>
    <row r="4280" spans="10:11">
      <c r="J4280" s="3">
        <v>40885</v>
      </c>
      <c r="K4280" s="5">
        <v>1.7934000000000001</v>
      </c>
    </row>
    <row r="4281" spans="10:11">
      <c r="J4281" s="3">
        <v>40886</v>
      </c>
      <c r="K4281" s="5">
        <v>1.8123</v>
      </c>
    </row>
    <row r="4282" spans="10:11">
      <c r="J4282" s="3">
        <v>40889</v>
      </c>
      <c r="K4282" s="5">
        <v>1.8210999999999999</v>
      </c>
    </row>
    <row r="4283" spans="10:11">
      <c r="J4283" s="3">
        <v>40890</v>
      </c>
      <c r="K4283" s="5">
        <v>1.8403</v>
      </c>
    </row>
    <row r="4284" spans="10:11">
      <c r="J4284" s="3">
        <v>40891</v>
      </c>
      <c r="K4284" s="5">
        <v>1.8721000000000001</v>
      </c>
    </row>
    <row r="4285" spans="10:11">
      <c r="J4285" s="3">
        <v>40892</v>
      </c>
      <c r="K4285" s="5">
        <v>1.8602000000000001</v>
      </c>
    </row>
    <row r="4286" spans="10:11">
      <c r="J4286" s="3">
        <v>40893</v>
      </c>
      <c r="K4286" s="5">
        <v>1.8458000000000001</v>
      </c>
    </row>
    <row r="4287" spans="10:11">
      <c r="J4287" s="3">
        <v>40896</v>
      </c>
      <c r="K4287" s="5">
        <v>1.8608</v>
      </c>
    </row>
    <row r="4288" spans="10:11">
      <c r="J4288" s="3">
        <v>40897</v>
      </c>
      <c r="K4288" s="5">
        <v>1.8501000000000001</v>
      </c>
    </row>
    <row r="4289" spans="10:11">
      <c r="J4289" s="3">
        <v>40898</v>
      </c>
      <c r="K4289" s="5">
        <v>1.855</v>
      </c>
    </row>
    <row r="4290" spans="10:11">
      <c r="J4290" s="3">
        <v>40899</v>
      </c>
      <c r="K4290" s="5">
        <v>1.8571</v>
      </c>
    </row>
    <row r="4291" spans="10:11">
      <c r="J4291" s="3">
        <v>40900</v>
      </c>
      <c r="K4291" s="5">
        <v>1.8553999999999999</v>
      </c>
    </row>
    <row r="4292" spans="10:11">
      <c r="J4292" s="3">
        <v>40903</v>
      </c>
      <c r="K4292" s="5">
        <v>1.8559000000000001</v>
      </c>
    </row>
    <row r="4293" spans="10:11">
      <c r="J4293" s="3">
        <v>40904</v>
      </c>
      <c r="K4293" s="5">
        <v>1.8577999999999999</v>
      </c>
    </row>
    <row r="4294" spans="10:11">
      <c r="J4294" s="3">
        <v>40905</v>
      </c>
      <c r="K4294" s="5">
        <v>1.8626</v>
      </c>
    </row>
    <row r="4295" spans="10:11">
      <c r="J4295" s="3">
        <v>40906</v>
      </c>
      <c r="K4295" s="5">
        <v>1.8751</v>
      </c>
    </row>
    <row r="4296" spans="10:11">
      <c r="J4296" s="3">
        <v>40907</v>
      </c>
      <c r="K4296" s="5">
        <v>1.8751</v>
      </c>
    </row>
    <row r="4297" spans="10:11">
      <c r="J4297" s="3">
        <v>40910</v>
      </c>
      <c r="K4297" s="5">
        <v>1.8675999999999999</v>
      </c>
    </row>
    <row r="4298" spans="10:11">
      <c r="J4298" s="3">
        <v>40911</v>
      </c>
      <c r="K4298" s="5">
        <v>1.845</v>
      </c>
    </row>
    <row r="4299" spans="10:11">
      <c r="J4299" s="3">
        <v>40912</v>
      </c>
      <c r="K4299" s="5">
        <v>1.8265</v>
      </c>
    </row>
    <row r="4300" spans="10:11">
      <c r="J4300" s="3">
        <v>40913</v>
      </c>
      <c r="K4300" s="5">
        <v>1.8365</v>
      </c>
    </row>
    <row r="4301" spans="10:11">
      <c r="J4301" s="3">
        <v>40914</v>
      </c>
      <c r="K4301" s="5">
        <v>1.8442000000000001</v>
      </c>
    </row>
    <row r="4302" spans="10:11">
      <c r="J4302" s="3">
        <v>40917</v>
      </c>
      <c r="K4302" s="5">
        <v>1.8434999999999999</v>
      </c>
    </row>
    <row r="4303" spans="10:11">
      <c r="J4303" s="3">
        <v>40918</v>
      </c>
      <c r="K4303" s="5">
        <v>1.8036000000000001</v>
      </c>
    </row>
    <row r="4304" spans="10:11">
      <c r="J4304" s="3">
        <v>40919</v>
      </c>
      <c r="K4304" s="5">
        <v>1.8041</v>
      </c>
    </row>
    <row r="4305" spans="10:11">
      <c r="J4305" s="3">
        <v>40920</v>
      </c>
      <c r="K4305" s="5">
        <v>1.7867</v>
      </c>
    </row>
    <row r="4306" spans="10:11">
      <c r="J4306" s="3">
        <v>40921</v>
      </c>
      <c r="K4306" s="5">
        <v>1.7846</v>
      </c>
    </row>
    <row r="4307" spans="10:11">
      <c r="J4307" s="3">
        <v>40924</v>
      </c>
      <c r="K4307" s="5">
        <v>1.7829999999999999</v>
      </c>
    </row>
    <row r="4308" spans="10:11">
      <c r="J4308" s="3">
        <v>40925</v>
      </c>
      <c r="K4308" s="5">
        <v>1.7754000000000001</v>
      </c>
    </row>
    <row r="4309" spans="10:11">
      <c r="J4309" s="3">
        <v>40926</v>
      </c>
      <c r="K4309" s="5">
        <v>1.7785</v>
      </c>
    </row>
    <row r="4310" spans="10:11">
      <c r="J4310" s="3">
        <v>40927</v>
      </c>
      <c r="K4310" s="5">
        <v>1.7642</v>
      </c>
    </row>
    <row r="4311" spans="10:11">
      <c r="J4311" s="3">
        <v>40928</v>
      </c>
      <c r="K4311" s="5">
        <v>1.7664</v>
      </c>
    </row>
    <row r="4312" spans="10:11">
      <c r="J4312" s="3">
        <v>40931</v>
      </c>
      <c r="K4312" s="5">
        <v>1.7521</v>
      </c>
    </row>
    <row r="4313" spans="10:11">
      <c r="J4313" s="3">
        <v>40932</v>
      </c>
      <c r="K4313" s="5">
        <v>1.7643</v>
      </c>
    </row>
    <row r="4314" spans="10:11">
      <c r="J4314" s="3">
        <v>40933</v>
      </c>
      <c r="K4314" s="5">
        <v>1.7623</v>
      </c>
    </row>
    <row r="4315" spans="10:11">
      <c r="J4315" s="3">
        <v>40934</v>
      </c>
      <c r="K4315" s="5">
        <v>1.7382</v>
      </c>
    </row>
    <row r="4316" spans="10:11">
      <c r="J4316" s="3">
        <v>40935</v>
      </c>
      <c r="K4316" s="5">
        <v>1.7428999999999999</v>
      </c>
    </row>
    <row r="4317" spans="10:11">
      <c r="J4317" s="3">
        <v>40938</v>
      </c>
      <c r="K4317" s="5">
        <v>1.7502</v>
      </c>
    </row>
    <row r="4318" spans="10:11">
      <c r="J4318" s="3">
        <v>40939</v>
      </c>
      <c r="K4318" s="5">
        <v>1.7384999999999999</v>
      </c>
    </row>
    <row r="4319" spans="10:11">
      <c r="J4319" s="3">
        <v>40940</v>
      </c>
      <c r="K4319" s="5">
        <v>1.7370000000000001</v>
      </c>
    </row>
    <row r="4320" spans="10:11">
      <c r="J4320" s="3">
        <v>40941</v>
      </c>
      <c r="K4320" s="5">
        <v>1.732</v>
      </c>
    </row>
    <row r="4321" spans="10:11">
      <c r="J4321" s="3">
        <v>40942</v>
      </c>
      <c r="K4321" s="5">
        <v>1.7216</v>
      </c>
    </row>
    <row r="4322" spans="10:11">
      <c r="J4322" s="3">
        <v>40945</v>
      </c>
      <c r="K4322" s="5">
        <v>1.7242999999999999</v>
      </c>
    </row>
    <row r="4323" spans="10:11">
      <c r="J4323" s="3">
        <v>40946</v>
      </c>
      <c r="K4323" s="5">
        <v>1.7255</v>
      </c>
    </row>
    <row r="4324" spans="10:11">
      <c r="J4324" s="3">
        <v>40947</v>
      </c>
      <c r="K4324" s="5">
        <v>1.7189000000000001</v>
      </c>
    </row>
    <row r="4325" spans="10:11">
      <c r="J4325" s="3">
        <v>40948</v>
      </c>
      <c r="K4325" s="5">
        <v>1.7219</v>
      </c>
    </row>
    <row r="4326" spans="10:11">
      <c r="J4326" s="3">
        <v>40949</v>
      </c>
      <c r="K4326" s="5">
        <v>1.7254</v>
      </c>
    </row>
    <row r="4327" spans="10:11">
      <c r="J4327" s="3">
        <v>40952</v>
      </c>
      <c r="K4327" s="5">
        <v>1.7161999999999999</v>
      </c>
    </row>
    <row r="4328" spans="10:11">
      <c r="J4328" s="3">
        <v>40953</v>
      </c>
      <c r="K4328" s="5">
        <v>1.7166999999999999</v>
      </c>
    </row>
    <row r="4329" spans="10:11">
      <c r="J4329" s="3">
        <v>40954</v>
      </c>
      <c r="K4329" s="5">
        <v>1.7151000000000001</v>
      </c>
    </row>
    <row r="4330" spans="10:11">
      <c r="J4330" s="3">
        <v>40955</v>
      </c>
      <c r="K4330" s="5">
        <v>1.732</v>
      </c>
    </row>
    <row r="4331" spans="10:11">
      <c r="J4331" s="3">
        <v>40956</v>
      </c>
      <c r="K4331" s="5">
        <v>1.7130000000000001</v>
      </c>
    </row>
    <row r="4332" spans="10:11">
      <c r="J4332" s="3">
        <v>40961</v>
      </c>
      <c r="K4332" s="5">
        <v>1.7069000000000001</v>
      </c>
    </row>
    <row r="4333" spans="10:11">
      <c r="J4333" s="3">
        <v>40962</v>
      </c>
      <c r="K4333" s="5">
        <v>1.7033</v>
      </c>
    </row>
    <row r="4334" spans="10:11">
      <c r="J4334" s="3">
        <v>40963</v>
      </c>
      <c r="K4334" s="5">
        <v>1.7091000000000001</v>
      </c>
    </row>
    <row r="4335" spans="10:11">
      <c r="J4335" s="3">
        <v>40966</v>
      </c>
      <c r="K4335" s="5">
        <v>1.7081999999999999</v>
      </c>
    </row>
    <row r="4336" spans="10:11">
      <c r="J4336" s="3">
        <v>40967</v>
      </c>
      <c r="K4336" s="5">
        <v>1.7017</v>
      </c>
    </row>
    <row r="4337" spans="10:11">
      <c r="J4337" s="3">
        <v>40968</v>
      </c>
      <c r="K4337" s="5">
        <v>1.7085999999999999</v>
      </c>
    </row>
    <row r="4338" spans="10:11">
      <c r="J4338" s="3">
        <v>40969</v>
      </c>
      <c r="K4338" s="5">
        <v>1.7145999999999999</v>
      </c>
    </row>
    <row r="4339" spans="10:11">
      <c r="J4339" s="3">
        <v>40970</v>
      </c>
      <c r="K4339" s="5">
        <v>1.7239</v>
      </c>
    </row>
    <row r="4340" spans="10:11">
      <c r="J4340" s="3">
        <v>40973</v>
      </c>
      <c r="K4340" s="5">
        <v>1.7307999999999999</v>
      </c>
    </row>
    <row r="4341" spans="10:11">
      <c r="J4341" s="3">
        <v>40974</v>
      </c>
      <c r="K4341" s="5">
        <v>1.7549999999999999</v>
      </c>
    </row>
    <row r="4342" spans="10:11">
      <c r="J4342" s="3">
        <v>40975</v>
      </c>
      <c r="K4342" s="5">
        <v>1.7685</v>
      </c>
    </row>
    <row r="4343" spans="10:11">
      <c r="J4343" s="3">
        <v>40976</v>
      </c>
      <c r="K4343" s="5">
        <v>1.7690999999999999</v>
      </c>
    </row>
    <row r="4344" spans="10:11">
      <c r="J4344" s="3">
        <v>40977</v>
      </c>
      <c r="K4344" s="5">
        <v>1.7761</v>
      </c>
    </row>
    <row r="4345" spans="10:11">
      <c r="J4345" s="3">
        <v>40980</v>
      </c>
      <c r="K4345" s="5">
        <v>1.8150999999999999</v>
      </c>
    </row>
    <row r="4346" spans="10:11">
      <c r="J4346" s="3">
        <v>40981</v>
      </c>
      <c r="K4346" s="5">
        <v>1.8096000000000001</v>
      </c>
    </row>
    <row r="4347" spans="10:11">
      <c r="J4347" s="3">
        <v>40982</v>
      </c>
      <c r="K4347" s="5">
        <v>1.8140000000000001</v>
      </c>
    </row>
    <row r="4348" spans="10:11">
      <c r="J4348" s="3">
        <v>40983</v>
      </c>
      <c r="K4348" s="5">
        <v>1.8</v>
      </c>
    </row>
    <row r="4349" spans="10:11">
      <c r="J4349" s="3">
        <v>40984</v>
      </c>
      <c r="K4349" s="5">
        <v>1.8011999999999999</v>
      </c>
    </row>
    <row r="4350" spans="10:11">
      <c r="J4350" s="3">
        <v>40987</v>
      </c>
      <c r="K4350" s="5">
        <v>1.8084</v>
      </c>
    </row>
    <row r="4351" spans="10:11">
      <c r="J4351" s="3">
        <v>40988</v>
      </c>
      <c r="K4351" s="5">
        <v>1.8252999999999999</v>
      </c>
    </row>
    <row r="4352" spans="10:11">
      <c r="J4352" s="3">
        <v>40989</v>
      </c>
      <c r="K4352" s="5">
        <v>1.8261000000000001</v>
      </c>
    </row>
    <row r="4353" spans="10:11">
      <c r="J4353" s="3">
        <v>40990</v>
      </c>
      <c r="K4353" s="5">
        <v>1.8244</v>
      </c>
    </row>
    <row r="4354" spans="10:11">
      <c r="J4354" s="3">
        <v>40991</v>
      </c>
      <c r="K4354" s="5">
        <v>1.8188</v>
      </c>
    </row>
    <row r="4355" spans="10:11">
      <c r="J4355" s="3">
        <v>40994</v>
      </c>
      <c r="K4355" s="5">
        <v>1.8137000000000001</v>
      </c>
    </row>
    <row r="4356" spans="10:11">
      <c r="J4356" s="3">
        <v>40995</v>
      </c>
      <c r="K4356" s="5">
        <v>1.8129</v>
      </c>
    </row>
    <row r="4357" spans="10:11">
      <c r="J4357" s="3">
        <v>40996</v>
      </c>
      <c r="K4357" s="5">
        <v>1.8217000000000001</v>
      </c>
    </row>
    <row r="4358" spans="10:11">
      <c r="J4358" s="3">
        <v>40997</v>
      </c>
      <c r="K4358" s="5">
        <v>1.8327</v>
      </c>
    </row>
    <row r="4359" spans="10:11">
      <c r="J4359" s="3">
        <v>40998</v>
      </c>
      <c r="K4359" s="5">
        <v>1.8214999999999999</v>
      </c>
    </row>
    <row r="4360" spans="10:11">
      <c r="J4360" s="3">
        <v>41001</v>
      </c>
      <c r="K4360" s="5">
        <v>1.8308</v>
      </c>
    </row>
    <row r="4361" spans="10:11">
      <c r="J4361" s="3">
        <v>41002</v>
      </c>
      <c r="K4361" s="5">
        <v>1.825</v>
      </c>
    </row>
    <row r="4362" spans="10:11">
      <c r="J4362" s="3">
        <v>41003</v>
      </c>
      <c r="K4362" s="5">
        <v>1.831</v>
      </c>
    </row>
    <row r="4363" spans="10:11">
      <c r="J4363" s="3">
        <v>41004</v>
      </c>
      <c r="K4363" s="5">
        <v>1.8294999999999999</v>
      </c>
    </row>
    <row r="4364" spans="10:11">
      <c r="J4364" s="3">
        <v>41008</v>
      </c>
      <c r="K4364" s="5">
        <v>1.8253999999999999</v>
      </c>
    </row>
    <row r="4365" spans="10:11">
      <c r="J4365" s="3">
        <v>41009</v>
      </c>
      <c r="K4365" s="5">
        <v>1.8310999999999999</v>
      </c>
    </row>
    <row r="4366" spans="10:11">
      <c r="J4366" s="3">
        <v>41010</v>
      </c>
      <c r="K4366" s="5">
        <v>1.8297000000000001</v>
      </c>
    </row>
    <row r="4367" spans="10:11">
      <c r="J4367" s="3">
        <v>41011</v>
      </c>
      <c r="K4367" s="5">
        <v>1.8264</v>
      </c>
    </row>
    <row r="4368" spans="10:11">
      <c r="J4368" s="3">
        <v>41012</v>
      </c>
      <c r="K4368" s="5">
        <v>1.8358000000000001</v>
      </c>
    </row>
    <row r="4369" spans="10:11">
      <c r="J4369" s="3">
        <v>41015</v>
      </c>
      <c r="K4369" s="5">
        <v>1.8367</v>
      </c>
    </row>
    <row r="4370" spans="10:11">
      <c r="J4370" s="3">
        <v>41019</v>
      </c>
      <c r="K4370" s="5">
        <v>1.8779999999999999</v>
      </c>
    </row>
    <row r="4371" spans="10:11">
      <c r="J4371" s="3">
        <v>41022</v>
      </c>
      <c r="K4371" s="5">
        <v>1.8857999999999999</v>
      </c>
    </row>
    <row r="4372" spans="10:11">
      <c r="J4372" s="3">
        <v>41023</v>
      </c>
      <c r="K4372" s="5">
        <v>1.8774</v>
      </c>
    </row>
    <row r="4373" spans="10:11">
      <c r="J4373" s="3">
        <v>41024</v>
      </c>
      <c r="K4373" s="5">
        <v>1.8801000000000001</v>
      </c>
    </row>
    <row r="4374" spans="10:11">
      <c r="J4374" s="3">
        <v>41025</v>
      </c>
      <c r="K4374" s="5">
        <v>1.8864000000000001</v>
      </c>
    </row>
    <row r="4375" spans="10:11">
      <c r="J4375" s="3">
        <v>41026</v>
      </c>
      <c r="K4375" s="5">
        <v>1.8846000000000001</v>
      </c>
    </row>
    <row r="4376" spans="10:11">
      <c r="J4376" s="3">
        <v>41029</v>
      </c>
      <c r="K4376" s="5">
        <v>1.8912</v>
      </c>
    </row>
    <row r="4377" spans="10:11">
      <c r="J4377" s="3">
        <v>41031</v>
      </c>
      <c r="K4377" s="5">
        <v>1.9142999999999999</v>
      </c>
    </row>
    <row r="4378" spans="10:11">
      <c r="J4378" s="3">
        <v>41032</v>
      </c>
      <c r="K4378" s="5">
        <v>1.9271</v>
      </c>
    </row>
    <row r="4379" spans="10:11">
      <c r="J4379" s="3">
        <v>41033</v>
      </c>
      <c r="K4379" s="5">
        <v>1.9204000000000001</v>
      </c>
    </row>
    <row r="4380" spans="10:11">
      <c r="J4380" s="3">
        <v>41036</v>
      </c>
      <c r="K4380" s="5">
        <v>1.9261999999999999</v>
      </c>
    </row>
    <row r="4381" spans="10:11">
      <c r="J4381" s="3">
        <v>41037</v>
      </c>
      <c r="K4381" s="5">
        <v>1.9359999999999999</v>
      </c>
    </row>
    <row r="4382" spans="10:11">
      <c r="J4382" s="3">
        <v>41038</v>
      </c>
      <c r="K4382" s="5">
        <v>1.9571000000000001</v>
      </c>
    </row>
    <row r="4383" spans="10:11">
      <c r="J4383" s="3">
        <v>41039</v>
      </c>
      <c r="K4383" s="5">
        <v>1.9576</v>
      </c>
    </row>
    <row r="4384" spans="10:11">
      <c r="J4384" s="3">
        <v>41040</v>
      </c>
      <c r="K4384" s="5">
        <v>1.9507000000000001</v>
      </c>
    </row>
    <row r="4385" spans="10:11">
      <c r="J4385" s="3">
        <v>41043</v>
      </c>
      <c r="K4385" s="5">
        <v>1.986</v>
      </c>
    </row>
    <row r="4386" spans="10:11">
      <c r="J4386" s="3">
        <v>41044</v>
      </c>
      <c r="K4386" s="5">
        <v>1.9941</v>
      </c>
    </row>
    <row r="4387" spans="10:11">
      <c r="J4387" s="3">
        <v>41045</v>
      </c>
      <c r="K4387" s="5">
        <v>1.9967999999999999</v>
      </c>
    </row>
    <row r="4388" spans="10:11">
      <c r="J4388" s="3">
        <v>41046</v>
      </c>
      <c r="K4388" s="5">
        <v>1.9966999999999999</v>
      </c>
    </row>
    <row r="4389" spans="10:11">
      <c r="J4389" s="3">
        <v>41047</v>
      </c>
      <c r="K4389" s="5">
        <v>2.0087999999999999</v>
      </c>
    </row>
    <row r="4390" spans="10:11">
      <c r="J4390" s="3">
        <v>41050</v>
      </c>
      <c r="K4390" s="5">
        <v>2.0367999999999999</v>
      </c>
    </row>
    <row r="4391" spans="10:11">
      <c r="J4391" s="3">
        <v>41051</v>
      </c>
      <c r="K4391" s="5">
        <v>2.0487000000000002</v>
      </c>
    </row>
    <row r="4392" spans="10:11">
      <c r="J4392" s="3">
        <v>41052</v>
      </c>
      <c r="K4392" s="5">
        <v>2.0809000000000002</v>
      </c>
    </row>
    <row r="4393" spans="10:11">
      <c r="J4393" s="3">
        <v>41053</v>
      </c>
      <c r="K4393" s="5">
        <v>2.0377999999999998</v>
      </c>
    </row>
    <row r="4394" spans="10:11">
      <c r="J4394" s="3">
        <v>41054</v>
      </c>
      <c r="K4394" s="5">
        <v>2.0026000000000002</v>
      </c>
    </row>
    <row r="4395" spans="10:11">
      <c r="J4395" s="3">
        <v>41057</v>
      </c>
      <c r="K4395" s="5">
        <v>1.9772000000000001</v>
      </c>
    </row>
    <row r="4396" spans="10:11">
      <c r="J4396" s="3">
        <v>41058</v>
      </c>
      <c r="K4396" s="5">
        <v>1.9938</v>
      </c>
    </row>
    <row r="4397" spans="10:11">
      <c r="J4397" s="3">
        <v>41059</v>
      </c>
      <c r="K4397" s="5">
        <v>2.0072000000000001</v>
      </c>
    </row>
    <row r="4398" spans="10:11">
      <c r="J4398" s="3">
        <v>41060</v>
      </c>
      <c r="K4398" s="5">
        <v>2.0217000000000001</v>
      </c>
    </row>
    <row r="4399" spans="10:11">
      <c r="J4399" s="3">
        <v>41061</v>
      </c>
      <c r="K4399" s="5">
        <v>2.0344000000000002</v>
      </c>
    </row>
    <row r="4400" spans="10:11">
      <c r="J4400" s="3">
        <v>41064</v>
      </c>
      <c r="K4400" s="5">
        <v>2.0404</v>
      </c>
    </row>
    <row r="4401" spans="10:11">
      <c r="J4401" s="3">
        <v>41065</v>
      </c>
      <c r="K4401" s="5">
        <v>2.0259</v>
      </c>
    </row>
  </sheetData>
  <mergeCells count="4">
    <mergeCell ref="B1122:B1124"/>
    <mergeCell ref="B3:B51"/>
    <mergeCell ref="B52:B892"/>
    <mergeCell ref="B893:B11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2:W304"/>
  <sheetViews>
    <sheetView workbookViewId="0">
      <selection activeCell="C2" sqref="C2:W2"/>
    </sheetView>
  </sheetViews>
  <sheetFormatPr defaultColWidth="9.140625" defaultRowHeight="15"/>
  <cols>
    <col min="1" max="1" width="9.140625" style="28"/>
    <col min="2" max="2" width="11.42578125" style="28" customWidth="1"/>
    <col min="3" max="16384" width="9.140625" style="28"/>
  </cols>
  <sheetData>
    <row r="2" spans="2:23">
      <c r="B2" s="27" t="s">
        <v>27</v>
      </c>
      <c r="C2" s="23">
        <v>1995</v>
      </c>
      <c r="D2" s="23">
        <v>1996</v>
      </c>
      <c r="E2" s="23">
        <v>1997</v>
      </c>
      <c r="F2" s="23">
        <v>1998</v>
      </c>
      <c r="G2" s="23">
        <v>1999</v>
      </c>
      <c r="H2" s="23">
        <v>2000</v>
      </c>
      <c r="I2" s="23">
        <v>2001</v>
      </c>
      <c r="J2" s="23">
        <v>2002</v>
      </c>
      <c r="K2" s="23">
        <v>2003</v>
      </c>
      <c r="L2" s="23">
        <v>2004</v>
      </c>
      <c r="M2" s="23">
        <v>2005</v>
      </c>
      <c r="N2" s="23">
        <v>2006</v>
      </c>
      <c r="O2" s="23">
        <v>2007</v>
      </c>
      <c r="P2" s="23">
        <v>2008</v>
      </c>
      <c r="Q2" s="23">
        <v>2009</v>
      </c>
      <c r="R2" s="23">
        <v>2010</v>
      </c>
      <c r="S2" s="23">
        <v>2011</v>
      </c>
      <c r="T2" s="23">
        <v>2012</v>
      </c>
      <c r="U2" s="23">
        <v>2013</v>
      </c>
      <c r="V2" s="23">
        <v>2014</v>
      </c>
      <c r="W2" s="23">
        <v>2015</v>
      </c>
    </row>
    <row r="3" spans="2:23">
      <c r="B3" s="27" t="s">
        <v>28</v>
      </c>
      <c r="C3" s="24">
        <v>0</v>
      </c>
      <c r="D3" s="24">
        <v>2.58E-2</v>
      </c>
      <c r="E3" s="24">
        <v>1.7299999999999999E-2</v>
      </c>
      <c r="F3" s="24">
        <v>2.6700000000000002E-2</v>
      </c>
      <c r="G3" s="24">
        <v>2.18E-2</v>
      </c>
      <c r="H3" s="24">
        <v>1.46E-2</v>
      </c>
      <c r="I3" s="24">
        <v>1.2699999999999999E-2</v>
      </c>
      <c r="J3" s="24">
        <v>1.5299999999999999E-2</v>
      </c>
      <c r="K3" s="24">
        <v>1.9699999999999999E-2</v>
      </c>
      <c r="L3" s="24">
        <v>1.2699999999999999E-2</v>
      </c>
      <c r="M3" s="24">
        <v>1.38E-2</v>
      </c>
      <c r="N3" s="24">
        <v>1.43E-2</v>
      </c>
      <c r="O3" s="24">
        <v>1.0800000000000001E-2</v>
      </c>
      <c r="P3" s="24">
        <v>9.2999999999999992E-3</v>
      </c>
      <c r="Q3" s="24">
        <v>1.0500000000000001E-2</v>
      </c>
      <c r="R3" s="24">
        <v>6.6E-3</v>
      </c>
      <c r="S3" s="24">
        <v>8.6E-3</v>
      </c>
      <c r="T3" s="24">
        <v>8.8999999999999999E-3</v>
      </c>
      <c r="U3" s="24">
        <v>6.0000000000000001E-3</v>
      </c>
      <c r="V3" s="24">
        <v>8.5000000000000006E-3</v>
      </c>
      <c r="W3" s="24">
        <v>9.4000000000000004E-3</v>
      </c>
    </row>
    <row r="4" spans="2:23">
      <c r="B4" s="27" t="s">
        <v>29</v>
      </c>
      <c r="C4" s="24">
        <v>3.6299999999999999E-2</v>
      </c>
      <c r="D4" s="24">
        <v>2.35E-2</v>
      </c>
      <c r="E4" s="24">
        <v>1.67E-2</v>
      </c>
      <c r="F4" s="24">
        <v>2.1299999999999999E-2</v>
      </c>
      <c r="G4" s="24">
        <v>2.3800000000000002E-2</v>
      </c>
      <c r="H4" s="24">
        <v>1.4500000000000001E-2</v>
      </c>
      <c r="I4" s="24">
        <v>1.0200000000000001E-2</v>
      </c>
      <c r="J4" s="24">
        <v>1.2500000000000001E-2</v>
      </c>
      <c r="K4" s="24">
        <v>1.83E-2</v>
      </c>
      <c r="L4" s="24">
        <v>1.0800000000000001E-2</v>
      </c>
      <c r="M4" s="24">
        <v>1.2200000000000001E-2</v>
      </c>
      <c r="N4" s="24">
        <v>1.15E-2</v>
      </c>
      <c r="O4" s="24">
        <v>8.6999999999999994E-3</v>
      </c>
      <c r="P4" s="24">
        <v>8.0000000000000002E-3</v>
      </c>
      <c r="Q4" s="24">
        <v>8.6E-3</v>
      </c>
      <c r="R4" s="24">
        <v>5.8999999999999999E-3</v>
      </c>
      <c r="S4" s="24">
        <v>8.3999999999999995E-3</v>
      </c>
      <c r="T4" s="24">
        <v>7.4999999999999997E-3</v>
      </c>
      <c r="U4" s="24">
        <v>4.8999999999999998E-3</v>
      </c>
      <c r="V4" s="24">
        <v>7.9000000000000008E-3</v>
      </c>
      <c r="W4" s="24">
        <v>8.2000000000000007E-3</v>
      </c>
    </row>
    <row r="5" spans="2:23">
      <c r="B5" s="27" t="s">
        <v>30</v>
      </c>
      <c r="C5" s="24">
        <v>2.5999999999999999E-2</v>
      </c>
      <c r="D5" s="24">
        <v>2.2200000000000001E-2</v>
      </c>
      <c r="E5" s="24">
        <v>1.6400000000000001E-2</v>
      </c>
      <c r="F5" s="24">
        <v>2.1999999999999999E-2</v>
      </c>
      <c r="G5" s="24">
        <v>3.3300000000000003E-2</v>
      </c>
      <c r="H5" s="24">
        <v>1.4500000000000001E-2</v>
      </c>
      <c r="I5" s="24">
        <v>1.26E-2</v>
      </c>
      <c r="J5" s="24">
        <v>1.37E-2</v>
      </c>
      <c r="K5" s="24">
        <v>1.78E-2</v>
      </c>
      <c r="L5" s="24">
        <v>1.38E-2</v>
      </c>
      <c r="M5" s="24">
        <v>1.5299999999999999E-2</v>
      </c>
      <c r="N5" s="24">
        <v>1.4200000000000001E-2</v>
      </c>
      <c r="O5" s="24">
        <v>1.0500000000000001E-2</v>
      </c>
      <c r="P5" s="24">
        <v>8.3999999999999995E-3</v>
      </c>
      <c r="Q5" s="24">
        <v>9.7000000000000003E-3</v>
      </c>
      <c r="R5" s="24">
        <v>7.6E-3</v>
      </c>
      <c r="S5" s="24">
        <v>9.1999999999999998E-3</v>
      </c>
      <c r="T5" s="24">
        <v>8.2000000000000007E-3</v>
      </c>
      <c r="U5" s="24">
        <v>5.4999999999999997E-3</v>
      </c>
      <c r="V5" s="24">
        <v>7.7000000000000002E-3</v>
      </c>
      <c r="W5" s="24">
        <v>1.04E-2</v>
      </c>
    </row>
    <row r="6" spans="2:23">
      <c r="B6" s="27" t="s">
        <v>31</v>
      </c>
      <c r="C6" s="24">
        <v>4.2599999999999999E-2</v>
      </c>
      <c r="D6" s="24">
        <v>2.07E-2</v>
      </c>
      <c r="E6" s="24">
        <v>1.66E-2</v>
      </c>
      <c r="F6" s="24">
        <v>1.7100000000000001E-2</v>
      </c>
      <c r="G6" s="24">
        <v>2.35E-2</v>
      </c>
      <c r="H6" s="24">
        <v>1.2999999999999999E-2</v>
      </c>
      <c r="I6" s="24">
        <v>1.1900000000000001E-2</v>
      </c>
      <c r="J6" s="24">
        <v>1.4800000000000001E-2</v>
      </c>
      <c r="K6" s="24">
        <v>1.8700000000000001E-2</v>
      </c>
      <c r="L6" s="24">
        <v>1.18E-2</v>
      </c>
      <c r="M6" s="24">
        <v>1.41E-2</v>
      </c>
      <c r="N6" s="24">
        <v>1.0800000000000001E-2</v>
      </c>
      <c r="O6" s="24">
        <v>9.4000000000000004E-3</v>
      </c>
      <c r="P6" s="24">
        <v>8.9999999999999993E-3</v>
      </c>
      <c r="Q6" s="24">
        <v>8.3999999999999995E-3</v>
      </c>
      <c r="R6" s="24">
        <v>6.7000000000000002E-3</v>
      </c>
      <c r="S6" s="24">
        <v>8.3999999999999995E-3</v>
      </c>
      <c r="T6" s="24">
        <v>7.1000000000000004E-3</v>
      </c>
      <c r="U6" s="24">
        <v>6.1000000000000004E-3</v>
      </c>
      <c r="V6" s="24">
        <v>8.2000000000000007E-3</v>
      </c>
      <c r="W6" s="24">
        <v>9.4999999999999998E-3</v>
      </c>
    </row>
    <row r="7" spans="2:23">
      <c r="B7" s="27" t="s">
        <v>32</v>
      </c>
      <c r="C7" s="24">
        <v>4.2500000000000003E-2</v>
      </c>
      <c r="D7" s="24">
        <v>2.01E-2</v>
      </c>
      <c r="E7" s="24">
        <v>1.5800000000000002E-2</v>
      </c>
      <c r="F7" s="24">
        <v>1.6299999999999999E-2</v>
      </c>
      <c r="G7" s="24">
        <v>2.0199999999999999E-2</v>
      </c>
      <c r="H7" s="24">
        <v>1.49E-2</v>
      </c>
      <c r="I7" s="24">
        <v>1.34E-2</v>
      </c>
      <c r="J7" s="24">
        <v>1.41E-2</v>
      </c>
      <c r="K7" s="24">
        <v>1.9699999999999999E-2</v>
      </c>
      <c r="L7" s="24">
        <v>1.23E-2</v>
      </c>
      <c r="M7" s="24">
        <v>1.4999999999999999E-2</v>
      </c>
      <c r="N7" s="24">
        <v>1.2800000000000001E-2</v>
      </c>
      <c r="O7" s="24">
        <v>1.03E-2</v>
      </c>
      <c r="P7" s="24">
        <v>8.8000000000000005E-3</v>
      </c>
      <c r="Q7" s="24">
        <v>7.7000000000000002E-3</v>
      </c>
      <c r="R7" s="24">
        <v>7.4999999999999997E-3</v>
      </c>
      <c r="S7" s="24">
        <v>9.9000000000000008E-3</v>
      </c>
      <c r="T7" s="24">
        <v>7.4000000000000003E-3</v>
      </c>
      <c r="U7" s="24">
        <v>6.0000000000000001E-3</v>
      </c>
      <c r="V7" s="24">
        <v>8.6999999999999994E-3</v>
      </c>
      <c r="W7" s="24">
        <v>9.9000000000000008E-3</v>
      </c>
    </row>
    <row r="8" spans="2:23">
      <c r="B8" s="27" t="s">
        <v>33</v>
      </c>
      <c r="C8" s="24">
        <v>4.0399999999999998E-2</v>
      </c>
      <c r="D8" s="24">
        <v>1.9800000000000002E-2</v>
      </c>
      <c r="E8" s="24">
        <v>1.61E-2</v>
      </c>
      <c r="F8" s="24">
        <v>1.6E-2</v>
      </c>
      <c r="G8" s="24">
        <v>1.67E-2</v>
      </c>
      <c r="H8" s="24">
        <v>1.3899999999999999E-2</v>
      </c>
      <c r="I8" s="24">
        <v>1.2699999999999999E-2</v>
      </c>
      <c r="J8" s="24">
        <v>1.3299999999999999E-2</v>
      </c>
      <c r="K8" s="24">
        <v>1.8599999999999998E-2</v>
      </c>
      <c r="L8" s="24">
        <v>1.23E-2</v>
      </c>
      <c r="M8" s="24">
        <v>1.5900000000000001E-2</v>
      </c>
      <c r="N8" s="24">
        <v>1.18E-2</v>
      </c>
      <c r="O8" s="24">
        <v>9.1000000000000004E-3</v>
      </c>
      <c r="P8" s="24">
        <v>9.5999999999999992E-3</v>
      </c>
      <c r="Q8" s="24">
        <v>7.6E-3</v>
      </c>
      <c r="R8" s="24">
        <v>7.9000000000000008E-3</v>
      </c>
      <c r="S8" s="24">
        <v>9.5999999999999992E-3</v>
      </c>
      <c r="T8" s="24">
        <v>6.4000000000000003E-3</v>
      </c>
      <c r="U8" s="24">
        <v>6.1000000000000004E-3</v>
      </c>
      <c r="V8" s="24">
        <v>8.2000000000000007E-3</v>
      </c>
      <c r="W8" s="24">
        <v>1.0699999999999999E-2</v>
      </c>
    </row>
    <row r="9" spans="2:23">
      <c r="B9" s="27" t="s">
        <v>34</v>
      </c>
      <c r="C9" s="24">
        <v>4.02E-2</v>
      </c>
      <c r="D9" s="24">
        <v>1.9300000000000001E-2</v>
      </c>
      <c r="E9" s="24">
        <v>1.6E-2</v>
      </c>
      <c r="F9" s="24">
        <v>1.7000000000000001E-2</v>
      </c>
      <c r="G9" s="24">
        <v>1.66E-2</v>
      </c>
      <c r="H9" s="24">
        <v>1.3100000000000001E-2</v>
      </c>
      <c r="I9" s="24">
        <v>1.4999999999999999E-2</v>
      </c>
      <c r="J9" s="24">
        <v>1.54E-2</v>
      </c>
      <c r="K9" s="24">
        <v>2.0799999999999999E-2</v>
      </c>
      <c r="L9" s="24">
        <v>1.29E-2</v>
      </c>
      <c r="M9" s="24">
        <v>1.5100000000000001E-2</v>
      </c>
      <c r="N9" s="24">
        <v>1.17E-2</v>
      </c>
      <c r="O9" s="24">
        <v>9.7000000000000003E-3</v>
      </c>
      <c r="P9" s="24">
        <v>1.0699999999999999E-2</v>
      </c>
      <c r="Q9" s="24">
        <v>7.9000000000000008E-3</v>
      </c>
      <c r="R9" s="24">
        <v>8.6E-3</v>
      </c>
      <c r="S9" s="24">
        <v>9.7000000000000003E-3</v>
      </c>
      <c r="T9" s="24">
        <v>6.7999999999999996E-3</v>
      </c>
      <c r="U9" s="24">
        <v>7.1999999999999998E-3</v>
      </c>
      <c r="V9" s="24">
        <v>9.4999999999999998E-3</v>
      </c>
      <c r="W9" s="24">
        <v>1.18E-2</v>
      </c>
    </row>
    <row r="10" spans="2:23">
      <c r="B10" s="27" t="s">
        <v>35</v>
      </c>
      <c r="C10" s="24">
        <v>3.8399999999999997E-2</v>
      </c>
      <c r="D10" s="24">
        <v>1.9699999999999999E-2</v>
      </c>
      <c r="E10" s="24">
        <v>1.5900000000000001E-2</v>
      </c>
      <c r="F10" s="24">
        <v>1.4800000000000001E-2</v>
      </c>
      <c r="G10" s="24">
        <v>1.5699999999999999E-2</v>
      </c>
      <c r="H10" s="24">
        <v>1.41E-2</v>
      </c>
      <c r="I10" s="24">
        <v>1.6E-2</v>
      </c>
      <c r="J10" s="24">
        <v>1.44E-2</v>
      </c>
      <c r="K10" s="24">
        <v>1.77E-2</v>
      </c>
      <c r="L10" s="24">
        <v>1.29E-2</v>
      </c>
      <c r="M10" s="24">
        <v>1.66E-2</v>
      </c>
      <c r="N10" s="24">
        <v>1.26E-2</v>
      </c>
      <c r="O10" s="24">
        <v>9.9000000000000008E-3</v>
      </c>
      <c r="P10" s="24">
        <v>1.0200000000000001E-2</v>
      </c>
      <c r="Q10" s="24">
        <v>6.8999999999999999E-3</v>
      </c>
      <c r="R10" s="24">
        <v>8.8999999999999999E-3</v>
      </c>
      <c r="S10" s="24">
        <v>1.0699999999999999E-2</v>
      </c>
      <c r="T10" s="24">
        <v>6.8999999999999999E-3</v>
      </c>
      <c r="U10" s="24">
        <v>7.1000000000000004E-3</v>
      </c>
      <c r="V10" s="24">
        <v>8.6999999999999994E-3</v>
      </c>
      <c r="W10" s="24">
        <v>1.11E-2</v>
      </c>
    </row>
    <row r="11" spans="2:23">
      <c r="B11" s="27" t="s">
        <v>36</v>
      </c>
      <c r="C11" s="24">
        <v>3.32E-2</v>
      </c>
      <c r="D11" s="24">
        <v>1.9E-2</v>
      </c>
      <c r="E11" s="24">
        <v>1.5900000000000001E-2</v>
      </c>
      <c r="F11" s="24">
        <v>2.4899999999999999E-2</v>
      </c>
      <c r="G11" s="24">
        <v>1.49E-2</v>
      </c>
      <c r="H11" s="24">
        <v>1.2200000000000001E-2</v>
      </c>
      <c r="I11" s="24">
        <v>1.32E-2</v>
      </c>
      <c r="J11" s="24">
        <v>1.38E-2</v>
      </c>
      <c r="K11" s="24">
        <v>1.6799999999999999E-2</v>
      </c>
      <c r="L11" s="24">
        <v>1.2500000000000001E-2</v>
      </c>
      <c r="M11" s="24">
        <v>1.4999999999999999E-2</v>
      </c>
      <c r="N11" s="24">
        <v>1.06E-2</v>
      </c>
      <c r="O11" s="24">
        <v>8.0000000000000002E-3</v>
      </c>
      <c r="P11" s="24">
        <v>1.0999999999999999E-2</v>
      </c>
      <c r="Q11" s="24">
        <v>6.8999999999999999E-3</v>
      </c>
      <c r="R11" s="24">
        <v>8.5000000000000006E-3</v>
      </c>
      <c r="S11" s="24">
        <v>9.4000000000000004E-3</v>
      </c>
      <c r="T11" s="24">
        <v>5.4000000000000003E-3</v>
      </c>
      <c r="U11" s="24">
        <v>7.1000000000000004E-3</v>
      </c>
      <c r="V11" s="24">
        <v>9.1000000000000004E-3</v>
      </c>
      <c r="W11" s="24">
        <v>1.11E-2</v>
      </c>
    </row>
    <row r="12" spans="2:23">
      <c r="B12" s="27" t="s">
        <v>37</v>
      </c>
      <c r="C12" s="24">
        <v>3.09E-2</v>
      </c>
      <c r="D12" s="24">
        <v>1.8599999999999998E-2</v>
      </c>
      <c r="E12" s="24">
        <v>1.67E-2</v>
      </c>
      <c r="F12" s="24">
        <v>2.9399999999999999E-2</v>
      </c>
      <c r="G12" s="24">
        <v>1.38E-2</v>
      </c>
      <c r="H12" s="24">
        <v>1.29E-2</v>
      </c>
      <c r="I12" s="24">
        <v>1.5299999999999999E-2</v>
      </c>
      <c r="J12" s="24">
        <v>1.6500000000000001E-2</v>
      </c>
      <c r="K12" s="24">
        <v>1.6400000000000001E-2</v>
      </c>
      <c r="L12" s="24">
        <v>1.21E-2</v>
      </c>
      <c r="M12" s="24">
        <v>1.41E-2</v>
      </c>
      <c r="N12" s="24">
        <v>1.09E-2</v>
      </c>
      <c r="O12" s="24">
        <v>9.2999999999999992E-3</v>
      </c>
      <c r="P12" s="24">
        <v>1.18E-2</v>
      </c>
      <c r="Q12" s="24">
        <v>6.8999999999999999E-3</v>
      </c>
      <c r="R12" s="24">
        <v>8.0999999999999996E-3</v>
      </c>
      <c r="S12" s="24">
        <v>8.8000000000000005E-3</v>
      </c>
      <c r="T12" s="24">
        <v>6.1000000000000004E-3</v>
      </c>
      <c r="U12" s="24">
        <v>8.0999999999999996E-3</v>
      </c>
      <c r="V12" s="24">
        <v>9.4999999999999998E-3</v>
      </c>
      <c r="W12" s="24">
        <v>1.11E-2</v>
      </c>
    </row>
    <row r="13" spans="2:23">
      <c r="B13" s="27" t="s">
        <v>38</v>
      </c>
      <c r="C13" s="24">
        <v>2.8799999999999999E-2</v>
      </c>
      <c r="D13" s="24">
        <v>1.7999999999999999E-2</v>
      </c>
      <c r="E13" s="24">
        <v>3.04E-2</v>
      </c>
      <c r="F13" s="24">
        <v>2.63E-2</v>
      </c>
      <c r="G13" s="24">
        <v>1.3899999999999999E-2</v>
      </c>
      <c r="H13" s="24">
        <v>1.2200000000000001E-2</v>
      </c>
      <c r="I13" s="24">
        <v>1.3899999999999999E-2</v>
      </c>
      <c r="J13" s="24">
        <v>1.54E-2</v>
      </c>
      <c r="K13" s="24">
        <v>1.34E-2</v>
      </c>
      <c r="L13" s="24">
        <v>1.2500000000000001E-2</v>
      </c>
      <c r="M13" s="24">
        <v>1.38E-2</v>
      </c>
      <c r="N13" s="24">
        <v>1.0200000000000001E-2</v>
      </c>
      <c r="O13" s="24">
        <v>8.3999999999999995E-3</v>
      </c>
      <c r="P13" s="24">
        <v>1.0200000000000001E-2</v>
      </c>
      <c r="Q13" s="24">
        <v>6.6E-3</v>
      </c>
      <c r="R13" s="24">
        <v>8.0999999999999996E-3</v>
      </c>
      <c r="S13" s="24">
        <v>8.6E-3</v>
      </c>
      <c r="T13" s="24">
        <v>5.4999999999999997E-3</v>
      </c>
      <c r="U13" s="24">
        <v>7.1999999999999998E-3</v>
      </c>
      <c r="V13" s="24">
        <v>8.3999999999999995E-3</v>
      </c>
      <c r="W13" s="22"/>
    </row>
    <row r="14" spans="2:23" ht="15.75" thickBot="1">
      <c r="B14" s="29" t="s">
        <v>39</v>
      </c>
      <c r="C14" s="25">
        <v>2.7799999999999998E-2</v>
      </c>
      <c r="D14" s="25">
        <v>1.7999999999999999E-2</v>
      </c>
      <c r="E14" s="25">
        <v>2.9700000000000001E-2</v>
      </c>
      <c r="F14" s="25">
        <v>2.4E-2</v>
      </c>
      <c r="G14" s="25">
        <v>1.6E-2</v>
      </c>
      <c r="H14" s="25">
        <v>1.2E-2</v>
      </c>
      <c r="I14" s="25">
        <v>1.3899999999999999E-2</v>
      </c>
      <c r="J14" s="25">
        <v>1.7399999999999999E-2</v>
      </c>
      <c r="K14" s="25">
        <v>1.37E-2</v>
      </c>
      <c r="L14" s="25">
        <v>1.4800000000000001E-2</v>
      </c>
      <c r="M14" s="25">
        <v>1.47E-2</v>
      </c>
      <c r="N14" s="26">
        <v>9.9000000000000008E-3</v>
      </c>
      <c r="O14" s="26">
        <v>8.3999999999999995E-3</v>
      </c>
      <c r="P14" s="26">
        <v>1.12E-2</v>
      </c>
      <c r="Q14" s="26">
        <v>7.3000000000000001E-3</v>
      </c>
      <c r="R14" s="26">
        <v>9.2999999999999992E-3</v>
      </c>
      <c r="S14" s="26">
        <v>9.1000000000000004E-3</v>
      </c>
      <c r="T14" s="26">
        <v>5.4999999999999997E-3</v>
      </c>
      <c r="U14" s="26">
        <v>7.9000000000000008E-3</v>
      </c>
      <c r="V14" s="26">
        <v>9.5999999999999992E-3</v>
      </c>
      <c r="W14" s="30"/>
    </row>
    <row r="17" spans="2:3">
      <c r="B17" s="27" t="s">
        <v>28</v>
      </c>
      <c r="C17" s="28">
        <v>1995</v>
      </c>
    </row>
    <row r="18" spans="2:3">
      <c r="B18" s="27" t="s">
        <v>29</v>
      </c>
      <c r="C18" s="28">
        <f>IF(B17="Dezembro",C17+1,C17)</f>
        <v>1995</v>
      </c>
    </row>
    <row r="19" spans="2:3">
      <c r="B19" s="27" t="s">
        <v>30</v>
      </c>
      <c r="C19" s="28">
        <f t="shared" ref="C19:C82" si="0">IF(B18="Dezembro",C18+1,C18)</f>
        <v>1995</v>
      </c>
    </row>
    <row r="20" spans="2:3">
      <c r="B20" s="27" t="s">
        <v>31</v>
      </c>
      <c r="C20" s="28">
        <f t="shared" si="0"/>
        <v>1995</v>
      </c>
    </row>
    <row r="21" spans="2:3">
      <c r="B21" s="27" t="s">
        <v>32</v>
      </c>
      <c r="C21" s="28">
        <f t="shared" si="0"/>
        <v>1995</v>
      </c>
    </row>
    <row r="22" spans="2:3">
      <c r="B22" s="27" t="s">
        <v>33</v>
      </c>
      <c r="C22" s="28">
        <f t="shared" si="0"/>
        <v>1995</v>
      </c>
    </row>
    <row r="23" spans="2:3">
      <c r="B23" s="27" t="s">
        <v>34</v>
      </c>
      <c r="C23" s="28">
        <f t="shared" si="0"/>
        <v>1995</v>
      </c>
    </row>
    <row r="24" spans="2:3">
      <c r="B24" s="27" t="s">
        <v>35</v>
      </c>
      <c r="C24" s="28">
        <f t="shared" si="0"/>
        <v>1995</v>
      </c>
    </row>
    <row r="25" spans="2:3">
      <c r="B25" s="27" t="s">
        <v>36</v>
      </c>
      <c r="C25" s="28">
        <f t="shared" si="0"/>
        <v>1995</v>
      </c>
    </row>
    <row r="26" spans="2:3">
      <c r="B26" s="27" t="s">
        <v>37</v>
      </c>
      <c r="C26" s="28">
        <f t="shared" si="0"/>
        <v>1995</v>
      </c>
    </row>
    <row r="27" spans="2:3">
      <c r="B27" s="27" t="s">
        <v>38</v>
      </c>
      <c r="C27" s="28">
        <f t="shared" si="0"/>
        <v>1995</v>
      </c>
    </row>
    <row r="28" spans="2:3" ht="15.75" thickBot="1">
      <c r="B28" s="29" t="s">
        <v>39</v>
      </c>
      <c r="C28" s="28">
        <f t="shared" si="0"/>
        <v>1995</v>
      </c>
    </row>
    <row r="29" spans="2:3">
      <c r="B29" s="27" t="s">
        <v>28</v>
      </c>
      <c r="C29" s="28">
        <f t="shared" si="0"/>
        <v>1996</v>
      </c>
    </row>
    <row r="30" spans="2:3">
      <c r="B30" s="27" t="s">
        <v>29</v>
      </c>
      <c r="C30" s="28">
        <f t="shared" si="0"/>
        <v>1996</v>
      </c>
    </row>
    <row r="31" spans="2:3">
      <c r="B31" s="27" t="s">
        <v>30</v>
      </c>
      <c r="C31" s="28">
        <f t="shared" si="0"/>
        <v>1996</v>
      </c>
    </row>
    <row r="32" spans="2:3">
      <c r="B32" s="27" t="s">
        <v>31</v>
      </c>
      <c r="C32" s="28">
        <f t="shared" si="0"/>
        <v>1996</v>
      </c>
    </row>
    <row r="33" spans="2:3">
      <c r="B33" s="27" t="s">
        <v>32</v>
      </c>
      <c r="C33" s="28">
        <f t="shared" si="0"/>
        <v>1996</v>
      </c>
    </row>
    <row r="34" spans="2:3">
      <c r="B34" s="27" t="s">
        <v>33</v>
      </c>
      <c r="C34" s="28">
        <f t="shared" si="0"/>
        <v>1996</v>
      </c>
    </row>
    <row r="35" spans="2:3">
      <c r="B35" s="27" t="s">
        <v>34</v>
      </c>
      <c r="C35" s="28">
        <f t="shared" si="0"/>
        <v>1996</v>
      </c>
    </row>
    <row r="36" spans="2:3">
      <c r="B36" s="27" t="s">
        <v>35</v>
      </c>
      <c r="C36" s="28">
        <f t="shared" si="0"/>
        <v>1996</v>
      </c>
    </row>
    <row r="37" spans="2:3">
      <c r="B37" s="27" t="s">
        <v>36</v>
      </c>
      <c r="C37" s="28">
        <f t="shared" si="0"/>
        <v>1996</v>
      </c>
    </row>
    <row r="38" spans="2:3">
      <c r="B38" s="27" t="s">
        <v>37</v>
      </c>
      <c r="C38" s="28">
        <f t="shared" si="0"/>
        <v>1996</v>
      </c>
    </row>
    <row r="39" spans="2:3">
      <c r="B39" s="27" t="s">
        <v>38</v>
      </c>
      <c r="C39" s="28">
        <f t="shared" si="0"/>
        <v>1996</v>
      </c>
    </row>
    <row r="40" spans="2:3" ht="15.75" thickBot="1">
      <c r="B40" s="29" t="s">
        <v>39</v>
      </c>
      <c r="C40" s="28">
        <f t="shared" si="0"/>
        <v>1996</v>
      </c>
    </row>
    <row r="41" spans="2:3">
      <c r="B41" s="27" t="s">
        <v>28</v>
      </c>
      <c r="C41" s="28">
        <f t="shared" si="0"/>
        <v>1997</v>
      </c>
    </row>
    <row r="42" spans="2:3">
      <c r="B42" s="27" t="s">
        <v>29</v>
      </c>
      <c r="C42" s="28">
        <f t="shared" si="0"/>
        <v>1997</v>
      </c>
    </row>
    <row r="43" spans="2:3">
      <c r="B43" s="27" t="s">
        <v>30</v>
      </c>
      <c r="C43" s="28">
        <f t="shared" si="0"/>
        <v>1997</v>
      </c>
    </row>
    <row r="44" spans="2:3">
      <c r="B44" s="27" t="s">
        <v>31</v>
      </c>
      <c r="C44" s="28">
        <f t="shared" si="0"/>
        <v>1997</v>
      </c>
    </row>
    <row r="45" spans="2:3">
      <c r="B45" s="27" t="s">
        <v>32</v>
      </c>
      <c r="C45" s="28">
        <f t="shared" si="0"/>
        <v>1997</v>
      </c>
    </row>
    <row r="46" spans="2:3">
      <c r="B46" s="27" t="s">
        <v>33</v>
      </c>
      <c r="C46" s="28">
        <f t="shared" si="0"/>
        <v>1997</v>
      </c>
    </row>
    <row r="47" spans="2:3">
      <c r="B47" s="27" t="s">
        <v>34</v>
      </c>
      <c r="C47" s="28">
        <f t="shared" si="0"/>
        <v>1997</v>
      </c>
    </row>
    <row r="48" spans="2:3">
      <c r="B48" s="27" t="s">
        <v>35</v>
      </c>
      <c r="C48" s="28">
        <f t="shared" si="0"/>
        <v>1997</v>
      </c>
    </row>
    <row r="49" spans="2:3">
      <c r="B49" s="27" t="s">
        <v>36</v>
      </c>
      <c r="C49" s="28">
        <f t="shared" si="0"/>
        <v>1997</v>
      </c>
    </row>
    <row r="50" spans="2:3">
      <c r="B50" s="27" t="s">
        <v>37</v>
      </c>
      <c r="C50" s="28">
        <f t="shared" si="0"/>
        <v>1997</v>
      </c>
    </row>
    <row r="51" spans="2:3">
      <c r="B51" s="27" t="s">
        <v>38</v>
      </c>
      <c r="C51" s="28">
        <f t="shared" si="0"/>
        <v>1997</v>
      </c>
    </row>
    <row r="52" spans="2:3" ht="15.75" thickBot="1">
      <c r="B52" s="29" t="s">
        <v>39</v>
      </c>
      <c r="C52" s="28">
        <f t="shared" si="0"/>
        <v>1997</v>
      </c>
    </row>
    <row r="53" spans="2:3">
      <c r="B53" s="27" t="s">
        <v>28</v>
      </c>
      <c r="C53" s="28">
        <f t="shared" si="0"/>
        <v>1998</v>
      </c>
    </row>
    <row r="54" spans="2:3">
      <c r="B54" s="27" t="s">
        <v>29</v>
      </c>
      <c r="C54" s="28">
        <f t="shared" si="0"/>
        <v>1998</v>
      </c>
    </row>
    <row r="55" spans="2:3">
      <c r="B55" s="27" t="s">
        <v>30</v>
      </c>
      <c r="C55" s="28">
        <f t="shared" si="0"/>
        <v>1998</v>
      </c>
    </row>
    <row r="56" spans="2:3">
      <c r="B56" s="27" t="s">
        <v>31</v>
      </c>
      <c r="C56" s="28">
        <f t="shared" si="0"/>
        <v>1998</v>
      </c>
    </row>
    <row r="57" spans="2:3">
      <c r="B57" s="27" t="s">
        <v>32</v>
      </c>
      <c r="C57" s="28">
        <f t="shared" si="0"/>
        <v>1998</v>
      </c>
    </row>
    <row r="58" spans="2:3">
      <c r="B58" s="27" t="s">
        <v>33</v>
      </c>
      <c r="C58" s="28">
        <f t="shared" si="0"/>
        <v>1998</v>
      </c>
    </row>
    <row r="59" spans="2:3">
      <c r="B59" s="27" t="s">
        <v>34</v>
      </c>
      <c r="C59" s="28">
        <f t="shared" si="0"/>
        <v>1998</v>
      </c>
    </row>
    <row r="60" spans="2:3">
      <c r="B60" s="27" t="s">
        <v>35</v>
      </c>
      <c r="C60" s="28">
        <f t="shared" si="0"/>
        <v>1998</v>
      </c>
    </row>
    <row r="61" spans="2:3">
      <c r="B61" s="27" t="s">
        <v>36</v>
      </c>
      <c r="C61" s="28">
        <f t="shared" si="0"/>
        <v>1998</v>
      </c>
    </row>
    <row r="62" spans="2:3">
      <c r="B62" s="27" t="s">
        <v>37</v>
      </c>
      <c r="C62" s="28">
        <f t="shared" si="0"/>
        <v>1998</v>
      </c>
    </row>
    <row r="63" spans="2:3">
      <c r="B63" s="27" t="s">
        <v>38</v>
      </c>
      <c r="C63" s="28">
        <f t="shared" si="0"/>
        <v>1998</v>
      </c>
    </row>
    <row r="64" spans="2:3" ht="15.75" thickBot="1">
      <c r="B64" s="29" t="s">
        <v>39</v>
      </c>
      <c r="C64" s="28">
        <f t="shared" si="0"/>
        <v>1998</v>
      </c>
    </row>
    <row r="65" spans="2:3">
      <c r="B65" s="27" t="s">
        <v>28</v>
      </c>
      <c r="C65" s="28">
        <f t="shared" si="0"/>
        <v>1999</v>
      </c>
    </row>
    <row r="66" spans="2:3">
      <c r="B66" s="27" t="s">
        <v>29</v>
      </c>
      <c r="C66" s="28">
        <f t="shared" si="0"/>
        <v>1999</v>
      </c>
    </row>
    <row r="67" spans="2:3">
      <c r="B67" s="27" t="s">
        <v>30</v>
      </c>
      <c r="C67" s="28">
        <f t="shared" si="0"/>
        <v>1999</v>
      </c>
    </row>
    <row r="68" spans="2:3">
      <c r="B68" s="27" t="s">
        <v>31</v>
      </c>
      <c r="C68" s="28">
        <f t="shared" si="0"/>
        <v>1999</v>
      </c>
    </row>
    <row r="69" spans="2:3">
      <c r="B69" s="27" t="s">
        <v>32</v>
      </c>
      <c r="C69" s="28">
        <f t="shared" si="0"/>
        <v>1999</v>
      </c>
    </row>
    <row r="70" spans="2:3">
      <c r="B70" s="27" t="s">
        <v>33</v>
      </c>
      <c r="C70" s="28">
        <f t="shared" si="0"/>
        <v>1999</v>
      </c>
    </row>
    <row r="71" spans="2:3">
      <c r="B71" s="27" t="s">
        <v>34</v>
      </c>
      <c r="C71" s="28">
        <f t="shared" si="0"/>
        <v>1999</v>
      </c>
    </row>
    <row r="72" spans="2:3">
      <c r="B72" s="27" t="s">
        <v>35</v>
      </c>
      <c r="C72" s="28">
        <f t="shared" si="0"/>
        <v>1999</v>
      </c>
    </row>
    <row r="73" spans="2:3">
      <c r="B73" s="27" t="s">
        <v>36</v>
      </c>
      <c r="C73" s="28">
        <f t="shared" si="0"/>
        <v>1999</v>
      </c>
    </row>
    <row r="74" spans="2:3">
      <c r="B74" s="27" t="s">
        <v>37</v>
      </c>
      <c r="C74" s="28">
        <f t="shared" si="0"/>
        <v>1999</v>
      </c>
    </row>
    <row r="75" spans="2:3">
      <c r="B75" s="27" t="s">
        <v>38</v>
      </c>
      <c r="C75" s="28">
        <f t="shared" si="0"/>
        <v>1999</v>
      </c>
    </row>
    <row r="76" spans="2:3" ht="15.75" thickBot="1">
      <c r="B76" s="29" t="s">
        <v>39</v>
      </c>
      <c r="C76" s="28">
        <f t="shared" si="0"/>
        <v>1999</v>
      </c>
    </row>
    <row r="77" spans="2:3">
      <c r="B77" s="27" t="s">
        <v>28</v>
      </c>
      <c r="C77" s="28">
        <f t="shared" si="0"/>
        <v>2000</v>
      </c>
    </row>
    <row r="78" spans="2:3">
      <c r="B78" s="27" t="s">
        <v>29</v>
      </c>
      <c r="C78" s="28">
        <f t="shared" si="0"/>
        <v>2000</v>
      </c>
    </row>
    <row r="79" spans="2:3">
      <c r="B79" s="27" t="s">
        <v>30</v>
      </c>
      <c r="C79" s="28">
        <f t="shared" si="0"/>
        <v>2000</v>
      </c>
    </row>
    <row r="80" spans="2:3">
      <c r="B80" s="27" t="s">
        <v>31</v>
      </c>
      <c r="C80" s="28">
        <f t="shared" si="0"/>
        <v>2000</v>
      </c>
    </row>
    <row r="81" spans="2:3">
      <c r="B81" s="27" t="s">
        <v>32</v>
      </c>
      <c r="C81" s="28">
        <f t="shared" si="0"/>
        <v>2000</v>
      </c>
    </row>
    <row r="82" spans="2:3">
      <c r="B82" s="27" t="s">
        <v>33</v>
      </c>
      <c r="C82" s="28">
        <f t="shared" si="0"/>
        <v>2000</v>
      </c>
    </row>
    <row r="83" spans="2:3">
      <c r="B83" s="27" t="s">
        <v>34</v>
      </c>
      <c r="C83" s="28">
        <f t="shared" ref="C83:C146" si="1">IF(B82="Dezembro",C82+1,C82)</f>
        <v>2000</v>
      </c>
    </row>
    <row r="84" spans="2:3">
      <c r="B84" s="27" t="s">
        <v>35</v>
      </c>
      <c r="C84" s="28">
        <f t="shared" si="1"/>
        <v>2000</v>
      </c>
    </row>
    <row r="85" spans="2:3">
      <c r="B85" s="27" t="s">
        <v>36</v>
      </c>
      <c r="C85" s="28">
        <f t="shared" si="1"/>
        <v>2000</v>
      </c>
    </row>
    <row r="86" spans="2:3">
      <c r="B86" s="27" t="s">
        <v>37</v>
      </c>
      <c r="C86" s="28">
        <f t="shared" si="1"/>
        <v>2000</v>
      </c>
    </row>
    <row r="87" spans="2:3">
      <c r="B87" s="27" t="s">
        <v>38</v>
      </c>
      <c r="C87" s="28">
        <f t="shared" si="1"/>
        <v>2000</v>
      </c>
    </row>
    <row r="88" spans="2:3" ht="15.75" thickBot="1">
      <c r="B88" s="29" t="s">
        <v>39</v>
      </c>
      <c r="C88" s="28">
        <f t="shared" si="1"/>
        <v>2000</v>
      </c>
    </row>
    <row r="89" spans="2:3">
      <c r="B89" s="27" t="s">
        <v>28</v>
      </c>
      <c r="C89" s="28">
        <f t="shared" si="1"/>
        <v>2001</v>
      </c>
    </row>
    <row r="90" spans="2:3">
      <c r="B90" s="27" t="s">
        <v>29</v>
      </c>
      <c r="C90" s="28">
        <f t="shared" si="1"/>
        <v>2001</v>
      </c>
    </row>
    <row r="91" spans="2:3">
      <c r="B91" s="27" t="s">
        <v>30</v>
      </c>
      <c r="C91" s="28">
        <f t="shared" si="1"/>
        <v>2001</v>
      </c>
    </row>
    <row r="92" spans="2:3">
      <c r="B92" s="27" t="s">
        <v>31</v>
      </c>
      <c r="C92" s="28">
        <f t="shared" si="1"/>
        <v>2001</v>
      </c>
    </row>
    <row r="93" spans="2:3">
      <c r="B93" s="27" t="s">
        <v>32</v>
      </c>
      <c r="C93" s="28">
        <f t="shared" si="1"/>
        <v>2001</v>
      </c>
    </row>
    <row r="94" spans="2:3">
      <c r="B94" s="27" t="s">
        <v>33</v>
      </c>
      <c r="C94" s="28">
        <f t="shared" si="1"/>
        <v>2001</v>
      </c>
    </row>
    <row r="95" spans="2:3">
      <c r="B95" s="27" t="s">
        <v>34</v>
      </c>
      <c r="C95" s="28">
        <f t="shared" si="1"/>
        <v>2001</v>
      </c>
    </row>
    <row r="96" spans="2:3">
      <c r="B96" s="27" t="s">
        <v>35</v>
      </c>
      <c r="C96" s="28">
        <f t="shared" si="1"/>
        <v>2001</v>
      </c>
    </row>
    <row r="97" spans="2:3">
      <c r="B97" s="27" t="s">
        <v>36</v>
      </c>
      <c r="C97" s="28">
        <f t="shared" si="1"/>
        <v>2001</v>
      </c>
    </row>
    <row r="98" spans="2:3">
      <c r="B98" s="27" t="s">
        <v>37</v>
      </c>
      <c r="C98" s="28">
        <f t="shared" si="1"/>
        <v>2001</v>
      </c>
    </row>
    <row r="99" spans="2:3">
      <c r="B99" s="27" t="s">
        <v>38</v>
      </c>
      <c r="C99" s="28">
        <f t="shared" si="1"/>
        <v>2001</v>
      </c>
    </row>
    <row r="100" spans="2:3" ht="15.75" thickBot="1">
      <c r="B100" s="29" t="s">
        <v>39</v>
      </c>
      <c r="C100" s="28">
        <f t="shared" si="1"/>
        <v>2001</v>
      </c>
    </row>
    <row r="101" spans="2:3">
      <c r="B101" s="27" t="s">
        <v>28</v>
      </c>
      <c r="C101" s="28">
        <f t="shared" si="1"/>
        <v>2002</v>
      </c>
    </row>
    <row r="102" spans="2:3">
      <c r="B102" s="27" t="s">
        <v>29</v>
      </c>
      <c r="C102" s="28">
        <f t="shared" si="1"/>
        <v>2002</v>
      </c>
    </row>
    <row r="103" spans="2:3">
      <c r="B103" s="27" t="s">
        <v>30</v>
      </c>
      <c r="C103" s="28">
        <f t="shared" si="1"/>
        <v>2002</v>
      </c>
    </row>
    <row r="104" spans="2:3">
      <c r="B104" s="27" t="s">
        <v>31</v>
      </c>
      <c r="C104" s="28">
        <f t="shared" si="1"/>
        <v>2002</v>
      </c>
    </row>
    <row r="105" spans="2:3">
      <c r="B105" s="27" t="s">
        <v>32</v>
      </c>
      <c r="C105" s="28">
        <f t="shared" si="1"/>
        <v>2002</v>
      </c>
    </row>
    <row r="106" spans="2:3">
      <c r="B106" s="27" t="s">
        <v>33</v>
      </c>
      <c r="C106" s="28">
        <f t="shared" si="1"/>
        <v>2002</v>
      </c>
    </row>
    <row r="107" spans="2:3">
      <c r="B107" s="27" t="s">
        <v>34</v>
      </c>
      <c r="C107" s="28">
        <f t="shared" si="1"/>
        <v>2002</v>
      </c>
    </row>
    <row r="108" spans="2:3">
      <c r="B108" s="27" t="s">
        <v>35</v>
      </c>
      <c r="C108" s="28">
        <f t="shared" si="1"/>
        <v>2002</v>
      </c>
    </row>
    <row r="109" spans="2:3">
      <c r="B109" s="27" t="s">
        <v>36</v>
      </c>
      <c r="C109" s="28">
        <f t="shared" si="1"/>
        <v>2002</v>
      </c>
    </row>
    <row r="110" spans="2:3">
      <c r="B110" s="27" t="s">
        <v>37</v>
      </c>
      <c r="C110" s="28">
        <f t="shared" si="1"/>
        <v>2002</v>
      </c>
    </row>
    <row r="111" spans="2:3">
      <c r="B111" s="27" t="s">
        <v>38</v>
      </c>
      <c r="C111" s="28">
        <f t="shared" si="1"/>
        <v>2002</v>
      </c>
    </row>
    <row r="112" spans="2:3" ht="15.75" thickBot="1">
      <c r="B112" s="29" t="s">
        <v>39</v>
      </c>
      <c r="C112" s="28">
        <f t="shared" si="1"/>
        <v>2002</v>
      </c>
    </row>
    <row r="113" spans="2:3">
      <c r="B113" s="27" t="s">
        <v>28</v>
      </c>
      <c r="C113" s="28">
        <f t="shared" si="1"/>
        <v>2003</v>
      </c>
    </row>
    <row r="114" spans="2:3">
      <c r="B114" s="27" t="s">
        <v>29</v>
      </c>
      <c r="C114" s="28">
        <f t="shared" si="1"/>
        <v>2003</v>
      </c>
    </row>
    <row r="115" spans="2:3">
      <c r="B115" s="27" t="s">
        <v>30</v>
      </c>
      <c r="C115" s="28">
        <f t="shared" si="1"/>
        <v>2003</v>
      </c>
    </row>
    <row r="116" spans="2:3">
      <c r="B116" s="27" t="s">
        <v>31</v>
      </c>
      <c r="C116" s="28">
        <f t="shared" si="1"/>
        <v>2003</v>
      </c>
    </row>
    <row r="117" spans="2:3">
      <c r="B117" s="27" t="s">
        <v>32</v>
      </c>
      <c r="C117" s="28">
        <f t="shared" si="1"/>
        <v>2003</v>
      </c>
    </row>
    <row r="118" spans="2:3">
      <c r="B118" s="27" t="s">
        <v>33</v>
      </c>
      <c r="C118" s="28">
        <f t="shared" si="1"/>
        <v>2003</v>
      </c>
    </row>
    <row r="119" spans="2:3">
      <c r="B119" s="27" t="s">
        <v>34</v>
      </c>
      <c r="C119" s="28">
        <f t="shared" si="1"/>
        <v>2003</v>
      </c>
    </row>
    <row r="120" spans="2:3">
      <c r="B120" s="27" t="s">
        <v>35</v>
      </c>
      <c r="C120" s="28">
        <f t="shared" si="1"/>
        <v>2003</v>
      </c>
    </row>
    <row r="121" spans="2:3">
      <c r="B121" s="27" t="s">
        <v>36</v>
      </c>
      <c r="C121" s="28">
        <f t="shared" si="1"/>
        <v>2003</v>
      </c>
    </row>
    <row r="122" spans="2:3">
      <c r="B122" s="27" t="s">
        <v>37</v>
      </c>
      <c r="C122" s="28">
        <f t="shared" si="1"/>
        <v>2003</v>
      </c>
    </row>
    <row r="123" spans="2:3">
      <c r="B123" s="27" t="s">
        <v>38</v>
      </c>
      <c r="C123" s="28">
        <f t="shared" si="1"/>
        <v>2003</v>
      </c>
    </row>
    <row r="124" spans="2:3" ht="15.75" thickBot="1">
      <c r="B124" s="29" t="s">
        <v>39</v>
      </c>
      <c r="C124" s="28">
        <f t="shared" si="1"/>
        <v>2003</v>
      </c>
    </row>
    <row r="125" spans="2:3">
      <c r="B125" s="27" t="s">
        <v>28</v>
      </c>
      <c r="C125" s="28">
        <f t="shared" si="1"/>
        <v>2004</v>
      </c>
    </row>
    <row r="126" spans="2:3">
      <c r="B126" s="27" t="s">
        <v>29</v>
      </c>
      <c r="C126" s="28">
        <f t="shared" si="1"/>
        <v>2004</v>
      </c>
    </row>
    <row r="127" spans="2:3">
      <c r="B127" s="27" t="s">
        <v>30</v>
      </c>
      <c r="C127" s="28">
        <f t="shared" si="1"/>
        <v>2004</v>
      </c>
    </row>
    <row r="128" spans="2:3">
      <c r="B128" s="27" t="s">
        <v>31</v>
      </c>
      <c r="C128" s="28">
        <f t="shared" si="1"/>
        <v>2004</v>
      </c>
    </row>
    <row r="129" spans="2:3">
      <c r="B129" s="27" t="s">
        <v>32</v>
      </c>
      <c r="C129" s="28">
        <f t="shared" si="1"/>
        <v>2004</v>
      </c>
    </row>
    <row r="130" spans="2:3">
      <c r="B130" s="27" t="s">
        <v>33</v>
      </c>
      <c r="C130" s="28">
        <f t="shared" si="1"/>
        <v>2004</v>
      </c>
    </row>
    <row r="131" spans="2:3">
      <c r="B131" s="27" t="s">
        <v>34</v>
      </c>
      <c r="C131" s="28">
        <f t="shared" si="1"/>
        <v>2004</v>
      </c>
    </row>
    <row r="132" spans="2:3">
      <c r="B132" s="27" t="s">
        <v>35</v>
      </c>
      <c r="C132" s="28">
        <f t="shared" si="1"/>
        <v>2004</v>
      </c>
    </row>
    <row r="133" spans="2:3">
      <c r="B133" s="27" t="s">
        <v>36</v>
      </c>
      <c r="C133" s="28">
        <f t="shared" si="1"/>
        <v>2004</v>
      </c>
    </row>
    <row r="134" spans="2:3">
      <c r="B134" s="27" t="s">
        <v>37</v>
      </c>
      <c r="C134" s="28">
        <f t="shared" si="1"/>
        <v>2004</v>
      </c>
    </row>
    <row r="135" spans="2:3">
      <c r="B135" s="27" t="s">
        <v>38</v>
      </c>
      <c r="C135" s="28">
        <f t="shared" si="1"/>
        <v>2004</v>
      </c>
    </row>
    <row r="136" spans="2:3" ht="15.75" thickBot="1">
      <c r="B136" s="29" t="s">
        <v>39</v>
      </c>
      <c r="C136" s="28">
        <f t="shared" si="1"/>
        <v>2004</v>
      </c>
    </row>
    <row r="137" spans="2:3">
      <c r="B137" s="27" t="s">
        <v>28</v>
      </c>
      <c r="C137" s="28">
        <f t="shared" si="1"/>
        <v>2005</v>
      </c>
    </row>
    <row r="138" spans="2:3">
      <c r="B138" s="27" t="s">
        <v>29</v>
      </c>
      <c r="C138" s="28">
        <f t="shared" si="1"/>
        <v>2005</v>
      </c>
    </row>
    <row r="139" spans="2:3">
      <c r="B139" s="27" t="s">
        <v>30</v>
      </c>
      <c r="C139" s="28">
        <f t="shared" si="1"/>
        <v>2005</v>
      </c>
    </row>
    <row r="140" spans="2:3">
      <c r="B140" s="27" t="s">
        <v>31</v>
      </c>
      <c r="C140" s="28">
        <f t="shared" si="1"/>
        <v>2005</v>
      </c>
    </row>
    <row r="141" spans="2:3">
      <c r="B141" s="27" t="s">
        <v>32</v>
      </c>
      <c r="C141" s="28">
        <f t="shared" si="1"/>
        <v>2005</v>
      </c>
    </row>
    <row r="142" spans="2:3">
      <c r="B142" s="27" t="s">
        <v>33</v>
      </c>
      <c r="C142" s="28">
        <f t="shared" si="1"/>
        <v>2005</v>
      </c>
    </row>
    <row r="143" spans="2:3">
      <c r="B143" s="27" t="s">
        <v>34</v>
      </c>
      <c r="C143" s="28">
        <f t="shared" si="1"/>
        <v>2005</v>
      </c>
    </row>
    <row r="144" spans="2:3">
      <c r="B144" s="27" t="s">
        <v>35</v>
      </c>
      <c r="C144" s="28">
        <f t="shared" si="1"/>
        <v>2005</v>
      </c>
    </row>
    <row r="145" spans="2:3">
      <c r="B145" s="27" t="s">
        <v>36</v>
      </c>
      <c r="C145" s="28">
        <f t="shared" si="1"/>
        <v>2005</v>
      </c>
    </row>
    <row r="146" spans="2:3">
      <c r="B146" s="27" t="s">
        <v>37</v>
      </c>
      <c r="C146" s="28">
        <f t="shared" si="1"/>
        <v>2005</v>
      </c>
    </row>
    <row r="147" spans="2:3">
      <c r="B147" s="27" t="s">
        <v>38</v>
      </c>
      <c r="C147" s="28">
        <f t="shared" ref="C147:C210" si="2">IF(B146="Dezembro",C146+1,C146)</f>
        <v>2005</v>
      </c>
    </row>
    <row r="148" spans="2:3" ht="15.75" thickBot="1">
      <c r="B148" s="29" t="s">
        <v>39</v>
      </c>
      <c r="C148" s="28">
        <f t="shared" si="2"/>
        <v>2005</v>
      </c>
    </row>
    <row r="149" spans="2:3">
      <c r="B149" s="27" t="s">
        <v>28</v>
      </c>
      <c r="C149" s="28">
        <f t="shared" si="2"/>
        <v>2006</v>
      </c>
    </row>
    <row r="150" spans="2:3">
      <c r="B150" s="27" t="s">
        <v>29</v>
      </c>
      <c r="C150" s="28">
        <f t="shared" si="2"/>
        <v>2006</v>
      </c>
    </row>
    <row r="151" spans="2:3">
      <c r="B151" s="27" t="s">
        <v>30</v>
      </c>
      <c r="C151" s="28">
        <f t="shared" si="2"/>
        <v>2006</v>
      </c>
    </row>
    <row r="152" spans="2:3">
      <c r="B152" s="27" t="s">
        <v>31</v>
      </c>
      <c r="C152" s="28">
        <f t="shared" si="2"/>
        <v>2006</v>
      </c>
    </row>
    <row r="153" spans="2:3">
      <c r="B153" s="27" t="s">
        <v>32</v>
      </c>
      <c r="C153" s="28">
        <f t="shared" si="2"/>
        <v>2006</v>
      </c>
    </row>
    <row r="154" spans="2:3">
      <c r="B154" s="27" t="s">
        <v>33</v>
      </c>
      <c r="C154" s="28">
        <f t="shared" si="2"/>
        <v>2006</v>
      </c>
    </row>
    <row r="155" spans="2:3">
      <c r="B155" s="27" t="s">
        <v>34</v>
      </c>
      <c r="C155" s="28">
        <f t="shared" si="2"/>
        <v>2006</v>
      </c>
    </row>
    <row r="156" spans="2:3">
      <c r="B156" s="27" t="s">
        <v>35</v>
      </c>
      <c r="C156" s="28">
        <f t="shared" si="2"/>
        <v>2006</v>
      </c>
    </row>
    <row r="157" spans="2:3">
      <c r="B157" s="27" t="s">
        <v>36</v>
      </c>
      <c r="C157" s="28">
        <f t="shared" si="2"/>
        <v>2006</v>
      </c>
    </row>
    <row r="158" spans="2:3">
      <c r="B158" s="27" t="s">
        <v>37</v>
      </c>
      <c r="C158" s="28">
        <f t="shared" si="2"/>
        <v>2006</v>
      </c>
    </row>
    <row r="159" spans="2:3">
      <c r="B159" s="27" t="s">
        <v>38</v>
      </c>
      <c r="C159" s="28">
        <f t="shared" si="2"/>
        <v>2006</v>
      </c>
    </row>
    <row r="160" spans="2:3" ht="15.75" thickBot="1">
      <c r="B160" s="29" t="s">
        <v>39</v>
      </c>
      <c r="C160" s="28">
        <f t="shared" si="2"/>
        <v>2006</v>
      </c>
    </row>
    <row r="161" spans="2:3">
      <c r="B161" s="27" t="s">
        <v>28</v>
      </c>
      <c r="C161" s="28">
        <f t="shared" si="2"/>
        <v>2007</v>
      </c>
    </row>
    <row r="162" spans="2:3">
      <c r="B162" s="27" t="s">
        <v>29</v>
      </c>
      <c r="C162" s="28">
        <f t="shared" si="2"/>
        <v>2007</v>
      </c>
    </row>
    <row r="163" spans="2:3">
      <c r="B163" s="27" t="s">
        <v>30</v>
      </c>
      <c r="C163" s="28">
        <f t="shared" si="2"/>
        <v>2007</v>
      </c>
    </row>
    <row r="164" spans="2:3">
      <c r="B164" s="27" t="s">
        <v>31</v>
      </c>
      <c r="C164" s="28">
        <f t="shared" si="2"/>
        <v>2007</v>
      </c>
    </row>
    <row r="165" spans="2:3">
      <c r="B165" s="27" t="s">
        <v>32</v>
      </c>
      <c r="C165" s="28">
        <f t="shared" si="2"/>
        <v>2007</v>
      </c>
    </row>
    <row r="166" spans="2:3">
      <c r="B166" s="27" t="s">
        <v>33</v>
      </c>
      <c r="C166" s="28">
        <f t="shared" si="2"/>
        <v>2007</v>
      </c>
    </row>
    <row r="167" spans="2:3">
      <c r="B167" s="27" t="s">
        <v>34</v>
      </c>
      <c r="C167" s="28">
        <f t="shared" si="2"/>
        <v>2007</v>
      </c>
    </row>
    <row r="168" spans="2:3">
      <c r="B168" s="27" t="s">
        <v>35</v>
      </c>
      <c r="C168" s="28">
        <f t="shared" si="2"/>
        <v>2007</v>
      </c>
    </row>
    <row r="169" spans="2:3">
      <c r="B169" s="27" t="s">
        <v>36</v>
      </c>
      <c r="C169" s="28">
        <f t="shared" si="2"/>
        <v>2007</v>
      </c>
    </row>
    <row r="170" spans="2:3">
      <c r="B170" s="27" t="s">
        <v>37</v>
      </c>
      <c r="C170" s="28">
        <f t="shared" si="2"/>
        <v>2007</v>
      </c>
    </row>
    <row r="171" spans="2:3">
      <c r="B171" s="27" t="s">
        <v>38</v>
      </c>
      <c r="C171" s="28">
        <f t="shared" si="2"/>
        <v>2007</v>
      </c>
    </row>
    <row r="172" spans="2:3" ht="15.75" thickBot="1">
      <c r="B172" s="29" t="s">
        <v>39</v>
      </c>
      <c r="C172" s="28">
        <f t="shared" si="2"/>
        <v>2007</v>
      </c>
    </row>
    <row r="173" spans="2:3">
      <c r="B173" s="27" t="s">
        <v>28</v>
      </c>
      <c r="C173" s="28">
        <f t="shared" si="2"/>
        <v>2008</v>
      </c>
    </row>
    <row r="174" spans="2:3">
      <c r="B174" s="27" t="s">
        <v>29</v>
      </c>
      <c r="C174" s="28">
        <f t="shared" si="2"/>
        <v>2008</v>
      </c>
    </row>
    <row r="175" spans="2:3">
      <c r="B175" s="27" t="s">
        <v>30</v>
      </c>
      <c r="C175" s="28">
        <f t="shared" si="2"/>
        <v>2008</v>
      </c>
    </row>
    <row r="176" spans="2:3">
      <c r="B176" s="27" t="s">
        <v>31</v>
      </c>
      <c r="C176" s="28">
        <f t="shared" si="2"/>
        <v>2008</v>
      </c>
    </row>
    <row r="177" spans="2:3">
      <c r="B177" s="27" t="s">
        <v>32</v>
      </c>
      <c r="C177" s="28">
        <f t="shared" si="2"/>
        <v>2008</v>
      </c>
    </row>
    <row r="178" spans="2:3">
      <c r="B178" s="27" t="s">
        <v>33</v>
      </c>
      <c r="C178" s="28">
        <f t="shared" si="2"/>
        <v>2008</v>
      </c>
    </row>
    <row r="179" spans="2:3">
      <c r="B179" s="27" t="s">
        <v>34</v>
      </c>
      <c r="C179" s="28">
        <f t="shared" si="2"/>
        <v>2008</v>
      </c>
    </row>
    <row r="180" spans="2:3">
      <c r="B180" s="27" t="s">
        <v>35</v>
      </c>
      <c r="C180" s="28">
        <f t="shared" si="2"/>
        <v>2008</v>
      </c>
    </row>
    <row r="181" spans="2:3">
      <c r="B181" s="27" t="s">
        <v>36</v>
      </c>
      <c r="C181" s="28">
        <f t="shared" si="2"/>
        <v>2008</v>
      </c>
    </row>
    <row r="182" spans="2:3">
      <c r="B182" s="27" t="s">
        <v>37</v>
      </c>
      <c r="C182" s="28">
        <f t="shared" si="2"/>
        <v>2008</v>
      </c>
    </row>
    <row r="183" spans="2:3">
      <c r="B183" s="27" t="s">
        <v>38</v>
      </c>
      <c r="C183" s="28">
        <f t="shared" si="2"/>
        <v>2008</v>
      </c>
    </row>
    <row r="184" spans="2:3" ht="15.75" thickBot="1">
      <c r="B184" s="29" t="s">
        <v>39</v>
      </c>
      <c r="C184" s="28">
        <f t="shared" si="2"/>
        <v>2008</v>
      </c>
    </row>
    <row r="185" spans="2:3">
      <c r="B185" s="27" t="s">
        <v>28</v>
      </c>
      <c r="C185" s="28">
        <f t="shared" si="2"/>
        <v>2009</v>
      </c>
    </row>
    <row r="186" spans="2:3">
      <c r="B186" s="27" t="s">
        <v>29</v>
      </c>
      <c r="C186" s="28">
        <f t="shared" si="2"/>
        <v>2009</v>
      </c>
    </row>
    <row r="187" spans="2:3">
      <c r="B187" s="27" t="s">
        <v>30</v>
      </c>
      <c r="C187" s="28">
        <f t="shared" si="2"/>
        <v>2009</v>
      </c>
    </row>
    <row r="188" spans="2:3">
      <c r="B188" s="27" t="s">
        <v>31</v>
      </c>
      <c r="C188" s="28">
        <f t="shared" si="2"/>
        <v>2009</v>
      </c>
    </row>
    <row r="189" spans="2:3">
      <c r="B189" s="27" t="s">
        <v>32</v>
      </c>
      <c r="C189" s="28">
        <f t="shared" si="2"/>
        <v>2009</v>
      </c>
    </row>
    <row r="190" spans="2:3">
      <c r="B190" s="27" t="s">
        <v>33</v>
      </c>
      <c r="C190" s="28">
        <f t="shared" si="2"/>
        <v>2009</v>
      </c>
    </row>
    <row r="191" spans="2:3">
      <c r="B191" s="27" t="s">
        <v>34</v>
      </c>
      <c r="C191" s="28">
        <f t="shared" si="2"/>
        <v>2009</v>
      </c>
    </row>
    <row r="192" spans="2:3">
      <c r="B192" s="27" t="s">
        <v>35</v>
      </c>
      <c r="C192" s="28">
        <f t="shared" si="2"/>
        <v>2009</v>
      </c>
    </row>
    <row r="193" spans="2:3">
      <c r="B193" s="27" t="s">
        <v>36</v>
      </c>
      <c r="C193" s="28">
        <f t="shared" si="2"/>
        <v>2009</v>
      </c>
    </row>
    <row r="194" spans="2:3">
      <c r="B194" s="27" t="s">
        <v>37</v>
      </c>
      <c r="C194" s="28">
        <f t="shared" si="2"/>
        <v>2009</v>
      </c>
    </row>
    <row r="195" spans="2:3">
      <c r="B195" s="27" t="s">
        <v>38</v>
      </c>
      <c r="C195" s="28">
        <f t="shared" si="2"/>
        <v>2009</v>
      </c>
    </row>
    <row r="196" spans="2:3" ht="15.75" thickBot="1">
      <c r="B196" s="29" t="s">
        <v>39</v>
      </c>
      <c r="C196" s="28">
        <f t="shared" si="2"/>
        <v>2009</v>
      </c>
    </row>
    <row r="197" spans="2:3">
      <c r="B197" s="27" t="s">
        <v>28</v>
      </c>
      <c r="C197" s="28">
        <f t="shared" si="2"/>
        <v>2010</v>
      </c>
    </row>
    <row r="198" spans="2:3">
      <c r="B198" s="27" t="s">
        <v>29</v>
      </c>
      <c r="C198" s="28">
        <f t="shared" si="2"/>
        <v>2010</v>
      </c>
    </row>
    <row r="199" spans="2:3">
      <c r="B199" s="27" t="s">
        <v>30</v>
      </c>
      <c r="C199" s="28">
        <f t="shared" si="2"/>
        <v>2010</v>
      </c>
    </row>
    <row r="200" spans="2:3">
      <c r="B200" s="27" t="s">
        <v>31</v>
      </c>
      <c r="C200" s="28">
        <f t="shared" si="2"/>
        <v>2010</v>
      </c>
    </row>
    <row r="201" spans="2:3">
      <c r="B201" s="27" t="s">
        <v>32</v>
      </c>
      <c r="C201" s="28">
        <f t="shared" si="2"/>
        <v>2010</v>
      </c>
    </row>
    <row r="202" spans="2:3">
      <c r="B202" s="27" t="s">
        <v>33</v>
      </c>
      <c r="C202" s="28">
        <f t="shared" si="2"/>
        <v>2010</v>
      </c>
    </row>
    <row r="203" spans="2:3">
      <c r="B203" s="27" t="s">
        <v>34</v>
      </c>
      <c r="C203" s="28">
        <f t="shared" si="2"/>
        <v>2010</v>
      </c>
    </row>
    <row r="204" spans="2:3">
      <c r="B204" s="27" t="s">
        <v>35</v>
      </c>
      <c r="C204" s="28">
        <f t="shared" si="2"/>
        <v>2010</v>
      </c>
    </row>
    <row r="205" spans="2:3">
      <c r="B205" s="27" t="s">
        <v>36</v>
      </c>
      <c r="C205" s="28">
        <f t="shared" si="2"/>
        <v>2010</v>
      </c>
    </row>
    <row r="206" spans="2:3">
      <c r="B206" s="27" t="s">
        <v>37</v>
      </c>
      <c r="C206" s="28">
        <f t="shared" si="2"/>
        <v>2010</v>
      </c>
    </row>
    <row r="207" spans="2:3">
      <c r="B207" s="27" t="s">
        <v>38</v>
      </c>
      <c r="C207" s="28">
        <f t="shared" si="2"/>
        <v>2010</v>
      </c>
    </row>
    <row r="208" spans="2:3" ht="15.75" thickBot="1">
      <c r="B208" s="29" t="s">
        <v>39</v>
      </c>
      <c r="C208" s="28">
        <f t="shared" si="2"/>
        <v>2010</v>
      </c>
    </row>
    <row r="209" spans="2:3">
      <c r="B209" s="27" t="s">
        <v>28</v>
      </c>
      <c r="C209" s="28">
        <f t="shared" si="2"/>
        <v>2011</v>
      </c>
    </row>
    <row r="210" spans="2:3">
      <c r="B210" s="27" t="s">
        <v>29</v>
      </c>
      <c r="C210" s="28">
        <f t="shared" si="2"/>
        <v>2011</v>
      </c>
    </row>
    <row r="211" spans="2:3">
      <c r="B211" s="27" t="s">
        <v>30</v>
      </c>
      <c r="C211" s="28">
        <f t="shared" ref="C211:C274" si="3">IF(B210="Dezembro",C210+1,C210)</f>
        <v>2011</v>
      </c>
    </row>
    <row r="212" spans="2:3">
      <c r="B212" s="27" t="s">
        <v>31</v>
      </c>
      <c r="C212" s="28">
        <f t="shared" si="3"/>
        <v>2011</v>
      </c>
    </row>
    <row r="213" spans="2:3">
      <c r="B213" s="27" t="s">
        <v>32</v>
      </c>
      <c r="C213" s="28">
        <f t="shared" si="3"/>
        <v>2011</v>
      </c>
    </row>
    <row r="214" spans="2:3">
      <c r="B214" s="27" t="s">
        <v>33</v>
      </c>
      <c r="C214" s="28">
        <f t="shared" si="3"/>
        <v>2011</v>
      </c>
    </row>
    <row r="215" spans="2:3">
      <c r="B215" s="27" t="s">
        <v>34</v>
      </c>
      <c r="C215" s="28">
        <f t="shared" si="3"/>
        <v>2011</v>
      </c>
    </row>
    <row r="216" spans="2:3">
      <c r="B216" s="27" t="s">
        <v>35</v>
      </c>
      <c r="C216" s="28">
        <f t="shared" si="3"/>
        <v>2011</v>
      </c>
    </row>
    <row r="217" spans="2:3">
      <c r="B217" s="27" t="s">
        <v>36</v>
      </c>
      <c r="C217" s="28">
        <f t="shared" si="3"/>
        <v>2011</v>
      </c>
    </row>
    <row r="218" spans="2:3">
      <c r="B218" s="27" t="s">
        <v>37</v>
      </c>
      <c r="C218" s="28">
        <f t="shared" si="3"/>
        <v>2011</v>
      </c>
    </row>
    <row r="219" spans="2:3">
      <c r="B219" s="27" t="s">
        <v>38</v>
      </c>
      <c r="C219" s="28">
        <f t="shared" si="3"/>
        <v>2011</v>
      </c>
    </row>
    <row r="220" spans="2:3" ht="15.75" thickBot="1">
      <c r="B220" s="29" t="s">
        <v>39</v>
      </c>
      <c r="C220" s="28">
        <f t="shared" si="3"/>
        <v>2011</v>
      </c>
    </row>
    <row r="221" spans="2:3">
      <c r="B221" s="27" t="s">
        <v>28</v>
      </c>
      <c r="C221" s="28">
        <f t="shared" si="3"/>
        <v>2012</v>
      </c>
    </row>
    <row r="222" spans="2:3">
      <c r="B222" s="27" t="s">
        <v>29</v>
      </c>
      <c r="C222" s="28">
        <f t="shared" si="3"/>
        <v>2012</v>
      </c>
    </row>
    <row r="223" spans="2:3">
      <c r="B223" s="27" t="s">
        <v>30</v>
      </c>
      <c r="C223" s="28">
        <f t="shared" si="3"/>
        <v>2012</v>
      </c>
    </row>
    <row r="224" spans="2:3">
      <c r="B224" s="27" t="s">
        <v>31</v>
      </c>
      <c r="C224" s="28">
        <f t="shared" si="3"/>
        <v>2012</v>
      </c>
    </row>
    <row r="225" spans="2:3">
      <c r="B225" s="27" t="s">
        <v>32</v>
      </c>
      <c r="C225" s="28">
        <f t="shared" si="3"/>
        <v>2012</v>
      </c>
    </row>
    <row r="226" spans="2:3">
      <c r="B226" s="27" t="s">
        <v>33</v>
      </c>
      <c r="C226" s="28">
        <f t="shared" si="3"/>
        <v>2012</v>
      </c>
    </row>
    <row r="227" spans="2:3">
      <c r="B227" s="27" t="s">
        <v>34</v>
      </c>
      <c r="C227" s="28">
        <f t="shared" si="3"/>
        <v>2012</v>
      </c>
    </row>
    <row r="228" spans="2:3">
      <c r="B228" s="27" t="s">
        <v>35</v>
      </c>
      <c r="C228" s="28">
        <f t="shared" si="3"/>
        <v>2012</v>
      </c>
    </row>
    <row r="229" spans="2:3">
      <c r="B229" s="27" t="s">
        <v>36</v>
      </c>
      <c r="C229" s="28">
        <f t="shared" si="3"/>
        <v>2012</v>
      </c>
    </row>
    <row r="230" spans="2:3">
      <c r="B230" s="27" t="s">
        <v>37</v>
      </c>
      <c r="C230" s="28">
        <f t="shared" si="3"/>
        <v>2012</v>
      </c>
    </row>
    <row r="231" spans="2:3">
      <c r="B231" s="27" t="s">
        <v>38</v>
      </c>
      <c r="C231" s="28">
        <f t="shared" si="3"/>
        <v>2012</v>
      </c>
    </row>
    <row r="232" spans="2:3" ht="15.75" thickBot="1">
      <c r="B232" s="29" t="s">
        <v>39</v>
      </c>
      <c r="C232" s="28">
        <f t="shared" si="3"/>
        <v>2012</v>
      </c>
    </row>
    <row r="233" spans="2:3">
      <c r="B233" s="27" t="s">
        <v>28</v>
      </c>
      <c r="C233" s="28">
        <f t="shared" si="3"/>
        <v>2013</v>
      </c>
    </row>
    <row r="234" spans="2:3">
      <c r="B234" s="27" t="s">
        <v>29</v>
      </c>
      <c r="C234" s="28">
        <f t="shared" si="3"/>
        <v>2013</v>
      </c>
    </row>
    <row r="235" spans="2:3">
      <c r="B235" s="27" t="s">
        <v>30</v>
      </c>
      <c r="C235" s="28">
        <f t="shared" si="3"/>
        <v>2013</v>
      </c>
    </row>
    <row r="236" spans="2:3">
      <c r="B236" s="27" t="s">
        <v>31</v>
      </c>
      <c r="C236" s="28">
        <f t="shared" si="3"/>
        <v>2013</v>
      </c>
    </row>
    <row r="237" spans="2:3">
      <c r="B237" s="27" t="s">
        <v>32</v>
      </c>
      <c r="C237" s="28">
        <f t="shared" si="3"/>
        <v>2013</v>
      </c>
    </row>
    <row r="238" spans="2:3">
      <c r="B238" s="27" t="s">
        <v>33</v>
      </c>
      <c r="C238" s="28">
        <f t="shared" si="3"/>
        <v>2013</v>
      </c>
    </row>
    <row r="239" spans="2:3">
      <c r="B239" s="27" t="s">
        <v>34</v>
      </c>
      <c r="C239" s="28">
        <f t="shared" si="3"/>
        <v>2013</v>
      </c>
    </row>
    <row r="240" spans="2:3">
      <c r="B240" s="27" t="s">
        <v>35</v>
      </c>
      <c r="C240" s="28">
        <f t="shared" si="3"/>
        <v>2013</v>
      </c>
    </row>
    <row r="241" spans="2:3">
      <c r="B241" s="27" t="s">
        <v>36</v>
      </c>
      <c r="C241" s="28">
        <f t="shared" si="3"/>
        <v>2013</v>
      </c>
    </row>
    <row r="242" spans="2:3">
      <c r="B242" s="27" t="s">
        <v>37</v>
      </c>
      <c r="C242" s="28">
        <f t="shared" si="3"/>
        <v>2013</v>
      </c>
    </row>
    <row r="243" spans="2:3">
      <c r="B243" s="27" t="s">
        <v>38</v>
      </c>
      <c r="C243" s="28">
        <f t="shared" si="3"/>
        <v>2013</v>
      </c>
    </row>
    <row r="244" spans="2:3" ht="15.75" thickBot="1">
      <c r="B244" s="29" t="s">
        <v>39</v>
      </c>
      <c r="C244" s="28">
        <f t="shared" si="3"/>
        <v>2013</v>
      </c>
    </row>
    <row r="245" spans="2:3">
      <c r="B245" s="27" t="s">
        <v>28</v>
      </c>
      <c r="C245" s="28">
        <f t="shared" si="3"/>
        <v>2014</v>
      </c>
    </row>
    <row r="246" spans="2:3">
      <c r="B246" s="27" t="s">
        <v>29</v>
      </c>
      <c r="C246" s="28">
        <f t="shared" si="3"/>
        <v>2014</v>
      </c>
    </row>
    <row r="247" spans="2:3">
      <c r="B247" s="27" t="s">
        <v>30</v>
      </c>
      <c r="C247" s="28">
        <f t="shared" si="3"/>
        <v>2014</v>
      </c>
    </row>
    <row r="248" spans="2:3">
      <c r="B248" s="27" t="s">
        <v>31</v>
      </c>
      <c r="C248" s="28">
        <f t="shared" si="3"/>
        <v>2014</v>
      </c>
    </row>
    <row r="249" spans="2:3">
      <c r="B249" s="27" t="s">
        <v>32</v>
      </c>
      <c r="C249" s="28">
        <f t="shared" si="3"/>
        <v>2014</v>
      </c>
    </row>
    <row r="250" spans="2:3">
      <c r="B250" s="27" t="s">
        <v>33</v>
      </c>
      <c r="C250" s="28">
        <f t="shared" si="3"/>
        <v>2014</v>
      </c>
    </row>
    <row r="251" spans="2:3">
      <c r="B251" s="27" t="s">
        <v>34</v>
      </c>
      <c r="C251" s="28">
        <f t="shared" si="3"/>
        <v>2014</v>
      </c>
    </row>
    <row r="252" spans="2:3">
      <c r="B252" s="27" t="s">
        <v>35</v>
      </c>
      <c r="C252" s="28">
        <f t="shared" si="3"/>
        <v>2014</v>
      </c>
    </row>
    <row r="253" spans="2:3">
      <c r="B253" s="27" t="s">
        <v>36</v>
      </c>
      <c r="C253" s="28">
        <f t="shared" si="3"/>
        <v>2014</v>
      </c>
    </row>
    <row r="254" spans="2:3">
      <c r="B254" s="27" t="s">
        <v>37</v>
      </c>
      <c r="C254" s="28">
        <f t="shared" si="3"/>
        <v>2014</v>
      </c>
    </row>
    <row r="255" spans="2:3">
      <c r="B255" s="27" t="s">
        <v>38</v>
      </c>
      <c r="C255" s="28">
        <f t="shared" si="3"/>
        <v>2014</v>
      </c>
    </row>
    <row r="256" spans="2:3" ht="15.75" thickBot="1">
      <c r="B256" s="29" t="s">
        <v>39</v>
      </c>
      <c r="C256" s="28">
        <f t="shared" si="3"/>
        <v>2014</v>
      </c>
    </row>
    <row r="257" spans="2:3">
      <c r="B257" s="27" t="s">
        <v>28</v>
      </c>
      <c r="C257" s="28">
        <f t="shared" si="3"/>
        <v>2015</v>
      </c>
    </row>
    <row r="258" spans="2:3">
      <c r="B258" s="27" t="s">
        <v>29</v>
      </c>
      <c r="C258" s="28">
        <f t="shared" si="3"/>
        <v>2015</v>
      </c>
    </row>
    <row r="259" spans="2:3">
      <c r="B259" s="27" t="s">
        <v>30</v>
      </c>
      <c r="C259" s="28">
        <f t="shared" si="3"/>
        <v>2015</v>
      </c>
    </row>
    <row r="260" spans="2:3">
      <c r="B260" s="27" t="s">
        <v>31</v>
      </c>
      <c r="C260" s="28">
        <f t="shared" si="3"/>
        <v>2015</v>
      </c>
    </row>
    <row r="261" spans="2:3">
      <c r="B261" s="27" t="s">
        <v>32</v>
      </c>
      <c r="C261" s="28">
        <f t="shared" si="3"/>
        <v>2015</v>
      </c>
    </row>
    <row r="262" spans="2:3">
      <c r="B262" s="27" t="s">
        <v>33</v>
      </c>
      <c r="C262" s="28">
        <f t="shared" si="3"/>
        <v>2015</v>
      </c>
    </row>
    <row r="263" spans="2:3">
      <c r="B263" s="27" t="s">
        <v>34</v>
      </c>
      <c r="C263" s="28">
        <f t="shared" si="3"/>
        <v>2015</v>
      </c>
    </row>
    <row r="264" spans="2:3">
      <c r="B264" s="27" t="s">
        <v>35</v>
      </c>
      <c r="C264" s="28">
        <f t="shared" si="3"/>
        <v>2015</v>
      </c>
    </row>
    <row r="265" spans="2:3">
      <c r="B265" s="27" t="s">
        <v>36</v>
      </c>
      <c r="C265" s="28">
        <f t="shared" si="3"/>
        <v>2015</v>
      </c>
    </row>
    <row r="266" spans="2:3">
      <c r="B266" s="27" t="s">
        <v>37</v>
      </c>
      <c r="C266" s="28">
        <f t="shared" si="3"/>
        <v>2015</v>
      </c>
    </row>
    <row r="267" spans="2:3">
      <c r="B267" s="27" t="s">
        <v>38</v>
      </c>
      <c r="C267" s="28">
        <f t="shared" si="3"/>
        <v>2015</v>
      </c>
    </row>
    <row r="268" spans="2:3" ht="15.75" thickBot="1">
      <c r="B268" s="29" t="s">
        <v>39</v>
      </c>
      <c r="C268" s="28">
        <f t="shared" si="3"/>
        <v>2015</v>
      </c>
    </row>
    <row r="269" spans="2:3">
      <c r="B269" s="27" t="s">
        <v>28</v>
      </c>
      <c r="C269" s="28">
        <f t="shared" si="3"/>
        <v>2016</v>
      </c>
    </row>
    <row r="270" spans="2:3">
      <c r="B270" s="27" t="s">
        <v>29</v>
      </c>
      <c r="C270" s="28">
        <f t="shared" si="3"/>
        <v>2016</v>
      </c>
    </row>
    <row r="271" spans="2:3">
      <c r="B271" s="27" t="s">
        <v>30</v>
      </c>
      <c r="C271" s="28">
        <f t="shared" si="3"/>
        <v>2016</v>
      </c>
    </row>
    <row r="272" spans="2:3">
      <c r="B272" s="27" t="s">
        <v>31</v>
      </c>
      <c r="C272" s="28">
        <f t="shared" si="3"/>
        <v>2016</v>
      </c>
    </row>
    <row r="273" spans="2:3">
      <c r="B273" s="27" t="s">
        <v>32</v>
      </c>
      <c r="C273" s="28">
        <f t="shared" si="3"/>
        <v>2016</v>
      </c>
    </row>
    <row r="274" spans="2:3">
      <c r="B274" s="27" t="s">
        <v>33</v>
      </c>
      <c r="C274" s="28">
        <f t="shared" si="3"/>
        <v>2016</v>
      </c>
    </row>
    <row r="275" spans="2:3">
      <c r="B275" s="27" t="s">
        <v>34</v>
      </c>
      <c r="C275" s="28">
        <f t="shared" ref="C275:C304" si="4">IF(B274="Dezembro",C274+1,C274)</f>
        <v>2016</v>
      </c>
    </row>
    <row r="276" spans="2:3">
      <c r="B276" s="27" t="s">
        <v>35</v>
      </c>
      <c r="C276" s="28">
        <f t="shared" si="4"/>
        <v>2016</v>
      </c>
    </row>
    <row r="277" spans="2:3">
      <c r="B277" s="27" t="s">
        <v>36</v>
      </c>
      <c r="C277" s="28">
        <f t="shared" si="4"/>
        <v>2016</v>
      </c>
    </row>
    <row r="278" spans="2:3">
      <c r="B278" s="27" t="s">
        <v>37</v>
      </c>
      <c r="C278" s="28">
        <f t="shared" si="4"/>
        <v>2016</v>
      </c>
    </row>
    <row r="279" spans="2:3">
      <c r="B279" s="27" t="s">
        <v>38</v>
      </c>
      <c r="C279" s="28">
        <f t="shared" si="4"/>
        <v>2016</v>
      </c>
    </row>
    <row r="280" spans="2:3" ht="15.75" thickBot="1">
      <c r="B280" s="29" t="s">
        <v>39</v>
      </c>
      <c r="C280" s="28">
        <f t="shared" si="4"/>
        <v>2016</v>
      </c>
    </row>
    <row r="281" spans="2:3">
      <c r="B281" s="27" t="s">
        <v>28</v>
      </c>
      <c r="C281" s="28">
        <f t="shared" si="4"/>
        <v>2017</v>
      </c>
    </row>
    <row r="282" spans="2:3">
      <c r="B282" s="27" t="s">
        <v>29</v>
      </c>
      <c r="C282" s="28">
        <f t="shared" si="4"/>
        <v>2017</v>
      </c>
    </row>
    <row r="283" spans="2:3">
      <c r="B283" s="27" t="s">
        <v>30</v>
      </c>
      <c r="C283" s="28">
        <f t="shared" si="4"/>
        <v>2017</v>
      </c>
    </row>
    <row r="284" spans="2:3">
      <c r="B284" s="27" t="s">
        <v>31</v>
      </c>
      <c r="C284" s="28">
        <f t="shared" si="4"/>
        <v>2017</v>
      </c>
    </row>
    <row r="285" spans="2:3">
      <c r="B285" s="27" t="s">
        <v>32</v>
      </c>
      <c r="C285" s="28">
        <f t="shared" si="4"/>
        <v>2017</v>
      </c>
    </row>
    <row r="286" spans="2:3">
      <c r="B286" s="27" t="s">
        <v>33</v>
      </c>
      <c r="C286" s="28">
        <f t="shared" si="4"/>
        <v>2017</v>
      </c>
    </row>
    <row r="287" spans="2:3">
      <c r="B287" s="27" t="s">
        <v>34</v>
      </c>
      <c r="C287" s="28">
        <f t="shared" si="4"/>
        <v>2017</v>
      </c>
    </row>
    <row r="288" spans="2:3">
      <c r="B288" s="27" t="s">
        <v>35</v>
      </c>
      <c r="C288" s="28">
        <f t="shared" si="4"/>
        <v>2017</v>
      </c>
    </row>
    <row r="289" spans="2:3">
      <c r="B289" s="27" t="s">
        <v>36</v>
      </c>
      <c r="C289" s="28">
        <f t="shared" si="4"/>
        <v>2017</v>
      </c>
    </row>
    <row r="290" spans="2:3">
      <c r="B290" s="27" t="s">
        <v>37</v>
      </c>
      <c r="C290" s="28">
        <f t="shared" si="4"/>
        <v>2017</v>
      </c>
    </row>
    <row r="291" spans="2:3">
      <c r="B291" s="27" t="s">
        <v>38</v>
      </c>
      <c r="C291" s="28">
        <f t="shared" si="4"/>
        <v>2017</v>
      </c>
    </row>
    <row r="292" spans="2:3" ht="15.75" thickBot="1">
      <c r="B292" s="29" t="s">
        <v>39</v>
      </c>
      <c r="C292" s="28">
        <f t="shared" si="4"/>
        <v>2017</v>
      </c>
    </row>
    <row r="293" spans="2:3">
      <c r="B293" s="27" t="s">
        <v>28</v>
      </c>
      <c r="C293" s="28">
        <f t="shared" si="4"/>
        <v>2018</v>
      </c>
    </row>
    <row r="294" spans="2:3">
      <c r="B294" s="27" t="s">
        <v>29</v>
      </c>
      <c r="C294" s="28">
        <f t="shared" si="4"/>
        <v>2018</v>
      </c>
    </row>
    <row r="295" spans="2:3">
      <c r="B295" s="27" t="s">
        <v>30</v>
      </c>
      <c r="C295" s="28">
        <f t="shared" si="4"/>
        <v>2018</v>
      </c>
    </row>
    <row r="296" spans="2:3">
      <c r="B296" s="27" t="s">
        <v>31</v>
      </c>
      <c r="C296" s="28">
        <f t="shared" si="4"/>
        <v>2018</v>
      </c>
    </row>
    <row r="297" spans="2:3">
      <c r="B297" s="27" t="s">
        <v>32</v>
      </c>
      <c r="C297" s="28">
        <f t="shared" si="4"/>
        <v>2018</v>
      </c>
    </row>
    <row r="298" spans="2:3">
      <c r="B298" s="27" t="s">
        <v>33</v>
      </c>
      <c r="C298" s="28">
        <f t="shared" si="4"/>
        <v>2018</v>
      </c>
    </row>
    <row r="299" spans="2:3">
      <c r="B299" s="27" t="s">
        <v>34</v>
      </c>
      <c r="C299" s="28">
        <f t="shared" si="4"/>
        <v>2018</v>
      </c>
    </row>
    <row r="300" spans="2:3">
      <c r="B300" s="27" t="s">
        <v>35</v>
      </c>
      <c r="C300" s="28">
        <f t="shared" si="4"/>
        <v>2018</v>
      </c>
    </row>
    <row r="301" spans="2:3">
      <c r="B301" s="27" t="s">
        <v>36</v>
      </c>
      <c r="C301" s="28">
        <f t="shared" si="4"/>
        <v>2018</v>
      </c>
    </row>
    <row r="302" spans="2:3">
      <c r="B302" s="27" t="s">
        <v>37</v>
      </c>
      <c r="C302" s="28">
        <f t="shared" si="4"/>
        <v>2018</v>
      </c>
    </row>
    <row r="303" spans="2:3">
      <c r="B303" s="27" t="s">
        <v>38</v>
      </c>
      <c r="C303" s="28">
        <f t="shared" si="4"/>
        <v>2018</v>
      </c>
    </row>
    <row r="304" spans="2:3" ht="15.75" thickBot="1">
      <c r="B304" s="29" t="s">
        <v>39</v>
      </c>
      <c r="C304" s="28">
        <f t="shared" si="4"/>
        <v>2018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5"/>
  <sheetViews>
    <sheetView workbookViewId="0">
      <selection activeCell="G15" sqref="G15"/>
    </sheetView>
  </sheetViews>
  <sheetFormatPr defaultRowHeight="15"/>
  <sheetData>
    <row r="1" spans="1:1">
      <c r="A1" s="31" t="s">
        <v>41</v>
      </c>
    </row>
    <row r="3" spans="1:1">
      <c r="A3" t="s">
        <v>42</v>
      </c>
    </row>
    <row r="5" spans="1:1">
      <c r="A5" t="s">
        <v>43</v>
      </c>
    </row>
  </sheetData>
  <hyperlinks>
    <hyperlink ref="A1" r:id="rId1" xr:uid="{00000000-0004-0000-0600-000000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6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Índices</vt:lpstr>
      <vt:lpstr>CÁLCULO</vt:lpstr>
      <vt:lpstr>Dólar x IGP-M (2)</vt:lpstr>
      <vt:lpstr>Plan1</vt:lpstr>
      <vt:lpstr>Plan3</vt:lpstr>
      <vt:lpstr>Sites para Pesquisa dos Índices</vt:lpstr>
      <vt:lpstr>Gráfico Índices Escolhidos</vt:lpstr>
      <vt:lpstr>Nome_Indices</vt:lpstr>
      <vt:lpstr>PV_dolar</vt:lpstr>
      <vt:lpstr>Tbl_Fator1</vt:lpstr>
      <vt:lpstr>Tbl_Fator2</vt:lpstr>
      <vt:lpstr>Tbl_Fator3</vt:lpstr>
      <vt:lpstr>Tbl_Fator4</vt:lpstr>
      <vt:lpstr>Tbl_Indices</vt:lpstr>
      <vt:lpstr>Índices!Titulos_de_impressao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jonson</dc:creator>
  <cp:lastModifiedBy>Regis Marinho</cp:lastModifiedBy>
  <cp:lastPrinted>2017-05-26T11:15:59Z</cp:lastPrinted>
  <dcterms:created xsi:type="dcterms:W3CDTF">2008-05-14T16:48:17Z</dcterms:created>
  <dcterms:modified xsi:type="dcterms:W3CDTF">2018-09-04T18:11:19Z</dcterms:modified>
</cp:coreProperties>
</file>