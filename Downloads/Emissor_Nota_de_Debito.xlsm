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"/>
    </mc:Choice>
  </mc:AlternateContent>
  <xr:revisionPtr revIDLastSave="0" documentId="13_ncr:1_{C14399E1-2F3A-4544-9387-E5789F0BD24E}" xr6:coauthVersionLast="31" xr6:coauthVersionMax="31" xr10:uidLastSave="{00000000-0000-0000-0000-000000000000}"/>
  <bookViews>
    <workbookView xWindow="0" yWindow="0" windowWidth="20490" windowHeight="8235" tabRatio="661" xr2:uid="{00000000-000D-0000-FFFF-FFFF00000000}"/>
  </bookViews>
  <sheets>
    <sheet name="MENU" sheetId="8" r:id="rId1"/>
    <sheet name="Tutorial" sheetId="9" r:id="rId2"/>
    <sheet name="CAD. EMITENTE" sheetId="7" r:id="rId3"/>
    <sheet name="CAD. TOMADORES" sheetId="2" r:id="rId4"/>
    <sheet name="REGISTRO DAS NDs" sheetId="1" r:id="rId5"/>
    <sheet name="NDs REGISTRADAS" sheetId="4" r:id="rId6"/>
    <sheet name="FORMULÁRIO" sheetId="5" r:id="rId7"/>
    <sheet name="Apoio" sheetId="10" state="hidden" r:id="rId8"/>
  </sheets>
  <externalReferences>
    <externalReference r:id="rId9"/>
  </externalReferences>
  <definedNames>
    <definedName name="_xlnm._FilterDatabase" localSheetId="5" hidden="1">'NDs REGISTRADAS'!$C$6:$N$26</definedName>
    <definedName name="_xlnm.Print_Area" localSheetId="6">FORMULÁRIO!$C$2:$AB$205</definedName>
    <definedName name="_xlnm.Print_Area" localSheetId="1">Tutorial!$B$2:$C$18</definedName>
    <definedName name="Dados_Area">OFFSET('NDs REGISTRADAS'!$C$6,1,0,COUNTA('NDs REGISTRADAS'!$C$7:$C$9986),13)</definedName>
    <definedName name="Dados_AreaTD">'NDs REGISTRADAS'!$C$6:$O$7</definedName>
    <definedName name="Dados_Nro">OFFSET('NDs REGISTRADAS'!$C$6,1,0,COUNTA('NDs REGISTRADAS'!$C$6:$C$9980)-1,1)</definedName>
    <definedName name="Emissor_CNPJ">'CAD. EMITENTE'!$E$5</definedName>
    <definedName name="Emissor_Email">'CAD. EMITENTE'!$E$12</definedName>
    <definedName name="Emissor_Endereco">'CAD. EMITENTE'!$E$7</definedName>
    <definedName name="Emissor_Endereco2">'CAD. EMITENTE'!$E$8</definedName>
    <definedName name="Emissor_MaiorNro">'CAD. EMITENTE'!$A$3</definedName>
    <definedName name="Emissor_RS">'CAD. EMITENTE'!$E$3</definedName>
    <definedName name="Emissor_Telefone">'CAD. EMITENTE'!$E$10</definedName>
    <definedName name="Form_CNPJ">FORMULÁRIO!$C$16</definedName>
    <definedName name="Form_Condicao">FORMULÁRIO!$V$12</definedName>
    <definedName name="Form_Emissao">FORMULÁRIO!$Z$5</definedName>
    <definedName name="Form_Endereco">FORMULÁRIO!$C$17</definedName>
    <definedName name="Form_Nro">FORMULÁRIO!$A$15</definedName>
    <definedName name="Form_NroND">FORMULÁRIO!$Z$3</definedName>
    <definedName name="Form_Obs">FORMULÁRIO!$C$203</definedName>
    <definedName name="Form_Ref">FORMULÁRIO!$Z$9</definedName>
    <definedName name="Form_Tomador">FORMULÁRIO!$C$15</definedName>
    <definedName name="Form_Venc">FORMULÁRIO!$Z$7</definedName>
    <definedName name="Linha1NDsRegistradas">'NDs REGISTRADAS'!#REF!</definedName>
    <definedName name="ND_Emissao">'REGISTRO DAS NDs'!$E$3</definedName>
    <definedName name="ND_FormaPg">'REGISTRO DAS NDs'!$H$3</definedName>
    <definedName name="ND_Maior">'NDs REGISTRADAS'!$C$2</definedName>
    <definedName name="ND_Nro">'REGISTRO DAS NDs'!$C$3</definedName>
    <definedName name="ND_Obs">'REGISTRO DAS NDs'!$C$6</definedName>
    <definedName name="ND_PKTomador">'REGISTRO DAS NDs'!$I$3</definedName>
    <definedName name="ND_Ref">'REGISTRO DAS NDs'!$G$3</definedName>
    <definedName name="ND_Tomador">'REGISTRO DAS NDs'!$D$3</definedName>
    <definedName name="ND_Venc">'REGISTRO DAS NDs'!$F$3</definedName>
    <definedName name="NDExistente">'NDs REGISTRADAS'!$C$3</definedName>
    <definedName name="NDRegistradas">OFFSET(Apoio!$A$3,1,0,COUNTA(Apoio!$A$4:$A$10000),1)</definedName>
    <definedName name="PV_ParcelasFixas">OFFSET([1]CÁLCULO!$R$5,2,0,COUNT([1]CÁLCULO!$R$7:$R$23),2)</definedName>
    <definedName name="Tomador_CPFCNPJ">'CAD. TOMADORES'!$D$4</definedName>
    <definedName name="Tomador_Endereco">'CAD. TOMADORES'!$E$4</definedName>
    <definedName name="Tomador_Nome">'CAD. TOMADORES'!$C$4</definedName>
    <definedName name="Tomador_Nro">'CAD. TOMADORES'!#REF!</definedName>
    <definedName name="Tomador_PV">OFFSET('CAD. TOMADORES'!$C$6,1,0,COUNTA('CAD. TOMADORES'!$C$7:$C$1000),4)</definedName>
    <definedName name="Tomador_V">OFFSET('CAD. TOMADORES'!$C$6,1,0,COUNTA('CAD. TOMADORES'!$C$7:$C$1000),1)</definedName>
  </definedNames>
  <calcPr calcId="179017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H12" i="1" l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Z21" i="5"/>
  <c r="C203" i="5"/>
  <c r="V12" i="5"/>
  <c r="Z9" i="5"/>
  <c r="Z7" i="5"/>
  <c r="Z5" i="5"/>
  <c r="A3" i="5"/>
  <c r="C2" i="4"/>
  <c r="AH2" i="5" s="1"/>
  <c r="C3" i="4"/>
  <c r="A15" i="5" l="1"/>
  <c r="C12" i="5"/>
  <c r="C11" i="5"/>
  <c r="C10" i="5"/>
  <c r="C9" i="5"/>
  <c r="C8" i="5"/>
  <c r="C6" i="5"/>
  <c r="A3" i="7" l="1"/>
  <c r="S14" i="1" l="1"/>
  <c r="S13" i="1"/>
  <c r="S12" i="1"/>
  <c r="A16" i="5"/>
  <c r="C17" i="5" s="1"/>
  <c r="C15" i="5" l="1"/>
  <c r="C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11" authorId="0" shapeId="0" xr:uid="{00000000-0006-0000-0300-000001000000}">
      <text>
        <r>
          <rPr>
            <sz val="9"/>
            <color indexed="81"/>
            <rFont val="Segoe UI"/>
            <family val="2"/>
          </rPr>
          <t>Nº do Item, inserido manualmente e de forma sequencial.</t>
        </r>
      </text>
    </comment>
  </commentList>
</comments>
</file>

<file path=xl/sharedStrings.xml><?xml version="1.0" encoding="utf-8"?>
<sst xmlns="http://schemas.openxmlformats.org/spreadsheetml/2006/main" count="88" uniqueCount="57">
  <si>
    <t>Nº ND</t>
  </si>
  <si>
    <t>DT. EMISSÃO</t>
  </si>
  <si>
    <t>VENCTO.</t>
  </si>
  <si>
    <t>REF.</t>
  </si>
  <si>
    <t>FORMA PGTO.</t>
  </si>
  <si>
    <t>TOMADOR</t>
  </si>
  <si>
    <t>NOME DO TOMADOR</t>
  </si>
  <si>
    <t>ENDEREÇO</t>
  </si>
  <si>
    <t>Nº</t>
  </si>
  <si>
    <t>PK_Tomador</t>
  </si>
  <si>
    <t>REFERÊNCIA</t>
  </si>
  <si>
    <t>DESCRIÇÃO</t>
  </si>
  <si>
    <t>ITEM</t>
  </si>
  <si>
    <t>QUANT.</t>
  </si>
  <si>
    <t>UNIT.</t>
  </si>
  <si>
    <t>TOTAL</t>
  </si>
  <si>
    <t>QDE.</t>
  </si>
  <si>
    <t>CNPJ</t>
  </si>
  <si>
    <t xml:space="preserve">E-MAIL: </t>
  </si>
  <si>
    <t xml:space="preserve">TELEFONE: </t>
  </si>
  <si>
    <t xml:space="preserve">ENDEREÇO: </t>
  </si>
  <si>
    <t xml:space="preserve">CNPJ: </t>
  </si>
  <si>
    <t xml:space="preserve">RAZÃO SOCIAL: </t>
  </si>
  <si>
    <t xml:space="preserve">EMISSÃO: </t>
  </si>
  <si>
    <t xml:space="preserve">REFERÊNCIA: </t>
  </si>
  <si>
    <t xml:space="preserve">VENCIMENTO: </t>
  </si>
  <si>
    <t xml:space="preserve">CONDIÇÃO: </t>
  </si>
  <si>
    <t>NOTA DE DÉBITO</t>
  </si>
  <si>
    <t>OBSERVAÇÕES</t>
  </si>
  <si>
    <t>PREÇO</t>
  </si>
  <si>
    <t xml:space="preserve">BAIRRO - CIDADE - UF - CEP: </t>
  </si>
  <si>
    <t>RAZÃO SOCIAL</t>
  </si>
  <si>
    <t>BAIRRO - CIDADE - UF - CEP</t>
  </si>
  <si>
    <t>TELEFONE</t>
  </si>
  <si>
    <t>E-MAIL</t>
  </si>
  <si>
    <t>VALOR</t>
  </si>
  <si>
    <t>VALOR UNIT.</t>
  </si>
  <si>
    <t>DADOS DOS VALORES A SEREM REEMBOLSADOS</t>
  </si>
  <si>
    <t>T U T O R I A L</t>
  </si>
  <si>
    <t>GERAL</t>
  </si>
  <si>
    <t>.</t>
  </si>
  <si>
    <t>Previamente ao lançamento de Notas de Débito na aba "REGISTRO DAS NDs" é preciso cadastrar o emitente e os tomadores;</t>
  </si>
  <si>
    <t>O cadastro dos tomadores se dá pelo preenchimento dos campos das células C4 até E4 na aba CAD. TOMADORES e confirmação através da seta CADASTRAR;</t>
  </si>
  <si>
    <t>CADASTRO DE EMITENTE E TOMADORES</t>
  </si>
  <si>
    <t>A numeração das Notas de Débitos é gerada automaticamente;</t>
  </si>
  <si>
    <t>Para o preenchimento do campo "NOME DO TOMADOR" utilize a lista de validação inserida no próprio campo;</t>
  </si>
  <si>
    <t>Os campos "REFERÊNCIA", "FORMA PAGTO." e "OBSERVAÇÕES" não são de preenchimento obrigatório;</t>
  </si>
  <si>
    <t>O campo "ITEM" deve conter numeração sequencial e é preenchido manualmente, assim como os campos "DESCRIÇÃO", "QUANT." e "VALOR UNIT.";</t>
  </si>
  <si>
    <t>OBSERVAÇÃO</t>
  </si>
  <si>
    <t>Rótulos de Linha</t>
  </si>
  <si>
    <t>Somente os campos marcados em azul degradê devem ser preenchidos;</t>
  </si>
  <si>
    <t>(vazio)</t>
  </si>
  <si>
    <t>Para emitir a Nota de Débito basta clicar no botão "REGISTRAR" na aba "REGISTRO DAS NDs"  e, uma vez registrada, ela passa a ficar visível e disponível para edição e impressão na aba FORMULÁRIO;</t>
  </si>
  <si>
    <t>O cadastro do emitente se dá pelo preenchimento dos campos na aba CAD. EMITENTE;</t>
  </si>
  <si>
    <t>LANÇAMENTO DAS NOTAS DE DÉBITOS (NDs) - Aba: "REGISTRO DAS NDs"</t>
  </si>
  <si>
    <t>Para visualizar e/ou imprimir outra Nota de Débito basta digitar o número dela no campo "Nº" da aba FORMULÁRIO e clicar na imagem da impressora.</t>
  </si>
  <si>
    <t>Última ND emitida: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</si>
</sst>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16]mmm\-yy;@"/>
    <numFmt numFmtId="165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sz val="12"/>
      <color theme="1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43" fontId="0" fillId="0" borderId="0" xfId="1" applyFon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right" vertical="center"/>
    </xf>
    <xf numFmtId="0" fontId="0" fillId="0" borderId="0" xfId="0" applyBorder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43" fontId="2" fillId="0" borderId="0" xfId="1" applyFont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top" wrapText="1"/>
    </xf>
    <xf numFmtId="14" fontId="2" fillId="5" borderId="1" xfId="0" applyNumberFormat="1" applyFont="1" applyFill="1" applyBorder="1" applyAlignment="1">
      <alignment horizontal="center" vertical="top" wrapText="1"/>
    </xf>
    <xf numFmtId="164" fontId="2" fillId="5" borderId="1" xfId="0" applyNumberFormat="1" applyFont="1" applyFill="1" applyBorder="1" applyAlignment="1">
      <alignment horizontal="center" vertical="top" wrapText="1"/>
    </xf>
    <xf numFmtId="43" fontId="2" fillId="5" borderId="1" xfId="1" applyFont="1" applyFill="1" applyBorder="1" applyAlignment="1">
      <alignment horizontal="center" vertical="top" wrapText="1"/>
    </xf>
    <xf numFmtId="0" fontId="0" fillId="0" borderId="0" xfId="0" applyFont="1"/>
    <xf numFmtId="0" fontId="0" fillId="0" borderId="0" xfId="0" applyAlignment="1" applyProtection="1">
      <alignment vertical="center"/>
      <protection locked="0"/>
    </xf>
    <xf numFmtId="43" fontId="0" fillId="0" borderId="0" xfId="1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43" fontId="0" fillId="0" borderId="0" xfId="1" applyFont="1" applyAlignment="1" applyProtection="1">
      <alignment vertical="center"/>
    </xf>
    <xf numFmtId="43" fontId="0" fillId="0" borderId="1" xfId="1" applyFont="1" applyBorder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12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2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5" xfId="0" applyBorder="1" applyAlignment="1" applyProtection="1">
      <alignment vertical="center"/>
    </xf>
    <xf numFmtId="0" fontId="0" fillId="0" borderId="3" xfId="0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43" fontId="0" fillId="6" borderId="1" xfId="1" applyFont="1" applyFill="1" applyBorder="1" applyAlignment="1" applyProtection="1">
      <alignment vertical="center"/>
      <protection locked="0"/>
    </xf>
    <xf numFmtId="3" fontId="0" fillId="6" borderId="1" xfId="0" applyNumberFormat="1" applyFill="1" applyBorder="1" applyAlignment="1" applyProtection="1">
      <alignment horizontal="center" vertical="center"/>
      <protection locked="0"/>
    </xf>
    <xf numFmtId="43" fontId="2" fillId="3" borderId="1" xfId="1" applyFont="1" applyFill="1" applyBorder="1" applyAlignment="1" applyProtection="1">
      <alignment horizontal="center" vertical="center"/>
    </xf>
    <xf numFmtId="43" fontId="0" fillId="0" borderId="20" xfId="1" applyFont="1" applyBorder="1" applyAlignment="1" applyProtection="1">
      <alignment vertical="center"/>
    </xf>
    <xf numFmtId="0" fontId="0" fillId="0" borderId="21" xfId="0" applyBorder="1" applyAlignment="1" applyProtection="1">
      <alignment horizontal="center" vertical="center"/>
    </xf>
    <xf numFmtId="43" fontId="0" fillId="0" borderId="22" xfId="1" applyFont="1" applyBorder="1" applyAlignment="1" applyProtection="1">
      <alignment vertical="center"/>
    </xf>
    <xf numFmtId="43" fontId="2" fillId="2" borderId="0" xfId="1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43" fontId="2" fillId="2" borderId="19" xfId="1" applyFont="1" applyFill="1" applyBorder="1" applyAlignment="1" applyProtection="1">
      <alignment horizontal="center" vertical="center"/>
    </xf>
    <xf numFmtId="43" fontId="2" fillId="2" borderId="23" xfId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4" xfId="0" applyBorder="1" applyAlignment="1" applyProtection="1">
      <alignment vertical="center"/>
    </xf>
    <xf numFmtId="0" fontId="0" fillId="0" borderId="25" xfId="0" applyBorder="1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right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right" vertical="top"/>
    </xf>
    <xf numFmtId="0" fontId="0" fillId="0" borderId="28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0" fontId="0" fillId="6" borderId="1" xfId="0" applyFill="1" applyBorder="1" applyAlignment="1" applyProtection="1">
      <alignment horizontal="center" vertical="center"/>
      <protection locked="0"/>
    </xf>
    <xf numFmtId="14" fontId="0" fillId="6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43" fontId="7" fillId="6" borderId="3" xfId="1" applyFont="1" applyFill="1" applyBorder="1" applyAlignment="1" applyProtection="1">
      <alignment horizontal="left" vertical="center"/>
      <protection locked="0"/>
    </xf>
    <xf numFmtId="17" fontId="7" fillId="6" borderId="3" xfId="0" applyNumberFormat="1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/>
    </xf>
    <xf numFmtId="0" fontId="11" fillId="0" borderId="31" xfId="0" applyFont="1" applyBorder="1" applyAlignment="1">
      <alignment horizontal="center"/>
    </xf>
    <xf numFmtId="0" fontId="8" fillId="0" borderId="0" xfId="3" applyNumberFormat="1" applyFont="1" applyAlignment="1" applyProtection="1">
      <alignment horizontal="left" vertical="center"/>
    </xf>
    <xf numFmtId="0" fontId="9" fillId="0" borderId="0" xfId="3" applyNumberFormat="1" applyFont="1" applyBorder="1" applyAlignment="1" applyProtection="1">
      <alignment horizontal="left" vertical="center"/>
    </xf>
    <xf numFmtId="0" fontId="0" fillId="0" borderId="0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4" borderId="0" xfId="0" applyFill="1" applyAlignment="1">
      <alignment horizontal="right" vertical="center"/>
    </xf>
    <xf numFmtId="43" fontId="2" fillId="6" borderId="0" xfId="1" applyFont="1" applyFill="1" applyAlignment="1" applyProtection="1">
      <alignment horizontal="left" vertical="center"/>
      <protection locked="0"/>
    </xf>
    <xf numFmtId="0" fontId="0" fillId="4" borderId="14" xfId="0" applyFill="1" applyBorder="1" applyAlignment="1">
      <alignment horizontal="right" vertical="center"/>
    </xf>
    <xf numFmtId="43" fontId="3" fillId="6" borderId="0" xfId="2" applyNumberFormat="1" applyFill="1" applyAlignment="1" applyProtection="1">
      <alignment horizontal="left" vertical="center"/>
      <protection locked="0"/>
    </xf>
    <xf numFmtId="43" fontId="3" fillId="6" borderId="0" xfId="1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6" borderId="4" xfId="0" applyFill="1" applyBorder="1" applyAlignment="1" applyProtection="1">
      <alignment horizontal="left" vertical="top"/>
      <protection locked="0"/>
    </xf>
    <xf numFmtId="0" fontId="0" fillId="6" borderId="9" xfId="0" applyFill="1" applyBorder="1" applyAlignment="1" applyProtection="1">
      <alignment horizontal="left" vertical="top"/>
      <protection locked="0"/>
    </xf>
    <xf numFmtId="0" fontId="0" fillId="6" borderId="5" xfId="0" applyFill="1" applyBorder="1" applyAlignment="1" applyProtection="1">
      <alignment horizontal="left" vertical="top"/>
      <protection locked="0"/>
    </xf>
    <xf numFmtId="0" fontId="0" fillId="6" borderId="6" xfId="0" applyFill="1" applyBorder="1" applyAlignment="1" applyProtection="1">
      <alignment horizontal="left" vertical="top"/>
      <protection locked="0"/>
    </xf>
    <xf numFmtId="0" fontId="0" fillId="6" borderId="0" xfId="0" applyFill="1" applyBorder="1" applyAlignment="1" applyProtection="1">
      <alignment horizontal="left" vertical="top"/>
      <protection locked="0"/>
    </xf>
    <xf numFmtId="0" fontId="0" fillId="6" borderId="2" xfId="0" applyFill="1" applyBorder="1" applyAlignment="1" applyProtection="1">
      <alignment horizontal="left" vertical="top"/>
      <protection locked="0"/>
    </xf>
    <xf numFmtId="0" fontId="0" fillId="6" borderId="7" xfId="0" applyFill="1" applyBorder="1" applyAlignment="1" applyProtection="1">
      <alignment horizontal="left" vertical="top"/>
      <protection locked="0"/>
    </xf>
    <xf numFmtId="0" fontId="0" fillId="6" borderId="10" xfId="0" applyFill="1" applyBorder="1" applyAlignment="1" applyProtection="1">
      <alignment horizontal="left" vertical="top"/>
      <protection locked="0"/>
    </xf>
    <xf numFmtId="0" fontId="0" fillId="6" borderId="8" xfId="0" applyFill="1" applyBorder="1" applyAlignment="1" applyProtection="1">
      <alignment horizontal="left" vertical="top"/>
      <protection locked="0"/>
    </xf>
    <xf numFmtId="0" fontId="2" fillId="3" borderId="1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left" vertical="center"/>
      <protection locked="0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2" fillId="5" borderId="13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1" xfId="0" applyFont="1" applyBorder="1" applyAlignment="1">
      <alignment horizontal="center"/>
    </xf>
    <xf numFmtId="43" fontId="1" fillId="0" borderId="11" xfId="1" applyFont="1" applyBorder="1" applyAlignment="1">
      <alignment horizontal="center"/>
    </xf>
    <xf numFmtId="43" fontId="1" fillId="0" borderId="12" xfId="1" applyFont="1" applyBorder="1" applyAlignment="1">
      <alignment horizontal="center"/>
    </xf>
    <xf numFmtId="43" fontId="1" fillId="0" borderId="13" xfId="1" applyFont="1" applyBorder="1" applyAlignment="1">
      <alignment horizontal="center"/>
    </xf>
    <xf numFmtId="43" fontId="1" fillId="0" borderId="1" xfId="1" applyFont="1" applyBorder="1" applyAlignment="1">
      <alignment horizontal="center"/>
    </xf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3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43" fontId="1" fillId="0" borderId="1" xfId="1" quotePrefix="1" applyFont="1" applyBorder="1" applyAlignment="1">
      <alignment horizontal="center"/>
    </xf>
    <xf numFmtId="43" fontId="2" fillId="0" borderId="11" xfId="1" applyFont="1" applyBorder="1" applyAlignment="1">
      <alignment horizontal="center"/>
    </xf>
    <xf numFmtId="0" fontId="0" fillId="5" borderId="1" xfId="0" applyFill="1" applyBorder="1" applyAlignment="1">
      <alignment horizontal="right" vertical="center"/>
    </xf>
    <xf numFmtId="14" fontId="2" fillId="0" borderId="1" xfId="0" applyNumberFormat="1" applyFont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2" fillId="0" borderId="29" xfId="0" applyFont="1" applyBorder="1" applyAlignment="1">
      <alignment horizontal="right"/>
    </xf>
    <xf numFmtId="0" fontId="12" fillId="0" borderId="30" xfId="0" applyFont="1" applyBorder="1" applyAlignment="1">
      <alignment horizontal="right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4" fillId="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Vírgula" xfId="1" builtinId="3"/>
    <cellStyle name="Vírgula 2" xfId="3" xr:uid="{348B5EC2-32CB-4205-A88B-71CB21A0148F}"/>
  </cellStyles>
  <dxfs count="252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6411A68-479C-4412-8D7A-2C7AE75ABE7B}"/>
            </a:ext>
          </a:extLst>
        </xdr:cNvPr>
        <xdr:cNvSpPr txBox="1"/>
      </xdr:nvSpPr>
      <xdr:spPr>
        <a:xfrm>
          <a:off x="361950" y="295275"/>
          <a:ext cx="4638675" cy="38100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shap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PROGRAMA EMISSOR DE NOTA DE DÉBITO</a:t>
          </a:r>
        </a:p>
      </xdr:txBody>
    </xdr:sp>
    <xdr:clientData/>
  </xdr:twoCellAnchor>
  <xdr:oneCellAnchor>
    <xdr:from>
      <xdr:col>2</xdr:col>
      <xdr:colOff>0</xdr:colOff>
      <xdr:row>6</xdr:row>
      <xdr:rowOff>0</xdr:rowOff>
    </xdr:from>
    <xdr:ext cx="4629150" cy="264560"/>
    <xdr:sp macro="[0]!Ir_Tutorial" textlink="">
      <xdr:nvSpPr>
        <xdr:cNvPr id="3" name="CaixaDeTexto 2">
          <a:extLst>
            <a:ext uri="{FF2B5EF4-FFF2-40B4-BE49-F238E27FC236}">
              <a16:creationId xmlns:a16="http://schemas.microsoft.com/office/drawing/2014/main" id="{64B8A330-745A-48CA-98FB-81A9ED14803E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002060"/>
              </a:solidFill>
            </a:rPr>
            <a:t>TUTORIAL</a:t>
          </a:r>
        </a:p>
      </xdr:txBody>
    </xdr:sp>
    <xdr:clientData/>
  </xdr:oneCellAnchor>
  <xdr:oneCellAnchor>
    <xdr:from>
      <xdr:col>2</xdr:col>
      <xdr:colOff>0</xdr:colOff>
      <xdr:row>10</xdr:row>
      <xdr:rowOff>0</xdr:rowOff>
    </xdr:from>
    <xdr:ext cx="4629150" cy="264560"/>
    <xdr:sp macro="[0]!Ir_Tomador" textlink="">
      <xdr:nvSpPr>
        <xdr:cNvPr id="4" name="CaixaDeTexto 3">
          <a:extLst>
            <a:ext uri="{FF2B5EF4-FFF2-40B4-BE49-F238E27FC236}">
              <a16:creationId xmlns:a16="http://schemas.microsoft.com/office/drawing/2014/main" id="{FA3E5C31-09D4-409E-A34D-2A5790CF14E2}"/>
            </a:ext>
          </a:extLst>
        </xdr:cNvPr>
        <xdr:cNvSpPr txBox="1"/>
      </xdr:nvSpPr>
      <xdr:spPr>
        <a:xfrm>
          <a:off x="361950" y="1552575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002060"/>
              </a:solidFill>
            </a:rPr>
            <a:t>CADASTRO DOS TOMADORES</a:t>
          </a:r>
          <a:r>
            <a:rPr lang="pt-BR" sz="1100" baseline="0">
              <a:solidFill>
                <a:srgbClr val="002060"/>
              </a:solidFill>
            </a:rPr>
            <a:t> DE NOTAS DE DÉBITO</a:t>
          </a:r>
          <a:endParaRPr lang="pt-BR" sz="1100">
            <a:solidFill>
              <a:srgbClr val="002060"/>
            </a:solidFill>
          </a:endParaRPr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4629150" cy="264560"/>
    <xdr:sp macro="[0]!Ir_CadastroND" textlink="">
      <xdr:nvSpPr>
        <xdr:cNvPr id="5" name="CaixaDeTexto 4">
          <a:extLst>
            <a:ext uri="{FF2B5EF4-FFF2-40B4-BE49-F238E27FC236}">
              <a16:creationId xmlns:a16="http://schemas.microsoft.com/office/drawing/2014/main" id="{ABC7A2FF-9474-41BA-836E-1E80C4AC7971}"/>
            </a:ext>
          </a:extLst>
        </xdr:cNvPr>
        <xdr:cNvSpPr txBox="1"/>
      </xdr:nvSpPr>
      <xdr:spPr>
        <a:xfrm>
          <a:off x="361950" y="211455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rgbClr val="002060"/>
              </a:solidFill>
            </a:rPr>
            <a:t>LANÇAMENTO DAS NOTAS DE DÉBITO</a:t>
          </a: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4629150" cy="264560"/>
    <xdr:sp macro="[0]!Ir_FormularioND" textlink="">
      <xdr:nvSpPr>
        <xdr:cNvPr id="6" name="CaixaDeTexto 5">
          <a:extLst>
            <a:ext uri="{FF2B5EF4-FFF2-40B4-BE49-F238E27FC236}">
              <a16:creationId xmlns:a16="http://schemas.microsoft.com/office/drawing/2014/main" id="{A5696365-1A05-4D63-9A3C-88EF3C22F8B3}"/>
            </a:ext>
          </a:extLst>
        </xdr:cNvPr>
        <xdr:cNvSpPr txBox="1"/>
      </xdr:nvSpPr>
      <xdr:spPr>
        <a:xfrm>
          <a:off x="361950" y="2676525"/>
          <a:ext cx="4629150" cy="264560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bg1">
                  <a:lumMod val="95000"/>
                </a:schemeClr>
              </a:solidFill>
            </a:rPr>
            <a:t>EMISSOR DAS NOTAS DE DÉBITO</a:t>
          </a:r>
          <a:r>
            <a:rPr lang="pt-BR" sz="1100" b="1" baseline="0">
              <a:solidFill>
                <a:schemeClr val="bg1">
                  <a:lumMod val="95000"/>
                </a:schemeClr>
              </a:solidFill>
            </a:rPr>
            <a:t> (</a:t>
          </a:r>
          <a:r>
            <a:rPr lang="pt-BR" sz="1100" b="1">
              <a:solidFill>
                <a:schemeClr val="bg1">
                  <a:lumMod val="95000"/>
                </a:schemeClr>
              </a:solidFill>
            </a:rPr>
            <a:t>FORMULÁRIO)</a:t>
          </a:r>
        </a:p>
      </xdr:txBody>
    </xdr:sp>
    <xdr:clientData/>
  </xdr:oneCellAnchor>
  <xdr:oneCellAnchor>
    <xdr:from>
      <xdr:col>2</xdr:col>
      <xdr:colOff>0</xdr:colOff>
      <xdr:row>8</xdr:row>
      <xdr:rowOff>0</xdr:rowOff>
    </xdr:from>
    <xdr:ext cx="4629150" cy="264560"/>
    <xdr:sp macro="[0]!Ir_Emissor" textlink="">
      <xdr:nvSpPr>
        <xdr:cNvPr id="7" name="CaixaDeTexto 6">
          <a:extLst>
            <a:ext uri="{FF2B5EF4-FFF2-40B4-BE49-F238E27FC236}">
              <a16:creationId xmlns:a16="http://schemas.microsoft.com/office/drawing/2014/main" id="{2F7C0540-6DCE-432C-AF41-9C5175062281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002060"/>
              </a:solidFill>
            </a:rPr>
            <a:t>CADASTRO DO EMITENTE DE NOTAS DE DÉBITO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</xdr:colOff>
      <xdr:row>2</xdr:row>
      <xdr:rowOff>28575</xdr:rowOff>
    </xdr:from>
    <xdr:to>
      <xdr:col>6</xdr:col>
      <xdr:colOff>9524</xdr:colOff>
      <xdr:row>4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552242-23B1-41F0-B108-1E808C4EE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9725" y="85725"/>
          <a:ext cx="466724" cy="466724"/>
        </a:xfrm>
        <a:prstGeom prst="rect">
          <a:avLst/>
        </a:prstGeom>
      </xdr:spPr>
    </xdr:pic>
    <xdr:clientData/>
  </xdr:twoCellAnchor>
  <xdr:twoCellAnchor>
    <xdr:from>
      <xdr:col>3</xdr:col>
      <xdr:colOff>619124</xdr:colOff>
      <xdr:row>4</xdr:row>
      <xdr:rowOff>85725</xdr:rowOff>
    </xdr:from>
    <xdr:to>
      <xdr:col>4</xdr:col>
      <xdr:colOff>895350</xdr:colOff>
      <xdr:row>4</xdr:row>
      <xdr:rowOff>495300</xdr:rowOff>
    </xdr:to>
    <xdr:sp macro="[0]!CadastrarTomador" textlink="">
      <xdr:nvSpPr>
        <xdr:cNvPr id="2" name="Seta: para Baixo 1">
          <a:extLst>
            <a:ext uri="{FF2B5EF4-FFF2-40B4-BE49-F238E27FC236}">
              <a16:creationId xmlns:a16="http://schemas.microsoft.com/office/drawing/2014/main" id="{B1139BDF-0B03-486D-98DE-201679F304C3}"/>
            </a:ext>
          </a:extLst>
        </xdr:cNvPr>
        <xdr:cNvSpPr/>
      </xdr:nvSpPr>
      <xdr:spPr>
        <a:xfrm>
          <a:off x="3962399" y="628650"/>
          <a:ext cx="1743076" cy="4095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9</xdr:row>
      <xdr:rowOff>76200</xdr:rowOff>
    </xdr:from>
    <xdr:to>
      <xdr:col>10</xdr:col>
      <xdr:colOff>123825</xdr:colOff>
      <xdr:row>10</xdr:row>
      <xdr:rowOff>171450</xdr:rowOff>
    </xdr:to>
    <xdr:sp macro="[0]!RegistrarND" textlink="">
      <xdr:nvSpPr>
        <xdr:cNvPr id="8" name="CaixaDeTexto 7">
          <a:extLst>
            <a:ext uri="{FF2B5EF4-FFF2-40B4-BE49-F238E27FC236}">
              <a16:creationId xmlns:a16="http://schemas.microsoft.com/office/drawing/2014/main" id="{9158EBA7-16B8-40C5-89D5-6B74272CADCD}"/>
            </a:ext>
          </a:extLst>
        </xdr:cNvPr>
        <xdr:cNvSpPr txBox="1"/>
      </xdr:nvSpPr>
      <xdr:spPr>
        <a:xfrm>
          <a:off x="8801100" y="1457325"/>
          <a:ext cx="866775" cy="2952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REGISTRAR</a:t>
          </a:r>
        </a:p>
      </xdr:txBody>
    </xdr:sp>
    <xdr:clientData/>
  </xdr:twoCellAnchor>
  <xdr:twoCellAnchor>
    <xdr:from>
      <xdr:col>9</xdr:col>
      <xdr:colOff>123825</xdr:colOff>
      <xdr:row>1</xdr:row>
      <xdr:rowOff>114300</xdr:rowOff>
    </xdr:from>
    <xdr:to>
      <xdr:col>9</xdr:col>
      <xdr:colOff>733425</xdr:colOff>
      <xdr:row>2</xdr:row>
      <xdr:rowOff>209550</xdr:rowOff>
    </xdr:to>
    <xdr:sp macro="[0]!NovaND" textlink="">
      <xdr:nvSpPr>
        <xdr:cNvPr id="6" name="CaixaDeTexto 5">
          <a:extLst>
            <a:ext uri="{FF2B5EF4-FFF2-40B4-BE49-F238E27FC236}">
              <a16:creationId xmlns:a16="http://schemas.microsoft.com/office/drawing/2014/main" id="{868EA5E8-13F7-4E79-80A3-24AD59045EFF}"/>
            </a:ext>
          </a:extLst>
        </xdr:cNvPr>
        <xdr:cNvSpPr txBox="1"/>
      </xdr:nvSpPr>
      <xdr:spPr>
        <a:xfrm>
          <a:off x="8858250" y="209550"/>
          <a:ext cx="609600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  <xdr:twoCellAnchor>
    <xdr:from>
      <xdr:col>10</xdr:col>
      <xdr:colOff>304800</xdr:colOff>
      <xdr:row>1</xdr:row>
      <xdr:rowOff>66676</xdr:rowOff>
    </xdr:from>
    <xdr:to>
      <xdr:col>11</xdr:col>
      <xdr:colOff>590550</xdr:colOff>
      <xdr:row>2</xdr:row>
      <xdr:rowOff>238126</xdr:rowOff>
    </xdr:to>
    <xdr:sp macro="[0]!Ir_FormularioND" textlink="">
      <xdr:nvSpPr>
        <xdr:cNvPr id="2" name="Seta: Entalhada para a Direita 1">
          <a:extLst>
            <a:ext uri="{FF2B5EF4-FFF2-40B4-BE49-F238E27FC236}">
              <a16:creationId xmlns:a16="http://schemas.microsoft.com/office/drawing/2014/main" id="{1573AD45-7706-4E39-88E7-6BAF5A14738C}"/>
            </a:ext>
          </a:extLst>
        </xdr:cNvPr>
        <xdr:cNvSpPr/>
      </xdr:nvSpPr>
      <xdr:spPr>
        <a:xfrm>
          <a:off x="9848850" y="161926"/>
          <a:ext cx="895350" cy="361950"/>
        </a:xfrm>
        <a:prstGeom prst="notchedRightArrow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67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</a:rPr>
            <a:t>Formulário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419099</xdr:colOff>
      <xdr:row>1</xdr:row>
      <xdr:rowOff>161925</xdr:rowOff>
    </xdr:from>
    <xdr:to>
      <xdr:col>50</xdr:col>
      <xdr:colOff>333374</xdr:colOff>
      <xdr:row>3</xdr:row>
      <xdr:rowOff>76200</xdr:rowOff>
    </xdr:to>
    <xdr:sp macro="[0]!CarregarTomador" textlink="">
      <xdr:nvSpPr>
        <xdr:cNvPr id="6" name="CaixaDeTexto 5">
          <a:extLst>
            <a:ext uri="{FF2B5EF4-FFF2-40B4-BE49-F238E27FC236}">
              <a16:creationId xmlns:a16="http://schemas.microsoft.com/office/drawing/2014/main" id="{F1450896-E4DD-44DA-83FB-F108A4C22CDD}"/>
            </a:ext>
          </a:extLst>
        </xdr:cNvPr>
        <xdr:cNvSpPr txBox="1"/>
      </xdr:nvSpPr>
      <xdr:spPr>
        <a:xfrm>
          <a:off x="19764374" y="352425"/>
          <a:ext cx="1743075" cy="2952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EMITIR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47</xdr:col>
      <xdr:colOff>400049</xdr:colOff>
      <xdr:row>4</xdr:row>
      <xdr:rowOff>28575</xdr:rowOff>
    </xdr:from>
    <xdr:to>
      <xdr:col>50</xdr:col>
      <xdr:colOff>314324</xdr:colOff>
      <xdr:row>5</xdr:row>
      <xdr:rowOff>133350</xdr:rowOff>
    </xdr:to>
    <xdr:sp macro="[0]!EditarND" textlink="">
      <xdr:nvSpPr>
        <xdr:cNvPr id="7" name="CaixaDeTexto 6">
          <a:extLst>
            <a:ext uri="{FF2B5EF4-FFF2-40B4-BE49-F238E27FC236}">
              <a16:creationId xmlns:a16="http://schemas.microsoft.com/office/drawing/2014/main" id="{008B958D-BC76-4D9D-9E54-084196EAA3C8}"/>
            </a:ext>
          </a:extLst>
        </xdr:cNvPr>
        <xdr:cNvSpPr txBox="1"/>
      </xdr:nvSpPr>
      <xdr:spPr>
        <a:xfrm>
          <a:off x="19745324" y="790575"/>
          <a:ext cx="1743075" cy="2952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2</xdr:col>
      <xdr:colOff>19051</xdr:colOff>
      <xdr:row>1</xdr:row>
      <xdr:rowOff>19049</xdr:rowOff>
    </xdr:from>
    <xdr:to>
      <xdr:col>20</xdr:col>
      <xdr:colOff>285751</xdr:colOff>
      <xdr:row>5</xdr:row>
      <xdr:rowOff>161925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039A75-8909-4AEA-9251-A81B2F3985A0}"/>
            </a:ext>
          </a:extLst>
        </xdr:cNvPr>
        <xdr:cNvSpPr txBox="1"/>
      </xdr:nvSpPr>
      <xdr:spPr>
        <a:xfrm>
          <a:off x="133351" y="104774"/>
          <a:ext cx="5581650" cy="9048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>
              <a:solidFill>
                <a:schemeClr val="bg1">
                  <a:lumMod val="85000"/>
                </a:schemeClr>
              </a:solidFill>
            </a:rPr>
            <a:t>LOGO MARCA (opcional)</a:t>
          </a:r>
        </a:p>
      </xdr:txBody>
    </xdr:sp>
    <xdr:clientData fPrintsWithSheet="0"/>
  </xdr:twoCellAnchor>
  <xdr:twoCellAnchor editAs="oneCell">
    <xdr:from>
      <xdr:col>29</xdr:col>
      <xdr:colOff>183776</xdr:colOff>
      <xdr:row>7</xdr:row>
      <xdr:rowOff>155762</xdr:rowOff>
    </xdr:from>
    <xdr:to>
      <xdr:col>30</xdr:col>
      <xdr:colOff>131109</xdr:colOff>
      <xdr:row>10</xdr:row>
      <xdr:rowOff>127187</xdr:rowOff>
    </xdr:to>
    <xdr:pic macro="[0]!ImprimirForm">
      <xdr:nvPicPr>
        <xdr:cNvPr id="5" name="Imagem 4">
          <a:extLst>
            <a:ext uri="{FF2B5EF4-FFF2-40B4-BE49-F238E27FC236}">
              <a16:creationId xmlns:a16="http://schemas.microsoft.com/office/drawing/2014/main" id="{456641AF-AC5B-4348-8FDF-6A7DDA215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2376" y="1384487"/>
          <a:ext cx="556933" cy="552450"/>
        </a:xfrm>
        <a:prstGeom prst="rect">
          <a:avLst/>
        </a:prstGeom>
      </xdr:spPr>
    </xdr:pic>
    <xdr:clientData fPrintsWithSheet="0"/>
  </xdr:twoCellAnchor>
  <xdr:twoCellAnchor>
    <xdr:from>
      <xdr:col>29</xdr:col>
      <xdr:colOff>47626</xdr:colOff>
      <xdr:row>3</xdr:row>
      <xdr:rowOff>9526</xdr:rowOff>
    </xdr:from>
    <xdr:to>
      <xdr:col>30</xdr:col>
      <xdr:colOff>171450</xdr:colOff>
      <xdr:row>4</xdr:row>
      <xdr:rowOff>104776</xdr:rowOff>
    </xdr:to>
    <xdr:sp macro="[0]!EditarND" textlink="">
      <xdr:nvSpPr>
        <xdr:cNvPr id="8" name="CaixaDeTexto 7">
          <a:extLst>
            <a:ext uri="{FF2B5EF4-FFF2-40B4-BE49-F238E27FC236}">
              <a16:creationId xmlns:a16="http://schemas.microsoft.com/office/drawing/2014/main" id="{4F773971-6341-4521-81ED-5B59CB1B9E5A}"/>
            </a:ext>
          </a:extLst>
        </xdr:cNvPr>
        <xdr:cNvSpPr txBox="1"/>
      </xdr:nvSpPr>
      <xdr:spPr>
        <a:xfrm>
          <a:off x="7896226" y="476251"/>
          <a:ext cx="733424" cy="2857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</a:p>
      </xdr:txBody>
    </xdr:sp>
    <xdr:clientData/>
  </xdr:twoCellAnchor>
  <xdr:twoCellAnchor>
    <xdr:from>
      <xdr:col>29</xdr:col>
      <xdr:colOff>57151</xdr:colOff>
      <xdr:row>5</xdr:row>
      <xdr:rowOff>9526</xdr:rowOff>
    </xdr:from>
    <xdr:to>
      <xdr:col>30</xdr:col>
      <xdr:colOff>180975</xdr:colOff>
      <xdr:row>6</xdr:row>
      <xdr:rowOff>104776</xdr:rowOff>
    </xdr:to>
    <xdr:sp macro="[0]!ExcluirNDsRegistradas" textlink="">
      <xdr:nvSpPr>
        <xdr:cNvPr id="11" name="CaixaDeTexto 10">
          <a:extLst>
            <a:ext uri="{FF2B5EF4-FFF2-40B4-BE49-F238E27FC236}">
              <a16:creationId xmlns:a16="http://schemas.microsoft.com/office/drawing/2014/main" id="{EBB4906F-E110-46D8-BF3F-01B0B80F1A56}"/>
            </a:ext>
          </a:extLst>
        </xdr:cNvPr>
        <xdr:cNvSpPr txBox="1"/>
      </xdr:nvSpPr>
      <xdr:spPr>
        <a:xfrm>
          <a:off x="7905751" y="857251"/>
          <a:ext cx="733424" cy="2857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EXCLUIR</a:t>
          </a:r>
        </a:p>
      </xdr:txBody>
    </xdr:sp>
    <xdr:clientData/>
  </xdr:twoCellAnchor>
  <xdr:twoCellAnchor>
    <xdr:from>
      <xdr:col>29</xdr:col>
      <xdr:colOff>38101</xdr:colOff>
      <xdr:row>1</xdr:row>
      <xdr:rowOff>9526</xdr:rowOff>
    </xdr:from>
    <xdr:to>
      <xdr:col>30</xdr:col>
      <xdr:colOff>161925</xdr:colOff>
      <xdr:row>2</xdr:row>
      <xdr:rowOff>104776</xdr:rowOff>
    </xdr:to>
    <xdr:sp macro="[0]!NovaND" textlink="">
      <xdr:nvSpPr>
        <xdr:cNvPr id="9" name="CaixaDeTexto 8">
          <a:extLst>
            <a:ext uri="{FF2B5EF4-FFF2-40B4-BE49-F238E27FC236}">
              <a16:creationId xmlns:a16="http://schemas.microsoft.com/office/drawing/2014/main" id="{6428136D-5A71-4E7D-B32E-9BA2116A2A13}"/>
            </a:ext>
          </a:extLst>
        </xdr:cNvPr>
        <xdr:cNvSpPr txBox="1"/>
      </xdr:nvSpPr>
      <xdr:spPr>
        <a:xfrm>
          <a:off x="7886701" y="95251"/>
          <a:ext cx="733424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gispc\Documents\SITE%20FINANCEIRO\C&#193;LCULODE%20OPERA&#199;&#195;O%20DE%20EMPR&#201;STIMO\C&#225;lculo%20de%20Opera&#231;&#227;o%20de%20Empr&#233;stimo%20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"/>
      <sheetName val="CÁLCULO"/>
      <sheetName val="Comparativo SAC x Price"/>
      <sheetName val="Feriados"/>
    </sheetNames>
    <sheetDataSet>
      <sheetData sheetId="0"/>
      <sheetData sheetId="1">
        <row r="5">
          <cell r="R5" t="str">
            <v>P</v>
          </cell>
        </row>
      </sheetData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201.746982291668" createdVersion="6" refreshedVersion="6" minRefreshableVersion="3" recordCount="1" xr:uid="{BD6E7808-2D2F-469A-BF98-BD0D2C18E681}">
  <cacheSource type="worksheet">
    <worksheetSource name="Dados_AreaTD"/>
  </cacheSource>
  <cacheFields count="13">
    <cacheField name="Nº ND" numFmtId="0">
      <sharedItems containsNonDate="0" containsString="0" containsBlank="1" containsNumber="1" containsInteger="1" minValue="1" maxValue="5" count="6">
        <m/>
        <n v="3" u="1"/>
        <n v="4" u="1"/>
        <n v="2" u="1"/>
        <n v="1" u="1"/>
        <n v="5" u="1"/>
      </sharedItems>
    </cacheField>
    <cacheField name="TOMADOR" numFmtId="0">
      <sharedItems containsNonDate="0" containsString="0" containsBlank="1"/>
    </cacheField>
    <cacheField name="DT. EMISSÃO" numFmtId="14">
      <sharedItems containsNonDate="0" containsString="0" containsBlank="1"/>
    </cacheField>
    <cacheField name="VENCTO." numFmtId="14">
      <sharedItems containsNonDate="0" containsString="0" containsBlank="1"/>
    </cacheField>
    <cacheField name="REF." numFmtId="164">
      <sharedItems containsNonDate="0" containsString="0" containsBlank="1"/>
    </cacheField>
    <cacheField name="FORMA PGTO." numFmtId="0">
      <sharedItems containsNonDate="0" containsString="0" containsBlank="1"/>
    </cacheField>
    <cacheField name="ITEM" numFmtId="0">
      <sharedItems containsNonDate="0" containsString="0" containsBlank="1"/>
    </cacheField>
    <cacheField name="DESCRIÇÃO" numFmtId="0">
      <sharedItems containsNonDate="0" containsString="0" containsBlank="1"/>
    </cacheField>
    <cacheField name="QUANT." numFmtId="0">
      <sharedItems containsNonDate="0" containsString="0" containsBlank="1"/>
    </cacheField>
    <cacheField name="UNIT." numFmtId="43">
      <sharedItems containsNonDate="0" containsString="0" containsBlank="1"/>
    </cacheField>
    <cacheField name="TOTAL" numFmtId="43">
      <sharedItems containsNonDate="0" containsString="0" containsBlank="1"/>
    </cacheField>
    <cacheField name="OBSERVAÇÕES" numFmtId="0">
      <sharedItems containsNonDate="0" containsString="0" containsBlank="1"/>
    </cacheField>
    <cacheField name="PK_Tomad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289E7B-1CBE-42C2-BBC7-94041A049C43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A4" firstHeaderRow="1" firstDataRow="1" firstDataCol="1"/>
  <pivotFields count="13">
    <pivotField axis="axisRow" showAll="0" sortType="ascending">
      <items count="7">
        <item m="1" x="4"/>
        <item m="1" x="3"/>
        <item m="1" x="1"/>
        <item m="1" x="2"/>
        <item m="1" x="5"/>
        <item x="0"/>
        <item t="default"/>
      </items>
    </pivotField>
    <pivotField showAll="0"/>
    <pivotField numFmtId="14" showAll="0"/>
    <pivotField numFmtId="14" showAll="0"/>
    <pivotField numFmtId="164"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</pivotFields>
  <rowFields count="1">
    <field x="0"/>
  </rowFields>
  <rowItems count="1"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>
    <tabColor rgb="FFC00000"/>
  </sheetPr>
  <dimension ref="D1:D15"/>
  <sheetViews>
    <sheetView showGridLines="0" showRowColHeaders="0" tabSelected="1" topLeftCell="B3" workbookViewId="0">
      <selection activeCell="B3" sqref="B3"/>
    </sheetView>
  </sheetViews>
  <sheetFormatPr defaultColWidth="9.140625" defaultRowHeight="15" x14ac:dyDescent="0.25"/>
  <cols>
    <col min="1" max="1" width="0" style="11" hidden="1" customWidth="1"/>
    <col min="2" max="3" width="5.42578125" style="11" customWidth="1"/>
    <col min="4" max="16384" width="9.140625" style="11"/>
  </cols>
  <sheetData>
    <row r="1" spans="4:4" hidden="1" x14ac:dyDescent="0.25"/>
    <row r="2" spans="4:4" hidden="1" x14ac:dyDescent="0.25"/>
    <row r="3" spans="4:4" ht="23.25" customHeight="1" x14ac:dyDescent="0.25"/>
    <row r="6" spans="4:4" ht="24.75" customHeight="1" x14ac:dyDescent="0.25"/>
    <row r="7" spans="4:4" ht="25.5" customHeight="1" x14ac:dyDescent="0.25"/>
    <row r="8" spans="4:4" ht="15.95" customHeight="1" x14ac:dyDescent="0.25"/>
    <row r="9" spans="4:4" ht="25.5" customHeight="1" x14ac:dyDescent="0.25"/>
    <row r="10" spans="4:4" ht="15.95" customHeight="1" x14ac:dyDescent="0.25">
      <c r="D10" s="12"/>
    </row>
    <row r="11" spans="4:4" ht="25.5" customHeight="1" x14ac:dyDescent="0.25"/>
    <row r="12" spans="4:4" ht="15.95" customHeight="1" x14ac:dyDescent="0.25">
      <c r="D12" s="12"/>
    </row>
    <row r="13" spans="4:4" ht="25.5" customHeight="1" x14ac:dyDescent="0.25"/>
    <row r="14" spans="4:4" ht="15.95" customHeight="1" x14ac:dyDescent="0.25">
      <c r="D14" s="12"/>
    </row>
    <row r="15" spans="4:4" ht="25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9089-4D2A-48B2-83AF-7D54DF20539D}">
  <sheetPr codeName="Sht_Tutorial">
    <pageSetUpPr fitToPage="1"/>
  </sheetPr>
  <dimension ref="B2:C18"/>
  <sheetViews>
    <sheetView showGridLines="0" showRowColHeaders="0" workbookViewId="0">
      <selection activeCell="B2" sqref="B2:C2"/>
    </sheetView>
  </sheetViews>
  <sheetFormatPr defaultColWidth="9.140625" defaultRowHeight="22.5" customHeight="1" x14ac:dyDescent="0.25"/>
  <cols>
    <col min="1" max="1" width="3.85546875" style="26" customWidth="1"/>
    <col min="2" max="2" width="1.85546875" style="58" customWidth="1"/>
    <col min="3" max="3" width="134.140625" style="59" bestFit="1" customWidth="1"/>
    <col min="4" max="16384" width="9.140625" style="26"/>
  </cols>
  <sheetData>
    <row r="2" spans="2:3" ht="22.5" customHeight="1" x14ac:dyDescent="0.25">
      <c r="B2" s="69" t="s">
        <v>38</v>
      </c>
      <c r="C2" s="69"/>
    </row>
    <row r="4" spans="2:3" ht="22.5" customHeight="1" x14ac:dyDescent="0.25">
      <c r="B4" s="70" t="s">
        <v>39</v>
      </c>
      <c r="C4" s="70"/>
    </row>
    <row r="5" spans="2:3" ht="22.5" customHeight="1" x14ac:dyDescent="0.25">
      <c r="B5" s="54" t="s">
        <v>40</v>
      </c>
      <c r="C5" s="55" t="s">
        <v>50</v>
      </c>
    </row>
    <row r="7" spans="2:3" ht="22.5" customHeight="1" x14ac:dyDescent="0.25">
      <c r="B7" s="70" t="s">
        <v>43</v>
      </c>
      <c r="C7" s="70"/>
    </row>
    <row r="8" spans="2:3" ht="22.5" customHeight="1" x14ac:dyDescent="0.25">
      <c r="B8" s="54" t="s">
        <v>40</v>
      </c>
      <c r="C8" s="55" t="s">
        <v>41</v>
      </c>
    </row>
    <row r="9" spans="2:3" ht="22.5" customHeight="1" x14ac:dyDescent="0.25">
      <c r="B9" s="54" t="s">
        <v>40</v>
      </c>
      <c r="C9" s="57" t="s">
        <v>53</v>
      </c>
    </row>
    <row r="10" spans="2:3" ht="30" x14ac:dyDescent="0.25">
      <c r="B10" s="56" t="s">
        <v>40</v>
      </c>
      <c r="C10" s="57" t="s">
        <v>42</v>
      </c>
    </row>
    <row r="12" spans="2:3" ht="22.5" customHeight="1" x14ac:dyDescent="0.25">
      <c r="B12" s="70" t="s">
        <v>54</v>
      </c>
      <c r="C12" s="70"/>
    </row>
    <row r="13" spans="2:3" ht="22.5" customHeight="1" x14ac:dyDescent="0.25">
      <c r="B13" s="54" t="s">
        <v>40</v>
      </c>
      <c r="C13" s="55" t="s">
        <v>44</v>
      </c>
    </row>
    <row r="14" spans="2:3" ht="22.5" customHeight="1" x14ac:dyDescent="0.25">
      <c r="B14" s="54" t="s">
        <v>40</v>
      </c>
      <c r="C14" s="55" t="s">
        <v>45</v>
      </c>
    </row>
    <row r="15" spans="2:3" ht="22.5" customHeight="1" x14ac:dyDescent="0.25">
      <c r="B15" s="54" t="s">
        <v>40</v>
      </c>
      <c r="C15" s="55" t="s">
        <v>46</v>
      </c>
    </row>
    <row r="16" spans="2:3" ht="22.5" customHeight="1" x14ac:dyDescent="0.25">
      <c r="B16" s="54" t="s">
        <v>40</v>
      </c>
      <c r="C16" s="55" t="s">
        <v>47</v>
      </c>
    </row>
    <row r="17" spans="2:3" ht="32.25" customHeight="1" x14ac:dyDescent="0.25">
      <c r="B17" s="56" t="s">
        <v>40</v>
      </c>
      <c r="C17" s="57" t="s">
        <v>52</v>
      </c>
    </row>
    <row r="18" spans="2:3" ht="22.5" customHeight="1" x14ac:dyDescent="0.25">
      <c r="B18" s="54" t="s">
        <v>40</v>
      </c>
      <c r="C18" s="55" t="s">
        <v>55</v>
      </c>
    </row>
  </sheetData>
  <mergeCells count="4">
    <mergeCell ref="B2:C2"/>
    <mergeCell ref="B4:C4"/>
    <mergeCell ref="B7:C7"/>
    <mergeCell ref="B12:C12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OPERAÇÕES DE CONSÓRCIO</oddHeader>
    <oddFooter>&amp;L&amp;8&amp;Z&amp;F&amp;R&amp;D /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Emissor"/>
  <dimension ref="A1:AD581"/>
  <sheetViews>
    <sheetView showGridLines="0" showRowColHeaders="0" topLeftCell="B2" workbookViewId="0">
      <selection activeCell="E3" sqref="E3:J3"/>
    </sheetView>
  </sheetViews>
  <sheetFormatPr defaultColWidth="9.140625" defaultRowHeight="15" x14ac:dyDescent="0.25"/>
  <cols>
    <col min="1" max="1" width="9.140625" style="9" hidden="1" customWidth="1"/>
    <col min="2" max="2" width="1.85546875" style="2" customWidth="1"/>
    <col min="3" max="5" width="14.42578125" style="2" customWidth="1"/>
    <col min="6" max="7" width="8.5703125" style="2" customWidth="1"/>
    <col min="8" max="29" width="9.140625" style="2"/>
    <col min="30" max="30" width="5.28515625" style="2" hidden="1" customWidth="1"/>
    <col min="31" max="16384" width="9.140625" style="2"/>
  </cols>
  <sheetData>
    <row r="1" spans="1:29" hidden="1" x14ac:dyDescent="0.25"/>
    <row r="2" spans="1:29" ht="11.25" customHeight="1" x14ac:dyDescent="0.25"/>
    <row r="3" spans="1:29" ht="17.25" customHeight="1" x14ac:dyDescent="0.25">
      <c r="A3" s="9">
        <f>IFERROR(LARGE(AD16:AD200,1)+1,1)</f>
        <v>1</v>
      </c>
      <c r="C3" s="73" t="s">
        <v>22</v>
      </c>
      <c r="D3" s="73"/>
      <c r="E3" s="74"/>
      <c r="F3" s="74"/>
      <c r="G3" s="74"/>
      <c r="H3" s="74"/>
      <c r="I3" s="74"/>
      <c r="J3" s="74"/>
    </row>
    <row r="4" spans="1:29" ht="9.75" customHeight="1" x14ac:dyDescent="0.25">
      <c r="D4" s="9"/>
      <c r="E4" s="3"/>
      <c r="F4" s="3"/>
      <c r="G4" s="3"/>
      <c r="H4" s="3"/>
      <c r="I4" s="3"/>
      <c r="J4" s="3"/>
    </row>
    <row r="5" spans="1:29" ht="17.25" customHeight="1" x14ac:dyDescent="0.25">
      <c r="C5" s="73" t="s">
        <v>21</v>
      </c>
      <c r="D5" s="73"/>
      <c r="E5" s="74"/>
      <c r="F5" s="74"/>
      <c r="G5" s="13"/>
      <c r="H5" s="13"/>
      <c r="I5" s="13"/>
      <c r="J5" s="13"/>
    </row>
    <row r="6" spans="1:29" ht="9.75" customHeight="1" x14ac:dyDescent="0.25">
      <c r="D6" s="9"/>
      <c r="E6" s="3"/>
      <c r="F6" s="3"/>
      <c r="G6" s="3"/>
      <c r="H6" s="3"/>
      <c r="I6" s="3"/>
      <c r="J6" s="3"/>
    </row>
    <row r="7" spans="1:29" ht="17.25" customHeight="1" thickBot="1" x14ac:dyDescent="0.3">
      <c r="C7" s="75" t="s">
        <v>20</v>
      </c>
      <c r="D7" s="75"/>
      <c r="E7" s="74"/>
      <c r="F7" s="74"/>
      <c r="G7" s="74"/>
      <c r="H7" s="74"/>
      <c r="I7" s="74"/>
      <c r="J7" s="74"/>
    </row>
    <row r="8" spans="1:29" ht="17.25" customHeight="1" x14ac:dyDescent="0.25">
      <c r="C8" s="73" t="s">
        <v>30</v>
      </c>
      <c r="D8" s="73"/>
      <c r="E8" s="74"/>
      <c r="F8" s="74"/>
      <c r="G8" s="74"/>
      <c r="H8" s="74"/>
      <c r="I8" s="74"/>
      <c r="J8" s="74"/>
    </row>
    <row r="9" spans="1:29" ht="9.75" customHeight="1" x14ac:dyDescent="0.25">
      <c r="D9" s="9"/>
      <c r="E9" s="3"/>
      <c r="F9" s="3"/>
      <c r="G9" s="3"/>
      <c r="H9" s="3"/>
      <c r="I9" s="3"/>
      <c r="J9" s="3"/>
    </row>
    <row r="10" spans="1:29" ht="17.25" customHeight="1" x14ac:dyDescent="0.25">
      <c r="C10" s="73" t="s">
        <v>19</v>
      </c>
      <c r="D10" s="73"/>
      <c r="E10" s="74"/>
      <c r="F10" s="74"/>
      <c r="G10" s="74"/>
      <c r="H10" s="74"/>
      <c r="I10" s="74"/>
      <c r="J10" s="74"/>
      <c r="K10" s="3"/>
    </row>
    <row r="11" spans="1:29" ht="9.75" customHeight="1" x14ac:dyDescent="0.25">
      <c r="E11" s="3"/>
      <c r="F11" s="3"/>
      <c r="G11" s="3"/>
      <c r="H11" s="3"/>
      <c r="I11" s="3"/>
      <c r="J11" s="3"/>
      <c r="K11" s="3"/>
    </row>
    <row r="12" spans="1:29" ht="17.25" customHeight="1" x14ac:dyDescent="0.25">
      <c r="C12" s="73" t="s">
        <v>18</v>
      </c>
      <c r="D12" s="73"/>
      <c r="E12" s="76"/>
      <c r="F12" s="77"/>
      <c r="G12" s="77"/>
      <c r="H12" s="77"/>
      <c r="I12" s="77"/>
      <c r="J12" s="77"/>
      <c r="K12" s="3"/>
    </row>
    <row r="13" spans="1:29" hidden="1" x14ac:dyDescent="0.25">
      <c r="E13" s="3"/>
      <c r="F13" s="3"/>
      <c r="G13" s="3"/>
      <c r="H13" s="3"/>
      <c r="I13" s="3"/>
      <c r="J13" s="3"/>
      <c r="K13" s="3"/>
    </row>
    <row r="15" spans="1:29" hidden="1" x14ac:dyDescent="0.25">
      <c r="C15" s="72" t="s">
        <v>31</v>
      </c>
      <c r="D15" s="72"/>
      <c r="E15" s="72"/>
      <c r="F15" s="72"/>
      <c r="G15" s="17"/>
      <c r="H15" s="72" t="s">
        <v>17</v>
      </c>
      <c r="I15" s="72"/>
      <c r="J15" s="72"/>
      <c r="K15" s="72" t="s">
        <v>7</v>
      </c>
      <c r="L15" s="72"/>
      <c r="M15" s="72"/>
      <c r="N15" s="72"/>
      <c r="O15" s="72"/>
      <c r="P15" s="72"/>
      <c r="Q15" s="72" t="s">
        <v>32</v>
      </c>
      <c r="R15" s="72"/>
      <c r="S15" s="72"/>
      <c r="T15" s="72"/>
      <c r="U15" s="72"/>
      <c r="V15" s="72"/>
      <c r="W15" s="72" t="s">
        <v>33</v>
      </c>
      <c r="X15" s="72"/>
      <c r="Y15" s="72"/>
      <c r="Z15" s="72" t="s">
        <v>34</v>
      </c>
      <c r="AA15" s="72"/>
      <c r="AB15" s="72"/>
      <c r="AC15" s="72"/>
    </row>
    <row r="16" spans="1:29" s="14" customFormat="1" x14ac:dyDescent="0.25">
      <c r="A16" s="15"/>
      <c r="C16" s="71"/>
      <c r="D16" s="71"/>
      <c r="E16" s="71"/>
      <c r="F16" s="71"/>
      <c r="G16" s="16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</row>
    <row r="17" spans="1:29" s="14" customFormat="1" x14ac:dyDescent="0.25">
      <c r="A17" s="15"/>
      <c r="C17" s="71"/>
      <c r="D17" s="71"/>
      <c r="E17" s="71"/>
      <c r="F17" s="71"/>
      <c r="G17" s="16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</row>
    <row r="18" spans="1:29" s="14" customFormat="1" x14ac:dyDescent="0.25">
      <c r="A18" s="15"/>
      <c r="C18" s="71"/>
      <c r="D18" s="71"/>
      <c r="E18" s="71"/>
      <c r="F18" s="71"/>
      <c r="G18" s="16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</row>
    <row r="19" spans="1:29" s="14" customFormat="1" x14ac:dyDescent="0.25">
      <c r="A19" s="15"/>
      <c r="C19" s="71"/>
      <c r="D19" s="71"/>
      <c r="E19" s="71"/>
      <c r="F19" s="71"/>
      <c r="G19" s="16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</row>
    <row r="20" spans="1:29" s="14" customFormat="1" x14ac:dyDescent="0.25">
      <c r="A20" s="15"/>
      <c r="C20" s="71"/>
      <c r="D20" s="71"/>
      <c r="E20" s="71"/>
      <c r="F20" s="71"/>
      <c r="G20" s="16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</row>
    <row r="21" spans="1:29" s="14" customFormat="1" x14ac:dyDescent="0.25">
      <c r="A21" s="15"/>
      <c r="C21" s="71"/>
      <c r="D21" s="71"/>
      <c r="E21" s="71"/>
      <c r="F21" s="71"/>
      <c r="G21" s="16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</row>
    <row r="22" spans="1:29" s="14" customFormat="1" x14ac:dyDescent="0.25">
      <c r="A22" s="15"/>
      <c r="C22" s="71"/>
      <c r="D22" s="71"/>
      <c r="E22" s="71"/>
      <c r="F22" s="71"/>
      <c r="G22" s="16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</row>
    <row r="23" spans="1:29" s="14" customFormat="1" x14ac:dyDescent="0.25">
      <c r="A23" s="15"/>
      <c r="C23" s="71"/>
      <c r="D23" s="71"/>
      <c r="E23" s="71"/>
      <c r="F23" s="71"/>
      <c r="G23" s="16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</row>
    <row r="24" spans="1:29" s="14" customFormat="1" x14ac:dyDescent="0.25">
      <c r="A24" s="15"/>
      <c r="C24" s="71"/>
      <c r="D24" s="71"/>
      <c r="E24" s="71"/>
      <c r="F24" s="71"/>
      <c r="G24" s="16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</row>
    <row r="25" spans="1:29" s="14" customFormat="1" x14ac:dyDescent="0.25">
      <c r="A25" s="15"/>
      <c r="C25" s="71"/>
      <c r="D25" s="71"/>
      <c r="E25" s="71"/>
      <c r="F25" s="71"/>
      <c r="G25" s="16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</row>
    <row r="26" spans="1:29" s="14" customFormat="1" x14ac:dyDescent="0.25">
      <c r="A26" s="15"/>
      <c r="C26" s="71"/>
      <c r="D26" s="71"/>
      <c r="E26" s="71"/>
      <c r="F26" s="71"/>
      <c r="G26" s="16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</row>
    <row r="27" spans="1:29" s="14" customFormat="1" x14ac:dyDescent="0.25">
      <c r="A27" s="15"/>
      <c r="C27" s="71"/>
      <c r="D27" s="71"/>
      <c r="E27" s="71"/>
      <c r="F27" s="71"/>
      <c r="G27" s="16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</row>
    <row r="28" spans="1:29" s="14" customFormat="1" x14ac:dyDescent="0.25">
      <c r="A28" s="15"/>
      <c r="C28" s="71"/>
      <c r="D28" s="71"/>
      <c r="E28" s="71"/>
      <c r="F28" s="71"/>
      <c r="G28" s="16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</row>
    <row r="29" spans="1:29" s="14" customFormat="1" x14ac:dyDescent="0.25">
      <c r="A29" s="15"/>
      <c r="C29" s="71"/>
      <c r="D29" s="71"/>
      <c r="E29" s="71"/>
      <c r="F29" s="71"/>
      <c r="G29" s="16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</row>
    <row r="30" spans="1:29" s="14" customFormat="1" x14ac:dyDescent="0.25">
      <c r="A30" s="15"/>
      <c r="C30" s="71"/>
      <c r="D30" s="71"/>
      <c r="E30" s="71"/>
      <c r="F30" s="71"/>
      <c r="G30" s="16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</row>
    <row r="31" spans="1:29" s="14" customFormat="1" x14ac:dyDescent="0.25">
      <c r="A31" s="15"/>
      <c r="C31" s="71"/>
      <c r="D31" s="71"/>
      <c r="E31" s="71"/>
      <c r="F31" s="71"/>
      <c r="G31" s="16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</row>
    <row r="32" spans="1:29" s="14" customFormat="1" x14ac:dyDescent="0.25">
      <c r="A32" s="15"/>
      <c r="C32" s="71"/>
      <c r="D32" s="71"/>
      <c r="E32" s="71"/>
      <c r="F32" s="71"/>
      <c r="G32" s="16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</row>
    <row r="33" spans="1:29" s="14" customFormat="1" x14ac:dyDescent="0.25">
      <c r="A33" s="15"/>
      <c r="C33" s="71"/>
      <c r="D33" s="71"/>
      <c r="E33" s="71"/>
      <c r="F33" s="71"/>
      <c r="G33" s="16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</row>
    <row r="34" spans="1:29" s="14" customFormat="1" x14ac:dyDescent="0.25">
      <c r="A34" s="15"/>
      <c r="C34" s="71"/>
      <c r="D34" s="71"/>
      <c r="E34" s="71"/>
      <c r="F34" s="71"/>
      <c r="G34" s="16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</row>
    <row r="35" spans="1:29" s="14" customFormat="1" x14ac:dyDescent="0.25">
      <c r="A35" s="15"/>
      <c r="C35" s="71"/>
      <c r="D35" s="71"/>
      <c r="E35" s="71"/>
      <c r="F35" s="71"/>
      <c r="G35" s="16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</row>
    <row r="36" spans="1:29" s="14" customFormat="1" x14ac:dyDescent="0.25">
      <c r="A36" s="15"/>
      <c r="C36" s="71"/>
      <c r="D36" s="71"/>
      <c r="E36" s="71"/>
      <c r="F36" s="71"/>
      <c r="G36" s="16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</row>
    <row r="37" spans="1:29" s="14" customFormat="1" x14ac:dyDescent="0.25">
      <c r="A37" s="15"/>
      <c r="C37" s="71"/>
      <c r="D37" s="71"/>
      <c r="E37" s="71"/>
      <c r="F37" s="71"/>
      <c r="G37" s="16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</row>
    <row r="38" spans="1:29" s="14" customFormat="1" x14ac:dyDescent="0.25">
      <c r="A38" s="15"/>
      <c r="C38" s="71"/>
      <c r="D38" s="71"/>
      <c r="E38" s="71"/>
      <c r="F38" s="71"/>
      <c r="G38" s="16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</row>
    <row r="39" spans="1:29" s="14" customFormat="1" x14ac:dyDescent="0.25">
      <c r="A39" s="15"/>
      <c r="C39" s="71"/>
      <c r="D39" s="71"/>
      <c r="E39" s="71"/>
      <c r="F39" s="71"/>
      <c r="G39" s="16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</row>
    <row r="40" spans="1:29" s="14" customFormat="1" x14ac:dyDescent="0.25">
      <c r="A40" s="15"/>
      <c r="C40" s="71"/>
      <c r="D40" s="71"/>
      <c r="E40" s="71"/>
      <c r="F40" s="71"/>
      <c r="G40" s="16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</row>
    <row r="41" spans="1:29" s="14" customFormat="1" x14ac:dyDescent="0.25">
      <c r="A41" s="15"/>
      <c r="C41" s="71"/>
      <c r="D41" s="71"/>
      <c r="E41" s="71"/>
      <c r="F41" s="71"/>
      <c r="G41" s="16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</row>
    <row r="42" spans="1:29" s="14" customFormat="1" x14ac:dyDescent="0.25">
      <c r="A42" s="15"/>
      <c r="C42" s="71"/>
      <c r="D42" s="71"/>
      <c r="E42" s="71"/>
      <c r="F42" s="71"/>
      <c r="G42" s="16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</row>
    <row r="43" spans="1:29" s="14" customFormat="1" x14ac:dyDescent="0.25">
      <c r="A43" s="15"/>
      <c r="C43" s="71"/>
      <c r="D43" s="71"/>
      <c r="E43" s="71"/>
      <c r="F43" s="71"/>
      <c r="G43" s="16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</row>
    <row r="44" spans="1:29" s="14" customFormat="1" x14ac:dyDescent="0.25">
      <c r="A44" s="15"/>
      <c r="C44" s="71"/>
      <c r="D44" s="71"/>
      <c r="E44" s="71"/>
      <c r="F44" s="71"/>
      <c r="G44" s="16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</row>
    <row r="45" spans="1:29" s="14" customFormat="1" x14ac:dyDescent="0.25">
      <c r="A45" s="15"/>
      <c r="C45" s="71"/>
      <c r="D45" s="71"/>
      <c r="E45" s="71"/>
      <c r="F45" s="71"/>
      <c r="G45" s="16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</row>
    <row r="46" spans="1:29" s="14" customFormat="1" x14ac:dyDescent="0.25">
      <c r="A46" s="15"/>
      <c r="C46" s="71"/>
      <c r="D46" s="71"/>
      <c r="E46" s="71"/>
      <c r="F46" s="71"/>
      <c r="G46" s="16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</row>
    <row r="47" spans="1:29" s="14" customFormat="1" x14ac:dyDescent="0.25">
      <c r="A47" s="15"/>
      <c r="C47" s="71"/>
      <c r="D47" s="71"/>
      <c r="E47" s="71"/>
      <c r="F47" s="71"/>
      <c r="G47" s="16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</row>
    <row r="48" spans="1:29" s="14" customFormat="1" x14ac:dyDescent="0.25">
      <c r="A48" s="15"/>
      <c r="C48" s="71"/>
      <c r="D48" s="71"/>
      <c r="E48" s="71"/>
      <c r="F48" s="71"/>
      <c r="G48" s="16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</row>
    <row r="49" spans="1:29" s="14" customFormat="1" x14ac:dyDescent="0.25">
      <c r="A49" s="15"/>
      <c r="C49" s="71"/>
      <c r="D49" s="71"/>
      <c r="E49" s="71"/>
      <c r="F49" s="71"/>
      <c r="G49" s="16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</row>
    <row r="50" spans="1:29" s="14" customFormat="1" x14ac:dyDescent="0.25">
      <c r="A50" s="15"/>
      <c r="C50" s="71"/>
      <c r="D50" s="71"/>
      <c r="E50" s="71"/>
      <c r="F50" s="71"/>
      <c r="G50" s="16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</row>
    <row r="51" spans="1:29" s="14" customFormat="1" x14ac:dyDescent="0.25">
      <c r="A51" s="15"/>
      <c r="C51" s="71"/>
      <c r="D51" s="71"/>
      <c r="E51" s="71"/>
      <c r="F51" s="71"/>
      <c r="G51" s="16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</row>
    <row r="52" spans="1:29" s="14" customFormat="1" x14ac:dyDescent="0.25">
      <c r="A52" s="15"/>
      <c r="C52" s="71"/>
      <c r="D52" s="71"/>
      <c r="E52" s="71"/>
      <c r="F52" s="71"/>
      <c r="G52" s="16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</row>
    <row r="53" spans="1:29" s="14" customFormat="1" x14ac:dyDescent="0.25">
      <c r="A53" s="15"/>
      <c r="C53" s="71"/>
      <c r="D53" s="71"/>
      <c r="E53" s="71"/>
      <c r="F53" s="71"/>
      <c r="G53" s="16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</row>
    <row r="54" spans="1:29" s="14" customFormat="1" x14ac:dyDescent="0.25">
      <c r="A54" s="15"/>
      <c r="C54" s="71"/>
      <c r="D54" s="71"/>
      <c r="E54" s="71"/>
      <c r="F54" s="71"/>
      <c r="G54" s="16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</row>
    <row r="55" spans="1:29" s="14" customFormat="1" x14ac:dyDescent="0.25">
      <c r="A55" s="15"/>
      <c r="C55" s="71"/>
      <c r="D55" s="71"/>
      <c r="E55" s="71"/>
      <c r="F55" s="71"/>
      <c r="G55" s="16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</row>
    <row r="56" spans="1:29" s="14" customFormat="1" x14ac:dyDescent="0.25">
      <c r="A56" s="15"/>
      <c r="C56" s="71"/>
      <c r="D56" s="71"/>
      <c r="E56" s="71"/>
      <c r="F56" s="71"/>
      <c r="G56" s="16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</row>
    <row r="57" spans="1:29" s="14" customFormat="1" x14ac:dyDescent="0.25">
      <c r="A57" s="15"/>
      <c r="C57" s="71"/>
      <c r="D57" s="71"/>
      <c r="E57" s="71"/>
      <c r="F57" s="71"/>
      <c r="G57" s="16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</row>
    <row r="58" spans="1:29" s="14" customFormat="1" x14ac:dyDescent="0.25">
      <c r="A58" s="15"/>
      <c r="C58" s="71"/>
      <c r="D58" s="71"/>
      <c r="E58" s="71"/>
      <c r="F58" s="71"/>
      <c r="G58" s="16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</row>
    <row r="59" spans="1:29" s="14" customFormat="1" x14ac:dyDescent="0.25">
      <c r="A59" s="15"/>
      <c r="C59" s="71"/>
      <c r="D59" s="71"/>
      <c r="E59" s="71"/>
      <c r="F59" s="71"/>
      <c r="G59" s="16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</row>
    <row r="60" spans="1:29" s="14" customFormat="1" x14ac:dyDescent="0.25">
      <c r="A60" s="15"/>
      <c r="C60" s="71"/>
      <c r="D60" s="71"/>
      <c r="E60" s="71"/>
      <c r="F60" s="71"/>
      <c r="G60" s="16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</row>
    <row r="61" spans="1:29" s="14" customFormat="1" x14ac:dyDescent="0.25">
      <c r="A61" s="15"/>
      <c r="C61" s="71"/>
      <c r="D61" s="71"/>
      <c r="E61" s="71"/>
      <c r="F61" s="71"/>
      <c r="G61" s="16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</row>
    <row r="62" spans="1:29" s="14" customFormat="1" x14ac:dyDescent="0.25">
      <c r="A62" s="15"/>
      <c r="C62" s="71"/>
      <c r="D62" s="71"/>
      <c r="E62" s="71"/>
      <c r="F62" s="71"/>
      <c r="G62" s="16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</row>
    <row r="63" spans="1:29" s="14" customFormat="1" x14ac:dyDescent="0.25">
      <c r="A63" s="15"/>
      <c r="C63" s="71"/>
      <c r="D63" s="71"/>
      <c r="E63" s="71"/>
      <c r="F63" s="71"/>
      <c r="G63" s="16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</row>
    <row r="64" spans="1:29" s="14" customFormat="1" x14ac:dyDescent="0.25">
      <c r="A64" s="15"/>
      <c r="C64" s="71"/>
      <c r="D64" s="71"/>
      <c r="E64" s="71"/>
      <c r="F64" s="71"/>
      <c r="G64" s="16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</row>
    <row r="65" spans="1:29" s="14" customFormat="1" x14ac:dyDescent="0.25">
      <c r="A65" s="15"/>
      <c r="C65" s="71"/>
      <c r="D65" s="71"/>
      <c r="E65" s="71"/>
      <c r="F65" s="71"/>
      <c r="G65" s="16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</row>
    <row r="66" spans="1:29" s="14" customFormat="1" x14ac:dyDescent="0.25">
      <c r="A66" s="15"/>
      <c r="C66" s="71"/>
      <c r="D66" s="71"/>
      <c r="E66" s="71"/>
      <c r="F66" s="71"/>
      <c r="G66" s="16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</row>
    <row r="67" spans="1:29" s="14" customFormat="1" x14ac:dyDescent="0.25">
      <c r="A67" s="15"/>
      <c r="C67" s="71"/>
      <c r="D67" s="71"/>
      <c r="E67" s="71"/>
      <c r="F67" s="71"/>
      <c r="G67" s="16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</row>
    <row r="68" spans="1:29" s="14" customFormat="1" x14ac:dyDescent="0.25">
      <c r="A68" s="15"/>
      <c r="C68" s="71"/>
      <c r="D68" s="71"/>
      <c r="E68" s="71"/>
      <c r="F68" s="71"/>
      <c r="G68" s="16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</row>
    <row r="69" spans="1:29" s="14" customFormat="1" x14ac:dyDescent="0.25">
      <c r="A69" s="15"/>
      <c r="C69" s="71"/>
      <c r="D69" s="71"/>
      <c r="E69" s="71"/>
      <c r="F69" s="71"/>
      <c r="G69" s="16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</row>
    <row r="70" spans="1:29" s="14" customFormat="1" x14ac:dyDescent="0.25">
      <c r="A70" s="15"/>
      <c r="C70" s="71"/>
      <c r="D70" s="71"/>
      <c r="E70" s="71"/>
      <c r="F70" s="71"/>
      <c r="G70" s="16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</row>
    <row r="71" spans="1:29" s="14" customFormat="1" x14ac:dyDescent="0.25">
      <c r="A71" s="15"/>
      <c r="C71" s="71"/>
      <c r="D71" s="71"/>
      <c r="E71" s="71"/>
      <c r="F71" s="71"/>
      <c r="G71" s="16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</row>
    <row r="72" spans="1:29" s="14" customFormat="1" x14ac:dyDescent="0.25">
      <c r="A72" s="15"/>
      <c r="C72" s="71"/>
      <c r="D72" s="71"/>
      <c r="E72" s="71"/>
      <c r="F72" s="71"/>
      <c r="G72" s="16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</row>
    <row r="73" spans="1:29" s="14" customFormat="1" x14ac:dyDescent="0.25">
      <c r="A73" s="15"/>
      <c r="C73" s="71"/>
      <c r="D73" s="71"/>
      <c r="E73" s="71"/>
      <c r="F73" s="71"/>
      <c r="G73" s="16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</row>
    <row r="74" spans="1:29" s="14" customFormat="1" x14ac:dyDescent="0.25">
      <c r="A74" s="15"/>
      <c r="C74" s="71"/>
      <c r="D74" s="71"/>
      <c r="E74" s="71"/>
      <c r="F74" s="71"/>
      <c r="G74" s="16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</row>
    <row r="75" spans="1:29" s="14" customFormat="1" x14ac:dyDescent="0.25">
      <c r="A75" s="15"/>
      <c r="C75" s="71"/>
      <c r="D75" s="71"/>
      <c r="E75" s="71"/>
      <c r="F75" s="71"/>
      <c r="G75" s="16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</row>
    <row r="76" spans="1:29" s="14" customFormat="1" x14ac:dyDescent="0.25">
      <c r="A76" s="15"/>
      <c r="C76" s="71"/>
      <c r="D76" s="71"/>
      <c r="E76" s="71"/>
      <c r="F76" s="71"/>
      <c r="G76" s="16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</row>
    <row r="77" spans="1:29" s="14" customFormat="1" x14ac:dyDescent="0.25">
      <c r="A77" s="15"/>
      <c r="C77" s="71"/>
      <c r="D77" s="71"/>
      <c r="E77" s="71"/>
      <c r="F77" s="71"/>
      <c r="G77" s="16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</row>
    <row r="78" spans="1:29" s="14" customFormat="1" x14ac:dyDescent="0.25">
      <c r="A78" s="15"/>
      <c r="C78" s="71"/>
      <c r="D78" s="71"/>
      <c r="E78" s="71"/>
      <c r="F78" s="71"/>
      <c r="G78" s="16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</row>
    <row r="79" spans="1:29" s="14" customFormat="1" x14ac:dyDescent="0.25">
      <c r="A79" s="15"/>
      <c r="C79" s="71"/>
      <c r="D79" s="71"/>
      <c r="E79" s="71"/>
      <c r="F79" s="71"/>
      <c r="G79" s="16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</row>
    <row r="80" spans="1:29" s="14" customFormat="1" x14ac:dyDescent="0.25">
      <c r="A80" s="15"/>
      <c r="C80" s="71"/>
      <c r="D80" s="71"/>
      <c r="E80" s="71"/>
      <c r="F80" s="71"/>
      <c r="G80" s="16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</row>
    <row r="81" spans="1:29" s="14" customFormat="1" x14ac:dyDescent="0.25">
      <c r="A81" s="15"/>
      <c r="C81" s="71"/>
      <c r="D81" s="71"/>
      <c r="E81" s="71"/>
      <c r="F81" s="71"/>
      <c r="G81" s="16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</row>
    <row r="82" spans="1:29" s="14" customFormat="1" x14ac:dyDescent="0.25">
      <c r="A82" s="15"/>
      <c r="C82" s="71"/>
      <c r="D82" s="71"/>
      <c r="E82" s="71"/>
      <c r="F82" s="71"/>
      <c r="G82" s="16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</row>
    <row r="83" spans="1:29" s="14" customFormat="1" x14ac:dyDescent="0.25">
      <c r="A83" s="15"/>
      <c r="C83" s="71"/>
      <c r="D83" s="71"/>
      <c r="E83" s="71"/>
      <c r="F83" s="71"/>
      <c r="G83" s="16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</row>
    <row r="84" spans="1:29" s="14" customFormat="1" x14ac:dyDescent="0.25">
      <c r="A84" s="15"/>
      <c r="C84" s="71"/>
      <c r="D84" s="71"/>
      <c r="E84" s="71"/>
      <c r="F84" s="71"/>
      <c r="G84" s="16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</row>
    <row r="85" spans="1:29" s="14" customFormat="1" x14ac:dyDescent="0.25">
      <c r="A85" s="15"/>
      <c r="C85" s="71"/>
      <c r="D85" s="71"/>
      <c r="E85" s="71"/>
      <c r="F85" s="71"/>
      <c r="G85" s="16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</row>
    <row r="86" spans="1:29" s="14" customFormat="1" x14ac:dyDescent="0.25">
      <c r="A86" s="15"/>
      <c r="C86" s="71"/>
      <c r="D86" s="71"/>
      <c r="E86" s="71"/>
      <c r="F86" s="71"/>
      <c r="G86" s="16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</row>
    <row r="87" spans="1:29" s="14" customFormat="1" x14ac:dyDescent="0.25">
      <c r="A87" s="15"/>
      <c r="C87" s="71"/>
      <c r="D87" s="71"/>
      <c r="E87" s="71"/>
      <c r="F87" s="71"/>
      <c r="G87" s="16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</row>
    <row r="88" spans="1:29" s="14" customFormat="1" x14ac:dyDescent="0.25">
      <c r="A88" s="15"/>
      <c r="C88" s="71"/>
      <c r="D88" s="71"/>
      <c r="E88" s="71"/>
      <c r="F88" s="71"/>
      <c r="G88" s="16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</row>
    <row r="89" spans="1:29" s="14" customFormat="1" x14ac:dyDescent="0.25">
      <c r="A89" s="15"/>
      <c r="C89" s="71"/>
      <c r="D89" s="71"/>
      <c r="E89" s="71"/>
      <c r="F89" s="71"/>
      <c r="G89" s="16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</row>
    <row r="90" spans="1:29" s="14" customFormat="1" x14ac:dyDescent="0.25">
      <c r="A90" s="15"/>
      <c r="C90" s="71"/>
      <c r="D90" s="71"/>
      <c r="E90" s="71"/>
      <c r="F90" s="71"/>
      <c r="G90" s="16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</row>
    <row r="91" spans="1:29" s="14" customFormat="1" x14ac:dyDescent="0.25">
      <c r="A91" s="15"/>
      <c r="C91" s="71"/>
      <c r="D91" s="71"/>
      <c r="E91" s="71"/>
      <c r="F91" s="71"/>
      <c r="G91" s="16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</row>
    <row r="92" spans="1:29" s="14" customFormat="1" x14ac:dyDescent="0.25">
      <c r="A92" s="15"/>
      <c r="C92" s="71"/>
      <c r="D92" s="71"/>
      <c r="E92" s="71"/>
      <c r="F92" s="71"/>
      <c r="G92" s="16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</row>
    <row r="93" spans="1:29" s="14" customFormat="1" x14ac:dyDescent="0.25">
      <c r="A93" s="15"/>
      <c r="C93" s="71"/>
      <c r="D93" s="71"/>
      <c r="E93" s="71"/>
      <c r="F93" s="71"/>
      <c r="G93" s="16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</row>
    <row r="94" spans="1:29" s="14" customFormat="1" x14ac:dyDescent="0.25">
      <c r="A94" s="15"/>
      <c r="C94" s="71"/>
      <c r="D94" s="71"/>
      <c r="E94" s="71"/>
      <c r="F94" s="71"/>
      <c r="G94" s="16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</row>
    <row r="95" spans="1:29" s="14" customFormat="1" x14ac:dyDescent="0.25">
      <c r="A95" s="15"/>
      <c r="C95" s="71"/>
      <c r="D95" s="71"/>
      <c r="E95" s="71"/>
      <c r="F95" s="71"/>
      <c r="G95" s="16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</row>
    <row r="96" spans="1:29" s="14" customFormat="1" x14ac:dyDescent="0.25">
      <c r="A96" s="15"/>
      <c r="C96" s="71"/>
      <c r="D96" s="71"/>
      <c r="E96" s="71"/>
      <c r="F96" s="71"/>
      <c r="G96" s="16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</row>
    <row r="97" spans="1:29" s="14" customFormat="1" x14ac:dyDescent="0.25">
      <c r="A97" s="15"/>
      <c r="C97" s="71"/>
      <c r="D97" s="71"/>
      <c r="E97" s="71"/>
      <c r="F97" s="71"/>
      <c r="G97" s="16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</row>
    <row r="98" spans="1:29" s="14" customFormat="1" x14ac:dyDescent="0.25">
      <c r="A98" s="15"/>
      <c r="C98" s="71"/>
      <c r="D98" s="71"/>
      <c r="E98" s="71"/>
      <c r="F98" s="71"/>
      <c r="G98" s="16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</row>
    <row r="99" spans="1:29" s="14" customFormat="1" x14ac:dyDescent="0.25">
      <c r="A99" s="15"/>
      <c r="C99" s="71"/>
      <c r="D99" s="71"/>
      <c r="E99" s="71"/>
      <c r="F99" s="71"/>
      <c r="G99" s="16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</row>
    <row r="100" spans="1:29" s="14" customFormat="1" x14ac:dyDescent="0.25">
      <c r="A100" s="15"/>
      <c r="C100" s="71"/>
      <c r="D100" s="71"/>
      <c r="E100" s="71"/>
      <c r="F100" s="71"/>
      <c r="G100" s="16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</row>
    <row r="101" spans="1:29" s="14" customFormat="1" x14ac:dyDescent="0.25">
      <c r="A101" s="15"/>
      <c r="C101" s="71"/>
      <c r="D101" s="71"/>
      <c r="E101" s="71"/>
      <c r="F101" s="71"/>
      <c r="G101" s="16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</row>
    <row r="102" spans="1:29" s="14" customFormat="1" x14ac:dyDescent="0.25">
      <c r="A102" s="15"/>
      <c r="C102" s="71"/>
      <c r="D102" s="71"/>
      <c r="E102" s="71"/>
      <c r="F102" s="71"/>
      <c r="G102" s="16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</row>
    <row r="103" spans="1:29" s="14" customFormat="1" x14ac:dyDescent="0.25">
      <c r="A103" s="15"/>
      <c r="C103" s="71"/>
      <c r="D103" s="71"/>
      <c r="E103" s="71"/>
      <c r="F103" s="71"/>
      <c r="G103" s="16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</row>
    <row r="104" spans="1:29" s="14" customFormat="1" x14ac:dyDescent="0.25">
      <c r="A104" s="15"/>
      <c r="C104" s="71"/>
      <c r="D104" s="71"/>
      <c r="E104" s="71"/>
      <c r="F104" s="71"/>
      <c r="G104" s="16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</row>
    <row r="105" spans="1:29" s="14" customFormat="1" x14ac:dyDescent="0.25">
      <c r="A105" s="15"/>
      <c r="C105" s="71"/>
      <c r="D105" s="71"/>
      <c r="E105" s="71"/>
      <c r="F105" s="71"/>
      <c r="G105" s="16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</row>
    <row r="106" spans="1:29" s="14" customFormat="1" x14ac:dyDescent="0.25">
      <c r="A106" s="15"/>
      <c r="C106" s="71"/>
      <c r="D106" s="71"/>
      <c r="E106" s="71"/>
      <c r="F106" s="71"/>
      <c r="G106" s="16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</row>
    <row r="107" spans="1:29" s="14" customFormat="1" x14ac:dyDescent="0.25">
      <c r="A107" s="15"/>
      <c r="C107" s="71"/>
      <c r="D107" s="71"/>
      <c r="E107" s="71"/>
      <c r="F107" s="71"/>
      <c r="G107" s="16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</row>
    <row r="108" spans="1:29" s="14" customFormat="1" x14ac:dyDescent="0.25">
      <c r="A108" s="15"/>
      <c r="C108" s="71"/>
      <c r="D108" s="71"/>
      <c r="E108" s="71"/>
      <c r="F108" s="71"/>
      <c r="G108" s="16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</row>
    <row r="109" spans="1:29" s="14" customFormat="1" x14ac:dyDescent="0.25">
      <c r="A109" s="15"/>
      <c r="C109" s="71"/>
      <c r="D109" s="71"/>
      <c r="E109" s="71"/>
      <c r="F109" s="71"/>
      <c r="G109" s="16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71"/>
      <c r="AC109" s="71"/>
    </row>
    <row r="110" spans="1:29" s="14" customFormat="1" x14ac:dyDescent="0.25">
      <c r="A110" s="15"/>
      <c r="C110" s="71"/>
      <c r="D110" s="71"/>
      <c r="E110" s="71"/>
      <c r="F110" s="71"/>
      <c r="G110" s="16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</row>
    <row r="111" spans="1:29" s="14" customFormat="1" x14ac:dyDescent="0.25">
      <c r="A111" s="15"/>
      <c r="C111" s="71"/>
      <c r="D111" s="71"/>
      <c r="E111" s="71"/>
      <c r="F111" s="71"/>
      <c r="G111" s="16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</row>
    <row r="112" spans="1:29" s="14" customFormat="1" x14ac:dyDescent="0.25">
      <c r="A112" s="15"/>
      <c r="C112" s="71"/>
      <c r="D112" s="71"/>
      <c r="E112" s="71"/>
      <c r="F112" s="71"/>
      <c r="G112" s="16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</row>
    <row r="113" spans="1:29" s="14" customFormat="1" x14ac:dyDescent="0.25">
      <c r="A113" s="15"/>
      <c r="C113" s="71"/>
      <c r="D113" s="71"/>
      <c r="E113" s="71"/>
      <c r="F113" s="71"/>
      <c r="G113" s="16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</row>
    <row r="114" spans="1:29" s="14" customFormat="1" x14ac:dyDescent="0.25">
      <c r="A114" s="15"/>
      <c r="C114" s="71"/>
      <c r="D114" s="71"/>
      <c r="E114" s="71"/>
      <c r="F114" s="71"/>
      <c r="G114" s="16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</row>
    <row r="115" spans="1:29" s="14" customFormat="1" x14ac:dyDescent="0.25">
      <c r="A115" s="15"/>
      <c r="C115" s="71"/>
      <c r="D115" s="71"/>
      <c r="E115" s="71"/>
      <c r="F115" s="71"/>
      <c r="G115" s="16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</row>
    <row r="116" spans="1:29" s="14" customFormat="1" x14ac:dyDescent="0.25">
      <c r="A116" s="15"/>
      <c r="C116" s="71"/>
      <c r="D116" s="71"/>
      <c r="E116" s="71"/>
      <c r="F116" s="71"/>
      <c r="G116" s="16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</row>
    <row r="117" spans="1:29" s="14" customFormat="1" x14ac:dyDescent="0.25">
      <c r="A117" s="15"/>
      <c r="C117" s="71"/>
      <c r="D117" s="71"/>
      <c r="E117" s="71"/>
      <c r="F117" s="71"/>
      <c r="G117" s="16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</row>
    <row r="118" spans="1:29" s="14" customFormat="1" x14ac:dyDescent="0.25">
      <c r="A118" s="15"/>
      <c r="C118" s="71"/>
      <c r="D118" s="71"/>
      <c r="E118" s="71"/>
      <c r="F118" s="71"/>
      <c r="G118" s="16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</row>
    <row r="119" spans="1:29" s="14" customFormat="1" x14ac:dyDescent="0.25">
      <c r="A119" s="15"/>
      <c r="C119" s="71"/>
      <c r="D119" s="71"/>
      <c r="E119" s="71"/>
      <c r="F119" s="71"/>
      <c r="G119" s="16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</row>
    <row r="120" spans="1:29" s="14" customFormat="1" x14ac:dyDescent="0.25">
      <c r="A120" s="15"/>
      <c r="C120" s="71"/>
      <c r="D120" s="71"/>
      <c r="E120" s="71"/>
      <c r="F120" s="71"/>
      <c r="G120" s="16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</row>
    <row r="121" spans="1:29" s="14" customFormat="1" x14ac:dyDescent="0.25">
      <c r="A121" s="15"/>
      <c r="C121" s="71"/>
      <c r="D121" s="71"/>
      <c r="E121" s="71"/>
      <c r="F121" s="71"/>
      <c r="G121" s="16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</row>
    <row r="122" spans="1:29" s="14" customFormat="1" x14ac:dyDescent="0.25">
      <c r="A122" s="15"/>
      <c r="C122" s="71"/>
      <c r="D122" s="71"/>
      <c r="E122" s="71"/>
      <c r="F122" s="71"/>
      <c r="G122" s="16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</row>
    <row r="123" spans="1:29" s="14" customFormat="1" x14ac:dyDescent="0.25">
      <c r="A123" s="15"/>
      <c r="C123" s="71"/>
      <c r="D123" s="71"/>
      <c r="E123" s="71"/>
      <c r="F123" s="71"/>
      <c r="G123" s="16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</row>
    <row r="124" spans="1:29" s="14" customFormat="1" x14ac:dyDescent="0.25">
      <c r="A124" s="15"/>
      <c r="C124" s="71"/>
      <c r="D124" s="71"/>
      <c r="E124" s="71"/>
      <c r="F124" s="71"/>
      <c r="G124" s="16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</row>
    <row r="125" spans="1:29" s="14" customFormat="1" x14ac:dyDescent="0.25">
      <c r="A125" s="15"/>
      <c r="C125" s="71"/>
      <c r="D125" s="71"/>
      <c r="E125" s="71"/>
      <c r="F125" s="71"/>
      <c r="G125" s="16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</row>
    <row r="126" spans="1:29" s="14" customFormat="1" x14ac:dyDescent="0.25">
      <c r="A126" s="15"/>
      <c r="C126" s="71"/>
      <c r="D126" s="71"/>
      <c r="E126" s="71"/>
      <c r="F126" s="71"/>
      <c r="G126" s="16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</row>
    <row r="127" spans="1:29" s="14" customFormat="1" x14ac:dyDescent="0.25">
      <c r="A127" s="15"/>
      <c r="C127" s="71"/>
      <c r="D127" s="71"/>
      <c r="E127" s="71"/>
      <c r="F127" s="71"/>
      <c r="G127" s="16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</row>
    <row r="128" spans="1:29" s="14" customFormat="1" x14ac:dyDescent="0.25">
      <c r="A128" s="15"/>
      <c r="C128" s="71"/>
      <c r="D128" s="71"/>
      <c r="E128" s="71"/>
      <c r="F128" s="71"/>
      <c r="G128" s="16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</row>
    <row r="129" spans="1:29" s="14" customFormat="1" x14ac:dyDescent="0.25">
      <c r="A129" s="15"/>
      <c r="C129" s="71"/>
      <c r="D129" s="71"/>
      <c r="E129" s="71"/>
      <c r="F129" s="71"/>
      <c r="G129" s="16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</row>
    <row r="130" spans="1:29" s="14" customFormat="1" x14ac:dyDescent="0.25">
      <c r="A130" s="15"/>
      <c r="C130" s="71"/>
      <c r="D130" s="71"/>
      <c r="E130" s="71"/>
      <c r="F130" s="71"/>
      <c r="G130" s="16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</row>
    <row r="131" spans="1:29" s="14" customFormat="1" x14ac:dyDescent="0.25">
      <c r="A131" s="15"/>
      <c r="C131" s="71"/>
      <c r="D131" s="71"/>
      <c r="E131" s="71"/>
      <c r="F131" s="71"/>
      <c r="G131" s="16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</row>
    <row r="132" spans="1:29" s="14" customFormat="1" x14ac:dyDescent="0.25">
      <c r="A132" s="15"/>
      <c r="C132" s="71"/>
      <c r="D132" s="71"/>
      <c r="E132" s="71"/>
      <c r="F132" s="71"/>
      <c r="G132" s="16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</row>
    <row r="133" spans="1:29" s="14" customFormat="1" x14ac:dyDescent="0.25">
      <c r="A133" s="15"/>
      <c r="C133" s="71"/>
      <c r="D133" s="71"/>
      <c r="E133" s="71"/>
      <c r="F133" s="71"/>
      <c r="G133" s="16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</row>
    <row r="134" spans="1:29" s="14" customFormat="1" x14ac:dyDescent="0.25">
      <c r="A134" s="15"/>
      <c r="C134" s="71"/>
      <c r="D134" s="71"/>
      <c r="E134" s="71"/>
      <c r="F134" s="71"/>
      <c r="G134" s="16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</row>
    <row r="135" spans="1:29" s="14" customFormat="1" x14ac:dyDescent="0.25">
      <c r="A135" s="15"/>
      <c r="C135" s="71"/>
      <c r="D135" s="71"/>
      <c r="E135" s="71"/>
      <c r="F135" s="71"/>
      <c r="G135" s="16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</row>
    <row r="136" spans="1:29" s="14" customFormat="1" x14ac:dyDescent="0.25">
      <c r="A136" s="15"/>
      <c r="C136" s="71"/>
      <c r="D136" s="71"/>
      <c r="E136" s="71"/>
      <c r="F136" s="71"/>
      <c r="G136" s="16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</row>
    <row r="137" spans="1:29" s="14" customFormat="1" x14ac:dyDescent="0.25">
      <c r="A137" s="15"/>
      <c r="C137" s="71"/>
      <c r="D137" s="71"/>
      <c r="E137" s="71"/>
      <c r="F137" s="71"/>
      <c r="G137" s="16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</row>
    <row r="138" spans="1:29" s="14" customFormat="1" x14ac:dyDescent="0.25">
      <c r="A138" s="15"/>
      <c r="C138" s="71"/>
      <c r="D138" s="71"/>
      <c r="E138" s="71"/>
      <c r="F138" s="71"/>
      <c r="G138" s="16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</row>
    <row r="139" spans="1:29" s="14" customFormat="1" x14ac:dyDescent="0.25">
      <c r="A139" s="15"/>
      <c r="C139" s="71"/>
      <c r="D139" s="71"/>
      <c r="E139" s="71"/>
      <c r="F139" s="71"/>
      <c r="G139" s="16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</row>
    <row r="140" spans="1:29" s="14" customFormat="1" x14ac:dyDescent="0.25">
      <c r="A140" s="15"/>
      <c r="C140" s="71"/>
      <c r="D140" s="71"/>
      <c r="E140" s="71"/>
      <c r="F140" s="71"/>
      <c r="G140" s="16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</row>
    <row r="141" spans="1:29" s="14" customFormat="1" x14ac:dyDescent="0.25">
      <c r="A141" s="15"/>
      <c r="C141" s="71"/>
      <c r="D141" s="71"/>
      <c r="E141" s="71"/>
      <c r="F141" s="71"/>
      <c r="G141" s="16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</row>
    <row r="142" spans="1:29" s="14" customFormat="1" x14ac:dyDescent="0.25">
      <c r="A142" s="15"/>
      <c r="C142" s="71"/>
      <c r="D142" s="71"/>
      <c r="E142" s="71"/>
      <c r="F142" s="71"/>
      <c r="G142" s="16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</row>
    <row r="143" spans="1:29" s="14" customFormat="1" x14ac:dyDescent="0.25">
      <c r="A143" s="15"/>
      <c r="C143" s="71"/>
      <c r="D143" s="71"/>
      <c r="E143" s="71"/>
      <c r="F143" s="71"/>
      <c r="G143" s="16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</row>
    <row r="144" spans="1:29" s="14" customFormat="1" x14ac:dyDescent="0.25">
      <c r="A144" s="15"/>
      <c r="C144" s="71"/>
      <c r="D144" s="71"/>
      <c r="E144" s="71"/>
      <c r="F144" s="71"/>
      <c r="G144" s="16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</row>
    <row r="145" spans="1:29" s="14" customFormat="1" x14ac:dyDescent="0.25">
      <c r="A145" s="15"/>
      <c r="C145" s="71"/>
      <c r="D145" s="71"/>
      <c r="E145" s="71"/>
      <c r="F145" s="71"/>
      <c r="G145" s="16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</row>
    <row r="146" spans="1:29" s="14" customFormat="1" x14ac:dyDescent="0.25">
      <c r="A146" s="15"/>
      <c r="C146" s="71"/>
      <c r="D146" s="71"/>
      <c r="E146" s="71"/>
      <c r="F146" s="71"/>
      <c r="G146" s="16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</row>
    <row r="147" spans="1:29" s="14" customFormat="1" x14ac:dyDescent="0.25">
      <c r="A147" s="15"/>
      <c r="C147" s="71"/>
      <c r="D147" s="71"/>
      <c r="E147" s="71"/>
      <c r="F147" s="71"/>
      <c r="G147" s="16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</row>
    <row r="148" spans="1:29" s="14" customFormat="1" x14ac:dyDescent="0.25">
      <c r="A148" s="15"/>
      <c r="C148" s="71"/>
      <c r="D148" s="71"/>
      <c r="E148" s="71"/>
      <c r="F148" s="71"/>
      <c r="G148" s="16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</row>
    <row r="149" spans="1:29" s="14" customFormat="1" x14ac:dyDescent="0.25">
      <c r="A149" s="15"/>
      <c r="C149" s="71"/>
      <c r="D149" s="71"/>
      <c r="E149" s="71"/>
      <c r="F149" s="71"/>
      <c r="G149" s="16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</row>
    <row r="150" spans="1:29" s="14" customFormat="1" x14ac:dyDescent="0.25">
      <c r="A150" s="15"/>
      <c r="C150" s="71"/>
      <c r="D150" s="71"/>
      <c r="E150" s="71"/>
      <c r="F150" s="71"/>
      <c r="G150" s="16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</row>
    <row r="151" spans="1:29" s="14" customFormat="1" x14ac:dyDescent="0.25">
      <c r="A151" s="15"/>
      <c r="C151" s="71"/>
      <c r="D151" s="71"/>
      <c r="E151" s="71"/>
      <c r="F151" s="71"/>
      <c r="G151" s="16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</row>
    <row r="152" spans="1:29" s="14" customFormat="1" x14ac:dyDescent="0.25">
      <c r="A152" s="15"/>
      <c r="C152" s="71"/>
      <c r="D152" s="71"/>
      <c r="E152" s="71"/>
      <c r="F152" s="71"/>
      <c r="G152" s="16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</row>
    <row r="153" spans="1:29" s="14" customFormat="1" x14ac:dyDescent="0.25">
      <c r="A153" s="15"/>
      <c r="C153" s="71"/>
      <c r="D153" s="71"/>
      <c r="E153" s="71"/>
      <c r="F153" s="71"/>
      <c r="G153" s="16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</row>
    <row r="154" spans="1:29" s="14" customFormat="1" x14ac:dyDescent="0.25">
      <c r="A154" s="15"/>
      <c r="C154" s="71"/>
      <c r="D154" s="71"/>
      <c r="E154" s="71"/>
      <c r="F154" s="71"/>
      <c r="G154" s="16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</row>
    <row r="155" spans="1:29" s="14" customFormat="1" x14ac:dyDescent="0.25">
      <c r="A155" s="15"/>
      <c r="C155" s="71"/>
      <c r="D155" s="71"/>
      <c r="E155" s="71"/>
      <c r="F155" s="71"/>
      <c r="G155" s="16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</row>
    <row r="156" spans="1:29" s="14" customFormat="1" x14ac:dyDescent="0.25">
      <c r="A156" s="15"/>
      <c r="C156" s="71"/>
      <c r="D156" s="71"/>
      <c r="E156" s="71"/>
      <c r="F156" s="71"/>
      <c r="G156" s="16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</row>
    <row r="157" spans="1:29" s="14" customFormat="1" x14ac:dyDescent="0.25">
      <c r="A157" s="15"/>
      <c r="C157" s="71"/>
      <c r="D157" s="71"/>
      <c r="E157" s="71"/>
      <c r="F157" s="71"/>
      <c r="G157" s="16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</row>
    <row r="158" spans="1:29" s="14" customFormat="1" x14ac:dyDescent="0.25">
      <c r="A158" s="15"/>
      <c r="C158" s="71"/>
      <c r="D158" s="71"/>
      <c r="E158" s="71"/>
      <c r="F158" s="71"/>
      <c r="G158" s="16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</row>
    <row r="159" spans="1:29" s="14" customFormat="1" x14ac:dyDescent="0.25">
      <c r="A159" s="15"/>
      <c r="C159" s="71"/>
      <c r="D159" s="71"/>
      <c r="E159" s="71"/>
      <c r="F159" s="71"/>
      <c r="G159" s="16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</row>
    <row r="160" spans="1:29" s="14" customFormat="1" x14ac:dyDescent="0.25">
      <c r="A160" s="15"/>
      <c r="C160" s="71"/>
      <c r="D160" s="71"/>
      <c r="E160" s="71"/>
      <c r="F160" s="71"/>
      <c r="G160" s="16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</row>
    <row r="161" spans="1:29" s="14" customFormat="1" x14ac:dyDescent="0.25">
      <c r="A161" s="15"/>
      <c r="C161" s="71"/>
      <c r="D161" s="71"/>
      <c r="E161" s="71"/>
      <c r="F161" s="71"/>
      <c r="G161" s="16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</row>
    <row r="162" spans="1:29" s="14" customFormat="1" x14ac:dyDescent="0.25">
      <c r="A162" s="15"/>
      <c r="C162" s="71"/>
      <c r="D162" s="71"/>
      <c r="E162" s="71"/>
      <c r="F162" s="71"/>
      <c r="G162" s="16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</row>
    <row r="163" spans="1:29" s="14" customFormat="1" x14ac:dyDescent="0.25">
      <c r="A163" s="15"/>
      <c r="C163" s="71"/>
      <c r="D163" s="71"/>
      <c r="E163" s="71"/>
      <c r="F163" s="71"/>
      <c r="G163" s="16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</row>
    <row r="164" spans="1:29" s="14" customFormat="1" x14ac:dyDescent="0.25">
      <c r="A164" s="15"/>
      <c r="C164" s="71"/>
      <c r="D164" s="71"/>
      <c r="E164" s="71"/>
      <c r="F164" s="71"/>
      <c r="G164" s="16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</row>
    <row r="165" spans="1:29" s="14" customFormat="1" x14ac:dyDescent="0.25">
      <c r="A165" s="15"/>
      <c r="C165" s="71"/>
      <c r="D165" s="71"/>
      <c r="E165" s="71"/>
      <c r="F165" s="71"/>
      <c r="G165" s="16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</row>
    <row r="166" spans="1:29" s="14" customFormat="1" x14ac:dyDescent="0.25">
      <c r="A166" s="15"/>
      <c r="C166" s="71"/>
      <c r="D166" s="71"/>
      <c r="E166" s="71"/>
      <c r="F166" s="71"/>
      <c r="G166" s="16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</row>
    <row r="167" spans="1:29" s="14" customFormat="1" x14ac:dyDescent="0.25">
      <c r="A167" s="15"/>
      <c r="C167" s="71"/>
      <c r="D167" s="71"/>
      <c r="E167" s="71"/>
      <c r="F167" s="71"/>
      <c r="G167" s="16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</row>
    <row r="168" spans="1:29" s="14" customFormat="1" x14ac:dyDescent="0.25">
      <c r="A168" s="15"/>
      <c r="C168" s="71"/>
      <c r="D168" s="71"/>
      <c r="E168" s="71"/>
      <c r="F168" s="71"/>
      <c r="G168" s="16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</row>
    <row r="169" spans="1:29" s="14" customFormat="1" x14ac:dyDescent="0.25">
      <c r="A169" s="15"/>
      <c r="C169" s="71"/>
      <c r="D169" s="71"/>
      <c r="E169" s="71"/>
      <c r="F169" s="71"/>
      <c r="G169" s="16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</row>
    <row r="170" spans="1:29" s="14" customFormat="1" x14ac:dyDescent="0.25">
      <c r="A170" s="15"/>
      <c r="C170" s="71"/>
      <c r="D170" s="71"/>
      <c r="E170" s="71"/>
      <c r="F170" s="71"/>
      <c r="G170" s="16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</row>
    <row r="171" spans="1:29" s="14" customFormat="1" x14ac:dyDescent="0.25">
      <c r="A171" s="15"/>
      <c r="C171" s="71"/>
      <c r="D171" s="71"/>
      <c r="E171" s="71"/>
      <c r="F171" s="71"/>
      <c r="G171" s="16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</row>
    <row r="172" spans="1:29" s="14" customFormat="1" x14ac:dyDescent="0.25">
      <c r="A172" s="15"/>
      <c r="C172" s="71"/>
      <c r="D172" s="71"/>
      <c r="E172" s="71"/>
      <c r="F172" s="71"/>
      <c r="G172" s="16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</row>
    <row r="173" spans="1:29" s="14" customFormat="1" x14ac:dyDescent="0.25">
      <c r="A173" s="15"/>
      <c r="C173" s="71"/>
      <c r="D173" s="71"/>
      <c r="E173" s="71"/>
      <c r="F173" s="71"/>
      <c r="G173" s="16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</row>
    <row r="174" spans="1:29" s="14" customFormat="1" x14ac:dyDescent="0.25">
      <c r="A174" s="15"/>
      <c r="C174" s="71"/>
      <c r="D174" s="71"/>
      <c r="E174" s="71"/>
      <c r="F174" s="71"/>
      <c r="G174" s="16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</row>
    <row r="175" spans="1:29" s="14" customFormat="1" x14ac:dyDescent="0.25">
      <c r="A175" s="15"/>
      <c r="C175" s="71"/>
      <c r="D175" s="71"/>
      <c r="E175" s="71"/>
      <c r="F175" s="71"/>
      <c r="G175" s="16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</row>
    <row r="176" spans="1:29" s="14" customFormat="1" x14ac:dyDescent="0.25">
      <c r="A176" s="15"/>
      <c r="C176" s="71"/>
      <c r="D176" s="71"/>
      <c r="E176" s="71"/>
      <c r="F176" s="71"/>
      <c r="G176" s="16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</row>
    <row r="177" spans="1:29" s="14" customFormat="1" x14ac:dyDescent="0.25">
      <c r="A177" s="15"/>
      <c r="C177" s="71"/>
      <c r="D177" s="71"/>
      <c r="E177" s="71"/>
      <c r="F177" s="71"/>
      <c r="G177" s="16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</row>
    <row r="178" spans="1:29" s="14" customFormat="1" x14ac:dyDescent="0.25">
      <c r="A178" s="15"/>
      <c r="C178" s="71"/>
      <c r="D178" s="71"/>
      <c r="E178" s="71"/>
      <c r="F178" s="71"/>
      <c r="G178" s="16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</row>
    <row r="179" spans="1:29" s="14" customFormat="1" x14ac:dyDescent="0.25">
      <c r="A179" s="15"/>
      <c r="C179" s="71"/>
      <c r="D179" s="71"/>
      <c r="E179" s="71"/>
      <c r="F179" s="71"/>
      <c r="G179" s="16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</row>
    <row r="180" spans="1:29" s="14" customFormat="1" x14ac:dyDescent="0.25">
      <c r="A180" s="15"/>
      <c r="C180" s="71"/>
      <c r="D180" s="71"/>
      <c r="E180" s="71"/>
      <c r="F180" s="71"/>
      <c r="G180" s="16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</row>
    <row r="181" spans="1:29" s="14" customFormat="1" x14ac:dyDescent="0.25">
      <c r="A181" s="15"/>
      <c r="C181" s="71"/>
      <c r="D181" s="71"/>
      <c r="E181" s="71"/>
      <c r="F181" s="71"/>
      <c r="G181" s="16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</row>
    <row r="182" spans="1:29" s="14" customFormat="1" x14ac:dyDescent="0.25">
      <c r="A182" s="15"/>
      <c r="C182" s="71"/>
      <c r="D182" s="71"/>
      <c r="E182" s="71"/>
      <c r="F182" s="71"/>
      <c r="G182" s="16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</row>
    <row r="183" spans="1:29" s="14" customFormat="1" x14ac:dyDescent="0.25">
      <c r="A183" s="15"/>
      <c r="C183" s="71"/>
      <c r="D183" s="71"/>
      <c r="E183" s="71"/>
      <c r="F183" s="71"/>
      <c r="G183" s="16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</row>
    <row r="184" spans="1:29" s="14" customFormat="1" x14ac:dyDescent="0.25">
      <c r="A184" s="15"/>
      <c r="C184" s="71"/>
      <c r="D184" s="71"/>
      <c r="E184" s="71"/>
      <c r="F184" s="71"/>
      <c r="G184" s="16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</row>
    <row r="185" spans="1:29" s="14" customFormat="1" x14ac:dyDescent="0.25">
      <c r="A185" s="15"/>
      <c r="C185" s="71"/>
      <c r="D185" s="71"/>
      <c r="E185" s="71"/>
      <c r="F185" s="71"/>
      <c r="G185" s="16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</row>
    <row r="186" spans="1:29" s="14" customFormat="1" x14ac:dyDescent="0.25">
      <c r="A186" s="15"/>
      <c r="C186" s="71"/>
      <c r="D186" s="71"/>
      <c r="E186" s="71"/>
      <c r="F186" s="71"/>
      <c r="G186" s="16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</row>
    <row r="187" spans="1:29" s="14" customFormat="1" x14ac:dyDescent="0.25">
      <c r="A187" s="15"/>
      <c r="C187" s="71"/>
      <c r="D187" s="71"/>
      <c r="E187" s="71"/>
      <c r="F187" s="71"/>
      <c r="G187" s="16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</row>
    <row r="188" spans="1:29" s="14" customFormat="1" x14ac:dyDescent="0.25">
      <c r="A188" s="15"/>
      <c r="C188" s="71"/>
      <c r="D188" s="71"/>
      <c r="E188" s="71"/>
      <c r="F188" s="71"/>
      <c r="G188" s="16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</row>
    <row r="189" spans="1:29" s="14" customFormat="1" x14ac:dyDescent="0.25">
      <c r="A189" s="15"/>
      <c r="C189" s="71"/>
      <c r="D189" s="71"/>
      <c r="E189" s="71"/>
      <c r="F189" s="71"/>
      <c r="G189" s="16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</row>
    <row r="190" spans="1:29" s="14" customFormat="1" x14ac:dyDescent="0.25">
      <c r="A190" s="15"/>
      <c r="C190" s="71"/>
      <c r="D190" s="71"/>
      <c r="E190" s="71"/>
      <c r="F190" s="71"/>
      <c r="G190" s="16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</row>
    <row r="191" spans="1:29" s="14" customFormat="1" x14ac:dyDescent="0.25">
      <c r="A191" s="15"/>
      <c r="C191" s="71"/>
      <c r="D191" s="71"/>
      <c r="E191" s="71"/>
      <c r="F191" s="71"/>
      <c r="G191" s="16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</row>
    <row r="192" spans="1:29" s="14" customFormat="1" x14ac:dyDescent="0.25">
      <c r="A192" s="15"/>
      <c r="C192" s="71"/>
      <c r="D192" s="71"/>
      <c r="E192" s="71"/>
      <c r="F192" s="71"/>
      <c r="G192" s="16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</row>
    <row r="193" spans="1:29" s="14" customFormat="1" x14ac:dyDescent="0.25">
      <c r="A193" s="15"/>
      <c r="C193" s="71"/>
      <c r="D193" s="71"/>
      <c r="E193" s="71"/>
      <c r="F193" s="71"/>
      <c r="G193" s="16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</row>
    <row r="194" spans="1:29" s="14" customFormat="1" x14ac:dyDescent="0.25">
      <c r="A194" s="15"/>
      <c r="C194" s="71"/>
      <c r="D194" s="71"/>
      <c r="E194" s="71"/>
      <c r="F194" s="71"/>
      <c r="G194" s="16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</row>
    <row r="195" spans="1:29" s="14" customFormat="1" x14ac:dyDescent="0.25">
      <c r="A195" s="15"/>
      <c r="C195" s="71"/>
      <c r="D195" s="71"/>
      <c r="E195" s="71"/>
      <c r="F195" s="71"/>
      <c r="G195" s="16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</row>
    <row r="196" spans="1:29" s="14" customFormat="1" x14ac:dyDescent="0.25">
      <c r="A196" s="15"/>
      <c r="C196" s="71"/>
      <c r="D196" s="71"/>
      <c r="E196" s="71"/>
      <c r="F196" s="71"/>
      <c r="G196" s="16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</row>
    <row r="197" spans="1:29" s="14" customFormat="1" x14ac:dyDescent="0.25">
      <c r="A197" s="15"/>
      <c r="C197" s="71"/>
      <c r="D197" s="71"/>
      <c r="E197" s="71"/>
      <c r="F197" s="71"/>
      <c r="G197" s="16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</row>
    <row r="198" spans="1:29" s="14" customFormat="1" x14ac:dyDescent="0.25">
      <c r="A198" s="15"/>
      <c r="C198" s="71"/>
      <c r="D198" s="71"/>
      <c r="E198" s="71"/>
      <c r="F198" s="71"/>
      <c r="G198" s="16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</row>
    <row r="199" spans="1:29" s="14" customFormat="1" x14ac:dyDescent="0.25">
      <c r="A199" s="15"/>
      <c r="C199" s="71"/>
      <c r="D199" s="71"/>
      <c r="E199" s="71"/>
      <c r="F199" s="71"/>
      <c r="G199" s="16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</row>
    <row r="200" spans="1:29" s="14" customFormat="1" x14ac:dyDescent="0.25">
      <c r="A200" s="15"/>
      <c r="C200" s="71"/>
      <c r="D200" s="71"/>
      <c r="E200" s="71"/>
      <c r="F200" s="71"/>
      <c r="G200" s="16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</row>
    <row r="201" spans="1:29" s="14" customFormat="1" x14ac:dyDescent="0.25">
      <c r="A201" s="15"/>
      <c r="C201" s="71"/>
      <c r="D201" s="71"/>
      <c r="E201" s="71"/>
      <c r="F201" s="71"/>
      <c r="G201" s="16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</row>
    <row r="202" spans="1:29" s="14" customFormat="1" x14ac:dyDescent="0.25">
      <c r="A202" s="15"/>
      <c r="C202" s="71"/>
      <c r="D202" s="71"/>
      <c r="E202" s="71"/>
      <c r="F202" s="71"/>
      <c r="G202" s="16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</row>
    <row r="203" spans="1:29" s="14" customFormat="1" x14ac:dyDescent="0.25">
      <c r="A203" s="15"/>
      <c r="C203" s="71"/>
      <c r="D203" s="71"/>
      <c r="E203" s="71"/>
      <c r="F203" s="71"/>
      <c r="G203" s="16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</row>
    <row r="204" spans="1:29" s="14" customFormat="1" x14ac:dyDescent="0.25">
      <c r="A204" s="15"/>
      <c r="C204" s="71"/>
      <c r="D204" s="71"/>
      <c r="E204" s="71"/>
      <c r="F204" s="71"/>
      <c r="G204" s="16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</row>
    <row r="205" spans="1:29" s="14" customFormat="1" x14ac:dyDescent="0.25">
      <c r="A205" s="15"/>
      <c r="C205" s="71"/>
      <c r="D205" s="71"/>
      <c r="E205" s="71"/>
      <c r="F205" s="71"/>
      <c r="G205" s="16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</row>
    <row r="206" spans="1:29" s="14" customFormat="1" x14ac:dyDescent="0.25">
      <c r="A206" s="15"/>
      <c r="C206" s="71"/>
      <c r="D206" s="71"/>
      <c r="E206" s="71"/>
      <c r="F206" s="71"/>
      <c r="G206" s="16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</row>
    <row r="207" spans="1:29" s="14" customFormat="1" x14ac:dyDescent="0.25">
      <c r="A207" s="15"/>
      <c r="C207" s="71"/>
      <c r="D207" s="71"/>
      <c r="E207" s="71"/>
      <c r="F207" s="71"/>
      <c r="G207" s="16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</row>
    <row r="208" spans="1:29" s="14" customFormat="1" x14ac:dyDescent="0.25">
      <c r="A208" s="15"/>
      <c r="C208" s="71"/>
      <c r="D208" s="71"/>
      <c r="E208" s="71"/>
      <c r="F208" s="71"/>
      <c r="G208" s="16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</row>
    <row r="209" spans="1:29" s="14" customFormat="1" x14ac:dyDescent="0.25">
      <c r="A209" s="15"/>
      <c r="C209" s="71"/>
      <c r="D209" s="71"/>
      <c r="E209" s="71"/>
      <c r="F209" s="71"/>
      <c r="G209" s="16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</row>
    <row r="210" spans="1:29" s="14" customFormat="1" x14ac:dyDescent="0.25">
      <c r="A210" s="15"/>
      <c r="C210" s="71"/>
      <c r="D210" s="71"/>
      <c r="E210" s="71"/>
      <c r="F210" s="71"/>
      <c r="G210" s="16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</row>
    <row r="211" spans="1:29" s="14" customFormat="1" x14ac:dyDescent="0.25">
      <c r="A211" s="15"/>
      <c r="C211" s="71"/>
      <c r="D211" s="71"/>
      <c r="E211" s="71"/>
      <c r="F211" s="71"/>
      <c r="G211" s="16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</row>
    <row r="212" spans="1:29" s="14" customFormat="1" x14ac:dyDescent="0.25">
      <c r="A212" s="15"/>
      <c r="C212" s="71"/>
      <c r="D212" s="71"/>
      <c r="E212" s="71"/>
      <c r="F212" s="71"/>
      <c r="G212" s="16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</row>
    <row r="213" spans="1:29" s="14" customFormat="1" x14ac:dyDescent="0.25">
      <c r="A213" s="15"/>
      <c r="C213" s="71"/>
      <c r="D213" s="71"/>
      <c r="E213" s="71"/>
      <c r="F213" s="71"/>
      <c r="G213" s="16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</row>
    <row r="214" spans="1:29" s="14" customFormat="1" x14ac:dyDescent="0.25">
      <c r="A214" s="15"/>
      <c r="C214" s="71"/>
      <c r="D214" s="71"/>
      <c r="E214" s="71"/>
      <c r="F214" s="71"/>
      <c r="G214" s="16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</row>
    <row r="215" spans="1:29" s="14" customFormat="1" x14ac:dyDescent="0.25">
      <c r="A215" s="15"/>
      <c r="C215" s="71"/>
      <c r="D215" s="71"/>
      <c r="E215" s="71"/>
      <c r="F215" s="71"/>
      <c r="G215" s="16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</row>
    <row r="216" spans="1:29" s="14" customFormat="1" x14ac:dyDescent="0.25">
      <c r="A216" s="15"/>
      <c r="C216" s="71"/>
      <c r="D216" s="71"/>
      <c r="E216" s="71"/>
      <c r="F216" s="71"/>
      <c r="G216" s="16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</row>
    <row r="217" spans="1:29" s="14" customFormat="1" x14ac:dyDescent="0.25">
      <c r="A217" s="15"/>
      <c r="C217" s="71"/>
      <c r="D217" s="71"/>
      <c r="E217" s="71"/>
      <c r="F217" s="71"/>
      <c r="G217" s="16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</row>
    <row r="218" spans="1:29" s="14" customFormat="1" x14ac:dyDescent="0.25">
      <c r="A218" s="15"/>
      <c r="C218" s="71"/>
      <c r="D218" s="71"/>
      <c r="E218" s="71"/>
      <c r="F218" s="71"/>
      <c r="G218" s="16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</row>
    <row r="219" spans="1:29" s="14" customFormat="1" x14ac:dyDescent="0.25">
      <c r="A219" s="15"/>
      <c r="C219" s="71"/>
      <c r="D219" s="71"/>
      <c r="E219" s="71"/>
      <c r="F219" s="71"/>
      <c r="G219" s="16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</row>
    <row r="220" spans="1:29" s="14" customFormat="1" x14ac:dyDescent="0.25">
      <c r="A220" s="15"/>
      <c r="C220" s="71"/>
      <c r="D220" s="71"/>
      <c r="E220" s="71"/>
      <c r="F220" s="71"/>
      <c r="G220" s="16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</row>
    <row r="221" spans="1:29" s="14" customFormat="1" x14ac:dyDescent="0.25">
      <c r="A221" s="15"/>
      <c r="C221" s="71"/>
      <c r="D221" s="71"/>
      <c r="E221" s="71"/>
      <c r="F221" s="71"/>
      <c r="G221" s="16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</row>
    <row r="222" spans="1:29" s="14" customFormat="1" x14ac:dyDescent="0.25">
      <c r="A222" s="15"/>
      <c r="C222" s="71"/>
      <c r="D222" s="71"/>
      <c r="E222" s="71"/>
      <c r="F222" s="71"/>
      <c r="G222" s="16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</row>
    <row r="223" spans="1:29" s="14" customFormat="1" x14ac:dyDescent="0.25">
      <c r="A223" s="15"/>
      <c r="C223" s="71"/>
      <c r="D223" s="71"/>
      <c r="E223" s="71"/>
      <c r="F223" s="71"/>
      <c r="G223" s="16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</row>
    <row r="224" spans="1:29" s="14" customFormat="1" x14ac:dyDescent="0.25">
      <c r="A224" s="15"/>
      <c r="C224" s="71"/>
      <c r="D224" s="71"/>
      <c r="E224" s="71"/>
      <c r="F224" s="71"/>
      <c r="G224" s="16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</row>
    <row r="225" spans="1:29" s="14" customFormat="1" x14ac:dyDescent="0.25">
      <c r="A225" s="15"/>
      <c r="C225" s="71"/>
      <c r="D225" s="71"/>
      <c r="E225" s="71"/>
      <c r="F225" s="71"/>
      <c r="G225" s="16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</row>
    <row r="226" spans="1:29" s="14" customFormat="1" x14ac:dyDescent="0.25">
      <c r="A226" s="15"/>
      <c r="C226" s="71"/>
      <c r="D226" s="71"/>
      <c r="E226" s="71"/>
      <c r="F226" s="71"/>
      <c r="G226" s="16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</row>
    <row r="227" spans="1:29" s="14" customFormat="1" x14ac:dyDescent="0.25">
      <c r="A227" s="15"/>
      <c r="C227" s="71"/>
      <c r="D227" s="71"/>
      <c r="E227" s="71"/>
      <c r="F227" s="71"/>
      <c r="G227" s="16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</row>
    <row r="228" spans="1:29" s="14" customFormat="1" x14ac:dyDescent="0.25">
      <c r="A228" s="15"/>
      <c r="C228" s="71"/>
      <c r="D228" s="71"/>
      <c r="E228" s="71"/>
      <c r="F228" s="71"/>
      <c r="G228" s="16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</row>
    <row r="229" spans="1:29" s="14" customFormat="1" x14ac:dyDescent="0.25">
      <c r="A229" s="15"/>
      <c r="C229" s="71"/>
      <c r="D229" s="71"/>
      <c r="E229" s="71"/>
      <c r="F229" s="71"/>
      <c r="G229" s="16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</row>
    <row r="230" spans="1:29" s="14" customFormat="1" x14ac:dyDescent="0.25">
      <c r="A230" s="15"/>
      <c r="C230" s="71"/>
      <c r="D230" s="71"/>
      <c r="E230" s="71"/>
      <c r="F230" s="71"/>
      <c r="G230" s="16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</row>
    <row r="231" spans="1:29" s="14" customFormat="1" x14ac:dyDescent="0.25">
      <c r="A231" s="15"/>
      <c r="C231" s="71"/>
      <c r="D231" s="71"/>
      <c r="E231" s="71"/>
      <c r="F231" s="71"/>
      <c r="G231" s="16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</row>
    <row r="232" spans="1:29" s="14" customFormat="1" x14ac:dyDescent="0.25">
      <c r="A232" s="15"/>
      <c r="C232" s="71"/>
      <c r="D232" s="71"/>
      <c r="E232" s="71"/>
      <c r="F232" s="71"/>
      <c r="G232" s="16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</row>
    <row r="233" spans="1:29" s="14" customFormat="1" x14ac:dyDescent="0.25">
      <c r="A233" s="15"/>
      <c r="C233" s="71"/>
      <c r="D233" s="71"/>
      <c r="E233" s="71"/>
      <c r="F233" s="71"/>
      <c r="G233" s="16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</row>
    <row r="234" spans="1:29" s="14" customFormat="1" x14ac:dyDescent="0.25">
      <c r="A234" s="15"/>
      <c r="C234" s="71"/>
      <c r="D234" s="71"/>
      <c r="E234" s="71"/>
      <c r="F234" s="71"/>
      <c r="G234" s="16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</row>
    <row r="235" spans="1:29" s="14" customFormat="1" x14ac:dyDescent="0.25">
      <c r="A235" s="15"/>
      <c r="C235" s="71"/>
      <c r="D235" s="71"/>
      <c r="E235" s="71"/>
      <c r="F235" s="71"/>
      <c r="G235" s="16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</row>
    <row r="236" spans="1:29" s="14" customFormat="1" x14ac:dyDescent="0.25">
      <c r="A236" s="15"/>
      <c r="C236" s="71"/>
      <c r="D236" s="71"/>
      <c r="E236" s="71"/>
      <c r="F236" s="71"/>
      <c r="G236" s="16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</row>
    <row r="237" spans="1:29" s="14" customFormat="1" x14ac:dyDescent="0.25">
      <c r="A237" s="15"/>
      <c r="C237" s="71"/>
      <c r="D237" s="71"/>
      <c r="E237" s="71"/>
      <c r="F237" s="71"/>
      <c r="G237" s="16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</row>
    <row r="238" spans="1:29" s="14" customFormat="1" x14ac:dyDescent="0.25">
      <c r="A238" s="15"/>
      <c r="C238" s="71"/>
      <c r="D238" s="71"/>
      <c r="E238" s="71"/>
      <c r="F238" s="71"/>
      <c r="G238" s="16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</row>
    <row r="239" spans="1:29" s="14" customFormat="1" x14ac:dyDescent="0.25">
      <c r="A239" s="15"/>
      <c r="C239" s="71"/>
      <c r="D239" s="71"/>
      <c r="E239" s="71"/>
      <c r="F239" s="71"/>
      <c r="G239" s="16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</row>
    <row r="240" spans="1:29" s="14" customFormat="1" x14ac:dyDescent="0.25">
      <c r="A240" s="15"/>
      <c r="C240" s="71"/>
      <c r="D240" s="71"/>
      <c r="E240" s="71"/>
      <c r="F240" s="71"/>
      <c r="G240" s="16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</row>
    <row r="241" spans="1:29" s="14" customFormat="1" x14ac:dyDescent="0.25">
      <c r="A241" s="15"/>
      <c r="C241" s="71"/>
      <c r="D241" s="71"/>
      <c r="E241" s="71"/>
      <c r="F241" s="71"/>
      <c r="G241" s="16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</row>
    <row r="242" spans="1:29" s="14" customFormat="1" x14ac:dyDescent="0.25">
      <c r="A242" s="15"/>
      <c r="C242" s="71"/>
      <c r="D242" s="71"/>
      <c r="E242" s="71"/>
      <c r="F242" s="71"/>
      <c r="G242" s="16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</row>
    <row r="243" spans="1:29" s="14" customFormat="1" x14ac:dyDescent="0.25">
      <c r="A243" s="15"/>
      <c r="C243" s="71"/>
      <c r="D243" s="71"/>
      <c r="E243" s="71"/>
      <c r="F243" s="71"/>
      <c r="G243" s="16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</row>
    <row r="244" spans="1:29" s="14" customFormat="1" x14ac:dyDescent="0.25">
      <c r="A244" s="15"/>
      <c r="C244" s="71"/>
      <c r="D244" s="71"/>
      <c r="E244" s="71"/>
      <c r="F244" s="71"/>
      <c r="G244" s="16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</row>
    <row r="245" spans="1:29" s="14" customFormat="1" x14ac:dyDescent="0.25">
      <c r="A245" s="15"/>
      <c r="C245" s="71"/>
      <c r="D245" s="71"/>
      <c r="E245" s="71"/>
      <c r="F245" s="71"/>
      <c r="G245" s="16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</row>
    <row r="246" spans="1:29" s="14" customFormat="1" x14ac:dyDescent="0.25">
      <c r="A246" s="15"/>
      <c r="C246" s="71"/>
      <c r="D246" s="71"/>
      <c r="E246" s="71"/>
      <c r="F246" s="71"/>
      <c r="G246" s="16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</row>
    <row r="247" spans="1:29" s="14" customFormat="1" x14ac:dyDescent="0.25">
      <c r="A247" s="15"/>
      <c r="C247" s="71"/>
      <c r="D247" s="71"/>
      <c r="E247" s="71"/>
      <c r="F247" s="71"/>
      <c r="G247" s="16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</row>
    <row r="248" spans="1:29" s="14" customFormat="1" x14ac:dyDescent="0.25">
      <c r="A248" s="15"/>
      <c r="C248" s="71"/>
      <c r="D248" s="71"/>
      <c r="E248" s="71"/>
      <c r="F248" s="71"/>
      <c r="G248" s="16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</row>
    <row r="249" spans="1:29" s="14" customFormat="1" x14ac:dyDescent="0.25">
      <c r="A249" s="15"/>
      <c r="C249" s="71"/>
      <c r="D249" s="71"/>
      <c r="E249" s="71"/>
      <c r="F249" s="71"/>
      <c r="G249" s="16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</row>
    <row r="250" spans="1:29" s="14" customFormat="1" x14ac:dyDescent="0.25">
      <c r="A250" s="15"/>
      <c r="C250" s="71"/>
      <c r="D250" s="71"/>
      <c r="E250" s="71"/>
      <c r="F250" s="71"/>
      <c r="G250" s="16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</row>
    <row r="251" spans="1:29" s="14" customFormat="1" x14ac:dyDescent="0.25">
      <c r="A251" s="15"/>
      <c r="C251" s="71"/>
      <c r="D251" s="71"/>
      <c r="E251" s="71"/>
      <c r="F251" s="71"/>
      <c r="G251" s="16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</row>
    <row r="252" spans="1:29" s="14" customFormat="1" x14ac:dyDescent="0.25">
      <c r="A252" s="15"/>
      <c r="C252" s="71"/>
      <c r="D252" s="71"/>
      <c r="E252" s="71"/>
      <c r="F252" s="71"/>
      <c r="G252" s="16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</row>
    <row r="253" spans="1:29" s="14" customFormat="1" x14ac:dyDescent="0.25">
      <c r="A253" s="15"/>
      <c r="C253" s="71"/>
      <c r="D253" s="71"/>
      <c r="E253" s="71"/>
      <c r="F253" s="71"/>
      <c r="G253" s="16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</row>
    <row r="254" spans="1:29" s="14" customFormat="1" x14ac:dyDescent="0.25">
      <c r="A254" s="15"/>
      <c r="C254" s="71"/>
      <c r="D254" s="71"/>
      <c r="E254" s="71"/>
      <c r="F254" s="71"/>
      <c r="G254" s="16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</row>
    <row r="255" spans="1:29" s="14" customFormat="1" x14ac:dyDescent="0.25">
      <c r="A255" s="15"/>
      <c r="C255" s="71"/>
      <c r="D255" s="71"/>
      <c r="E255" s="71"/>
      <c r="F255" s="71"/>
      <c r="G255" s="16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</row>
    <row r="256" spans="1:29" s="14" customFormat="1" x14ac:dyDescent="0.25">
      <c r="A256" s="15"/>
      <c r="C256" s="71"/>
      <c r="D256" s="71"/>
      <c r="E256" s="71"/>
      <c r="F256" s="71"/>
      <c r="G256" s="16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</row>
    <row r="257" spans="1:29" s="14" customFormat="1" x14ac:dyDescent="0.25">
      <c r="A257" s="15"/>
      <c r="C257" s="71"/>
      <c r="D257" s="71"/>
      <c r="E257" s="71"/>
      <c r="F257" s="71"/>
      <c r="G257" s="16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</row>
    <row r="258" spans="1:29" s="14" customFormat="1" x14ac:dyDescent="0.25">
      <c r="A258" s="15"/>
      <c r="C258" s="71"/>
      <c r="D258" s="71"/>
      <c r="E258" s="71"/>
      <c r="F258" s="71"/>
      <c r="G258" s="16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</row>
    <row r="259" spans="1:29" s="14" customFormat="1" x14ac:dyDescent="0.25">
      <c r="A259" s="15"/>
      <c r="C259" s="71"/>
      <c r="D259" s="71"/>
      <c r="E259" s="71"/>
      <c r="F259" s="71"/>
      <c r="G259" s="16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</row>
    <row r="260" spans="1:29" s="14" customFormat="1" x14ac:dyDescent="0.25">
      <c r="A260" s="15"/>
      <c r="C260" s="71"/>
      <c r="D260" s="71"/>
      <c r="E260" s="71"/>
      <c r="F260" s="71"/>
      <c r="G260" s="16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</row>
    <row r="261" spans="1:29" s="14" customFormat="1" x14ac:dyDescent="0.25">
      <c r="A261" s="15"/>
      <c r="C261" s="71"/>
      <c r="D261" s="71"/>
      <c r="E261" s="71"/>
      <c r="F261" s="71"/>
      <c r="G261" s="16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</row>
    <row r="262" spans="1:29" s="14" customFormat="1" x14ac:dyDescent="0.25">
      <c r="A262" s="15"/>
      <c r="C262" s="71"/>
      <c r="D262" s="71"/>
      <c r="E262" s="71"/>
      <c r="F262" s="71"/>
      <c r="G262" s="16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</row>
    <row r="263" spans="1:29" s="14" customFormat="1" x14ac:dyDescent="0.25">
      <c r="A263" s="15"/>
      <c r="C263" s="71"/>
      <c r="D263" s="71"/>
      <c r="E263" s="71"/>
      <c r="F263" s="71"/>
      <c r="G263" s="16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</row>
    <row r="264" spans="1:29" s="14" customFormat="1" x14ac:dyDescent="0.25">
      <c r="A264" s="15"/>
      <c r="C264" s="71"/>
      <c r="D264" s="71"/>
      <c r="E264" s="71"/>
      <c r="F264" s="71"/>
      <c r="G264" s="16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</row>
    <row r="265" spans="1:29" s="14" customFormat="1" x14ac:dyDescent="0.25">
      <c r="A265" s="15"/>
      <c r="C265" s="71"/>
      <c r="D265" s="71"/>
      <c r="E265" s="71"/>
      <c r="F265" s="71"/>
      <c r="G265" s="16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</row>
    <row r="266" spans="1:29" s="14" customFormat="1" x14ac:dyDescent="0.25">
      <c r="A266" s="15"/>
      <c r="C266" s="71"/>
      <c r="D266" s="71"/>
      <c r="E266" s="71"/>
      <c r="F266" s="71"/>
      <c r="G266" s="16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</row>
    <row r="267" spans="1:29" s="14" customFormat="1" x14ac:dyDescent="0.25">
      <c r="A267" s="15"/>
      <c r="C267" s="71"/>
      <c r="D267" s="71"/>
      <c r="E267" s="71"/>
      <c r="F267" s="71"/>
      <c r="G267" s="16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</row>
    <row r="268" spans="1:29" s="14" customFormat="1" x14ac:dyDescent="0.25">
      <c r="A268" s="15"/>
      <c r="C268" s="71"/>
      <c r="D268" s="71"/>
      <c r="E268" s="71"/>
      <c r="F268" s="71"/>
      <c r="G268" s="16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</row>
    <row r="269" spans="1:29" s="14" customFormat="1" x14ac:dyDescent="0.25">
      <c r="A269" s="15"/>
      <c r="C269" s="71"/>
      <c r="D269" s="71"/>
      <c r="E269" s="71"/>
      <c r="F269" s="71"/>
      <c r="G269" s="16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</row>
    <row r="270" spans="1:29" s="14" customFormat="1" x14ac:dyDescent="0.25">
      <c r="A270" s="15"/>
      <c r="C270" s="71"/>
      <c r="D270" s="71"/>
      <c r="E270" s="71"/>
      <c r="F270" s="71"/>
      <c r="G270" s="16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</row>
    <row r="271" spans="1:29" s="14" customFormat="1" x14ac:dyDescent="0.25">
      <c r="A271" s="15"/>
      <c r="C271" s="71"/>
      <c r="D271" s="71"/>
      <c r="E271" s="71"/>
      <c r="F271" s="71"/>
      <c r="G271" s="16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</row>
    <row r="272" spans="1:29" s="14" customFormat="1" x14ac:dyDescent="0.25">
      <c r="A272" s="15"/>
      <c r="C272" s="71"/>
      <c r="D272" s="71"/>
      <c r="E272" s="71"/>
      <c r="F272" s="71"/>
      <c r="G272" s="16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</row>
    <row r="273" spans="1:29" s="14" customFormat="1" x14ac:dyDescent="0.25">
      <c r="A273" s="15"/>
      <c r="C273" s="71"/>
      <c r="D273" s="71"/>
      <c r="E273" s="71"/>
      <c r="F273" s="71"/>
      <c r="G273" s="16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</row>
    <row r="274" spans="1:29" s="14" customFormat="1" x14ac:dyDescent="0.25">
      <c r="A274" s="15"/>
      <c r="C274" s="71"/>
      <c r="D274" s="71"/>
      <c r="E274" s="71"/>
      <c r="F274" s="71"/>
      <c r="G274" s="16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</row>
    <row r="275" spans="1:29" s="14" customFormat="1" x14ac:dyDescent="0.25">
      <c r="A275" s="15"/>
      <c r="C275" s="71"/>
      <c r="D275" s="71"/>
      <c r="E275" s="71"/>
      <c r="F275" s="71"/>
      <c r="G275" s="16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</row>
    <row r="276" spans="1:29" s="14" customFormat="1" x14ac:dyDescent="0.25">
      <c r="A276" s="15"/>
      <c r="C276" s="71"/>
      <c r="D276" s="71"/>
      <c r="E276" s="71"/>
      <c r="F276" s="71"/>
      <c r="G276" s="16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</row>
    <row r="277" spans="1:29" s="14" customFormat="1" x14ac:dyDescent="0.25">
      <c r="A277" s="15"/>
      <c r="C277" s="71"/>
      <c r="D277" s="71"/>
      <c r="E277" s="71"/>
      <c r="F277" s="71"/>
      <c r="G277" s="16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</row>
    <row r="278" spans="1:29" s="14" customFormat="1" x14ac:dyDescent="0.25">
      <c r="A278" s="15"/>
      <c r="C278" s="71"/>
      <c r="D278" s="71"/>
      <c r="E278" s="71"/>
      <c r="F278" s="71"/>
      <c r="G278" s="16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</row>
    <row r="279" spans="1:29" s="14" customFormat="1" x14ac:dyDescent="0.25">
      <c r="A279" s="15"/>
      <c r="C279" s="71"/>
      <c r="D279" s="71"/>
      <c r="E279" s="71"/>
      <c r="F279" s="71"/>
      <c r="G279" s="16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</row>
    <row r="280" spans="1:29" s="14" customFormat="1" x14ac:dyDescent="0.25">
      <c r="A280" s="15"/>
      <c r="C280" s="71"/>
      <c r="D280" s="71"/>
      <c r="E280" s="71"/>
      <c r="F280" s="71"/>
      <c r="G280" s="16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</row>
    <row r="281" spans="1:29" s="14" customFormat="1" x14ac:dyDescent="0.25">
      <c r="A281" s="15"/>
      <c r="C281" s="71"/>
      <c r="D281" s="71"/>
      <c r="E281" s="71"/>
      <c r="F281" s="71"/>
      <c r="G281" s="16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</row>
    <row r="282" spans="1:29" s="14" customFormat="1" x14ac:dyDescent="0.25">
      <c r="A282" s="15"/>
      <c r="C282" s="71"/>
      <c r="D282" s="71"/>
      <c r="E282" s="71"/>
      <c r="F282" s="71"/>
      <c r="G282" s="16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</row>
    <row r="283" spans="1:29" s="14" customFormat="1" x14ac:dyDescent="0.25">
      <c r="A283" s="15"/>
      <c r="C283" s="71"/>
      <c r="D283" s="71"/>
      <c r="E283" s="71"/>
      <c r="F283" s="71"/>
      <c r="G283" s="16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</row>
    <row r="284" spans="1:29" s="14" customFormat="1" x14ac:dyDescent="0.25">
      <c r="A284" s="15"/>
      <c r="C284" s="71"/>
      <c r="D284" s="71"/>
      <c r="E284" s="71"/>
      <c r="F284" s="71"/>
      <c r="G284" s="16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</row>
    <row r="285" spans="1:29" s="14" customFormat="1" x14ac:dyDescent="0.25">
      <c r="A285" s="15"/>
      <c r="C285" s="71"/>
      <c r="D285" s="71"/>
      <c r="E285" s="71"/>
      <c r="F285" s="71"/>
      <c r="G285" s="16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</row>
    <row r="286" spans="1:29" s="14" customFormat="1" x14ac:dyDescent="0.25">
      <c r="A286" s="15"/>
      <c r="C286" s="71"/>
      <c r="D286" s="71"/>
      <c r="E286" s="71"/>
      <c r="F286" s="71"/>
      <c r="G286" s="16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</row>
    <row r="287" spans="1:29" s="14" customFormat="1" x14ac:dyDescent="0.25">
      <c r="A287" s="15"/>
      <c r="C287" s="71"/>
      <c r="D287" s="71"/>
      <c r="E287" s="71"/>
      <c r="F287" s="71"/>
      <c r="G287" s="16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</row>
    <row r="288" spans="1:29" s="14" customFormat="1" x14ac:dyDescent="0.25">
      <c r="A288" s="15"/>
      <c r="C288" s="71"/>
      <c r="D288" s="71"/>
      <c r="E288" s="71"/>
      <c r="F288" s="71"/>
      <c r="G288" s="16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</row>
    <row r="289" spans="1:29" s="14" customFormat="1" x14ac:dyDescent="0.25">
      <c r="A289" s="15"/>
      <c r="C289" s="71"/>
      <c r="D289" s="71"/>
      <c r="E289" s="71"/>
      <c r="F289" s="71"/>
      <c r="G289" s="16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</row>
    <row r="290" spans="1:29" s="14" customFormat="1" x14ac:dyDescent="0.25">
      <c r="A290" s="15"/>
      <c r="C290" s="71"/>
      <c r="D290" s="71"/>
      <c r="E290" s="71"/>
      <c r="F290" s="71"/>
      <c r="G290" s="16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</row>
    <row r="291" spans="1:29" s="14" customFormat="1" x14ac:dyDescent="0.25">
      <c r="A291" s="15"/>
      <c r="C291" s="71"/>
      <c r="D291" s="71"/>
      <c r="E291" s="71"/>
      <c r="F291" s="71"/>
      <c r="G291" s="16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</row>
    <row r="292" spans="1:29" s="14" customFormat="1" x14ac:dyDescent="0.25">
      <c r="A292" s="15"/>
      <c r="C292" s="71"/>
      <c r="D292" s="71"/>
      <c r="E292" s="71"/>
      <c r="F292" s="71"/>
      <c r="G292" s="16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</row>
    <row r="293" spans="1:29" s="14" customFormat="1" x14ac:dyDescent="0.25">
      <c r="A293" s="15"/>
      <c r="C293" s="71"/>
      <c r="D293" s="71"/>
      <c r="E293" s="71"/>
      <c r="F293" s="71"/>
      <c r="G293" s="16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</row>
    <row r="294" spans="1:29" s="14" customFormat="1" x14ac:dyDescent="0.25">
      <c r="A294" s="15"/>
      <c r="C294" s="71"/>
      <c r="D294" s="71"/>
      <c r="E294" s="71"/>
      <c r="F294" s="71"/>
      <c r="G294" s="16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</row>
    <row r="295" spans="1:29" s="14" customFormat="1" x14ac:dyDescent="0.25">
      <c r="A295" s="15"/>
      <c r="C295" s="71"/>
      <c r="D295" s="71"/>
      <c r="E295" s="71"/>
      <c r="F295" s="71"/>
      <c r="G295" s="16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</row>
    <row r="296" spans="1:29" s="14" customFormat="1" x14ac:dyDescent="0.25">
      <c r="A296" s="15"/>
      <c r="C296" s="71"/>
      <c r="D296" s="71"/>
      <c r="E296" s="71"/>
      <c r="F296" s="71"/>
      <c r="G296" s="16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</row>
    <row r="297" spans="1:29" s="14" customFormat="1" x14ac:dyDescent="0.25">
      <c r="A297" s="15"/>
      <c r="C297" s="71"/>
      <c r="D297" s="71"/>
      <c r="E297" s="71"/>
      <c r="F297" s="71"/>
      <c r="G297" s="16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</row>
    <row r="298" spans="1:29" s="14" customFormat="1" x14ac:dyDescent="0.25">
      <c r="A298" s="15"/>
      <c r="C298" s="71"/>
      <c r="D298" s="71"/>
      <c r="E298" s="71"/>
      <c r="F298" s="71"/>
      <c r="G298" s="16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</row>
    <row r="299" spans="1:29" s="14" customFormat="1" x14ac:dyDescent="0.25">
      <c r="A299" s="15"/>
      <c r="C299" s="71"/>
      <c r="D299" s="71"/>
      <c r="E299" s="71"/>
      <c r="F299" s="71"/>
      <c r="G299" s="16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</row>
    <row r="300" spans="1:29" s="14" customFormat="1" x14ac:dyDescent="0.25">
      <c r="A300" s="15"/>
      <c r="C300" s="71"/>
      <c r="D300" s="71"/>
      <c r="E300" s="71"/>
      <c r="F300" s="71"/>
      <c r="G300" s="16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</row>
    <row r="301" spans="1:29" s="14" customFormat="1" x14ac:dyDescent="0.25">
      <c r="A301" s="15"/>
      <c r="C301" s="71"/>
      <c r="D301" s="71"/>
      <c r="E301" s="71"/>
      <c r="F301" s="71"/>
      <c r="G301" s="16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</row>
    <row r="302" spans="1:29" s="14" customFormat="1" x14ac:dyDescent="0.25">
      <c r="A302" s="15"/>
      <c r="C302" s="71"/>
      <c r="D302" s="71"/>
      <c r="E302" s="71"/>
      <c r="F302" s="71"/>
      <c r="G302" s="16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</row>
    <row r="303" spans="1:29" s="14" customFormat="1" x14ac:dyDescent="0.25">
      <c r="A303" s="15"/>
      <c r="C303" s="71"/>
      <c r="D303" s="71"/>
      <c r="E303" s="71"/>
      <c r="F303" s="71"/>
      <c r="G303" s="16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</row>
    <row r="304" spans="1:29" s="14" customFormat="1" x14ac:dyDescent="0.25">
      <c r="A304" s="15"/>
      <c r="C304" s="71"/>
      <c r="D304" s="71"/>
      <c r="E304" s="71"/>
      <c r="F304" s="71"/>
      <c r="G304" s="16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</row>
    <row r="305" spans="1:29" s="14" customFormat="1" x14ac:dyDescent="0.25">
      <c r="A305" s="15"/>
      <c r="C305" s="71"/>
      <c r="D305" s="71"/>
      <c r="E305" s="71"/>
      <c r="F305" s="71"/>
      <c r="G305" s="16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</row>
    <row r="306" spans="1:29" s="14" customFormat="1" x14ac:dyDescent="0.25">
      <c r="A306" s="15"/>
      <c r="C306" s="71"/>
      <c r="D306" s="71"/>
      <c r="E306" s="71"/>
      <c r="F306" s="71"/>
      <c r="G306" s="16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</row>
    <row r="307" spans="1:29" s="14" customFormat="1" x14ac:dyDescent="0.25">
      <c r="A307" s="15"/>
      <c r="C307" s="71"/>
      <c r="D307" s="71"/>
      <c r="E307" s="71"/>
      <c r="F307" s="71"/>
      <c r="G307" s="16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</row>
    <row r="308" spans="1:29" s="14" customFormat="1" x14ac:dyDescent="0.25">
      <c r="A308" s="15"/>
      <c r="C308" s="71"/>
      <c r="D308" s="71"/>
      <c r="E308" s="71"/>
      <c r="F308" s="71"/>
      <c r="G308" s="16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</row>
    <row r="309" spans="1:29" s="14" customFormat="1" x14ac:dyDescent="0.25">
      <c r="A309" s="15"/>
      <c r="C309" s="71"/>
      <c r="D309" s="71"/>
      <c r="E309" s="71"/>
      <c r="F309" s="71"/>
      <c r="G309" s="16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</row>
    <row r="310" spans="1:29" s="14" customFormat="1" x14ac:dyDescent="0.25">
      <c r="A310" s="15"/>
      <c r="C310" s="71"/>
      <c r="D310" s="71"/>
      <c r="E310" s="71"/>
      <c r="F310" s="71"/>
      <c r="G310" s="16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</row>
    <row r="311" spans="1:29" s="14" customFormat="1" x14ac:dyDescent="0.25">
      <c r="A311" s="15"/>
      <c r="C311" s="71"/>
      <c r="D311" s="71"/>
      <c r="E311" s="71"/>
      <c r="F311" s="71"/>
      <c r="G311" s="16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</row>
    <row r="312" spans="1:29" s="14" customFormat="1" x14ac:dyDescent="0.25">
      <c r="A312" s="15"/>
      <c r="C312" s="71"/>
      <c r="D312" s="71"/>
      <c r="E312" s="71"/>
      <c r="F312" s="71"/>
      <c r="G312" s="16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</row>
    <row r="313" spans="1:29" s="14" customFormat="1" x14ac:dyDescent="0.25">
      <c r="A313" s="15"/>
      <c r="C313" s="71"/>
      <c r="D313" s="71"/>
      <c r="E313" s="71"/>
      <c r="F313" s="71"/>
      <c r="G313" s="16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</row>
    <row r="314" spans="1:29" s="14" customFormat="1" x14ac:dyDescent="0.25">
      <c r="A314" s="15"/>
      <c r="C314" s="71"/>
      <c r="D314" s="71"/>
      <c r="E314" s="71"/>
      <c r="F314" s="71"/>
      <c r="G314" s="16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</row>
    <row r="315" spans="1:29" s="14" customFormat="1" x14ac:dyDescent="0.25">
      <c r="A315" s="15"/>
      <c r="C315" s="71"/>
      <c r="D315" s="71"/>
      <c r="E315" s="71"/>
      <c r="F315" s="71"/>
      <c r="G315" s="16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</row>
    <row r="316" spans="1:29" s="14" customFormat="1" x14ac:dyDescent="0.25">
      <c r="A316" s="15"/>
      <c r="C316" s="71"/>
      <c r="D316" s="71"/>
      <c r="E316" s="71"/>
      <c r="F316" s="71"/>
      <c r="G316" s="16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</row>
    <row r="317" spans="1:29" s="14" customFormat="1" x14ac:dyDescent="0.25">
      <c r="A317" s="15"/>
      <c r="C317" s="71"/>
      <c r="D317" s="71"/>
      <c r="E317" s="71"/>
      <c r="F317" s="71"/>
      <c r="G317" s="16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</row>
    <row r="318" spans="1:29" s="14" customFormat="1" x14ac:dyDescent="0.25">
      <c r="A318" s="15"/>
      <c r="C318" s="71"/>
      <c r="D318" s="71"/>
      <c r="E318" s="71"/>
      <c r="F318" s="71"/>
      <c r="G318" s="16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</row>
    <row r="319" spans="1:29" s="14" customFormat="1" x14ac:dyDescent="0.25">
      <c r="A319" s="15"/>
      <c r="C319" s="71"/>
      <c r="D319" s="71"/>
      <c r="E319" s="71"/>
      <c r="F319" s="71"/>
      <c r="G319" s="16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</row>
    <row r="320" spans="1:29" s="14" customFormat="1" x14ac:dyDescent="0.25">
      <c r="A320" s="15"/>
      <c r="C320" s="71"/>
      <c r="D320" s="71"/>
      <c r="E320" s="71"/>
      <c r="F320" s="71"/>
      <c r="G320" s="16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</row>
    <row r="321" spans="1:29" s="14" customFormat="1" x14ac:dyDescent="0.25">
      <c r="A321" s="15"/>
      <c r="C321" s="71"/>
      <c r="D321" s="71"/>
      <c r="E321" s="71"/>
      <c r="F321" s="71"/>
      <c r="G321" s="16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</row>
    <row r="322" spans="1:29" s="14" customFormat="1" x14ac:dyDescent="0.25">
      <c r="A322" s="15"/>
      <c r="C322" s="71"/>
      <c r="D322" s="71"/>
      <c r="E322" s="71"/>
      <c r="F322" s="71"/>
      <c r="G322" s="16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</row>
    <row r="323" spans="1:29" s="14" customFormat="1" x14ac:dyDescent="0.25">
      <c r="A323" s="15"/>
      <c r="C323" s="71"/>
      <c r="D323" s="71"/>
      <c r="E323" s="71"/>
      <c r="F323" s="71"/>
      <c r="G323" s="16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</row>
    <row r="324" spans="1:29" s="14" customFormat="1" x14ac:dyDescent="0.25">
      <c r="A324" s="15"/>
      <c r="C324" s="71"/>
      <c r="D324" s="71"/>
      <c r="E324" s="71"/>
      <c r="F324" s="71"/>
      <c r="G324" s="16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</row>
    <row r="325" spans="1:29" s="14" customFormat="1" x14ac:dyDescent="0.25">
      <c r="A325" s="15"/>
      <c r="C325" s="71"/>
      <c r="D325" s="71"/>
      <c r="E325" s="71"/>
      <c r="F325" s="71"/>
      <c r="G325" s="16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</row>
    <row r="326" spans="1:29" s="14" customFormat="1" x14ac:dyDescent="0.25">
      <c r="A326" s="15"/>
      <c r="C326" s="71"/>
      <c r="D326" s="71"/>
      <c r="E326" s="71"/>
      <c r="F326" s="71"/>
      <c r="G326" s="16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</row>
    <row r="327" spans="1:29" s="14" customFormat="1" x14ac:dyDescent="0.25">
      <c r="A327" s="15"/>
      <c r="C327" s="71"/>
      <c r="D327" s="71"/>
      <c r="E327" s="71"/>
      <c r="F327" s="71"/>
      <c r="G327" s="16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</row>
    <row r="328" spans="1:29" s="14" customFormat="1" x14ac:dyDescent="0.25">
      <c r="A328" s="15"/>
      <c r="C328" s="71"/>
      <c r="D328" s="71"/>
      <c r="E328" s="71"/>
      <c r="F328" s="71"/>
      <c r="G328" s="16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</row>
    <row r="329" spans="1:29" s="14" customFormat="1" x14ac:dyDescent="0.25">
      <c r="A329" s="15"/>
      <c r="C329" s="71"/>
      <c r="D329" s="71"/>
      <c r="E329" s="71"/>
      <c r="F329" s="71"/>
      <c r="G329" s="16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</row>
    <row r="330" spans="1:29" s="14" customFormat="1" x14ac:dyDescent="0.25">
      <c r="A330" s="15"/>
      <c r="C330" s="71"/>
      <c r="D330" s="71"/>
      <c r="E330" s="71"/>
      <c r="F330" s="71"/>
      <c r="G330" s="16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</row>
    <row r="331" spans="1:29" s="14" customFormat="1" x14ac:dyDescent="0.25">
      <c r="A331" s="15"/>
      <c r="C331" s="71"/>
      <c r="D331" s="71"/>
      <c r="E331" s="71"/>
      <c r="F331" s="71"/>
      <c r="G331" s="16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</row>
    <row r="332" spans="1:29" s="14" customFormat="1" x14ac:dyDescent="0.25">
      <c r="A332" s="15"/>
      <c r="C332" s="71"/>
      <c r="D332" s="71"/>
      <c r="E332" s="71"/>
      <c r="F332" s="71"/>
      <c r="G332" s="16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</row>
    <row r="333" spans="1:29" s="14" customFormat="1" x14ac:dyDescent="0.25">
      <c r="A333" s="15"/>
      <c r="C333" s="71"/>
      <c r="D333" s="71"/>
      <c r="E333" s="71"/>
      <c r="F333" s="71"/>
      <c r="G333" s="16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</row>
    <row r="334" spans="1:29" s="14" customFormat="1" x14ac:dyDescent="0.25">
      <c r="A334" s="15"/>
      <c r="C334" s="71"/>
      <c r="D334" s="71"/>
      <c r="E334" s="71"/>
      <c r="F334" s="71"/>
      <c r="G334" s="16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</row>
    <row r="335" spans="1:29" s="14" customFormat="1" x14ac:dyDescent="0.25">
      <c r="A335" s="15"/>
      <c r="C335" s="71"/>
      <c r="D335" s="71"/>
      <c r="E335" s="71"/>
      <c r="F335" s="71"/>
      <c r="G335" s="16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</row>
    <row r="336" spans="1:29" s="14" customFormat="1" x14ac:dyDescent="0.25">
      <c r="A336" s="15"/>
      <c r="C336" s="71"/>
      <c r="D336" s="71"/>
      <c r="E336" s="71"/>
      <c r="F336" s="71"/>
      <c r="G336" s="16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</row>
    <row r="337" spans="1:29" s="14" customFormat="1" x14ac:dyDescent="0.25">
      <c r="A337" s="15"/>
      <c r="C337" s="71"/>
      <c r="D337" s="71"/>
      <c r="E337" s="71"/>
      <c r="F337" s="71"/>
      <c r="G337" s="16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</row>
    <row r="338" spans="1:29" s="14" customFormat="1" x14ac:dyDescent="0.25">
      <c r="A338" s="15"/>
      <c r="C338" s="71"/>
      <c r="D338" s="71"/>
      <c r="E338" s="71"/>
      <c r="F338" s="71"/>
      <c r="G338" s="16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</row>
    <row r="339" spans="1:29" s="14" customFormat="1" x14ac:dyDescent="0.25">
      <c r="A339" s="15"/>
      <c r="C339" s="71"/>
      <c r="D339" s="71"/>
      <c r="E339" s="71"/>
      <c r="F339" s="71"/>
      <c r="G339" s="16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</row>
    <row r="340" spans="1:29" s="14" customFormat="1" x14ac:dyDescent="0.25">
      <c r="A340" s="15"/>
      <c r="C340" s="71"/>
      <c r="D340" s="71"/>
      <c r="E340" s="71"/>
      <c r="F340" s="71"/>
      <c r="G340" s="16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</row>
    <row r="341" spans="1:29" s="14" customFormat="1" x14ac:dyDescent="0.25">
      <c r="A341" s="15"/>
      <c r="C341" s="71"/>
      <c r="D341" s="71"/>
      <c r="E341" s="71"/>
      <c r="F341" s="71"/>
      <c r="G341" s="16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</row>
    <row r="342" spans="1:29" s="14" customFormat="1" x14ac:dyDescent="0.25">
      <c r="A342" s="15"/>
      <c r="C342" s="71"/>
      <c r="D342" s="71"/>
      <c r="E342" s="71"/>
      <c r="F342" s="71"/>
      <c r="G342" s="16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</row>
    <row r="343" spans="1:29" s="14" customFormat="1" x14ac:dyDescent="0.25">
      <c r="A343" s="15"/>
      <c r="C343" s="71"/>
      <c r="D343" s="71"/>
      <c r="E343" s="71"/>
      <c r="F343" s="71"/>
      <c r="G343" s="16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</row>
    <row r="344" spans="1:29" s="14" customFormat="1" x14ac:dyDescent="0.25">
      <c r="A344" s="15"/>
      <c r="C344" s="71"/>
      <c r="D344" s="71"/>
      <c r="E344" s="71"/>
      <c r="F344" s="71"/>
      <c r="G344" s="16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</row>
    <row r="345" spans="1:29" s="14" customFormat="1" x14ac:dyDescent="0.25">
      <c r="A345" s="15"/>
      <c r="C345" s="71"/>
      <c r="D345" s="71"/>
      <c r="E345" s="71"/>
      <c r="F345" s="71"/>
      <c r="G345" s="16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</row>
    <row r="346" spans="1:29" s="14" customFormat="1" x14ac:dyDescent="0.25">
      <c r="A346" s="15"/>
      <c r="C346" s="71"/>
      <c r="D346" s="71"/>
      <c r="E346" s="71"/>
      <c r="F346" s="71"/>
      <c r="G346" s="16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</row>
    <row r="347" spans="1:29" s="14" customFormat="1" x14ac:dyDescent="0.25">
      <c r="A347" s="15"/>
      <c r="C347" s="71"/>
      <c r="D347" s="71"/>
      <c r="E347" s="71"/>
      <c r="F347" s="71"/>
      <c r="G347" s="16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</row>
    <row r="348" spans="1:29" s="14" customFormat="1" x14ac:dyDescent="0.25">
      <c r="A348" s="15"/>
      <c r="C348" s="71"/>
      <c r="D348" s="71"/>
      <c r="E348" s="71"/>
      <c r="F348" s="71"/>
      <c r="G348" s="16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</row>
    <row r="349" spans="1:29" s="14" customFormat="1" x14ac:dyDescent="0.25">
      <c r="A349" s="15"/>
      <c r="C349" s="71"/>
      <c r="D349" s="71"/>
      <c r="E349" s="71"/>
      <c r="F349" s="71"/>
      <c r="G349" s="16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</row>
    <row r="350" spans="1:29" s="14" customFormat="1" x14ac:dyDescent="0.25">
      <c r="A350" s="15"/>
      <c r="C350" s="71"/>
      <c r="D350" s="71"/>
      <c r="E350" s="71"/>
      <c r="F350" s="71"/>
      <c r="G350" s="16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</row>
    <row r="351" spans="1:29" s="14" customFormat="1" x14ac:dyDescent="0.25">
      <c r="A351" s="15"/>
      <c r="C351" s="71"/>
      <c r="D351" s="71"/>
      <c r="E351" s="71"/>
      <c r="F351" s="71"/>
      <c r="G351" s="16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</row>
    <row r="352" spans="1:29" s="14" customFormat="1" x14ac:dyDescent="0.25">
      <c r="A352" s="15"/>
      <c r="C352" s="71"/>
      <c r="D352" s="71"/>
      <c r="E352" s="71"/>
      <c r="F352" s="71"/>
      <c r="G352" s="16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</row>
    <row r="353" spans="1:29" s="14" customFormat="1" x14ac:dyDescent="0.25">
      <c r="A353" s="15"/>
      <c r="C353" s="71"/>
      <c r="D353" s="71"/>
      <c r="E353" s="71"/>
      <c r="F353" s="71"/>
      <c r="G353" s="16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</row>
    <row r="354" spans="1:29" s="14" customFormat="1" x14ac:dyDescent="0.25">
      <c r="A354" s="15"/>
      <c r="C354" s="71"/>
      <c r="D354" s="71"/>
      <c r="E354" s="71"/>
      <c r="F354" s="71"/>
      <c r="G354" s="16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</row>
    <row r="355" spans="1:29" s="14" customFormat="1" x14ac:dyDescent="0.25">
      <c r="A355" s="15"/>
      <c r="C355" s="71"/>
      <c r="D355" s="71"/>
      <c r="E355" s="71"/>
      <c r="F355" s="71"/>
      <c r="G355" s="16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</row>
    <row r="356" spans="1:29" s="14" customFormat="1" x14ac:dyDescent="0.25">
      <c r="A356" s="15"/>
      <c r="C356" s="71"/>
      <c r="D356" s="71"/>
      <c r="E356" s="71"/>
      <c r="F356" s="71"/>
      <c r="G356" s="16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</row>
    <row r="357" spans="1:29" s="14" customFormat="1" x14ac:dyDescent="0.25">
      <c r="A357" s="15"/>
      <c r="C357" s="71"/>
      <c r="D357" s="71"/>
      <c r="E357" s="71"/>
      <c r="F357" s="71"/>
      <c r="G357" s="16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</row>
    <row r="358" spans="1:29" s="14" customFormat="1" x14ac:dyDescent="0.25">
      <c r="A358" s="15"/>
      <c r="C358" s="71"/>
      <c r="D358" s="71"/>
      <c r="E358" s="71"/>
      <c r="F358" s="71"/>
      <c r="G358" s="16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</row>
    <row r="359" spans="1:29" s="14" customFormat="1" x14ac:dyDescent="0.25">
      <c r="A359" s="15"/>
      <c r="C359" s="71"/>
      <c r="D359" s="71"/>
      <c r="E359" s="71"/>
      <c r="F359" s="71"/>
      <c r="G359" s="16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</row>
    <row r="360" spans="1:29" s="14" customFormat="1" x14ac:dyDescent="0.25">
      <c r="A360" s="15"/>
      <c r="C360" s="71"/>
      <c r="D360" s="71"/>
      <c r="E360" s="71"/>
      <c r="F360" s="71"/>
      <c r="G360" s="16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</row>
    <row r="361" spans="1:29" s="14" customFormat="1" x14ac:dyDescent="0.25">
      <c r="A361" s="15"/>
      <c r="C361" s="71"/>
      <c r="D361" s="71"/>
      <c r="E361" s="71"/>
      <c r="F361" s="71"/>
      <c r="G361" s="16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</row>
    <row r="362" spans="1:29" s="14" customFormat="1" x14ac:dyDescent="0.25">
      <c r="A362" s="15"/>
      <c r="C362" s="71"/>
      <c r="D362" s="71"/>
      <c r="E362" s="71"/>
      <c r="F362" s="71"/>
      <c r="G362" s="16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</row>
    <row r="363" spans="1:29" s="14" customFormat="1" x14ac:dyDescent="0.25">
      <c r="A363" s="15"/>
      <c r="C363" s="71"/>
      <c r="D363" s="71"/>
      <c r="E363" s="71"/>
      <c r="F363" s="71"/>
      <c r="G363" s="16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</row>
    <row r="364" spans="1:29" s="14" customFormat="1" x14ac:dyDescent="0.25">
      <c r="A364" s="15"/>
      <c r="C364" s="71"/>
      <c r="D364" s="71"/>
      <c r="E364" s="71"/>
      <c r="F364" s="71"/>
      <c r="G364" s="16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</row>
    <row r="365" spans="1:29" s="14" customFormat="1" x14ac:dyDescent="0.25">
      <c r="A365" s="15"/>
      <c r="C365" s="71"/>
      <c r="D365" s="71"/>
      <c r="E365" s="71"/>
      <c r="F365" s="71"/>
      <c r="G365" s="16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</row>
    <row r="366" spans="1:29" s="14" customFormat="1" x14ac:dyDescent="0.25">
      <c r="A366" s="15"/>
      <c r="C366" s="71"/>
      <c r="D366" s="71"/>
      <c r="E366" s="71"/>
      <c r="F366" s="71"/>
      <c r="G366" s="16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</row>
    <row r="367" spans="1:29" s="14" customFormat="1" x14ac:dyDescent="0.25">
      <c r="A367" s="15"/>
      <c r="C367" s="71"/>
      <c r="D367" s="71"/>
      <c r="E367" s="71"/>
      <c r="F367" s="71"/>
      <c r="G367" s="16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</row>
    <row r="368" spans="1:29" s="14" customFormat="1" x14ac:dyDescent="0.25">
      <c r="A368" s="15"/>
      <c r="C368" s="71"/>
      <c r="D368" s="71"/>
      <c r="E368" s="71"/>
      <c r="F368" s="71"/>
      <c r="G368" s="16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</row>
    <row r="369" spans="1:29" s="14" customFormat="1" x14ac:dyDescent="0.25">
      <c r="A369" s="15"/>
      <c r="C369" s="71"/>
      <c r="D369" s="71"/>
      <c r="E369" s="71"/>
      <c r="F369" s="71"/>
      <c r="G369" s="16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</row>
    <row r="370" spans="1:29" s="14" customFormat="1" x14ac:dyDescent="0.25">
      <c r="A370" s="15"/>
      <c r="C370" s="71"/>
      <c r="D370" s="71"/>
      <c r="E370" s="71"/>
      <c r="F370" s="71"/>
      <c r="G370" s="16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</row>
    <row r="371" spans="1:29" s="14" customFormat="1" x14ac:dyDescent="0.25">
      <c r="A371" s="15"/>
      <c r="C371" s="71"/>
      <c r="D371" s="71"/>
      <c r="E371" s="71"/>
      <c r="F371" s="71"/>
      <c r="G371" s="16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</row>
    <row r="372" spans="1:29" s="14" customFormat="1" x14ac:dyDescent="0.25">
      <c r="A372" s="15"/>
      <c r="C372" s="71"/>
      <c r="D372" s="71"/>
      <c r="E372" s="71"/>
      <c r="F372" s="71"/>
      <c r="G372" s="16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</row>
    <row r="373" spans="1:29" s="14" customFormat="1" x14ac:dyDescent="0.25">
      <c r="A373" s="15"/>
      <c r="C373" s="71"/>
      <c r="D373" s="71"/>
      <c r="E373" s="71"/>
      <c r="F373" s="71"/>
      <c r="G373" s="16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</row>
    <row r="374" spans="1:29" s="14" customFormat="1" x14ac:dyDescent="0.25">
      <c r="A374" s="15"/>
      <c r="C374" s="71"/>
      <c r="D374" s="71"/>
      <c r="E374" s="71"/>
      <c r="F374" s="71"/>
      <c r="G374" s="16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</row>
    <row r="375" spans="1:29" s="14" customFormat="1" x14ac:dyDescent="0.25">
      <c r="A375" s="15"/>
      <c r="C375" s="71"/>
      <c r="D375" s="71"/>
      <c r="E375" s="71"/>
      <c r="F375" s="71"/>
      <c r="G375" s="16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</row>
    <row r="376" spans="1:29" s="14" customFormat="1" x14ac:dyDescent="0.25">
      <c r="A376" s="15"/>
      <c r="C376" s="71"/>
      <c r="D376" s="71"/>
      <c r="E376" s="71"/>
      <c r="F376" s="71"/>
      <c r="G376" s="16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</row>
    <row r="377" spans="1:29" s="14" customFormat="1" x14ac:dyDescent="0.25">
      <c r="A377" s="15"/>
      <c r="C377" s="71"/>
      <c r="D377" s="71"/>
      <c r="E377" s="71"/>
      <c r="F377" s="71"/>
      <c r="G377" s="16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</row>
    <row r="378" spans="1:29" s="14" customFormat="1" x14ac:dyDescent="0.25">
      <c r="A378" s="15"/>
      <c r="C378" s="71"/>
      <c r="D378" s="71"/>
      <c r="E378" s="71"/>
      <c r="F378" s="71"/>
      <c r="G378" s="16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</row>
    <row r="379" spans="1:29" s="14" customFormat="1" x14ac:dyDescent="0.25">
      <c r="A379" s="15"/>
      <c r="C379" s="71"/>
      <c r="D379" s="71"/>
      <c r="E379" s="71"/>
      <c r="F379" s="71"/>
      <c r="G379" s="16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</row>
    <row r="380" spans="1:29" s="14" customFormat="1" x14ac:dyDescent="0.25">
      <c r="A380" s="15"/>
      <c r="C380" s="71"/>
      <c r="D380" s="71"/>
      <c r="E380" s="71"/>
      <c r="F380" s="71"/>
      <c r="G380" s="16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</row>
    <row r="381" spans="1:29" s="14" customFormat="1" x14ac:dyDescent="0.25">
      <c r="A381" s="15"/>
      <c r="C381" s="71"/>
      <c r="D381" s="71"/>
      <c r="E381" s="71"/>
      <c r="F381" s="71"/>
      <c r="G381" s="16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</row>
    <row r="382" spans="1:29" s="14" customFormat="1" x14ac:dyDescent="0.25">
      <c r="A382" s="15"/>
      <c r="C382" s="71"/>
      <c r="D382" s="71"/>
      <c r="E382" s="71"/>
      <c r="F382" s="71"/>
      <c r="G382" s="16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</row>
    <row r="383" spans="1:29" s="14" customFormat="1" x14ac:dyDescent="0.25">
      <c r="A383" s="15"/>
      <c r="C383" s="71"/>
      <c r="D383" s="71"/>
      <c r="E383" s="71"/>
      <c r="F383" s="71"/>
      <c r="G383" s="16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</row>
    <row r="384" spans="1:29" s="14" customFormat="1" x14ac:dyDescent="0.25">
      <c r="A384" s="15"/>
      <c r="C384" s="71"/>
      <c r="D384" s="71"/>
      <c r="E384" s="71"/>
      <c r="F384" s="71"/>
      <c r="G384" s="16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</row>
    <row r="385" spans="1:29" s="14" customFormat="1" x14ac:dyDescent="0.25">
      <c r="A385" s="15"/>
      <c r="C385" s="71"/>
      <c r="D385" s="71"/>
      <c r="E385" s="71"/>
      <c r="F385" s="71"/>
      <c r="G385" s="16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</row>
    <row r="386" spans="1:29" s="14" customFormat="1" x14ac:dyDescent="0.25">
      <c r="A386" s="15"/>
      <c r="C386" s="71"/>
      <c r="D386" s="71"/>
      <c r="E386" s="71"/>
      <c r="F386" s="71"/>
      <c r="G386" s="16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</row>
    <row r="387" spans="1:29" s="14" customFormat="1" x14ac:dyDescent="0.25">
      <c r="A387" s="15"/>
      <c r="C387" s="71"/>
      <c r="D387" s="71"/>
      <c r="E387" s="71"/>
      <c r="F387" s="71"/>
      <c r="G387" s="16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</row>
    <row r="388" spans="1:29" s="14" customFormat="1" x14ac:dyDescent="0.25">
      <c r="A388" s="15"/>
      <c r="C388" s="71"/>
      <c r="D388" s="71"/>
      <c r="E388" s="71"/>
      <c r="F388" s="71"/>
      <c r="G388" s="16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</row>
    <row r="389" spans="1:29" s="14" customFormat="1" x14ac:dyDescent="0.25">
      <c r="A389" s="15"/>
      <c r="C389" s="71"/>
      <c r="D389" s="71"/>
      <c r="E389" s="71"/>
      <c r="F389" s="71"/>
      <c r="G389" s="16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</row>
    <row r="390" spans="1:29" s="14" customFormat="1" x14ac:dyDescent="0.25">
      <c r="A390" s="15"/>
      <c r="C390" s="71"/>
      <c r="D390" s="71"/>
      <c r="E390" s="71"/>
      <c r="F390" s="71"/>
      <c r="G390" s="16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</row>
    <row r="391" spans="1:29" s="14" customFormat="1" x14ac:dyDescent="0.25">
      <c r="A391" s="15"/>
      <c r="C391" s="71"/>
      <c r="D391" s="71"/>
      <c r="E391" s="71"/>
      <c r="F391" s="71"/>
      <c r="G391" s="16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</row>
    <row r="392" spans="1:29" s="14" customFormat="1" x14ac:dyDescent="0.25">
      <c r="A392" s="15"/>
      <c r="C392" s="71"/>
      <c r="D392" s="71"/>
      <c r="E392" s="71"/>
      <c r="F392" s="71"/>
      <c r="G392" s="16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</row>
    <row r="393" spans="1:29" s="14" customFormat="1" x14ac:dyDescent="0.25">
      <c r="A393" s="15"/>
      <c r="C393" s="71"/>
      <c r="D393" s="71"/>
      <c r="E393" s="71"/>
      <c r="F393" s="71"/>
      <c r="G393" s="16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</row>
    <row r="394" spans="1:29" s="14" customFormat="1" x14ac:dyDescent="0.25">
      <c r="A394" s="15"/>
      <c r="C394" s="71"/>
      <c r="D394" s="71"/>
      <c r="E394" s="71"/>
      <c r="F394" s="71"/>
      <c r="G394" s="16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</row>
    <row r="395" spans="1:29" s="14" customFormat="1" x14ac:dyDescent="0.25">
      <c r="A395" s="15"/>
      <c r="C395" s="71"/>
      <c r="D395" s="71"/>
      <c r="E395" s="71"/>
      <c r="F395" s="71"/>
      <c r="G395" s="16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</row>
    <row r="396" spans="1:29" s="14" customFormat="1" x14ac:dyDescent="0.25">
      <c r="A396" s="15"/>
      <c r="C396" s="71"/>
      <c r="D396" s="71"/>
      <c r="E396" s="71"/>
      <c r="F396" s="71"/>
      <c r="G396" s="16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</row>
    <row r="397" spans="1:29" s="14" customFormat="1" x14ac:dyDescent="0.25">
      <c r="A397" s="15"/>
      <c r="C397" s="71"/>
      <c r="D397" s="71"/>
      <c r="E397" s="71"/>
      <c r="F397" s="71"/>
      <c r="G397" s="16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</row>
    <row r="398" spans="1:29" s="14" customFormat="1" x14ac:dyDescent="0.25">
      <c r="A398" s="15"/>
      <c r="C398" s="71"/>
      <c r="D398" s="71"/>
      <c r="E398" s="71"/>
      <c r="F398" s="71"/>
      <c r="G398" s="16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</row>
    <row r="399" spans="1:29" s="14" customFormat="1" x14ac:dyDescent="0.25">
      <c r="A399" s="15"/>
      <c r="C399" s="71"/>
      <c r="D399" s="71"/>
      <c r="E399" s="71"/>
      <c r="F399" s="71"/>
      <c r="G399" s="16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</row>
    <row r="400" spans="1:29" s="14" customFormat="1" x14ac:dyDescent="0.25">
      <c r="A400" s="15"/>
      <c r="C400" s="71"/>
      <c r="D400" s="71"/>
      <c r="E400" s="71"/>
      <c r="F400" s="71"/>
      <c r="G400" s="16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</row>
    <row r="401" spans="1:29" s="14" customFormat="1" x14ac:dyDescent="0.25">
      <c r="A401" s="15"/>
      <c r="C401" s="71"/>
      <c r="D401" s="71"/>
      <c r="E401" s="71"/>
      <c r="F401" s="71"/>
      <c r="G401" s="16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</row>
    <row r="402" spans="1:29" s="14" customFormat="1" x14ac:dyDescent="0.25">
      <c r="A402" s="15"/>
      <c r="C402" s="71"/>
      <c r="D402" s="71"/>
      <c r="E402" s="71"/>
      <c r="F402" s="71"/>
      <c r="G402" s="16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</row>
    <row r="403" spans="1:29" s="14" customFormat="1" x14ac:dyDescent="0.25">
      <c r="A403" s="15"/>
      <c r="C403" s="71"/>
      <c r="D403" s="71"/>
      <c r="E403" s="71"/>
      <c r="F403" s="71"/>
      <c r="G403" s="16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</row>
    <row r="404" spans="1:29" s="14" customFormat="1" x14ac:dyDescent="0.25">
      <c r="A404" s="15"/>
      <c r="C404" s="71"/>
      <c r="D404" s="71"/>
      <c r="E404" s="71"/>
      <c r="F404" s="71"/>
      <c r="G404" s="16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</row>
    <row r="405" spans="1:29" s="14" customFormat="1" x14ac:dyDescent="0.25">
      <c r="A405" s="15"/>
      <c r="C405" s="71"/>
      <c r="D405" s="71"/>
      <c r="E405" s="71"/>
      <c r="F405" s="71"/>
      <c r="G405" s="16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</row>
    <row r="406" spans="1:29" s="14" customFormat="1" x14ac:dyDescent="0.25">
      <c r="A406" s="15"/>
      <c r="C406" s="71"/>
      <c r="D406" s="71"/>
      <c r="E406" s="71"/>
      <c r="F406" s="71"/>
      <c r="G406" s="16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</row>
    <row r="407" spans="1:29" s="14" customFormat="1" x14ac:dyDescent="0.25">
      <c r="A407" s="15"/>
      <c r="C407" s="71"/>
      <c r="D407" s="71"/>
      <c r="E407" s="71"/>
      <c r="F407" s="71"/>
      <c r="G407" s="16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</row>
    <row r="408" spans="1:29" s="14" customFormat="1" x14ac:dyDescent="0.25">
      <c r="A408" s="15"/>
      <c r="C408" s="71"/>
      <c r="D408" s="71"/>
      <c r="E408" s="71"/>
      <c r="F408" s="71"/>
      <c r="G408" s="16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</row>
    <row r="409" spans="1:29" s="14" customFormat="1" x14ac:dyDescent="0.25">
      <c r="A409" s="15"/>
      <c r="C409" s="71"/>
      <c r="D409" s="71"/>
      <c r="E409" s="71"/>
      <c r="F409" s="71"/>
      <c r="G409" s="16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</row>
    <row r="410" spans="1:29" s="14" customFormat="1" x14ac:dyDescent="0.25">
      <c r="A410" s="15"/>
      <c r="C410" s="71"/>
      <c r="D410" s="71"/>
      <c r="E410" s="71"/>
      <c r="F410" s="71"/>
      <c r="G410" s="16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</row>
    <row r="411" spans="1:29" s="14" customFormat="1" x14ac:dyDescent="0.25">
      <c r="A411" s="15"/>
      <c r="C411" s="71"/>
      <c r="D411" s="71"/>
      <c r="E411" s="71"/>
      <c r="F411" s="71"/>
      <c r="G411" s="16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</row>
    <row r="412" spans="1:29" s="14" customFormat="1" x14ac:dyDescent="0.25">
      <c r="A412" s="15"/>
      <c r="C412" s="71"/>
      <c r="D412" s="71"/>
      <c r="E412" s="71"/>
      <c r="F412" s="71"/>
      <c r="G412" s="16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</row>
    <row r="413" spans="1:29" s="14" customFormat="1" x14ac:dyDescent="0.25">
      <c r="A413" s="15"/>
      <c r="C413" s="71"/>
      <c r="D413" s="71"/>
      <c r="E413" s="71"/>
      <c r="F413" s="71"/>
      <c r="G413" s="16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</row>
    <row r="414" spans="1:29" s="14" customFormat="1" x14ac:dyDescent="0.25">
      <c r="A414" s="15"/>
      <c r="C414" s="71"/>
      <c r="D414" s="71"/>
      <c r="E414" s="71"/>
      <c r="F414" s="71"/>
      <c r="G414" s="16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</row>
    <row r="415" spans="1:29" s="14" customFormat="1" x14ac:dyDescent="0.25">
      <c r="A415" s="15"/>
      <c r="C415" s="71"/>
      <c r="D415" s="71"/>
      <c r="E415" s="71"/>
      <c r="F415" s="71"/>
      <c r="G415" s="16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</row>
    <row r="416" spans="1:29" s="14" customFormat="1" x14ac:dyDescent="0.25">
      <c r="A416" s="15"/>
      <c r="C416" s="71"/>
      <c r="D416" s="71"/>
      <c r="E416" s="71"/>
      <c r="F416" s="71"/>
      <c r="G416" s="16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</row>
    <row r="417" spans="1:29" s="14" customFormat="1" x14ac:dyDescent="0.25">
      <c r="A417" s="15"/>
      <c r="C417" s="71"/>
      <c r="D417" s="71"/>
      <c r="E417" s="71"/>
      <c r="F417" s="71"/>
      <c r="G417" s="16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</row>
    <row r="418" spans="1:29" s="14" customFormat="1" x14ac:dyDescent="0.25">
      <c r="A418" s="15"/>
      <c r="C418" s="71"/>
      <c r="D418" s="71"/>
      <c r="E418" s="71"/>
      <c r="F418" s="71"/>
      <c r="G418" s="16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</row>
    <row r="419" spans="1:29" s="14" customFormat="1" x14ac:dyDescent="0.25">
      <c r="A419" s="15"/>
      <c r="C419" s="71"/>
      <c r="D419" s="71"/>
      <c r="E419" s="71"/>
      <c r="F419" s="71"/>
      <c r="G419" s="16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</row>
    <row r="420" spans="1:29" s="14" customFormat="1" x14ac:dyDescent="0.25">
      <c r="A420" s="15"/>
      <c r="C420" s="71"/>
      <c r="D420" s="71"/>
      <c r="E420" s="71"/>
      <c r="F420" s="71"/>
      <c r="G420" s="16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</row>
    <row r="421" spans="1:29" s="14" customFormat="1" x14ac:dyDescent="0.25">
      <c r="A421" s="15"/>
      <c r="C421" s="71"/>
      <c r="D421" s="71"/>
      <c r="E421" s="71"/>
      <c r="F421" s="71"/>
      <c r="G421" s="16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</row>
    <row r="422" spans="1:29" s="14" customFormat="1" x14ac:dyDescent="0.25">
      <c r="A422" s="15"/>
      <c r="C422" s="71"/>
      <c r="D422" s="71"/>
      <c r="E422" s="71"/>
      <c r="F422" s="71"/>
      <c r="G422" s="16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</row>
    <row r="423" spans="1:29" s="14" customFormat="1" x14ac:dyDescent="0.25">
      <c r="A423" s="15"/>
      <c r="C423" s="71"/>
      <c r="D423" s="71"/>
      <c r="E423" s="71"/>
      <c r="F423" s="71"/>
      <c r="G423" s="16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</row>
    <row r="424" spans="1:29" s="14" customFormat="1" x14ac:dyDescent="0.25">
      <c r="A424" s="15"/>
      <c r="C424" s="71"/>
      <c r="D424" s="71"/>
      <c r="E424" s="71"/>
      <c r="F424" s="71"/>
      <c r="G424" s="16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</row>
    <row r="425" spans="1:29" s="14" customFormat="1" x14ac:dyDescent="0.25">
      <c r="A425" s="15"/>
      <c r="C425" s="71"/>
      <c r="D425" s="71"/>
      <c r="E425" s="71"/>
      <c r="F425" s="71"/>
      <c r="G425" s="16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</row>
    <row r="426" spans="1:29" s="14" customFormat="1" x14ac:dyDescent="0.25">
      <c r="A426" s="15"/>
      <c r="C426" s="71"/>
      <c r="D426" s="71"/>
      <c r="E426" s="71"/>
      <c r="F426" s="71"/>
      <c r="G426" s="16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</row>
    <row r="427" spans="1:29" s="14" customFormat="1" x14ac:dyDescent="0.25">
      <c r="A427" s="15"/>
      <c r="C427" s="71"/>
      <c r="D427" s="71"/>
      <c r="E427" s="71"/>
      <c r="F427" s="71"/>
      <c r="G427" s="16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</row>
    <row r="428" spans="1:29" s="14" customFormat="1" x14ac:dyDescent="0.25">
      <c r="A428" s="15"/>
      <c r="C428" s="71"/>
      <c r="D428" s="71"/>
      <c r="E428" s="71"/>
      <c r="F428" s="71"/>
      <c r="G428" s="16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</row>
    <row r="429" spans="1:29" s="14" customFormat="1" x14ac:dyDescent="0.25">
      <c r="A429" s="15"/>
      <c r="C429" s="71"/>
      <c r="D429" s="71"/>
      <c r="E429" s="71"/>
      <c r="F429" s="71"/>
      <c r="G429" s="16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</row>
    <row r="430" spans="1:29" s="14" customFormat="1" x14ac:dyDescent="0.25">
      <c r="A430" s="15"/>
      <c r="C430" s="71"/>
      <c r="D430" s="71"/>
      <c r="E430" s="71"/>
      <c r="F430" s="71"/>
      <c r="G430" s="16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</row>
    <row r="431" spans="1:29" s="14" customFormat="1" x14ac:dyDescent="0.25">
      <c r="A431" s="15"/>
      <c r="C431" s="71"/>
      <c r="D431" s="71"/>
      <c r="E431" s="71"/>
      <c r="F431" s="71"/>
      <c r="G431" s="16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</row>
    <row r="432" spans="1:29" s="14" customFormat="1" x14ac:dyDescent="0.25">
      <c r="A432" s="15"/>
      <c r="C432" s="71"/>
      <c r="D432" s="71"/>
      <c r="E432" s="71"/>
      <c r="F432" s="71"/>
      <c r="G432" s="16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</row>
    <row r="433" spans="1:29" s="14" customFormat="1" x14ac:dyDescent="0.25">
      <c r="A433" s="15"/>
      <c r="C433" s="71"/>
      <c r="D433" s="71"/>
      <c r="E433" s="71"/>
      <c r="F433" s="71"/>
      <c r="G433" s="16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</row>
    <row r="434" spans="1:29" s="14" customFormat="1" x14ac:dyDescent="0.25">
      <c r="A434" s="15"/>
      <c r="C434" s="71"/>
      <c r="D434" s="71"/>
      <c r="E434" s="71"/>
      <c r="F434" s="71"/>
      <c r="G434" s="16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</row>
    <row r="435" spans="1:29" s="14" customFormat="1" x14ac:dyDescent="0.25">
      <c r="A435" s="15"/>
      <c r="C435" s="71"/>
      <c r="D435" s="71"/>
      <c r="E435" s="71"/>
      <c r="F435" s="71"/>
      <c r="G435" s="16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</row>
    <row r="436" spans="1:29" s="14" customFormat="1" x14ac:dyDescent="0.25">
      <c r="A436" s="15"/>
      <c r="C436" s="71"/>
      <c r="D436" s="71"/>
      <c r="E436" s="71"/>
      <c r="F436" s="71"/>
      <c r="G436" s="16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</row>
    <row r="437" spans="1:29" s="14" customFormat="1" x14ac:dyDescent="0.25">
      <c r="A437" s="15"/>
      <c r="C437" s="71"/>
      <c r="D437" s="71"/>
      <c r="E437" s="71"/>
      <c r="F437" s="71"/>
      <c r="G437" s="16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</row>
    <row r="438" spans="1:29" s="14" customFormat="1" x14ac:dyDescent="0.25">
      <c r="A438" s="15"/>
      <c r="C438" s="71"/>
      <c r="D438" s="71"/>
      <c r="E438" s="71"/>
      <c r="F438" s="71"/>
      <c r="G438" s="16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</row>
    <row r="439" spans="1:29" s="14" customFormat="1" x14ac:dyDescent="0.25">
      <c r="A439" s="15"/>
      <c r="C439" s="71"/>
      <c r="D439" s="71"/>
      <c r="E439" s="71"/>
      <c r="F439" s="71"/>
      <c r="G439" s="16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</row>
    <row r="440" spans="1:29" s="14" customFormat="1" x14ac:dyDescent="0.25">
      <c r="A440" s="15"/>
      <c r="C440" s="71"/>
      <c r="D440" s="71"/>
      <c r="E440" s="71"/>
      <c r="F440" s="71"/>
      <c r="G440" s="16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</row>
    <row r="441" spans="1:29" s="14" customFormat="1" x14ac:dyDescent="0.25">
      <c r="A441" s="15"/>
      <c r="C441" s="71"/>
      <c r="D441" s="71"/>
      <c r="E441" s="71"/>
      <c r="F441" s="71"/>
      <c r="G441" s="16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</row>
    <row r="442" spans="1:29" s="14" customFormat="1" x14ac:dyDescent="0.25">
      <c r="A442" s="15"/>
      <c r="C442" s="71"/>
      <c r="D442" s="71"/>
      <c r="E442" s="71"/>
      <c r="F442" s="71"/>
      <c r="G442" s="16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</row>
    <row r="443" spans="1:29" s="14" customFormat="1" x14ac:dyDescent="0.25">
      <c r="A443" s="15"/>
      <c r="C443" s="71"/>
      <c r="D443" s="71"/>
      <c r="E443" s="71"/>
      <c r="F443" s="71"/>
      <c r="G443" s="16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</row>
    <row r="444" spans="1:29" s="14" customFormat="1" x14ac:dyDescent="0.25">
      <c r="A444" s="15"/>
      <c r="C444" s="71"/>
      <c r="D444" s="71"/>
      <c r="E444" s="71"/>
      <c r="F444" s="71"/>
      <c r="G444" s="16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</row>
    <row r="445" spans="1:29" s="14" customFormat="1" x14ac:dyDescent="0.25">
      <c r="A445" s="15"/>
      <c r="C445" s="71"/>
      <c r="D445" s="71"/>
      <c r="E445" s="71"/>
      <c r="F445" s="71"/>
      <c r="G445" s="16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</row>
    <row r="446" spans="1:29" s="14" customFormat="1" x14ac:dyDescent="0.25">
      <c r="A446" s="15"/>
      <c r="C446" s="71"/>
      <c r="D446" s="71"/>
      <c r="E446" s="71"/>
      <c r="F446" s="71"/>
      <c r="G446" s="16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</row>
    <row r="447" spans="1:29" s="14" customFormat="1" x14ac:dyDescent="0.25">
      <c r="A447" s="15"/>
      <c r="C447" s="71"/>
      <c r="D447" s="71"/>
      <c r="E447" s="71"/>
      <c r="F447" s="71"/>
      <c r="G447" s="16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</row>
    <row r="448" spans="1:29" s="14" customFormat="1" x14ac:dyDescent="0.25">
      <c r="A448" s="15"/>
      <c r="C448" s="71"/>
      <c r="D448" s="71"/>
      <c r="E448" s="71"/>
      <c r="F448" s="71"/>
      <c r="G448" s="16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</row>
    <row r="449" spans="1:29" s="14" customFormat="1" x14ac:dyDescent="0.25">
      <c r="A449" s="15"/>
      <c r="C449" s="71"/>
      <c r="D449" s="71"/>
      <c r="E449" s="71"/>
      <c r="F449" s="71"/>
      <c r="G449" s="16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</row>
    <row r="450" spans="1:29" s="14" customFormat="1" x14ac:dyDescent="0.25">
      <c r="A450" s="15"/>
      <c r="C450" s="71"/>
      <c r="D450" s="71"/>
      <c r="E450" s="71"/>
      <c r="F450" s="71"/>
      <c r="G450" s="16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</row>
    <row r="451" spans="1:29" s="14" customFormat="1" x14ac:dyDescent="0.25">
      <c r="A451" s="15"/>
      <c r="C451" s="71"/>
      <c r="D451" s="71"/>
      <c r="E451" s="71"/>
      <c r="F451" s="71"/>
      <c r="G451" s="16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</row>
    <row r="452" spans="1:29" s="14" customFormat="1" x14ac:dyDescent="0.25">
      <c r="A452" s="15"/>
      <c r="C452" s="71"/>
      <c r="D452" s="71"/>
      <c r="E452" s="71"/>
      <c r="F452" s="71"/>
      <c r="G452" s="16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</row>
    <row r="453" spans="1:29" s="14" customFormat="1" x14ac:dyDescent="0.25">
      <c r="A453" s="15"/>
      <c r="C453" s="71"/>
      <c r="D453" s="71"/>
      <c r="E453" s="71"/>
      <c r="F453" s="71"/>
      <c r="G453" s="16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</row>
    <row r="454" spans="1:29" s="14" customFormat="1" x14ac:dyDescent="0.25">
      <c r="A454" s="15"/>
      <c r="C454" s="71"/>
      <c r="D454" s="71"/>
      <c r="E454" s="71"/>
      <c r="F454" s="71"/>
      <c r="G454" s="16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</row>
    <row r="455" spans="1:29" s="14" customFormat="1" x14ac:dyDescent="0.25">
      <c r="A455" s="15"/>
      <c r="C455" s="71"/>
      <c r="D455" s="71"/>
      <c r="E455" s="71"/>
      <c r="F455" s="71"/>
      <c r="G455" s="16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</row>
    <row r="456" spans="1:29" s="14" customFormat="1" x14ac:dyDescent="0.25">
      <c r="A456" s="15"/>
      <c r="C456" s="71"/>
      <c r="D456" s="71"/>
      <c r="E456" s="71"/>
      <c r="F456" s="71"/>
      <c r="G456" s="16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</row>
    <row r="457" spans="1:29" s="14" customFormat="1" x14ac:dyDescent="0.25">
      <c r="A457" s="15"/>
      <c r="C457" s="71"/>
      <c r="D457" s="71"/>
      <c r="E457" s="71"/>
      <c r="F457" s="71"/>
      <c r="G457" s="16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</row>
    <row r="458" spans="1:29" s="14" customFormat="1" x14ac:dyDescent="0.25">
      <c r="A458" s="15"/>
      <c r="C458" s="71"/>
      <c r="D458" s="71"/>
      <c r="E458" s="71"/>
      <c r="F458" s="71"/>
      <c r="G458" s="16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</row>
    <row r="459" spans="1:29" s="14" customFormat="1" x14ac:dyDescent="0.25">
      <c r="A459" s="15"/>
      <c r="C459" s="71"/>
      <c r="D459" s="71"/>
      <c r="E459" s="71"/>
      <c r="F459" s="71"/>
      <c r="G459" s="16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</row>
    <row r="460" spans="1:29" s="14" customFormat="1" x14ac:dyDescent="0.25">
      <c r="A460" s="15"/>
      <c r="C460" s="71"/>
      <c r="D460" s="71"/>
      <c r="E460" s="71"/>
      <c r="F460" s="71"/>
      <c r="G460" s="16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</row>
    <row r="461" spans="1:29" s="14" customFormat="1" x14ac:dyDescent="0.25">
      <c r="A461" s="15"/>
      <c r="C461" s="71"/>
      <c r="D461" s="71"/>
      <c r="E461" s="71"/>
      <c r="F461" s="71"/>
      <c r="G461" s="16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</row>
    <row r="462" spans="1:29" s="14" customFormat="1" x14ac:dyDescent="0.25">
      <c r="A462" s="15"/>
      <c r="C462" s="71"/>
      <c r="D462" s="71"/>
      <c r="E462" s="71"/>
      <c r="F462" s="71"/>
      <c r="G462" s="16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</row>
    <row r="463" spans="1:29" s="14" customFormat="1" x14ac:dyDescent="0.25">
      <c r="A463" s="15"/>
      <c r="C463" s="71"/>
      <c r="D463" s="71"/>
      <c r="E463" s="71"/>
      <c r="F463" s="71"/>
      <c r="G463" s="16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</row>
    <row r="464" spans="1:29" s="14" customFormat="1" x14ac:dyDescent="0.25">
      <c r="A464" s="15"/>
      <c r="C464" s="71"/>
      <c r="D464" s="71"/>
      <c r="E464" s="71"/>
      <c r="F464" s="71"/>
      <c r="G464" s="16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</row>
    <row r="465" spans="1:29" s="14" customFormat="1" x14ac:dyDescent="0.25">
      <c r="A465" s="15"/>
      <c r="C465" s="71"/>
      <c r="D465" s="71"/>
      <c r="E465" s="71"/>
      <c r="F465" s="71"/>
      <c r="G465" s="16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</row>
    <row r="466" spans="1:29" s="14" customFormat="1" x14ac:dyDescent="0.25">
      <c r="A466" s="15"/>
      <c r="C466" s="71"/>
      <c r="D466" s="71"/>
      <c r="E466" s="71"/>
      <c r="F466" s="71"/>
      <c r="G466" s="16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</row>
    <row r="467" spans="1:29" s="14" customFormat="1" x14ac:dyDescent="0.25">
      <c r="A467" s="15"/>
      <c r="C467" s="71"/>
      <c r="D467" s="71"/>
      <c r="E467" s="71"/>
      <c r="F467" s="71"/>
      <c r="G467" s="16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</row>
    <row r="468" spans="1:29" s="14" customFormat="1" x14ac:dyDescent="0.25">
      <c r="A468" s="15"/>
      <c r="C468" s="71"/>
      <c r="D468" s="71"/>
      <c r="E468" s="71"/>
      <c r="F468" s="71"/>
      <c r="G468" s="16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</row>
    <row r="469" spans="1:29" s="14" customFormat="1" x14ac:dyDescent="0.25">
      <c r="A469" s="15"/>
      <c r="C469" s="71"/>
      <c r="D469" s="71"/>
      <c r="E469" s="71"/>
      <c r="F469" s="71"/>
      <c r="G469" s="16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</row>
    <row r="470" spans="1:29" s="14" customFormat="1" x14ac:dyDescent="0.25">
      <c r="A470" s="15"/>
      <c r="C470" s="71"/>
      <c r="D470" s="71"/>
      <c r="E470" s="71"/>
      <c r="F470" s="71"/>
      <c r="G470" s="16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</row>
    <row r="471" spans="1:29" s="14" customFormat="1" x14ac:dyDescent="0.25">
      <c r="A471" s="15"/>
      <c r="C471" s="71"/>
      <c r="D471" s="71"/>
      <c r="E471" s="71"/>
      <c r="F471" s="71"/>
      <c r="G471" s="16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</row>
    <row r="472" spans="1:29" s="14" customFormat="1" x14ac:dyDescent="0.25">
      <c r="A472" s="15"/>
      <c r="C472" s="71"/>
      <c r="D472" s="71"/>
      <c r="E472" s="71"/>
      <c r="F472" s="71"/>
      <c r="G472" s="16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</row>
    <row r="473" spans="1:29" s="14" customFormat="1" x14ac:dyDescent="0.25">
      <c r="A473" s="15"/>
      <c r="C473" s="71"/>
      <c r="D473" s="71"/>
      <c r="E473" s="71"/>
      <c r="F473" s="71"/>
      <c r="G473" s="16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</row>
    <row r="474" spans="1:29" s="14" customFormat="1" x14ac:dyDescent="0.25">
      <c r="A474" s="15"/>
      <c r="C474" s="71"/>
      <c r="D474" s="71"/>
      <c r="E474" s="71"/>
      <c r="F474" s="71"/>
      <c r="G474" s="16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</row>
    <row r="475" spans="1:29" s="14" customFormat="1" x14ac:dyDescent="0.25">
      <c r="A475" s="15"/>
      <c r="C475" s="71"/>
      <c r="D475" s="71"/>
      <c r="E475" s="71"/>
      <c r="F475" s="71"/>
      <c r="G475" s="16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</row>
    <row r="476" spans="1:29" s="14" customFormat="1" x14ac:dyDescent="0.25">
      <c r="A476" s="15"/>
      <c r="C476" s="71"/>
      <c r="D476" s="71"/>
      <c r="E476" s="71"/>
      <c r="F476" s="71"/>
      <c r="G476" s="16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</row>
    <row r="477" spans="1:29" s="14" customFormat="1" x14ac:dyDescent="0.25">
      <c r="A477" s="15"/>
      <c r="C477" s="71"/>
      <c r="D477" s="71"/>
      <c r="E477" s="71"/>
      <c r="F477" s="71"/>
      <c r="G477" s="16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</row>
    <row r="478" spans="1:29" s="14" customFormat="1" x14ac:dyDescent="0.25">
      <c r="A478" s="15"/>
      <c r="C478" s="71"/>
      <c r="D478" s="71"/>
      <c r="E478" s="71"/>
      <c r="F478" s="71"/>
      <c r="G478" s="16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</row>
    <row r="479" spans="1:29" s="14" customFormat="1" x14ac:dyDescent="0.25">
      <c r="A479" s="15"/>
      <c r="C479" s="71"/>
      <c r="D479" s="71"/>
      <c r="E479" s="71"/>
      <c r="F479" s="71"/>
      <c r="G479" s="16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</row>
    <row r="480" spans="1:29" s="14" customFormat="1" x14ac:dyDescent="0.25">
      <c r="A480" s="15"/>
      <c r="C480" s="71"/>
      <c r="D480" s="71"/>
      <c r="E480" s="71"/>
      <c r="F480" s="71"/>
      <c r="G480" s="16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</row>
    <row r="481" spans="1:29" s="14" customFormat="1" x14ac:dyDescent="0.25">
      <c r="A481" s="15"/>
      <c r="C481" s="71"/>
      <c r="D481" s="71"/>
      <c r="E481" s="71"/>
      <c r="F481" s="71"/>
      <c r="G481" s="16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</row>
    <row r="482" spans="1:29" s="14" customFormat="1" x14ac:dyDescent="0.25">
      <c r="A482" s="15"/>
      <c r="C482" s="71"/>
      <c r="D482" s="71"/>
      <c r="E482" s="71"/>
      <c r="F482" s="71"/>
      <c r="G482" s="16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</row>
    <row r="483" spans="1:29" s="14" customFormat="1" x14ac:dyDescent="0.25">
      <c r="A483" s="15"/>
      <c r="C483" s="71"/>
      <c r="D483" s="71"/>
      <c r="E483" s="71"/>
      <c r="F483" s="71"/>
      <c r="G483" s="16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</row>
    <row r="484" spans="1:29" s="14" customFormat="1" x14ac:dyDescent="0.25">
      <c r="A484" s="15"/>
      <c r="C484" s="71"/>
      <c r="D484" s="71"/>
      <c r="E484" s="71"/>
      <c r="F484" s="71"/>
      <c r="G484" s="16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</row>
    <row r="485" spans="1:29" s="14" customFormat="1" x14ac:dyDescent="0.25">
      <c r="A485" s="15"/>
      <c r="C485" s="71"/>
      <c r="D485" s="71"/>
      <c r="E485" s="71"/>
      <c r="F485" s="71"/>
      <c r="G485" s="16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</row>
    <row r="486" spans="1:29" s="14" customFormat="1" x14ac:dyDescent="0.25">
      <c r="A486" s="15"/>
      <c r="C486" s="71"/>
      <c r="D486" s="71"/>
      <c r="E486" s="71"/>
      <c r="F486" s="71"/>
      <c r="G486" s="16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</row>
    <row r="487" spans="1:29" s="14" customFormat="1" x14ac:dyDescent="0.25">
      <c r="A487" s="15"/>
      <c r="C487" s="71"/>
      <c r="D487" s="71"/>
      <c r="E487" s="71"/>
      <c r="F487" s="71"/>
      <c r="G487" s="16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</row>
    <row r="488" spans="1:29" s="14" customFormat="1" x14ac:dyDescent="0.25">
      <c r="A488" s="15"/>
      <c r="C488" s="71"/>
      <c r="D488" s="71"/>
      <c r="E488" s="71"/>
      <c r="F488" s="71"/>
      <c r="G488" s="16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</row>
    <row r="489" spans="1:29" s="14" customFormat="1" x14ac:dyDescent="0.25">
      <c r="A489" s="15"/>
      <c r="C489" s="71"/>
      <c r="D489" s="71"/>
      <c r="E489" s="71"/>
      <c r="F489" s="71"/>
      <c r="G489" s="16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</row>
    <row r="490" spans="1:29" s="14" customFormat="1" x14ac:dyDescent="0.25">
      <c r="A490" s="15"/>
      <c r="C490" s="71"/>
      <c r="D490" s="71"/>
      <c r="E490" s="71"/>
      <c r="F490" s="71"/>
      <c r="G490" s="16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</row>
    <row r="491" spans="1:29" s="14" customFormat="1" x14ac:dyDescent="0.25">
      <c r="A491" s="15"/>
      <c r="C491" s="71"/>
      <c r="D491" s="71"/>
      <c r="E491" s="71"/>
      <c r="F491" s="71"/>
      <c r="G491" s="16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</row>
    <row r="492" spans="1:29" s="14" customFormat="1" x14ac:dyDescent="0.25">
      <c r="A492" s="15"/>
      <c r="C492" s="71"/>
      <c r="D492" s="71"/>
      <c r="E492" s="71"/>
      <c r="F492" s="71"/>
      <c r="G492" s="16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</row>
    <row r="493" spans="1:29" s="14" customFormat="1" x14ac:dyDescent="0.25">
      <c r="A493" s="15"/>
      <c r="C493" s="71"/>
      <c r="D493" s="71"/>
      <c r="E493" s="71"/>
      <c r="F493" s="71"/>
      <c r="G493" s="16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</row>
    <row r="494" spans="1:29" s="14" customFormat="1" x14ac:dyDescent="0.25">
      <c r="A494" s="15"/>
      <c r="C494" s="71"/>
      <c r="D494" s="71"/>
      <c r="E494" s="71"/>
      <c r="F494" s="71"/>
      <c r="G494" s="16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</row>
    <row r="495" spans="1:29" s="14" customFormat="1" x14ac:dyDescent="0.25">
      <c r="A495" s="15"/>
      <c r="C495" s="71"/>
      <c r="D495" s="71"/>
      <c r="E495" s="71"/>
      <c r="F495" s="71"/>
      <c r="G495" s="16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</row>
    <row r="496" spans="1:29" s="14" customFormat="1" x14ac:dyDescent="0.25">
      <c r="A496" s="15"/>
      <c r="C496" s="71"/>
      <c r="D496" s="71"/>
      <c r="E496" s="71"/>
      <c r="F496" s="71"/>
      <c r="G496" s="16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</row>
    <row r="497" spans="1:29" s="14" customFormat="1" x14ac:dyDescent="0.25">
      <c r="A497" s="15"/>
      <c r="C497" s="71"/>
      <c r="D497" s="71"/>
      <c r="E497" s="71"/>
      <c r="F497" s="71"/>
      <c r="G497" s="16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</row>
    <row r="498" spans="1:29" s="14" customFormat="1" x14ac:dyDescent="0.25">
      <c r="A498" s="15"/>
      <c r="C498" s="71"/>
      <c r="D498" s="71"/>
      <c r="E498" s="71"/>
      <c r="F498" s="71"/>
      <c r="G498" s="16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</row>
    <row r="499" spans="1:29" s="14" customFormat="1" x14ac:dyDescent="0.25">
      <c r="A499" s="15"/>
      <c r="C499" s="71"/>
      <c r="D499" s="71"/>
      <c r="E499" s="71"/>
      <c r="F499" s="71"/>
      <c r="G499" s="16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</row>
    <row r="500" spans="1:29" s="14" customFormat="1" x14ac:dyDescent="0.25">
      <c r="A500" s="15"/>
      <c r="C500" s="71"/>
      <c r="D500" s="71"/>
      <c r="E500" s="71"/>
      <c r="F500" s="71"/>
      <c r="G500" s="16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</row>
    <row r="501" spans="1:29" s="14" customFormat="1" x14ac:dyDescent="0.25">
      <c r="A501" s="15"/>
      <c r="C501" s="71"/>
      <c r="D501" s="71"/>
      <c r="E501" s="71"/>
      <c r="F501" s="71"/>
      <c r="G501" s="16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</row>
    <row r="502" spans="1:29" s="14" customFormat="1" x14ac:dyDescent="0.25">
      <c r="A502" s="15"/>
      <c r="C502" s="71"/>
      <c r="D502" s="71"/>
      <c r="E502" s="71"/>
      <c r="F502" s="71"/>
      <c r="G502" s="16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</row>
    <row r="503" spans="1:29" s="14" customFormat="1" x14ac:dyDescent="0.25">
      <c r="A503" s="15"/>
      <c r="C503" s="71"/>
      <c r="D503" s="71"/>
      <c r="E503" s="71"/>
      <c r="F503" s="71"/>
      <c r="G503" s="16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</row>
    <row r="504" spans="1:29" s="14" customFormat="1" x14ac:dyDescent="0.25">
      <c r="A504" s="15"/>
      <c r="C504" s="71"/>
      <c r="D504" s="71"/>
      <c r="E504" s="71"/>
      <c r="F504" s="71"/>
      <c r="G504" s="16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</row>
    <row r="505" spans="1:29" s="14" customFormat="1" x14ac:dyDescent="0.25">
      <c r="A505" s="15"/>
      <c r="C505" s="71"/>
      <c r="D505" s="71"/>
      <c r="E505" s="71"/>
      <c r="F505" s="71"/>
      <c r="G505" s="16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</row>
    <row r="506" spans="1:29" s="14" customFormat="1" x14ac:dyDescent="0.25">
      <c r="A506" s="15"/>
      <c r="C506" s="71"/>
      <c r="D506" s="71"/>
      <c r="E506" s="71"/>
      <c r="F506" s="71"/>
      <c r="G506" s="16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</row>
    <row r="507" spans="1:29" s="14" customFormat="1" x14ac:dyDescent="0.25">
      <c r="A507" s="15"/>
      <c r="C507" s="71"/>
      <c r="D507" s="71"/>
      <c r="E507" s="71"/>
      <c r="F507" s="71"/>
      <c r="G507" s="16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</row>
    <row r="508" spans="1:29" s="14" customFormat="1" x14ac:dyDescent="0.25">
      <c r="A508" s="15"/>
      <c r="C508" s="71"/>
      <c r="D508" s="71"/>
      <c r="E508" s="71"/>
      <c r="F508" s="71"/>
      <c r="G508" s="16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</row>
    <row r="509" spans="1:29" s="14" customFormat="1" x14ac:dyDescent="0.25">
      <c r="A509" s="15"/>
      <c r="C509" s="71"/>
      <c r="D509" s="71"/>
      <c r="E509" s="71"/>
      <c r="F509" s="71"/>
      <c r="G509" s="16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</row>
    <row r="510" spans="1:29" s="14" customFormat="1" x14ac:dyDescent="0.25">
      <c r="A510" s="15"/>
      <c r="C510" s="71"/>
      <c r="D510" s="71"/>
      <c r="E510" s="71"/>
      <c r="F510" s="71"/>
      <c r="G510" s="16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</row>
    <row r="511" spans="1:29" s="14" customFormat="1" x14ac:dyDescent="0.25">
      <c r="A511" s="15"/>
      <c r="C511" s="71"/>
      <c r="D511" s="71"/>
      <c r="E511" s="71"/>
      <c r="F511" s="71"/>
      <c r="G511" s="16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</row>
    <row r="512" spans="1:29" s="14" customFormat="1" x14ac:dyDescent="0.25">
      <c r="A512" s="15"/>
      <c r="C512" s="71"/>
      <c r="D512" s="71"/>
      <c r="E512" s="71"/>
      <c r="F512" s="71"/>
      <c r="G512" s="16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</row>
    <row r="513" spans="1:29" s="14" customFormat="1" x14ac:dyDescent="0.25">
      <c r="A513" s="15"/>
      <c r="C513" s="71"/>
      <c r="D513" s="71"/>
      <c r="E513" s="71"/>
      <c r="F513" s="71"/>
      <c r="G513" s="16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</row>
    <row r="514" spans="1:29" s="14" customFormat="1" x14ac:dyDescent="0.25">
      <c r="A514" s="15"/>
      <c r="C514" s="71"/>
      <c r="D514" s="71"/>
      <c r="E514" s="71"/>
      <c r="F514" s="71"/>
      <c r="G514" s="16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</row>
    <row r="515" spans="1:29" s="14" customFormat="1" x14ac:dyDescent="0.25">
      <c r="A515" s="15"/>
      <c r="C515" s="71"/>
      <c r="D515" s="71"/>
      <c r="E515" s="71"/>
      <c r="F515" s="71"/>
      <c r="G515" s="16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</row>
    <row r="516" spans="1:29" s="14" customFormat="1" x14ac:dyDescent="0.25">
      <c r="A516" s="15"/>
      <c r="C516" s="71"/>
      <c r="D516" s="71"/>
      <c r="E516" s="71"/>
      <c r="F516" s="71"/>
      <c r="G516" s="16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</row>
    <row r="517" spans="1:29" s="14" customFormat="1" x14ac:dyDescent="0.25">
      <c r="A517" s="15"/>
      <c r="C517" s="71"/>
      <c r="D517" s="71"/>
      <c r="E517" s="71"/>
      <c r="F517" s="71"/>
      <c r="G517" s="16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</row>
    <row r="518" spans="1:29" s="14" customFormat="1" x14ac:dyDescent="0.25">
      <c r="A518" s="15"/>
      <c r="C518" s="71"/>
      <c r="D518" s="71"/>
      <c r="E518" s="71"/>
      <c r="F518" s="71"/>
      <c r="G518" s="16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</row>
    <row r="519" spans="1:29" s="14" customFormat="1" x14ac:dyDescent="0.25">
      <c r="A519" s="15"/>
      <c r="C519" s="71"/>
      <c r="D519" s="71"/>
      <c r="E519" s="71"/>
      <c r="F519" s="71"/>
      <c r="G519" s="16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</row>
    <row r="520" spans="1:29" s="14" customFormat="1" x14ac:dyDescent="0.25">
      <c r="A520" s="15"/>
      <c r="C520" s="71"/>
      <c r="D520" s="71"/>
      <c r="E520" s="71"/>
      <c r="F520" s="71"/>
      <c r="G520" s="16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</row>
    <row r="521" spans="1:29" s="14" customFormat="1" x14ac:dyDescent="0.25">
      <c r="A521" s="15"/>
      <c r="C521" s="71"/>
      <c r="D521" s="71"/>
      <c r="E521" s="71"/>
      <c r="F521" s="71"/>
      <c r="G521" s="16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</row>
    <row r="522" spans="1:29" s="14" customFormat="1" x14ac:dyDescent="0.25">
      <c r="A522" s="15"/>
      <c r="C522" s="71"/>
      <c r="D522" s="71"/>
      <c r="E522" s="71"/>
      <c r="F522" s="71"/>
      <c r="G522" s="16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</row>
    <row r="523" spans="1:29" s="14" customFormat="1" x14ac:dyDescent="0.25">
      <c r="A523" s="15"/>
      <c r="C523" s="71"/>
      <c r="D523" s="71"/>
      <c r="E523" s="71"/>
      <c r="F523" s="71"/>
      <c r="G523" s="16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</row>
    <row r="524" spans="1:29" s="14" customFormat="1" x14ac:dyDescent="0.25">
      <c r="A524" s="15"/>
      <c r="C524" s="71"/>
      <c r="D524" s="71"/>
      <c r="E524" s="71"/>
      <c r="F524" s="71"/>
      <c r="G524" s="16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</row>
    <row r="525" spans="1:29" s="14" customFormat="1" x14ac:dyDescent="0.25">
      <c r="A525" s="15"/>
      <c r="C525" s="71"/>
      <c r="D525" s="71"/>
      <c r="E525" s="71"/>
      <c r="F525" s="71"/>
      <c r="G525" s="16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</row>
    <row r="526" spans="1:29" s="14" customFormat="1" x14ac:dyDescent="0.25">
      <c r="A526" s="15"/>
      <c r="C526" s="71"/>
      <c r="D526" s="71"/>
      <c r="E526" s="71"/>
      <c r="F526" s="71"/>
      <c r="G526" s="16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</row>
    <row r="527" spans="1:29" s="14" customFormat="1" x14ac:dyDescent="0.25">
      <c r="A527" s="15"/>
      <c r="C527" s="71"/>
      <c r="D527" s="71"/>
      <c r="E527" s="71"/>
      <c r="F527" s="71"/>
      <c r="G527" s="16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</row>
    <row r="528" spans="1:29" s="14" customFormat="1" x14ac:dyDescent="0.25">
      <c r="A528" s="15"/>
      <c r="C528" s="71"/>
      <c r="D528" s="71"/>
      <c r="E528" s="71"/>
      <c r="F528" s="71"/>
      <c r="G528" s="16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</row>
    <row r="529" spans="1:29" s="14" customFormat="1" x14ac:dyDescent="0.25">
      <c r="A529" s="15"/>
      <c r="C529" s="71"/>
      <c r="D529" s="71"/>
      <c r="E529" s="71"/>
      <c r="F529" s="71"/>
      <c r="G529" s="16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</row>
    <row r="530" spans="1:29" s="14" customFormat="1" x14ac:dyDescent="0.25">
      <c r="A530" s="15"/>
      <c r="C530" s="71"/>
      <c r="D530" s="71"/>
      <c r="E530" s="71"/>
      <c r="F530" s="71"/>
      <c r="G530" s="16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</row>
    <row r="531" spans="1:29" s="14" customFormat="1" x14ac:dyDescent="0.25">
      <c r="A531" s="15"/>
      <c r="C531" s="71"/>
      <c r="D531" s="71"/>
      <c r="E531" s="71"/>
      <c r="F531" s="71"/>
      <c r="G531" s="16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</row>
    <row r="532" spans="1:29" s="14" customFormat="1" x14ac:dyDescent="0.25">
      <c r="A532" s="15"/>
      <c r="C532" s="71"/>
      <c r="D532" s="71"/>
      <c r="E532" s="71"/>
      <c r="F532" s="71"/>
      <c r="G532" s="16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</row>
    <row r="533" spans="1:29" s="14" customFormat="1" x14ac:dyDescent="0.25">
      <c r="A533" s="15"/>
      <c r="C533" s="71"/>
      <c r="D533" s="71"/>
      <c r="E533" s="71"/>
      <c r="F533" s="71"/>
      <c r="G533" s="16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</row>
    <row r="534" spans="1:29" s="14" customFormat="1" x14ac:dyDescent="0.25">
      <c r="A534" s="15"/>
      <c r="C534" s="71"/>
      <c r="D534" s="71"/>
      <c r="E534" s="71"/>
      <c r="F534" s="71"/>
      <c r="G534" s="16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</row>
    <row r="535" spans="1:29" s="14" customFormat="1" x14ac:dyDescent="0.25">
      <c r="A535" s="15"/>
      <c r="C535" s="71"/>
      <c r="D535" s="71"/>
      <c r="E535" s="71"/>
      <c r="F535" s="71"/>
      <c r="G535" s="16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</row>
    <row r="536" spans="1:29" s="14" customFormat="1" x14ac:dyDescent="0.25">
      <c r="A536" s="15"/>
      <c r="C536" s="71"/>
      <c r="D536" s="71"/>
      <c r="E536" s="71"/>
      <c r="F536" s="71"/>
      <c r="G536" s="16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</row>
    <row r="537" spans="1:29" s="14" customFormat="1" x14ac:dyDescent="0.25">
      <c r="A537" s="15"/>
      <c r="C537" s="71"/>
      <c r="D537" s="71"/>
      <c r="E537" s="71"/>
      <c r="F537" s="71"/>
      <c r="G537" s="16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</row>
    <row r="538" spans="1:29" s="14" customFormat="1" x14ac:dyDescent="0.25">
      <c r="A538" s="15"/>
      <c r="C538" s="71"/>
      <c r="D538" s="71"/>
      <c r="E538" s="71"/>
      <c r="F538" s="71"/>
      <c r="G538" s="16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</row>
    <row r="539" spans="1:29" s="14" customFormat="1" x14ac:dyDescent="0.25">
      <c r="A539" s="15"/>
      <c r="C539" s="71"/>
      <c r="D539" s="71"/>
      <c r="E539" s="71"/>
      <c r="F539" s="71"/>
      <c r="G539" s="16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</row>
    <row r="540" spans="1:29" s="14" customFormat="1" x14ac:dyDescent="0.25">
      <c r="A540" s="15"/>
      <c r="C540" s="71"/>
      <c r="D540" s="71"/>
      <c r="E540" s="71"/>
      <c r="F540" s="71"/>
      <c r="G540" s="16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</row>
    <row r="541" spans="1:29" s="14" customFormat="1" x14ac:dyDescent="0.25">
      <c r="A541" s="15"/>
      <c r="C541" s="71"/>
      <c r="D541" s="71"/>
      <c r="E541" s="71"/>
      <c r="F541" s="71"/>
      <c r="G541" s="16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</row>
    <row r="542" spans="1:29" s="14" customFormat="1" x14ac:dyDescent="0.25">
      <c r="A542" s="15"/>
      <c r="C542" s="71"/>
      <c r="D542" s="71"/>
      <c r="E542" s="71"/>
      <c r="F542" s="71"/>
      <c r="G542" s="16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</row>
    <row r="543" spans="1:29" s="14" customFormat="1" x14ac:dyDescent="0.25">
      <c r="A543" s="15"/>
      <c r="C543" s="71"/>
      <c r="D543" s="71"/>
      <c r="E543" s="71"/>
      <c r="F543" s="71"/>
      <c r="G543" s="16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</row>
    <row r="544" spans="1:29" s="14" customFormat="1" x14ac:dyDescent="0.25">
      <c r="A544" s="15"/>
      <c r="C544" s="71"/>
      <c r="D544" s="71"/>
      <c r="E544" s="71"/>
      <c r="F544" s="71"/>
      <c r="G544" s="16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</row>
    <row r="545" spans="1:29" s="14" customFormat="1" x14ac:dyDescent="0.25">
      <c r="A545" s="15"/>
      <c r="C545" s="71"/>
      <c r="D545" s="71"/>
      <c r="E545" s="71"/>
      <c r="F545" s="71"/>
      <c r="G545" s="16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</row>
    <row r="546" spans="1:29" s="14" customFormat="1" x14ac:dyDescent="0.25">
      <c r="A546" s="15"/>
      <c r="C546" s="71"/>
      <c r="D546" s="71"/>
      <c r="E546" s="71"/>
      <c r="F546" s="71"/>
      <c r="G546" s="16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</row>
    <row r="547" spans="1:29" s="14" customFormat="1" x14ac:dyDescent="0.25">
      <c r="A547" s="15"/>
      <c r="C547" s="71"/>
      <c r="D547" s="71"/>
      <c r="E547" s="71"/>
      <c r="F547" s="71"/>
      <c r="G547" s="16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</row>
    <row r="548" spans="1:29" s="14" customFormat="1" x14ac:dyDescent="0.25">
      <c r="A548" s="15"/>
      <c r="C548" s="71"/>
      <c r="D548" s="71"/>
      <c r="E548" s="71"/>
      <c r="F548" s="71"/>
      <c r="G548" s="16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</row>
    <row r="549" spans="1:29" s="14" customFormat="1" x14ac:dyDescent="0.25">
      <c r="A549" s="15"/>
      <c r="C549" s="71"/>
      <c r="D549" s="71"/>
      <c r="E549" s="71"/>
      <c r="F549" s="71"/>
      <c r="G549" s="16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</row>
    <row r="550" spans="1:29" s="14" customFormat="1" x14ac:dyDescent="0.25">
      <c r="A550" s="15"/>
      <c r="C550" s="71"/>
      <c r="D550" s="71"/>
      <c r="E550" s="71"/>
      <c r="F550" s="71"/>
      <c r="G550" s="16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</row>
    <row r="551" spans="1:29" s="14" customFormat="1" x14ac:dyDescent="0.25">
      <c r="A551" s="15"/>
      <c r="C551" s="71"/>
      <c r="D551" s="71"/>
      <c r="E551" s="71"/>
      <c r="F551" s="71"/>
      <c r="G551" s="16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</row>
    <row r="552" spans="1:29" s="14" customFormat="1" x14ac:dyDescent="0.25">
      <c r="A552" s="15"/>
      <c r="C552" s="71"/>
      <c r="D552" s="71"/>
      <c r="E552" s="71"/>
      <c r="F552" s="71"/>
      <c r="G552" s="16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</row>
    <row r="553" spans="1:29" s="14" customFormat="1" x14ac:dyDescent="0.25">
      <c r="A553" s="15"/>
      <c r="C553" s="71"/>
      <c r="D553" s="71"/>
      <c r="E553" s="71"/>
      <c r="F553" s="71"/>
      <c r="G553" s="16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</row>
    <row r="554" spans="1:29" s="14" customFormat="1" x14ac:dyDescent="0.25">
      <c r="A554" s="15"/>
      <c r="C554" s="71"/>
      <c r="D554" s="71"/>
      <c r="E554" s="71"/>
      <c r="F554" s="71"/>
      <c r="G554" s="16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</row>
    <row r="555" spans="1:29" s="14" customFormat="1" x14ac:dyDescent="0.25">
      <c r="A555" s="15"/>
      <c r="C555" s="71"/>
      <c r="D555" s="71"/>
      <c r="E555" s="71"/>
      <c r="F555" s="71"/>
      <c r="G555" s="16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</row>
    <row r="556" spans="1:29" s="14" customFormat="1" x14ac:dyDescent="0.25">
      <c r="A556" s="15"/>
      <c r="C556" s="71"/>
      <c r="D556" s="71"/>
      <c r="E556" s="71"/>
      <c r="F556" s="71"/>
      <c r="G556" s="16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</row>
    <row r="557" spans="1:29" s="14" customFormat="1" x14ac:dyDescent="0.25">
      <c r="A557" s="15"/>
      <c r="C557" s="71"/>
      <c r="D557" s="71"/>
      <c r="E557" s="71"/>
      <c r="F557" s="71"/>
      <c r="G557" s="16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</row>
    <row r="558" spans="1:29" s="14" customFormat="1" x14ac:dyDescent="0.25">
      <c r="A558" s="15"/>
      <c r="C558" s="71"/>
      <c r="D558" s="71"/>
      <c r="E558" s="71"/>
      <c r="F558" s="71"/>
      <c r="G558" s="16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</row>
    <row r="559" spans="1:29" s="14" customFormat="1" x14ac:dyDescent="0.25">
      <c r="A559" s="15"/>
      <c r="C559" s="71"/>
      <c r="D559" s="71"/>
      <c r="E559" s="71"/>
      <c r="F559" s="71"/>
      <c r="G559" s="16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</row>
    <row r="560" spans="1:29" s="14" customFormat="1" x14ac:dyDescent="0.25">
      <c r="A560" s="15"/>
      <c r="C560" s="71"/>
      <c r="D560" s="71"/>
      <c r="E560" s="71"/>
      <c r="F560" s="71"/>
      <c r="G560" s="16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</row>
    <row r="561" spans="1:29" s="14" customFormat="1" x14ac:dyDescent="0.25">
      <c r="A561" s="15"/>
      <c r="C561" s="71"/>
      <c r="D561" s="71"/>
      <c r="E561" s="71"/>
      <c r="F561" s="71"/>
      <c r="G561" s="16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</row>
    <row r="562" spans="1:29" s="14" customFormat="1" x14ac:dyDescent="0.25">
      <c r="A562" s="15"/>
      <c r="C562" s="71"/>
      <c r="D562" s="71"/>
      <c r="E562" s="71"/>
      <c r="F562" s="71"/>
      <c r="G562" s="16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</row>
    <row r="563" spans="1:29" s="14" customFormat="1" x14ac:dyDescent="0.25">
      <c r="A563" s="15"/>
      <c r="C563" s="71"/>
      <c r="D563" s="71"/>
      <c r="E563" s="71"/>
      <c r="F563" s="71"/>
      <c r="G563" s="16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</row>
    <row r="564" spans="1:29" s="14" customFormat="1" x14ac:dyDescent="0.25">
      <c r="A564" s="15"/>
      <c r="C564" s="71"/>
      <c r="D564" s="71"/>
      <c r="E564" s="71"/>
      <c r="F564" s="71"/>
      <c r="G564" s="16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</row>
    <row r="565" spans="1:29" s="14" customFormat="1" x14ac:dyDescent="0.25">
      <c r="A565" s="15"/>
      <c r="C565" s="71"/>
      <c r="D565" s="71"/>
      <c r="E565" s="71"/>
      <c r="F565" s="71"/>
      <c r="G565" s="16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</row>
    <row r="566" spans="1:29" s="14" customFormat="1" x14ac:dyDescent="0.25">
      <c r="A566" s="15"/>
      <c r="C566" s="71"/>
      <c r="D566" s="71"/>
      <c r="E566" s="71"/>
      <c r="F566" s="71"/>
      <c r="G566" s="16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</row>
    <row r="567" spans="1:29" s="14" customFormat="1" x14ac:dyDescent="0.25">
      <c r="A567" s="15"/>
      <c r="C567" s="71"/>
      <c r="D567" s="71"/>
      <c r="E567" s="71"/>
      <c r="F567" s="71"/>
      <c r="G567" s="16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</row>
    <row r="568" spans="1:29" s="14" customFormat="1" x14ac:dyDescent="0.25">
      <c r="A568" s="15"/>
      <c r="C568" s="71"/>
      <c r="D568" s="71"/>
      <c r="E568" s="71"/>
      <c r="F568" s="71"/>
      <c r="G568" s="16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</row>
    <row r="569" spans="1:29" s="14" customFormat="1" x14ac:dyDescent="0.25">
      <c r="A569" s="15"/>
      <c r="C569" s="71"/>
      <c r="D569" s="71"/>
      <c r="E569" s="71"/>
      <c r="F569" s="71"/>
      <c r="G569" s="16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</row>
    <row r="570" spans="1:29" s="14" customFormat="1" x14ac:dyDescent="0.25">
      <c r="A570" s="15"/>
      <c r="C570" s="71"/>
      <c r="D570" s="71"/>
      <c r="E570" s="71"/>
      <c r="F570" s="71"/>
      <c r="G570" s="16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</row>
    <row r="571" spans="1:29" s="14" customFormat="1" x14ac:dyDescent="0.25">
      <c r="A571" s="15"/>
      <c r="C571" s="71"/>
      <c r="D571" s="71"/>
      <c r="E571" s="71"/>
      <c r="F571" s="71"/>
      <c r="G571" s="16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</row>
    <row r="572" spans="1:29" s="14" customFormat="1" x14ac:dyDescent="0.25">
      <c r="A572" s="15"/>
      <c r="C572" s="71"/>
      <c r="D572" s="71"/>
      <c r="E572" s="71"/>
      <c r="F572" s="71"/>
      <c r="G572" s="16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</row>
    <row r="573" spans="1:29" s="14" customFormat="1" x14ac:dyDescent="0.25">
      <c r="A573" s="15"/>
      <c r="C573" s="71"/>
      <c r="D573" s="71"/>
      <c r="E573" s="71"/>
      <c r="F573" s="71"/>
      <c r="G573" s="16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</row>
    <row r="574" spans="1:29" s="14" customFormat="1" x14ac:dyDescent="0.25">
      <c r="A574" s="15"/>
      <c r="C574" s="71"/>
      <c r="D574" s="71"/>
      <c r="E574" s="71"/>
      <c r="F574" s="71"/>
      <c r="G574" s="16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</row>
    <row r="575" spans="1:29" s="14" customFormat="1" x14ac:dyDescent="0.25">
      <c r="A575" s="15"/>
      <c r="C575" s="71"/>
      <c r="D575" s="71"/>
      <c r="E575" s="71"/>
      <c r="F575" s="71"/>
      <c r="G575" s="16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</row>
    <row r="576" spans="1:29" s="14" customFormat="1" x14ac:dyDescent="0.25">
      <c r="A576" s="15"/>
      <c r="C576" s="71"/>
      <c r="D576" s="71"/>
      <c r="E576" s="71"/>
      <c r="F576" s="71"/>
      <c r="G576" s="16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</row>
    <row r="577" spans="1:29" s="14" customFormat="1" x14ac:dyDescent="0.25">
      <c r="A577" s="15"/>
      <c r="C577" s="71"/>
      <c r="D577" s="71"/>
      <c r="E577" s="71"/>
      <c r="F577" s="71"/>
      <c r="G577" s="16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</row>
    <row r="578" spans="1:29" s="14" customFormat="1" x14ac:dyDescent="0.25">
      <c r="A578" s="15"/>
      <c r="C578" s="71"/>
      <c r="D578" s="71"/>
      <c r="E578" s="71"/>
      <c r="F578" s="71"/>
      <c r="G578" s="16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</row>
    <row r="579" spans="1:29" s="14" customFormat="1" x14ac:dyDescent="0.25">
      <c r="A579" s="15"/>
      <c r="C579" s="71"/>
      <c r="D579" s="71"/>
      <c r="E579" s="71"/>
      <c r="F579" s="71"/>
      <c r="G579" s="16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</row>
    <row r="580" spans="1:29" s="14" customFormat="1" x14ac:dyDescent="0.25">
      <c r="A580" s="15"/>
      <c r="C580" s="71"/>
      <c r="D580" s="71"/>
      <c r="E580" s="71"/>
      <c r="F580" s="71"/>
      <c r="G580" s="16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</row>
    <row r="581" spans="1:29" s="14" customFormat="1" x14ac:dyDescent="0.25">
      <c r="A581" s="15"/>
      <c r="C581" s="71"/>
      <c r="D581" s="71"/>
      <c r="E581" s="71"/>
      <c r="F581" s="71"/>
      <c r="G581" s="16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</row>
  </sheetData>
  <sheetProtection sheet="1" objects="1" selectLockedCells="1"/>
  <mergeCells count="3414">
    <mergeCell ref="Z16:AC16"/>
    <mergeCell ref="C17:F17"/>
    <mergeCell ref="H17:J17"/>
    <mergeCell ref="K17:P17"/>
    <mergeCell ref="Q17:V17"/>
    <mergeCell ref="W17:Y17"/>
    <mergeCell ref="Z17:AC17"/>
    <mergeCell ref="C16:F16"/>
    <mergeCell ref="H16:J16"/>
    <mergeCell ref="K16:P16"/>
    <mergeCell ref="Q16:V16"/>
    <mergeCell ref="W16:Y16"/>
    <mergeCell ref="W15:Y15"/>
    <mergeCell ref="Q15:V15"/>
    <mergeCell ref="K15:P15"/>
    <mergeCell ref="H15:J15"/>
    <mergeCell ref="C3:D3"/>
    <mergeCell ref="C15:F15"/>
    <mergeCell ref="Z15:AC15"/>
    <mergeCell ref="E5:F5"/>
    <mergeCell ref="E8:J8"/>
    <mergeCell ref="E7:J7"/>
    <mergeCell ref="E3:J3"/>
    <mergeCell ref="C12:D12"/>
    <mergeCell ref="C10:D10"/>
    <mergeCell ref="C8:D8"/>
    <mergeCell ref="C7:D7"/>
    <mergeCell ref="C5:D5"/>
    <mergeCell ref="E12:J12"/>
    <mergeCell ref="E10:J10"/>
    <mergeCell ref="Z20:AC20"/>
    <mergeCell ref="C21:F21"/>
    <mergeCell ref="H21:J21"/>
    <mergeCell ref="K21:P21"/>
    <mergeCell ref="Q21:V21"/>
    <mergeCell ref="W21:Y21"/>
    <mergeCell ref="Z21:AC21"/>
    <mergeCell ref="C20:F20"/>
    <mergeCell ref="H20:J20"/>
    <mergeCell ref="K20:P20"/>
    <mergeCell ref="Q20:V20"/>
    <mergeCell ref="W20:Y20"/>
    <mergeCell ref="Z18:AC18"/>
    <mergeCell ref="C19:F19"/>
    <mergeCell ref="H19:J19"/>
    <mergeCell ref="K19:P19"/>
    <mergeCell ref="Q19:V19"/>
    <mergeCell ref="W19:Y19"/>
    <mergeCell ref="Z19:AC19"/>
    <mergeCell ref="C18:F18"/>
    <mergeCell ref="H18:J18"/>
    <mergeCell ref="K18:P18"/>
    <mergeCell ref="Q18:V18"/>
    <mergeCell ref="W18:Y18"/>
    <mergeCell ref="Z24:AC24"/>
    <mergeCell ref="C25:F25"/>
    <mergeCell ref="H25:J25"/>
    <mergeCell ref="K25:P25"/>
    <mergeCell ref="Q25:V25"/>
    <mergeCell ref="W25:Y25"/>
    <mergeCell ref="Z25:AC25"/>
    <mergeCell ref="C24:F24"/>
    <mergeCell ref="H24:J24"/>
    <mergeCell ref="K24:P24"/>
    <mergeCell ref="Q24:V24"/>
    <mergeCell ref="W24:Y24"/>
    <mergeCell ref="Z22:AC22"/>
    <mergeCell ref="C23:F23"/>
    <mergeCell ref="H23:J23"/>
    <mergeCell ref="K23:P23"/>
    <mergeCell ref="Q23:V23"/>
    <mergeCell ref="W23:Y23"/>
    <mergeCell ref="Z23:AC23"/>
    <mergeCell ref="C22:F22"/>
    <mergeCell ref="H22:J22"/>
    <mergeCell ref="K22:P22"/>
    <mergeCell ref="Q22:V22"/>
    <mergeCell ref="W22:Y22"/>
    <mergeCell ref="Z28:AC28"/>
    <mergeCell ref="C29:F29"/>
    <mergeCell ref="H29:J29"/>
    <mergeCell ref="K29:P29"/>
    <mergeCell ref="Q29:V29"/>
    <mergeCell ref="W29:Y29"/>
    <mergeCell ref="Z29:AC29"/>
    <mergeCell ref="C28:F28"/>
    <mergeCell ref="H28:J28"/>
    <mergeCell ref="K28:P28"/>
    <mergeCell ref="Q28:V28"/>
    <mergeCell ref="W28:Y28"/>
    <mergeCell ref="Z26:AC26"/>
    <mergeCell ref="C27:F27"/>
    <mergeCell ref="H27:J27"/>
    <mergeCell ref="K27:P27"/>
    <mergeCell ref="Q27:V27"/>
    <mergeCell ref="W27:Y27"/>
    <mergeCell ref="Z27:AC27"/>
    <mergeCell ref="C26:F26"/>
    <mergeCell ref="H26:J26"/>
    <mergeCell ref="K26:P26"/>
    <mergeCell ref="Q26:V26"/>
    <mergeCell ref="W26:Y26"/>
    <mergeCell ref="Z32:AC32"/>
    <mergeCell ref="C33:F33"/>
    <mergeCell ref="H33:J33"/>
    <mergeCell ref="K33:P33"/>
    <mergeCell ref="Q33:V33"/>
    <mergeCell ref="W33:Y33"/>
    <mergeCell ref="Z33:AC33"/>
    <mergeCell ref="C32:F32"/>
    <mergeCell ref="H32:J32"/>
    <mergeCell ref="K32:P32"/>
    <mergeCell ref="Q32:V32"/>
    <mergeCell ref="W32:Y32"/>
    <mergeCell ref="Z30:AC30"/>
    <mergeCell ref="C31:F31"/>
    <mergeCell ref="H31:J31"/>
    <mergeCell ref="K31:P31"/>
    <mergeCell ref="Q31:V31"/>
    <mergeCell ref="W31:Y31"/>
    <mergeCell ref="Z31:AC31"/>
    <mergeCell ref="C30:F30"/>
    <mergeCell ref="H30:J30"/>
    <mergeCell ref="K30:P30"/>
    <mergeCell ref="Q30:V30"/>
    <mergeCell ref="W30:Y30"/>
    <mergeCell ref="Z36:AC36"/>
    <mergeCell ref="C37:F37"/>
    <mergeCell ref="H37:J37"/>
    <mergeCell ref="K37:P37"/>
    <mergeCell ref="Q37:V37"/>
    <mergeCell ref="W37:Y37"/>
    <mergeCell ref="Z37:AC37"/>
    <mergeCell ref="C36:F36"/>
    <mergeCell ref="H36:J36"/>
    <mergeCell ref="K36:P36"/>
    <mergeCell ref="Q36:V36"/>
    <mergeCell ref="W36:Y36"/>
    <mergeCell ref="Z34:AC34"/>
    <mergeCell ref="C35:F35"/>
    <mergeCell ref="H35:J35"/>
    <mergeCell ref="K35:P35"/>
    <mergeCell ref="Q35:V35"/>
    <mergeCell ref="W35:Y35"/>
    <mergeCell ref="Z35:AC35"/>
    <mergeCell ref="C34:F34"/>
    <mergeCell ref="H34:J34"/>
    <mergeCell ref="K34:P34"/>
    <mergeCell ref="Q34:V34"/>
    <mergeCell ref="W34:Y34"/>
    <mergeCell ref="Z40:AC40"/>
    <mergeCell ref="C41:F41"/>
    <mergeCell ref="H41:J41"/>
    <mergeCell ref="K41:P41"/>
    <mergeCell ref="Q41:V41"/>
    <mergeCell ref="W41:Y41"/>
    <mergeCell ref="Z41:AC41"/>
    <mergeCell ref="C40:F40"/>
    <mergeCell ref="H40:J40"/>
    <mergeCell ref="K40:P40"/>
    <mergeCell ref="Q40:V40"/>
    <mergeCell ref="W40:Y40"/>
    <mergeCell ref="Z38:AC38"/>
    <mergeCell ref="C39:F39"/>
    <mergeCell ref="H39:J39"/>
    <mergeCell ref="K39:P39"/>
    <mergeCell ref="Q39:V39"/>
    <mergeCell ref="W39:Y39"/>
    <mergeCell ref="Z39:AC39"/>
    <mergeCell ref="C38:F38"/>
    <mergeCell ref="H38:J38"/>
    <mergeCell ref="K38:P38"/>
    <mergeCell ref="Q38:V38"/>
    <mergeCell ref="W38:Y38"/>
    <mergeCell ref="Z44:AC44"/>
    <mergeCell ref="C45:F45"/>
    <mergeCell ref="H45:J45"/>
    <mergeCell ref="K45:P45"/>
    <mergeCell ref="Q45:V45"/>
    <mergeCell ref="W45:Y45"/>
    <mergeCell ref="Z45:AC45"/>
    <mergeCell ref="C44:F44"/>
    <mergeCell ref="H44:J44"/>
    <mergeCell ref="K44:P44"/>
    <mergeCell ref="Q44:V44"/>
    <mergeCell ref="W44:Y44"/>
    <mergeCell ref="Z42:AC42"/>
    <mergeCell ref="C43:F43"/>
    <mergeCell ref="H43:J43"/>
    <mergeCell ref="K43:P43"/>
    <mergeCell ref="Q43:V43"/>
    <mergeCell ref="W43:Y43"/>
    <mergeCell ref="Z43:AC43"/>
    <mergeCell ref="C42:F42"/>
    <mergeCell ref="H42:J42"/>
    <mergeCell ref="K42:P42"/>
    <mergeCell ref="Q42:V42"/>
    <mergeCell ref="W42:Y42"/>
    <mergeCell ref="Z48:AC48"/>
    <mergeCell ref="C49:F49"/>
    <mergeCell ref="H49:J49"/>
    <mergeCell ref="K49:P49"/>
    <mergeCell ref="Q49:V49"/>
    <mergeCell ref="W49:Y49"/>
    <mergeCell ref="Z49:AC49"/>
    <mergeCell ref="C48:F48"/>
    <mergeCell ref="H48:J48"/>
    <mergeCell ref="K48:P48"/>
    <mergeCell ref="Q48:V48"/>
    <mergeCell ref="W48:Y48"/>
    <mergeCell ref="Z46:AC46"/>
    <mergeCell ref="C47:F47"/>
    <mergeCell ref="H47:J47"/>
    <mergeCell ref="K47:P47"/>
    <mergeCell ref="Q47:V47"/>
    <mergeCell ref="W47:Y47"/>
    <mergeCell ref="Z47:AC47"/>
    <mergeCell ref="C46:F46"/>
    <mergeCell ref="H46:J46"/>
    <mergeCell ref="K46:P46"/>
    <mergeCell ref="Q46:V46"/>
    <mergeCell ref="W46:Y46"/>
    <mergeCell ref="Z52:AC52"/>
    <mergeCell ref="C53:F53"/>
    <mergeCell ref="H53:J53"/>
    <mergeCell ref="K53:P53"/>
    <mergeCell ref="Q53:V53"/>
    <mergeCell ref="W53:Y53"/>
    <mergeCell ref="Z53:AC53"/>
    <mergeCell ref="C52:F52"/>
    <mergeCell ref="H52:J52"/>
    <mergeCell ref="K52:P52"/>
    <mergeCell ref="Q52:V52"/>
    <mergeCell ref="W52:Y52"/>
    <mergeCell ref="Z50:AC50"/>
    <mergeCell ref="C51:F51"/>
    <mergeCell ref="H51:J51"/>
    <mergeCell ref="K51:P51"/>
    <mergeCell ref="Q51:V51"/>
    <mergeCell ref="W51:Y51"/>
    <mergeCell ref="Z51:AC51"/>
    <mergeCell ref="C50:F50"/>
    <mergeCell ref="H50:J50"/>
    <mergeCell ref="K50:P50"/>
    <mergeCell ref="Q50:V50"/>
    <mergeCell ref="W50:Y50"/>
    <mergeCell ref="Z56:AC56"/>
    <mergeCell ref="C57:F57"/>
    <mergeCell ref="H57:J57"/>
    <mergeCell ref="K57:P57"/>
    <mergeCell ref="Q57:V57"/>
    <mergeCell ref="W57:Y57"/>
    <mergeCell ref="Z57:AC57"/>
    <mergeCell ref="C56:F56"/>
    <mergeCell ref="H56:J56"/>
    <mergeCell ref="K56:P56"/>
    <mergeCell ref="Q56:V56"/>
    <mergeCell ref="W56:Y56"/>
    <mergeCell ref="Z54:AC54"/>
    <mergeCell ref="C55:F55"/>
    <mergeCell ref="H55:J55"/>
    <mergeCell ref="K55:P55"/>
    <mergeCell ref="Q55:V55"/>
    <mergeCell ref="W55:Y55"/>
    <mergeCell ref="Z55:AC55"/>
    <mergeCell ref="C54:F54"/>
    <mergeCell ref="H54:J54"/>
    <mergeCell ref="K54:P54"/>
    <mergeCell ref="Q54:V54"/>
    <mergeCell ref="W54:Y54"/>
    <mergeCell ref="Z60:AC60"/>
    <mergeCell ref="C61:F61"/>
    <mergeCell ref="H61:J61"/>
    <mergeCell ref="K61:P61"/>
    <mergeCell ref="Q61:V61"/>
    <mergeCell ref="W61:Y61"/>
    <mergeCell ref="Z61:AC61"/>
    <mergeCell ref="C60:F60"/>
    <mergeCell ref="H60:J60"/>
    <mergeCell ref="K60:P60"/>
    <mergeCell ref="Q60:V60"/>
    <mergeCell ref="W60:Y60"/>
    <mergeCell ref="Z58:AC58"/>
    <mergeCell ref="C59:F59"/>
    <mergeCell ref="H59:J59"/>
    <mergeCell ref="K59:P59"/>
    <mergeCell ref="Q59:V59"/>
    <mergeCell ref="W59:Y59"/>
    <mergeCell ref="Z59:AC59"/>
    <mergeCell ref="C58:F58"/>
    <mergeCell ref="H58:J58"/>
    <mergeCell ref="K58:P58"/>
    <mergeCell ref="Q58:V58"/>
    <mergeCell ref="W58:Y58"/>
    <mergeCell ref="Z64:AC64"/>
    <mergeCell ref="C65:F65"/>
    <mergeCell ref="H65:J65"/>
    <mergeCell ref="K65:P65"/>
    <mergeCell ref="Q65:V65"/>
    <mergeCell ref="W65:Y65"/>
    <mergeCell ref="Z65:AC65"/>
    <mergeCell ref="C64:F64"/>
    <mergeCell ref="H64:J64"/>
    <mergeCell ref="K64:P64"/>
    <mergeCell ref="Q64:V64"/>
    <mergeCell ref="W64:Y64"/>
    <mergeCell ref="Z62:AC62"/>
    <mergeCell ref="C63:F63"/>
    <mergeCell ref="H63:J63"/>
    <mergeCell ref="K63:P63"/>
    <mergeCell ref="Q63:V63"/>
    <mergeCell ref="W63:Y63"/>
    <mergeCell ref="Z63:AC63"/>
    <mergeCell ref="C62:F62"/>
    <mergeCell ref="H62:J62"/>
    <mergeCell ref="K62:P62"/>
    <mergeCell ref="Q62:V62"/>
    <mergeCell ref="W62:Y62"/>
    <mergeCell ref="Z68:AC68"/>
    <mergeCell ref="C69:F69"/>
    <mergeCell ref="H69:J69"/>
    <mergeCell ref="K69:P69"/>
    <mergeCell ref="Q69:V69"/>
    <mergeCell ref="W69:Y69"/>
    <mergeCell ref="Z69:AC69"/>
    <mergeCell ref="C68:F68"/>
    <mergeCell ref="H68:J68"/>
    <mergeCell ref="K68:P68"/>
    <mergeCell ref="Q68:V68"/>
    <mergeCell ref="W68:Y68"/>
    <mergeCell ref="Z66:AC66"/>
    <mergeCell ref="C67:F67"/>
    <mergeCell ref="H67:J67"/>
    <mergeCell ref="K67:P67"/>
    <mergeCell ref="Q67:V67"/>
    <mergeCell ref="W67:Y67"/>
    <mergeCell ref="Z67:AC67"/>
    <mergeCell ref="C66:F66"/>
    <mergeCell ref="H66:J66"/>
    <mergeCell ref="K66:P66"/>
    <mergeCell ref="Q66:V66"/>
    <mergeCell ref="W66:Y66"/>
    <mergeCell ref="Z72:AC72"/>
    <mergeCell ref="C73:F73"/>
    <mergeCell ref="H73:J73"/>
    <mergeCell ref="K73:P73"/>
    <mergeCell ref="Q73:V73"/>
    <mergeCell ref="W73:Y73"/>
    <mergeCell ref="Z73:AC73"/>
    <mergeCell ref="C72:F72"/>
    <mergeCell ref="H72:J72"/>
    <mergeCell ref="K72:P72"/>
    <mergeCell ref="Q72:V72"/>
    <mergeCell ref="W72:Y72"/>
    <mergeCell ref="Z70:AC70"/>
    <mergeCell ref="C71:F71"/>
    <mergeCell ref="H71:J71"/>
    <mergeCell ref="K71:P71"/>
    <mergeCell ref="Q71:V71"/>
    <mergeCell ref="W71:Y71"/>
    <mergeCell ref="Z71:AC71"/>
    <mergeCell ref="C70:F70"/>
    <mergeCell ref="H70:J70"/>
    <mergeCell ref="K70:P70"/>
    <mergeCell ref="Q70:V70"/>
    <mergeCell ref="W70:Y70"/>
    <mergeCell ref="Z76:AC76"/>
    <mergeCell ref="C77:F77"/>
    <mergeCell ref="H77:J77"/>
    <mergeCell ref="K77:P77"/>
    <mergeCell ref="Q77:V77"/>
    <mergeCell ref="W77:Y77"/>
    <mergeCell ref="Z77:AC77"/>
    <mergeCell ref="C76:F76"/>
    <mergeCell ref="H76:J76"/>
    <mergeCell ref="K76:P76"/>
    <mergeCell ref="Q76:V76"/>
    <mergeCell ref="W76:Y76"/>
    <mergeCell ref="Z74:AC74"/>
    <mergeCell ref="C75:F75"/>
    <mergeCell ref="H75:J75"/>
    <mergeCell ref="K75:P75"/>
    <mergeCell ref="Q75:V75"/>
    <mergeCell ref="W75:Y75"/>
    <mergeCell ref="Z75:AC75"/>
    <mergeCell ref="C74:F74"/>
    <mergeCell ref="H74:J74"/>
    <mergeCell ref="K74:P74"/>
    <mergeCell ref="Q74:V74"/>
    <mergeCell ref="W74:Y74"/>
    <mergeCell ref="Z80:AC80"/>
    <mergeCell ref="C81:F81"/>
    <mergeCell ref="H81:J81"/>
    <mergeCell ref="K81:P81"/>
    <mergeCell ref="Q81:V81"/>
    <mergeCell ref="W81:Y81"/>
    <mergeCell ref="Z81:AC81"/>
    <mergeCell ref="C80:F80"/>
    <mergeCell ref="H80:J80"/>
    <mergeCell ref="K80:P80"/>
    <mergeCell ref="Q80:V80"/>
    <mergeCell ref="W80:Y80"/>
    <mergeCell ref="Z78:AC78"/>
    <mergeCell ref="C79:F79"/>
    <mergeCell ref="H79:J79"/>
    <mergeCell ref="K79:P79"/>
    <mergeCell ref="Q79:V79"/>
    <mergeCell ref="W79:Y79"/>
    <mergeCell ref="Z79:AC79"/>
    <mergeCell ref="C78:F78"/>
    <mergeCell ref="H78:J78"/>
    <mergeCell ref="K78:P78"/>
    <mergeCell ref="Q78:V78"/>
    <mergeCell ref="W78:Y78"/>
    <mergeCell ref="Z84:AC84"/>
    <mergeCell ref="C85:F85"/>
    <mergeCell ref="H85:J85"/>
    <mergeCell ref="K85:P85"/>
    <mergeCell ref="Q85:V85"/>
    <mergeCell ref="W85:Y85"/>
    <mergeCell ref="Z85:AC85"/>
    <mergeCell ref="C84:F84"/>
    <mergeCell ref="H84:J84"/>
    <mergeCell ref="K84:P84"/>
    <mergeCell ref="Q84:V84"/>
    <mergeCell ref="W84:Y84"/>
    <mergeCell ref="Z82:AC82"/>
    <mergeCell ref="C83:F83"/>
    <mergeCell ref="H83:J83"/>
    <mergeCell ref="K83:P83"/>
    <mergeCell ref="Q83:V83"/>
    <mergeCell ref="W83:Y83"/>
    <mergeCell ref="Z83:AC83"/>
    <mergeCell ref="C82:F82"/>
    <mergeCell ref="H82:J82"/>
    <mergeCell ref="K82:P82"/>
    <mergeCell ref="Q82:V82"/>
    <mergeCell ref="W82:Y82"/>
    <mergeCell ref="Z88:AC88"/>
    <mergeCell ref="C89:F89"/>
    <mergeCell ref="H89:J89"/>
    <mergeCell ref="K89:P89"/>
    <mergeCell ref="Q89:V89"/>
    <mergeCell ref="W89:Y89"/>
    <mergeCell ref="Z89:AC89"/>
    <mergeCell ref="C88:F88"/>
    <mergeCell ref="H88:J88"/>
    <mergeCell ref="K88:P88"/>
    <mergeCell ref="Q88:V88"/>
    <mergeCell ref="W88:Y88"/>
    <mergeCell ref="Z86:AC86"/>
    <mergeCell ref="C87:F87"/>
    <mergeCell ref="H87:J87"/>
    <mergeCell ref="K87:P87"/>
    <mergeCell ref="Q87:V87"/>
    <mergeCell ref="W87:Y87"/>
    <mergeCell ref="Z87:AC87"/>
    <mergeCell ref="C86:F86"/>
    <mergeCell ref="H86:J86"/>
    <mergeCell ref="K86:P86"/>
    <mergeCell ref="Q86:V86"/>
    <mergeCell ref="W86:Y86"/>
    <mergeCell ref="Z92:AC92"/>
    <mergeCell ref="C93:F93"/>
    <mergeCell ref="H93:J93"/>
    <mergeCell ref="K93:P93"/>
    <mergeCell ref="Q93:V93"/>
    <mergeCell ref="W93:Y93"/>
    <mergeCell ref="Z93:AC93"/>
    <mergeCell ref="C92:F92"/>
    <mergeCell ref="H92:J92"/>
    <mergeCell ref="K92:P92"/>
    <mergeCell ref="Q92:V92"/>
    <mergeCell ref="W92:Y92"/>
    <mergeCell ref="Z90:AC90"/>
    <mergeCell ref="C91:F91"/>
    <mergeCell ref="H91:J91"/>
    <mergeCell ref="K91:P91"/>
    <mergeCell ref="Q91:V91"/>
    <mergeCell ref="W91:Y91"/>
    <mergeCell ref="Z91:AC91"/>
    <mergeCell ref="C90:F90"/>
    <mergeCell ref="H90:J90"/>
    <mergeCell ref="K90:P90"/>
    <mergeCell ref="Q90:V90"/>
    <mergeCell ref="W90:Y90"/>
    <mergeCell ref="Z96:AC96"/>
    <mergeCell ref="C97:F97"/>
    <mergeCell ref="H97:J97"/>
    <mergeCell ref="K97:P97"/>
    <mergeCell ref="Q97:V97"/>
    <mergeCell ref="W97:Y97"/>
    <mergeCell ref="Z97:AC97"/>
    <mergeCell ref="C96:F96"/>
    <mergeCell ref="H96:J96"/>
    <mergeCell ref="K96:P96"/>
    <mergeCell ref="Q96:V96"/>
    <mergeCell ref="W96:Y96"/>
    <mergeCell ref="Z94:AC94"/>
    <mergeCell ref="C95:F95"/>
    <mergeCell ref="H95:J95"/>
    <mergeCell ref="K95:P95"/>
    <mergeCell ref="Q95:V95"/>
    <mergeCell ref="W95:Y95"/>
    <mergeCell ref="Z95:AC95"/>
    <mergeCell ref="C94:F94"/>
    <mergeCell ref="H94:J94"/>
    <mergeCell ref="K94:P94"/>
    <mergeCell ref="Q94:V94"/>
    <mergeCell ref="W94:Y94"/>
    <mergeCell ref="Z100:AC100"/>
    <mergeCell ref="C101:F101"/>
    <mergeCell ref="H101:J101"/>
    <mergeCell ref="K101:P101"/>
    <mergeCell ref="Q101:V101"/>
    <mergeCell ref="W101:Y101"/>
    <mergeCell ref="Z101:AC101"/>
    <mergeCell ref="C100:F100"/>
    <mergeCell ref="H100:J100"/>
    <mergeCell ref="K100:P100"/>
    <mergeCell ref="Q100:V100"/>
    <mergeCell ref="W100:Y100"/>
    <mergeCell ref="Z98:AC98"/>
    <mergeCell ref="C99:F99"/>
    <mergeCell ref="H99:J99"/>
    <mergeCell ref="K99:P99"/>
    <mergeCell ref="Q99:V99"/>
    <mergeCell ref="W99:Y99"/>
    <mergeCell ref="Z99:AC99"/>
    <mergeCell ref="C98:F98"/>
    <mergeCell ref="H98:J98"/>
    <mergeCell ref="K98:P98"/>
    <mergeCell ref="Q98:V98"/>
    <mergeCell ref="W98:Y98"/>
    <mergeCell ref="Z104:AC104"/>
    <mergeCell ref="C105:F105"/>
    <mergeCell ref="H105:J105"/>
    <mergeCell ref="K105:P105"/>
    <mergeCell ref="Q105:V105"/>
    <mergeCell ref="W105:Y105"/>
    <mergeCell ref="Z105:AC105"/>
    <mergeCell ref="C104:F104"/>
    <mergeCell ref="H104:J104"/>
    <mergeCell ref="K104:P104"/>
    <mergeCell ref="Q104:V104"/>
    <mergeCell ref="W104:Y104"/>
    <mergeCell ref="Z102:AC102"/>
    <mergeCell ref="C103:F103"/>
    <mergeCell ref="H103:J103"/>
    <mergeCell ref="K103:P103"/>
    <mergeCell ref="Q103:V103"/>
    <mergeCell ref="W103:Y103"/>
    <mergeCell ref="Z103:AC103"/>
    <mergeCell ref="C102:F102"/>
    <mergeCell ref="H102:J102"/>
    <mergeCell ref="K102:P102"/>
    <mergeCell ref="Q102:V102"/>
    <mergeCell ref="W102:Y102"/>
    <mergeCell ref="Z108:AC108"/>
    <mergeCell ref="C109:F109"/>
    <mergeCell ref="H109:J109"/>
    <mergeCell ref="K109:P109"/>
    <mergeCell ref="Q109:V109"/>
    <mergeCell ref="W109:Y109"/>
    <mergeCell ref="Z109:AC109"/>
    <mergeCell ref="C108:F108"/>
    <mergeCell ref="H108:J108"/>
    <mergeCell ref="K108:P108"/>
    <mergeCell ref="Q108:V108"/>
    <mergeCell ref="W108:Y108"/>
    <mergeCell ref="Z106:AC106"/>
    <mergeCell ref="C107:F107"/>
    <mergeCell ref="H107:J107"/>
    <mergeCell ref="K107:P107"/>
    <mergeCell ref="Q107:V107"/>
    <mergeCell ref="W107:Y107"/>
    <mergeCell ref="Z107:AC107"/>
    <mergeCell ref="C106:F106"/>
    <mergeCell ref="H106:J106"/>
    <mergeCell ref="K106:P106"/>
    <mergeCell ref="Q106:V106"/>
    <mergeCell ref="W106:Y106"/>
    <mergeCell ref="Z112:AC112"/>
    <mergeCell ref="C113:F113"/>
    <mergeCell ref="H113:J113"/>
    <mergeCell ref="K113:P113"/>
    <mergeCell ref="Q113:V113"/>
    <mergeCell ref="W113:Y113"/>
    <mergeCell ref="Z113:AC113"/>
    <mergeCell ref="C112:F112"/>
    <mergeCell ref="H112:J112"/>
    <mergeCell ref="K112:P112"/>
    <mergeCell ref="Q112:V112"/>
    <mergeCell ref="W112:Y112"/>
    <mergeCell ref="Z110:AC110"/>
    <mergeCell ref="C111:F111"/>
    <mergeCell ref="H111:J111"/>
    <mergeCell ref="K111:P111"/>
    <mergeCell ref="Q111:V111"/>
    <mergeCell ref="W111:Y111"/>
    <mergeCell ref="Z111:AC111"/>
    <mergeCell ref="C110:F110"/>
    <mergeCell ref="H110:J110"/>
    <mergeCell ref="K110:P110"/>
    <mergeCell ref="Q110:V110"/>
    <mergeCell ref="W110:Y110"/>
    <mergeCell ref="Z116:AC116"/>
    <mergeCell ref="C117:F117"/>
    <mergeCell ref="H117:J117"/>
    <mergeCell ref="K117:P117"/>
    <mergeCell ref="Q117:V117"/>
    <mergeCell ref="W117:Y117"/>
    <mergeCell ref="Z117:AC117"/>
    <mergeCell ref="C116:F116"/>
    <mergeCell ref="H116:J116"/>
    <mergeCell ref="K116:P116"/>
    <mergeCell ref="Q116:V116"/>
    <mergeCell ref="W116:Y116"/>
    <mergeCell ref="Z114:AC114"/>
    <mergeCell ref="C115:F115"/>
    <mergeCell ref="H115:J115"/>
    <mergeCell ref="K115:P115"/>
    <mergeCell ref="Q115:V115"/>
    <mergeCell ref="W115:Y115"/>
    <mergeCell ref="Z115:AC115"/>
    <mergeCell ref="C114:F114"/>
    <mergeCell ref="H114:J114"/>
    <mergeCell ref="K114:P114"/>
    <mergeCell ref="Q114:V114"/>
    <mergeCell ref="W114:Y114"/>
    <mergeCell ref="Z120:AC120"/>
    <mergeCell ref="C121:F121"/>
    <mergeCell ref="H121:J121"/>
    <mergeCell ref="K121:P121"/>
    <mergeCell ref="Q121:V121"/>
    <mergeCell ref="W121:Y121"/>
    <mergeCell ref="Z121:AC121"/>
    <mergeCell ref="C120:F120"/>
    <mergeCell ref="H120:J120"/>
    <mergeCell ref="K120:P120"/>
    <mergeCell ref="Q120:V120"/>
    <mergeCell ref="W120:Y120"/>
    <mergeCell ref="Z118:AC118"/>
    <mergeCell ref="C119:F119"/>
    <mergeCell ref="H119:J119"/>
    <mergeCell ref="K119:P119"/>
    <mergeCell ref="Q119:V119"/>
    <mergeCell ref="W119:Y119"/>
    <mergeCell ref="Z119:AC119"/>
    <mergeCell ref="C118:F118"/>
    <mergeCell ref="H118:J118"/>
    <mergeCell ref="K118:P118"/>
    <mergeCell ref="Q118:V118"/>
    <mergeCell ref="W118:Y118"/>
    <mergeCell ref="Z124:AC124"/>
    <mergeCell ref="C125:F125"/>
    <mergeCell ref="H125:J125"/>
    <mergeCell ref="K125:P125"/>
    <mergeCell ref="Q125:V125"/>
    <mergeCell ref="W125:Y125"/>
    <mergeCell ref="Z125:AC125"/>
    <mergeCell ref="C124:F124"/>
    <mergeCell ref="H124:J124"/>
    <mergeCell ref="K124:P124"/>
    <mergeCell ref="Q124:V124"/>
    <mergeCell ref="W124:Y124"/>
    <mergeCell ref="Z122:AC122"/>
    <mergeCell ref="C123:F123"/>
    <mergeCell ref="H123:J123"/>
    <mergeCell ref="K123:P123"/>
    <mergeCell ref="Q123:V123"/>
    <mergeCell ref="W123:Y123"/>
    <mergeCell ref="Z123:AC123"/>
    <mergeCell ref="C122:F122"/>
    <mergeCell ref="H122:J122"/>
    <mergeCell ref="K122:P122"/>
    <mergeCell ref="Q122:V122"/>
    <mergeCell ref="W122:Y122"/>
    <mergeCell ref="Z128:AC128"/>
    <mergeCell ref="C129:F129"/>
    <mergeCell ref="H129:J129"/>
    <mergeCell ref="K129:P129"/>
    <mergeCell ref="Q129:V129"/>
    <mergeCell ref="W129:Y129"/>
    <mergeCell ref="Z129:AC129"/>
    <mergeCell ref="C128:F128"/>
    <mergeCell ref="H128:J128"/>
    <mergeCell ref="K128:P128"/>
    <mergeCell ref="Q128:V128"/>
    <mergeCell ref="W128:Y128"/>
    <mergeCell ref="Z126:AC126"/>
    <mergeCell ref="C127:F127"/>
    <mergeCell ref="H127:J127"/>
    <mergeCell ref="K127:P127"/>
    <mergeCell ref="Q127:V127"/>
    <mergeCell ref="W127:Y127"/>
    <mergeCell ref="Z127:AC127"/>
    <mergeCell ref="C126:F126"/>
    <mergeCell ref="H126:J126"/>
    <mergeCell ref="K126:P126"/>
    <mergeCell ref="Q126:V126"/>
    <mergeCell ref="W126:Y126"/>
    <mergeCell ref="Z132:AC132"/>
    <mergeCell ref="C133:F133"/>
    <mergeCell ref="H133:J133"/>
    <mergeCell ref="K133:P133"/>
    <mergeCell ref="Q133:V133"/>
    <mergeCell ref="W133:Y133"/>
    <mergeCell ref="Z133:AC133"/>
    <mergeCell ref="C132:F132"/>
    <mergeCell ref="H132:J132"/>
    <mergeCell ref="K132:P132"/>
    <mergeCell ref="Q132:V132"/>
    <mergeCell ref="W132:Y132"/>
    <mergeCell ref="Z130:AC130"/>
    <mergeCell ref="C131:F131"/>
    <mergeCell ref="H131:J131"/>
    <mergeCell ref="K131:P131"/>
    <mergeCell ref="Q131:V131"/>
    <mergeCell ref="W131:Y131"/>
    <mergeCell ref="Z131:AC131"/>
    <mergeCell ref="C130:F130"/>
    <mergeCell ref="H130:J130"/>
    <mergeCell ref="K130:P130"/>
    <mergeCell ref="Q130:V130"/>
    <mergeCell ref="W130:Y130"/>
    <mergeCell ref="Z136:AC136"/>
    <mergeCell ref="C137:F137"/>
    <mergeCell ref="H137:J137"/>
    <mergeCell ref="K137:P137"/>
    <mergeCell ref="Q137:V137"/>
    <mergeCell ref="W137:Y137"/>
    <mergeCell ref="Z137:AC137"/>
    <mergeCell ref="C136:F136"/>
    <mergeCell ref="H136:J136"/>
    <mergeCell ref="K136:P136"/>
    <mergeCell ref="Q136:V136"/>
    <mergeCell ref="W136:Y136"/>
    <mergeCell ref="Z134:AC134"/>
    <mergeCell ref="C135:F135"/>
    <mergeCell ref="H135:J135"/>
    <mergeCell ref="K135:P135"/>
    <mergeCell ref="Q135:V135"/>
    <mergeCell ref="W135:Y135"/>
    <mergeCell ref="Z135:AC135"/>
    <mergeCell ref="C134:F134"/>
    <mergeCell ref="H134:J134"/>
    <mergeCell ref="K134:P134"/>
    <mergeCell ref="Q134:V134"/>
    <mergeCell ref="W134:Y134"/>
    <mergeCell ref="Z140:AC140"/>
    <mergeCell ref="C141:F141"/>
    <mergeCell ref="H141:J141"/>
    <mergeCell ref="K141:P141"/>
    <mergeCell ref="Q141:V141"/>
    <mergeCell ref="W141:Y141"/>
    <mergeCell ref="Z141:AC141"/>
    <mergeCell ref="C140:F140"/>
    <mergeCell ref="H140:J140"/>
    <mergeCell ref="K140:P140"/>
    <mergeCell ref="Q140:V140"/>
    <mergeCell ref="W140:Y140"/>
    <mergeCell ref="Z138:AC138"/>
    <mergeCell ref="C139:F139"/>
    <mergeCell ref="H139:J139"/>
    <mergeCell ref="K139:P139"/>
    <mergeCell ref="Q139:V139"/>
    <mergeCell ref="W139:Y139"/>
    <mergeCell ref="Z139:AC139"/>
    <mergeCell ref="C138:F138"/>
    <mergeCell ref="H138:J138"/>
    <mergeCell ref="K138:P138"/>
    <mergeCell ref="Q138:V138"/>
    <mergeCell ref="W138:Y138"/>
    <mergeCell ref="Z144:AC144"/>
    <mergeCell ref="C145:F145"/>
    <mergeCell ref="H145:J145"/>
    <mergeCell ref="K145:P145"/>
    <mergeCell ref="Q145:V145"/>
    <mergeCell ref="W145:Y145"/>
    <mergeCell ref="Z145:AC145"/>
    <mergeCell ref="C144:F144"/>
    <mergeCell ref="H144:J144"/>
    <mergeCell ref="K144:P144"/>
    <mergeCell ref="Q144:V144"/>
    <mergeCell ref="W144:Y144"/>
    <mergeCell ref="Z142:AC142"/>
    <mergeCell ref="C143:F143"/>
    <mergeCell ref="H143:J143"/>
    <mergeCell ref="K143:P143"/>
    <mergeCell ref="Q143:V143"/>
    <mergeCell ref="W143:Y143"/>
    <mergeCell ref="Z143:AC143"/>
    <mergeCell ref="C142:F142"/>
    <mergeCell ref="H142:J142"/>
    <mergeCell ref="K142:P142"/>
    <mergeCell ref="Q142:V142"/>
    <mergeCell ref="W142:Y142"/>
    <mergeCell ref="Z148:AC148"/>
    <mergeCell ref="C149:F149"/>
    <mergeCell ref="H149:J149"/>
    <mergeCell ref="K149:P149"/>
    <mergeCell ref="Q149:V149"/>
    <mergeCell ref="W149:Y149"/>
    <mergeCell ref="Z149:AC149"/>
    <mergeCell ref="C148:F148"/>
    <mergeCell ref="H148:J148"/>
    <mergeCell ref="K148:P148"/>
    <mergeCell ref="Q148:V148"/>
    <mergeCell ref="W148:Y148"/>
    <mergeCell ref="Z146:AC146"/>
    <mergeCell ref="C147:F147"/>
    <mergeCell ref="H147:J147"/>
    <mergeCell ref="K147:P147"/>
    <mergeCell ref="Q147:V147"/>
    <mergeCell ref="W147:Y147"/>
    <mergeCell ref="Z147:AC147"/>
    <mergeCell ref="C146:F146"/>
    <mergeCell ref="H146:J146"/>
    <mergeCell ref="K146:P146"/>
    <mergeCell ref="Q146:V146"/>
    <mergeCell ref="W146:Y146"/>
    <mergeCell ref="Z152:AC152"/>
    <mergeCell ref="C153:F153"/>
    <mergeCell ref="H153:J153"/>
    <mergeCell ref="K153:P153"/>
    <mergeCell ref="Q153:V153"/>
    <mergeCell ref="W153:Y153"/>
    <mergeCell ref="Z153:AC153"/>
    <mergeCell ref="C152:F152"/>
    <mergeCell ref="H152:J152"/>
    <mergeCell ref="K152:P152"/>
    <mergeCell ref="Q152:V152"/>
    <mergeCell ref="W152:Y152"/>
    <mergeCell ref="Z150:AC150"/>
    <mergeCell ref="C151:F151"/>
    <mergeCell ref="H151:J151"/>
    <mergeCell ref="K151:P151"/>
    <mergeCell ref="Q151:V151"/>
    <mergeCell ref="W151:Y151"/>
    <mergeCell ref="Z151:AC151"/>
    <mergeCell ref="C150:F150"/>
    <mergeCell ref="H150:J150"/>
    <mergeCell ref="K150:P150"/>
    <mergeCell ref="Q150:V150"/>
    <mergeCell ref="W150:Y150"/>
    <mergeCell ref="Z156:AC156"/>
    <mergeCell ref="C157:F157"/>
    <mergeCell ref="H157:J157"/>
    <mergeCell ref="K157:P157"/>
    <mergeCell ref="Q157:V157"/>
    <mergeCell ref="W157:Y157"/>
    <mergeCell ref="Z157:AC157"/>
    <mergeCell ref="C156:F156"/>
    <mergeCell ref="H156:J156"/>
    <mergeCell ref="K156:P156"/>
    <mergeCell ref="Q156:V156"/>
    <mergeCell ref="W156:Y156"/>
    <mergeCell ref="Z154:AC154"/>
    <mergeCell ref="C155:F155"/>
    <mergeCell ref="H155:J155"/>
    <mergeCell ref="K155:P155"/>
    <mergeCell ref="Q155:V155"/>
    <mergeCell ref="W155:Y155"/>
    <mergeCell ref="Z155:AC155"/>
    <mergeCell ref="C154:F154"/>
    <mergeCell ref="H154:J154"/>
    <mergeCell ref="K154:P154"/>
    <mergeCell ref="Q154:V154"/>
    <mergeCell ref="W154:Y154"/>
    <mergeCell ref="Z160:AC160"/>
    <mergeCell ref="C161:F161"/>
    <mergeCell ref="H161:J161"/>
    <mergeCell ref="K161:P161"/>
    <mergeCell ref="Q161:V161"/>
    <mergeCell ref="W161:Y161"/>
    <mergeCell ref="Z161:AC161"/>
    <mergeCell ref="C160:F160"/>
    <mergeCell ref="H160:J160"/>
    <mergeCell ref="K160:P160"/>
    <mergeCell ref="Q160:V160"/>
    <mergeCell ref="W160:Y160"/>
    <mergeCell ref="Z158:AC158"/>
    <mergeCell ref="C159:F159"/>
    <mergeCell ref="H159:J159"/>
    <mergeCell ref="K159:P159"/>
    <mergeCell ref="Q159:V159"/>
    <mergeCell ref="W159:Y159"/>
    <mergeCell ref="Z159:AC159"/>
    <mergeCell ref="C158:F158"/>
    <mergeCell ref="H158:J158"/>
    <mergeCell ref="K158:P158"/>
    <mergeCell ref="Q158:V158"/>
    <mergeCell ref="W158:Y158"/>
    <mergeCell ref="Z164:AC164"/>
    <mergeCell ref="C165:F165"/>
    <mergeCell ref="H165:J165"/>
    <mergeCell ref="K165:P165"/>
    <mergeCell ref="Q165:V165"/>
    <mergeCell ref="W165:Y165"/>
    <mergeCell ref="Z165:AC165"/>
    <mergeCell ref="C164:F164"/>
    <mergeCell ref="H164:J164"/>
    <mergeCell ref="K164:P164"/>
    <mergeCell ref="Q164:V164"/>
    <mergeCell ref="W164:Y164"/>
    <mergeCell ref="Z162:AC162"/>
    <mergeCell ref="C163:F163"/>
    <mergeCell ref="H163:J163"/>
    <mergeCell ref="K163:P163"/>
    <mergeCell ref="Q163:V163"/>
    <mergeCell ref="W163:Y163"/>
    <mergeCell ref="Z163:AC163"/>
    <mergeCell ref="C162:F162"/>
    <mergeCell ref="H162:J162"/>
    <mergeCell ref="K162:P162"/>
    <mergeCell ref="Q162:V162"/>
    <mergeCell ref="W162:Y162"/>
    <mergeCell ref="Z168:AC168"/>
    <mergeCell ref="C169:F169"/>
    <mergeCell ref="H169:J169"/>
    <mergeCell ref="K169:P169"/>
    <mergeCell ref="Q169:V169"/>
    <mergeCell ref="W169:Y169"/>
    <mergeCell ref="Z169:AC169"/>
    <mergeCell ref="C168:F168"/>
    <mergeCell ref="H168:J168"/>
    <mergeCell ref="K168:P168"/>
    <mergeCell ref="Q168:V168"/>
    <mergeCell ref="W168:Y168"/>
    <mergeCell ref="Z166:AC166"/>
    <mergeCell ref="C167:F167"/>
    <mergeCell ref="H167:J167"/>
    <mergeCell ref="K167:P167"/>
    <mergeCell ref="Q167:V167"/>
    <mergeCell ref="W167:Y167"/>
    <mergeCell ref="Z167:AC167"/>
    <mergeCell ref="C166:F166"/>
    <mergeCell ref="H166:J166"/>
    <mergeCell ref="K166:P166"/>
    <mergeCell ref="Q166:V166"/>
    <mergeCell ref="W166:Y166"/>
    <mergeCell ref="Z172:AC172"/>
    <mergeCell ref="C173:F173"/>
    <mergeCell ref="H173:J173"/>
    <mergeCell ref="K173:P173"/>
    <mergeCell ref="Q173:V173"/>
    <mergeCell ref="W173:Y173"/>
    <mergeCell ref="Z173:AC173"/>
    <mergeCell ref="C172:F172"/>
    <mergeCell ref="H172:J172"/>
    <mergeCell ref="K172:P172"/>
    <mergeCell ref="Q172:V172"/>
    <mergeCell ref="W172:Y172"/>
    <mergeCell ref="Z170:AC170"/>
    <mergeCell ref="C171:F171"/>
    <mergeCell ref="H171:J171"/>
    <mergeCell ref="K171:P171"/>
    <mergeCell ref="Q171:V171"/>
    <mergeCell ref="W171:Y171"/>
    <mergeCell ref="Z171:AC171"/>
    <mergeCell ref="C170:F170"/>
    <mergeCell ref="H170:J170"/>
    <mergeCell ref="K170:P170"/>
    <mergeCell ref="Q170:V170"/>
    <mergeCell ref="W170:Y170"/>
    <mergeCell ref="Z176:AC176"/>
    <mergeCell ref="C177:F177"/>
    <mergeCell ref="H177:J177"/>
    <mergeCell ref="K177:P177"/>
    <mergeCell ref="Q177:V177"/>
    <mergeCell ref="W177:Y177"/>
    <mergeCell ref="Z177:AC177"/>
    <mergeCell ref="C176:F176"/>
    <mergeCell ref="H176:J176"/>
    <mergeCell ref="K176:P176"/>
    <mergeCell ref="Q176:V176"/>
    <mergeCell ref="W176:Y176"/>
    <mergeCell ref="Z174:AC174"/>
    <mergeCell ref="C175:F175"/>
    <mergeCell ref="H175:J175"/>
    <mergeCell ref="K175:P175"/>
    <mergeCell ref="Q175:V175"/>
    <mergeCell ref="W175:Y175"/>
    <mergeCell ref="Z175:AC175"/>
    <mergeCell ref="C174:F174"/>
    <mergeCell ref="H174:J174"/>
    <mergeCell ref="K174:P174"/>
    <mergeCell ref="Q174:V174"/>
    <mergeCell ref="W174:Y174"/>
    <mergeCell ref="Z180:AC180"/>
    <mergeCell ref="C181:F181"/>
    <mergeCell ref="H181:J181"/>
    <mergeCell ref="K181:P181"/>
    <mergeCell ref="Q181:V181"/>
    <mergeCell ref="W181:Y181"/>
    <mergeCell ref="Z181:AC181"/>
    <mergeCell ref="C180:F180"/>
    <mergeCell ref="H180:J180"/>
    <mergeCell ref="K180:P180"/>
    <mergeCell ref="Q180:V180"/>
    <mergeCell ref="W180:Y180"/>
    <mergeCell ref="Z178:AC178"/>
    <mergeCell ref="C179:F179"/>
    <mergeCell ref="H179:J179"/>
    <mergeCell ref="K179:P179"/>
    <mergeCell ref="Q179:V179"/>
    <mergeCell ref="W179:Y179"/>
    <mergeCell ref="Z179:AC179"/>
    <mergeCell ref="C178:F178"/>
    <mergeCell ref="H178:J178"/>
    <mergeCell ref="K178:P178"/>
    <mergeCell ref="Q178:V178"/>
    <mergeCell ref="W178:Y178"/>
    <mergeCell ref="Z184:AC184"/>
    <mergeCell ref="C185:F185"/>
    <mergeCell ref="H185:J185"/>
    <mergeCell ref="K185:P185"/>
    <mergeCell ref="Q185:V185"/>
    <mergeCell ref="W185:Y185"/>
    <mergeCell ref="Z185:AC185"/>
    <mergeCell ref="C184:F184"/>
    <mergeCell ref="H184:J184"/>
    <mergeCell ref="K184:P184"/>
    <mergeCell ref="Q184:V184"/>
    <mergeCell ref="W184:Y184"/>
    <mergeCell ref="Z182:AC182"/>
    <mergeCell ref="C183:F183"/>
    <mergeCell ref="H183:J183"/>
    <mergeCell ref="K183:P183"/>
    <mergeCell ref="Q183:V183"/>
    <mergeCell ref="W183:Y183"/>
    <mergeCell ref="Z183:AC183"/>
    <mergeCell ref="C182:F182"/>
    <mergeCell ref="H182:J182"/>
    <mergeCell ref="K182:P182"/>
    <mergeCell ref="Q182:V182"/>
    <mergeCell ref="W182:Y182"/>
    <mergeCell ref="Z188:AC188"/>
    <mergeCell ref="C189:F189"/>
    <mergeCell ref="H189:J189"/>
    <mergeCell ref="K189:P189"/>
    <mergeCell ref="Q189:V189"/>
    <mergeCell ref="W189:Y189"/>
    <mergeCell ref="Z189:AC189"/>
    <mergeCell ref="C188:F188"/>
    <mergeCell ref="H188:J188"/>
    <mergeCell ref="K188:P188"/>
    <mergeCell ref="Q188:V188"/>
    <mergeCell ref="W188:Y188"/>
    <mergeCell ref="Z186:AC186"/>
    <mergeCell ref="C187:F187"/>
    <mergeCell ref="H187:J187"/>
    <mergeCell ref="K187:P187"/>
    <mergeCell ref="Q187:V187"/>
    <mergeCell ref="W187:Y187"/>
    <mergeCell ref="Z187:AC187"/>
    <mergeCell ref="C186:F186"/>
    <mergeCell ref="H186:J186"/>
    <mergeCell ref="K186:P186"/>
    <mergeCell ref="Q186:V186"/>
    <mergeCell ref="W186:Y186"/>
    <mergeCell ref="Z192:AC192"/>
    <mergeCell ref="C193:F193"/>
    <mergeCell ref="H193:J193"/>
    <mergeCell ref="K193:P193"/>
    <mergeCell ref="Q193:V193"/>
    <mergeCell ref="W193:Y193"/>
    <mergeCell ref="Z193:AC193"/>
    <mergeCell ref="C192:F192"/>
    <mergeCell ref="H192:J192"/>
    <mergeCell ref="K192:P192"/>
    <mergeCell ref="Q192:V192"/>
    <mergeCell ref="W192:Y192"/>
    <mergeCell ref="Z190:AC190"/>
    <mergeCell ref="C191:F191"/>
    <mergeCell ref="H191:J191"/>
    <mergeCell ref="K191:P191"/>
    <mergeCell ref="Q191:V191"/>
    <mergeCell ref="W191:Y191"/>
    <mergeCell ref="Z191:AC191"/>
    <mergeCell ref="C190:F190"/>
    <mergeCell ref="H190:J190"/>
    <mergeCell ref="K190:P190"/>
    <mergeCell ref="Q190:V190"/>
    <mergeCell ref="W190:Y190"/>
    <mergeCell ref="Z196:AC196"/>
    <mergeCell ref="C197:F197"/>
    <mergeCell ref="H197:J197"/>
    <mergeCell ref="K197:P197"/>
    <mergeCell ref="Q197:V197"/>
    <mergeCell ref="W197:Y197"/>
    <mergeCell ref="Z197:AC197"/>
    <mergeCell ref="C196:F196"/>
    <mergeCell ref="H196:J196"/>
    <mergeCell ref="K196:P196"/>
    <mergeCell ref="Q196:V196"/>
    <mergeCell ref="W196:Y196"/>
    <mergeCell ref="Z194:AC194"/>
    <mergeCell ref="C195:F195"/>
    <mergeCell ref="H195:J195"/>
    <mergeCell ref="K195:P195"/>
    <mergeCell ref="Q195:V195"/>
    <mergeCell ref="W195:Y195"/>
    <mergeCell ref="Z195:AC195"/>
    <mergeCell ref="C194:F194"/>
    <mergeCell ref="H194:J194"/>
    <mergeCell ref="K194:P194"/>
    <mergeCell ref="Q194:V194"/>
    <mergeCell ref="W194:Y194"/>
    <mergeCell ref="Z200:AC200"/>
    <mergeCell ref="C201:F201"/>
    <mergeCell ref="H201:J201"/>
    <mergeCell ref="K201:P201"/>
    <mergeCell ref="Q201:V201"/>
    <mergeCell ref="W201:Y201"/>
    <mergeCell ref="Z201:AC201"/>
    <mergeCell ref="C200:F200"/>
    <mergeCell ref="H200:J200"/>
    <mergeCell ref="K200:P200"/>
    <mergeCell ref="Q200:V200"/>
    <mergeCell ref="W200:Y200"/>
    <mergeCell ref="Z198:AC198"/>
    <mergeCell ref="C199:F199"/>
    <mergeCell ref="H199:J199"/>
    <mergeCell ref="K199:P199"/>
    <mergeCell ref="Q199:V199"/>
    <mergeCell ref="W199:Y199"/>
    <mergeCell ref="Z199:AC199"/>
    <mergeCell ref="C198:F198"/>
    <mergeCell ref="H198:J198"/>
    <mergeCell ref="K198:P198"/>
    <mergeCell ref="Q198:V198"/>
    <mergeCell ref="W198:Y198"/>
    <mergeCell ref="Z204:AC204"/>
    <mergeCell ref="C205:F205"/>
    <mergeCell ref="H205:J205"/>
    <mergeCell ref="K205:P205"/>
    <mergeCell ref="Q205:V205"/>
    <mergeCell ref="W205:Y205"/>
    <mergeCell ref="Z205:AC205"/>
    <mergeCell ref="C204:F204"/>
    <mergeCell ref="H204:J204"/>
    <mergeCell ref="K204:P204"/>
    <mergeCell ref="Q204:V204"/>
    <mergeCell ref="W204:Y204"/>
    <mergeCell ref="Z202:AC202"/>
    <mergeCell ref="C203:F203"/>
    <mergeCell ref="H203:J203"/>
    <mergeCell ref="K203:P203"/>
    <mergeCell ref="Q203:V203"/>
    <mergeCell ref="W203:Y203"/>
    <mergeCell ref="Z203:AC203"/>
    <mergeCell ref="C202:F202"/>
    <mergeCell ref="H202:J202"/>
    <mergeCell ref="K202:P202"/>
    <mergeCell ref="Q202:V202"/>
    <mergeCell ref="W202:Y202"/>
    <mergeCell ref="Z208:AC208"/>
    <mergeCell ref="C209:F209"/>
    <mergeCell ref="H209:J209"/>
    <mergeCell ref="K209:P209"/>
    <mergeCell ref="Q209:V209"/>
    <mergeCell ref="W209:Y209"/>
    <mergeCell ref="Z209:AC209"/>
    <mergeCell ref="C208:F208"/>
    <mergeCell ref="H208:J208"/>
    <mergeCell ref="K208:P208"/>
    <mergeCell ref="Q208:V208"/>
    <mergeCell ref="W208:Y208"/>
    <mergeCell ref="Z206:AC206"/>
    <mergeCell ref="C207:F207"/>
    <mergeCell ref="H207:J207"/>
    <mergeCell ref="K207:P207"/>
    <mergeCell ref="Q207:V207"/>
    <mergeCell ref="W207:Y207"/>
    <mergeCell ref="Z207:AC207"/>
    <mergeCell ref="C206:F206"/>
    <mergeCell ref="H206:J206"/>
    <mergeCell ref="K206:P206"/>
    <mergeCell ref="Q206:V206"/>
    <mergeCell ref="W206:Y206"/>
    <mergeCell ref="Z212:AC212"/>
    <mergeCell ref="C213:F213"/>
    <mergeCell ref="H213:J213"/>
    <mergeCell ref="K213:P213"/>
    <mergeCell ref="Q213:V213"/>
    <mergeCell ref="W213:Y213"/>
    <mergeCell ref="Z213:AC213"/>
    <mergeCell ref="C212:F212"/>
    <mergeCell ref="H212:J212"/>
    <mergeCell ref="K212:P212"/>
    <mergeCell ref="Q212:V212"/>
    <mergeCell ref="W212:Y212"/>
    <mergeCell ref="Z210:AC210"/>
    <mergeCell ref="C211:F211"/>
    <mergeCell ref="H211:J211"/>
    <mergeCell ref="K211:P211"/>
    <mergeCell ref="Q211:V211"/>
    <mergeCell ref="W211:Y211"/>
    <mergeCell ref="Z211:AC211"/>
    <mergeCell ref="C210:F210"/>
    <mergeCell ref="H210:J210"/>
    <mergeCell ref="K210:P210"/>
    <mergeCell ref="Q210:V210"/>
    <mergeCell ref="W210:Y210"/>
    <mergeCell ref="Z216:AC216"/>
    <mergeCell ref="C217:F217"/>
    <mergeCell ref="H217:J217"/>
    <mergeCell ref="K217:P217"/>
    <mergeCell ref="Q217:V217"/>
    <mergeCell ref="W217:Y217"/>
    <mergeCell ref="Z217:AC217"/>
    <mergeCell ref="C216:F216"/>
    <mergeCell ref="H216:J216"/>
    <mergeCell ref="K216:P216"/>
    <mergeCell ref="Q216:V216"/>
    <mergeCell ref="W216:Y216"/>
    <mergeCell ref="Z214:AC214"/>
    <mergeCell ref="C215:F215"/>
    <mergeCell ref="H215:J215"/>
    <mergeCell ref="K215:P215"/>
    <mergeCell ref="Q215:V215"/>
    <mergeCell ref="W215:Y215"/>
    <mergeCell ref="Z215:AC215"/>
    <mergeCell ref="C214:F214"/>
    <mergeCell ref="H214:J214"/>
    <mergeCell ref="K214:P214"/>
    <mergeCell ref="Q214:V214"/>
    <mergeCell ref="W214:Y214"/>
    <mergeCell ref="Z220:AC220"/>
    <mergeCell ref="C221:F221"/>
    <mergeCell ref="H221:J221"/>
    <mergeCell ref="K221:P221"/>
    <mergeCell ref="Q221:V221"/>
    <mergeCell ref="W221:Y221"/>
    <mergeCell ref="Z221:AC221"/>
    <mergeCell ref="C220:F220"/>
    <mergeCell ref="H220:J220"/>
    <mergeCell ref="K220:P220"/>
    <mergeCell ref="Q220:V220"/>
    <mergeCell ref="W220:Y220"/>
    <mergeCell ref="Z218:AC218"/>
    <mergeCell ref="C219:F219"/>
    <mergeCell ref="H219:J219"/>
    <mergeCell ref="K219:P219"/>
    <mergeCell ref="Q219:V219"/>
    <mergeCell ref="W219:Y219"/>
    <mergeCell ref="Z219:AC219"/>
    <mergeCell ref="C218:F218"/>
    <mergeCell ref="H218:J218"/>
    <mergeCell ref="K218:P218"/>
    <mergeCell ref="Q218:V218"/>
    <mergeCell ref="W218:Y218"/>
    <mergeCell ref="Z224:AC224"/>
    <mergeCell ref="C225:F225"/>
    <mergeCell ref="H225:J225"/>
    <mergeCell ref="K225:P225"/>
    <mergeCell ref="Q225:V225"/>
    <mergeCell ref="W225:Y225"/>
    <mergeCell ref="Z225:AC225"/>
    <mergeCell ref="C224:F224"/>
    <mergeCell ref="H224:J224"/>
    <mergeCell ref="K224:P224"/>
    <mergeCell ref="Q224:V224"/>
    <mergeCell ref="W224:Y224"/>
    <mergeCell ref="Z222:AC222"/>
    <mergeCell ref="C223:F223"/>
    <mergeCell ref="H223:J223"/>
    <mergeCell ref="K223:P223"/>
    <mergeCell ref="Q223:V223"/>
    <mergeCell ref="W223:Y223"/>
    <mergeCell ref="Z223:AC223"/>
    <mergeCell ref="C222:F222"/>
    <mergeCell ref="H222:J222"/>
    <mergeCell ref="K222:P222"/>
    <mergeCell ref="Q222:V222"/>
    <mergeCell ref="W222:Y222"/>
    <mergeCell ref="Z228:AC228"/>
    <mergeCell ref="C229:F229"/>
    <mergeCell ref="H229:J229"/>
    <mergeCell ref="K229:P229"/>
    <mergeCell ref="Q229:V229"/>
    <mergeCell ref="W229:Y229"/>
    <mergeCell ref="Z229:AC229"/>
    <mergeCell ref="C228:F228"/>
    <mergeCell ref="H228:J228"/>
    <mergeCell ref="K228:P228"/>
    <mergeCell ref="Q228:V228"/>
    <mergeCell ref="W228:Y228"/>
    <mergeCell ref="Z226:AC226"/>
    <mergeCell ref="C227:F227"/>
    <mergeCell ref="H227:J227"/>
    <mergeCell ref="K227:P227"/>
    <mergeCell ref="Q227:V227"/>
    <mergeCell ref="W227:Y227"/>
    <mergeCell ref="Z227:AC227"/>
    <mergeCell ref="C226:F226"/>
    <mergeCell ref="H226:J226"/>
    <mergeCell ref="K226:P226"/>
    <mergeCell ref="Q226:V226"/>
    <mergeCell ref="W226:Y226"/>
    <mergeCell ref="Z232:AC232"/>
    <mergeCell ref="C233:F233"/>
    <mergeCell ref="H233:J233"/>
    <mergeCell ref="K233:P233"/>
    <mergeCell ref="Q233:V233"/>
    <mergeCell ref="W233:Y233"/>
    <mergeCell ref="Z233:AC233"/>
    <mergeCell ref="C232:F232"/>
    <mergeCell ref="H232:J232"/>
    <mergeCell ref="K232:P232"/>
    <mergeCell ref="Q232:V232"/>
    <mergeCell ref="W232:Y232"/>
    <mergeCell ref="Z230:AC230"/>
    <mergeCell ref="C231:F231"/>
    <mergeCell ref="H231:J231"/>
    <mergeCell ref="K231:P231"/>
    <mergeCell ref="Q231:V231"/>
    <mergeCell ref="W231:Y231"/>
    <mergeCell ref="Z231:AC231"/>
    <mergeCell ref="C230:F230"/>
    <mergeCell ref="H230:J230"/>
    <mergeCell ref="K230:P230"/>
    <mergeCell ref="Q230:V230"/>
    <mergeCell ref="W230:Y230"/>
    <mergeCell ref="Z236:AC236"/>
    <mergeCell ref="C237:F237"/>
    <mergeCell ref="H237:J237"/>
    <mergeCell ref="K237:P237"/>
    <mergeCell ref="Q237:V237"/>
    <mergeCell ref="W237:Y237"/>
    <mergeCell ref="Z237:AC237"/>
    <mergeCell ref="C236:F236"/>
    <mergeCell ref="H236:J236"/>
    <mergeCell ref="K236:P236"/>
    <mergeCell ref="Q236:V236"/>
    <mergeCell ref="W236:Y236"/>
    <mergeCell ref="Z234:AC234"/>
    <mergeCell ref="C235:F235"/>
    <mergeCell ref="H235:J235"/>
    <mergeCell ref="K235:P235"/>
    <mergeCell ref="Q235:V235"/>
    <mergeCell ref="W235:Y235"/>
    <mergeCell ref="Z235:AC235"/>
    <mergeCell ref="C234:F234"/>
    <mergeCell ref="H234:J234"/>
    <mergeCell ref="K234:P234"/>
    <mergeCell ref="Q234:V234"/>
    <mergeCell ref="W234:Y234"/>
    <mergeCell ref="Z240:AC240"/>
    <mergeCell ref="C241:F241"/>
    <mergeCell ref="H241:J241"/>
    <mergeCell ref="K241:P241"/>
    <mergeCell ref="Q241:V241"/>
    <mergeCell ref="W241:Y241"/>
    <mergeCell ref="Z241:AC241"/>
    <mergeCell ref="C240:F240"/>
    <mergeCell ref="H240:J240"/>
    <mergeCell ref="K240:P240"/>
    <mergeCell ref="Q240:V240"/>
    <mergeCell ref="W240:Y240"/>
    <mergeCell ref="Z238:AC238"/>
    <mergeCell ref="C239:F239"/>
    <mergeCell ref="H239:J239"/>
    <mergeCell ref="K239:P239"/>
    <mergeCell ref="Q239:V239"/>
    <mergeCell ref="W239:Y239"/>
    <mergeCell ref="Z239:AC239"/>
    <mergeCell ref="C238:F238"/>
    <mergeCell ref="H238:J238"/>
    <mergeCell ref="K238:P238"/>
    <mergeCell ref="Q238:V238"/>
    <mergeCell ref="W238:Y238"/>
    <mergeCell ref="Z244:AC244"/>
    <mergeCell ref="C245:F245"/>
    <mergeCell ref="H245:J245"/>
    <mergeCell ref="K245:P245"/>
    <mergeCell ref="Q245:V245"/>
    <mergeCell ref="W245:Y245"/>
    <mergeCell ref="Z245:AC245"/>
    <mergeCell ref="C244:F244"/>
    <mergeCell ref="H244:J244"/>
    <mergeCell ref="K244:P244"/>
    <mergeCell ref="Q244:V244"/>
    <mergeCell ref="W244:Y244"/>
    <mergeCell ref="Z242:AC242"/>
    <mergeCell ref="C243:F243"/>
    <mergeCell ref="H243:J243"/>
    <mergeCell ref="K243:P243"/>
    <mergeCell ref="Q243:V243"/>
    <mergeCell ref="W243:Y243"/>
    <mergeCell ref="Z243:AC243"/>
    <mergeCell ref="C242:F242"/>
    <mergeCell ref="H242:J242"/>
    <mergeCell ref="K242:P242"/>
    <mergeCell ref="Q242:V242"/>
    <mergeCell ref="W242:Y242"/>
    <mergeCell ref="Z248:AC248"/>
    <mergeCell ref="C249:F249"/>
    <mergeCell ref="H249:J249"/>
    <mergeCell ref="K249:P249"/>
    <mergeCell ref="Q249:V249"/>
    <mergeCell ref="W249:Y249"/>
    <mergeCell ref="Z249:AC249"/>
    <mergeCell ref="C248:F248"/>
    <mergeCell ref="H248:J248"/>
    <mergeCell ref="K248:P248"/>
    <mergeCell ref="Q248:V248"/>
    <mergeCell ref="W248:Y248"/>
    <mergeCell ref="Z246:AC246"/>
    <mergeCell ref="C247:F247"/>
    <mergeCell ref="H247:J247"/>
    <mergeCell ref="K247:P247"/>
    <mergeCell ref="Q247:V247"/>
    <mergeCell ref="W247:Y247"/>
    <mergeCell ref="Z247:AC247"/>
    <mergeCell ref="C246:F246"/>
    <mergeCell ref="H246:J246"/>
    <mergeCell ref="K246:P246"/>
    <mergeCell ref="Q246:V246"/>
    <mergeCell ref="W246:Y246"/>
    <mergeCell ref="Z252:AC252"/>
    <mergeCell ref="C253:F253"/>
    <mergeCell ref="H253:J253"/>
    <mergeCell ref="K253:P253"/>
    <mergeCell ref="Q253:V253"/>
    <mergeCell ref="W253:Y253"/>
    <mergeCell ref="Z253:AC253"/>
    <mergeCell ref="C252:F252"/>
    <mergeCell ref="H252:J252"/>
    <mergeCell ref="K252:P252"/>
    <mergeCell ref="Q252:V252"/>
    <mergeCell ref="W252:Y252"/>
    <mergeCell ref="Z250:AC250"/>
    <mergeCell ref="C251:F251"/>
    <mergeCell ref="H251:J251"/>
    <mergeCell ref="K251:P251"/>
    <mergeCell ref="Q251:V251"/>
    <mergeCell ref="W251:Y251"/>
    <mergeCell ref="Z251:AC251"/>
    <mergeCell ref="C250:F250"/>
    <mergeCell ref="H250:J250"/>
    <mergeCell ref="K250:P250"/>
    <mergeCell ref="Q250:V250"/>
    <mergeCell ref="W250:Y250"/>
    <mergeCell ref="Z256:AC256"/>
    <mergeCell ref="C257:F257"/>
    <mergeCell ref="H257:J257"/>
    <mergeCell ref="K257:P257"/>
    <mergeCell ref="Q257:V257"/>
    <mergeCell ref="W257:Y257"/>
    <mergeCell ref="Z257:AC257"/>
    <mergeCell ref="C256:F256"/>
    <mergeCell ref="H256:J256"/>
    <mergeCell ref="K256:P256"/>
    <mergeCell ref="Q256:V256"/>
    <mergeCell ref="W256:Y256"/>
    <mergeCell ref="Z254:AC254"/>
    <mergeCell ref="C255:F255"/>
    <mergeCell ref="H255:J255"/>
    <mergeCell ref="K255:P255"/>
    <mergeCell ref="Q255:V255"/>
    <mergeCell ref="W255:Y255"/>
    <mergeCell ref="Z255:AC255"/>
    <mergeCell ref="C254:F254"/>
    <mergeCell ref="H254:J254"/>
    <mergeCell ref="K254:P254"/>
    <mergeCell ref="Q254:V254"/>
    <mergeCell ref="W254:Y254"/>
    <mergeCell ref="Z260:AC260"/>
    <mergeCell ref="C261:F261"/>
    <mergeCell ref="H261:J261"/>
    <mergeCell ref="K261:P261"/>
    <mergeCell ref="Q261:V261"/>
    <mergeCell ref="W261:Y261"/>
    <mergeCell ref="Z261:AC261"/>
    <mergeCell ref="C260:F260"/>
    <mergeCell ref="H260:J260"/>
    <mergeCell ref="K260:P260"/>
    <mergeCell ref="Q260:V260"/>
    <mergeCell ref="W260:Y260"/>
    <mergeCell ref="Z258:AC258"/>
    <mergeCell ref="C259:F259"/>
    <mergeCell ref="H259:J259"/>
    <mergeCell ref="K259:P259"/>
    <mergeCell ref="Q259:V259"/>
    <mergeCell ref="W259:Y259"/>
    <mergeCell ref="Z259:AC259"/>
    <mergeCell ref="C258:F258"/>
    <mergeCell ref="H258:J258"/>
    <mergeCell ref="K258:P258"/>
    <mergeCell ref="Q258:V258"/>
    <mergeCell ref="W258:Y258"/>
    <mergeCell ref="Z264:AC264"/>
    <mergeCell ref="C265:F265"/>
    <mergeCell ref="H265:J265"/>
    <mergeCell ref="K265:P265"/>
    <mergeCell ref="Q265:V265"/>
    <mergeCell ref="W265:Y265"/>
    <mergeCell ref="Z265:AC265"/>
    <mergeCell ref="C264:F264"/>
    <mergeCell ref="H264:J264"/>
    <mergeCell ref="K264:P264"/>
    <mergeCell ref="Q264:V264"/>
    <mergeCell ref="W264:Y264"/>
    <mergeCell ref="Z262:AC262"/>
    <mergeCell ref="C263:F263"/>
    <mergeCell ref="H263:J263"/>
    <mergeCell ref="K263:P263"/>
    <mergeCell ref="Q263:V263"/>
    <mergeCell ref="W263:Y263"/>
    <mergeCell ref="Z263:AC263"/>
    <mergeCell ref="C262:F262"/>
    <mergeCell ref="H262:J262"/>
    <mergeCell ref="K262:P262"/>
    <mergeCell ref="Q262:V262"/>
    <mergeCell ref="W262:Y262"/>
    <mergeCell ref="Z268:AC268"/>
    <mergeCell ref="C269:F269"/>
    <mergeCell ref="H269:J269"/>
    <mergeCell ref="K269:P269"/>
    <mergeCell ref="Q269:V269"/>
    <mergeCell ref="W269:Y269"/>
    <mergeCell ref="Z269:AC269"/>
    <mergeCell ref="C268:F268"/>
    <mergeCell ref="H268:J268"/>
    <mergeCell ref="K268:P268"/>
    <mergeCell ref="Q268:V268"/>
    <mergeCell ref="W268:Y268"/>
    <mergeCell ref="Z266:AC266"/>
    <mergeCell ref="C267:F267"/>
    <mergeCell ref="H267:J267"/>
    <mergeCell ref="K267:P267"/>
    <mergeCell ref="Q267:V267"/>
    <mergeCell ref="W267:Y267"/>
    <mergeCell ref="Z267:AC267"/>
    <mergeCell ref="C266:F266"/>
    <mergeCell ref="H266:J266"/>
    <mergeCell ref="K266:P266"/>
    <mergeCell ref="Q266:V266"/>
    <mergeCell ref="W266:Y266"/>
    <mergeCell ref="Z272:AC272"/>
    <mergeCell ref="C273:F273"/>
    <mergeCell ref="H273:J273"/>
    <mergeCell ref="K273:P273"/>
    <mergeCell ref="Q273:V273"/>
    <mergeCell ref="W273:Y273"/>
    <mergeCell ref="Z273:AC273"/>
    <mergeCell ref="C272:F272"/>
    <mergeCell ref="H272:J272"/>
    <mergeCell ref="K272:P272"/>
    <mergeCell ref="Q272:V272"/>
    <mergeCell ref="W272:Y272"/>
    <mergeCell ref="Z270:AC270"/>
    <mergeCell ref="C271:F271"/>
    <mergeCell ref="H271:J271"/>
    <mergeCell ref="K271:P271"/>
    <mergeCell ref="Q271:V271"/>
    <mergeCell ref="W271:Y271"/>
    <mergeCell ref="Z271:AC271"/>
    <mergeCell ref="C270:F270"/>
    <mergeCell ref="H270:J270"/>
    <mergeCell ref="K270:P270"/>
    <mergeCell ref="Q270:V270"/>
    <mergeCell ref="W270:Y270"/>
    <mergeCell ref="Z276:AC276"/>
    <mergeCell ref="C277:F277"/>
    <mergeCell ref="H277:J277"/>
    <mergeCell ref="K277:P277"/>
    <mergeCell ref="Q277:V277"/>
    <mergeCell ref="W277:Y277"/>
    <mergeCell ref="Z277:AC277"/>
    <mergeCell ref="C276:F276"/>
    <mergeCell ref="H276:J276"/>
    <mergeCell ref="K276:P276"/>
    <mergeCell ref="Q276:V276"/>
    <mergeCell ref="W276:Y276"/>
    <mergeCell ref="Z274:AC274"/>
    <mergeCell ref="C275:F275"/>
    <mergeCell ref="H275:J275"/>
    <mergeCell ref="K275:P275"/>
    <mergeCell ref="Q275:V275"/>
    <mergeCell ref="W275:Y275"/>
    <mergeCell ref="Z275:AC275"/>
    <mergeCell ref="C274:F274"/>
    <mergeCell ref="H274:J274"/>
    <mergeCell ref="K274:P274"/>
    <mergeCell ref="Q274:V274"/>
    <mergeCell ref="W274:Y274"/>
    <mergeCell ref="Z280:AC280"/>
    <mergeCell ref="C281:F281"/>
    <mergeCell ref="H281:J281"/>
    <mergeCell ref="K281:P281"/>
    <mergeCell ref="Q281:V281"/>
    <mergeCell ref="W281:Y281"/>
    <mergeCell ref="Z281:AC281"/>
    <mergeCell ref="C280:F280"/>
    <mergeCell ref="H280:J280"/>
    <mergeCell ref="K280:P280"/>
    <mergeCell ref="Q280:V280"/>
    <mergeCell ref="W280:Y280"/>
    <mergeCell ref="Z278:AC278"/>
    <mergeCell ref="C279:F279"/>
    <mergeCell ref="H279:J279"/>
    <mergeCell ref="K279:P279"/>
    <mergeCell ref="Q279:V279"/>
    <mergeCell ref="W279:Y279"/>
    <mergeCell ref="Z279:AC279"/>
    <mergeCell ref="C278:F278"/>
    <mergeCell ref="H278:J278"/>
    <mergeCell ref="K278:P278"/>
    <mergeCell ref="Q278:V278"/>
    <mergeCell ref="W278:Y278"/>
    <mergeCell ref="Z284:AC284"/>
    <mergeCell ref="C285:F285"/>
    <mergeCell ref="H285:J285"/>
    <mergeCell ref="K285:P285"/>
    <mergeCell ref="Q285:V285"/>
    <mergeCell ref="W285:Y285"/>
    <mergeCell ref="Z285:AC285"/>
    <mergeCell ref="C284:F284"/>
    <mergeCell ref="H284:J284"/>
    <mergeCell ref="K284:P284"/>
    <mergeCell ref="Q284:V284"/>
    <mergeCell ref="W284:Y284"/>
    <mergeCell ref="Z282:AC282"/>
    <mergeCell ref="C283:F283"/>
    <mergeCell ref="H283:J283"/>
    <mergeCell ref="K283:P283"/>
    <mergeCell ref="Q283:V283"/>
    <mergeCell ref="W283:Y283"/>
    <mergeCell ref="Z283:AC283"/>
    <mergeCell ref="C282:F282"/>
    <mergeCell ref="H282:J282"/>
    <mergeCell ref="K282:P282"/>
    <mergeCell ref="Q282:V282"/>
    <mergeCell ref="W282:Y282"/>
    <mergeCell ref="Z288:AC288"/>
    <mergeCell ref="C289:F289"/>
    <mergeCell ref="H289:J289"/>
    <mergeCell ref="K289:P289"/>
    <mergeCell ref="Q289:V289"/>
    <mergeCell ref="W289:Y289"/>
    <mergeCell ref="Z289:AC289"/>
    <mergeCell ref="C288:F288"/>
    <mergeCell ref="H288:J288"/>
    <mergeCell ref="K288:P288"/>
    <mergeCell ref="Q288:V288"/>
    <mergeCell ref="W288:Y288"/>
    <mergeCell ref="Z286:AC286"/>
    <mergeCell ref="C287:F287"/>
    <mergeCell ref="H287:J287"/>
    <mergeCell ref="K287:P287"/>
    <mergeCell ref="Q287:V287"/>
    <mergeCell ref="W287:Y287"/>
    <mergeCell ref="Z287:AC287"/>
    <mergeCell ref="C286:F286"/>
    <mergeCell ref="H286:J286"/>
    <mergeCell ref="K286:P286"/>
    <mergeCell ref="Q286:V286"/>
    <mergeCell ref="W286:Y286"/>
    <mergeCell ref="Z292:AC292"/>
    <mergeCell ref="C293:F293"/>
    <mergeCell ref="H293:J293"/>
    <mergeCell ref="K293:P293"/>
    <mergeCell ref="Q293:V293"/>
    <mergeCell ref="W293:Y293"/>
    <mergeCell ref="Z293:AC293"/>
    <mergeCell ref="C292:F292"/>
    <mergeCell ref="H292:J292"/>
    <mergeCell ref="K292:P292"/>
    <mergeCell ref="Q292:V292"/>
    <mergeCell ref="W292:Y292"/>
    <mergeCell ref="Z290:AC290"/>
    <mergeCell ref="C291:F291"/>
    <mergeCell ref="H291:J291"/>
    <mergeCell ref="K291:P291"/>
    <mergeCell ref="Q291:V291"/>
    <mergeCell ref="W291:Y291"/>
    <mergeCell ref="Z291:AC291"/>
    <mergeCell ref="C290:F290"/>
    <mergeCell ref="H290:J290"/>
    <mergeCell ref="K290:P290"/>
    <mergeCell ref="Q290:V290"/>
    <mergeCell ref="W290:Y290"/>
    <mergeCell ref="Z296:AC296"/>
    <mergeCell ref="C297:F297"/>
    <mergeCell ref="H297:J297"/>
    <mergeCell ref="K297:P297"/>
    <mergeCell ref="Q297:V297"/>
    <mergeCell ref="W297:Y297"/>
    <mergeCell ref="Z297:AC297"/>
    <mergeCell ref="C296:F296"/>
    <mergeCell ref="H296:J296"/>
    <mergeCell ref="K296:P296"/>
    <mergeCell ref="Q296:V296"/>
    <mergeCell ref="W296:Y296"/>
    <mergeCell ref="Z294:AC294"/>
    <mergeCell ref="C295:F295"/>
    <mergeCell ref="H295:J295"/>
    <mergeCell ref="K295:P295"/>
    <mergeCell ref="Q295:V295"/>
    <mergeCell ref="W295:Y295"/>
    <mergeCell ref="Z295:AC295"/>
    <mergeCell ref="C294:F294"/>
    <mergeCell ref="H294:J294"/>
    <mergeCell ref="K294:P294"/>
    <mergeCell ref="Q294:V294"/>
    <mergeCell ref="W294:Y294"/>
    <mergeCell ref="Z300:AC300"/>
    <mergeCell ref="C301:F301"/>
    <mergeCell ref="H301:J301"/>
    <mergeCell ref="K301:P301"/>
    <mergeCell ref="Q301:V301"/>
    <mergeCell ref="W301:Y301"/>
    <mergeCell ref="Z301:AC301"/>
    <mergeCell ref="C300:F300"/>
    <mergeCell ref="H300:J300"/>
    <mergeCell ref="K300:P300"/>
    <mergeCell ref="Q300:V300"/>
    <mergeCell ref="W300:Y300"/>
    <mergeCell ref="Z298:AC298"/>
    <mergeCell ref="C299:F299"/>
    <mergeCell ref="H299:J299"/>
    <mergeCell ref="K299:P299"/>
    <mergeCell ref="Q299:V299"/>
    <mergeCell ref="W299:Y299"/>
    <mergeCell ref="Z299:AC299"/>
    <mergeCell ref="C298:F298"/>
    <mergeCell ref="H298:J298"/>
    <mergeCell ref="K298:P298"/>
    <mergeCell ref="Q298:V298"/>
    <mergeCell ref="W298:Y298"/>
    <mergeCell ref="Z304:AC304"/>
    <mergeCell ref="C305:F305"/>
    <mergeCell ref="H305:J305"/>
    <mergeCell ref="K305:P305"/>
    <mergeCell ref="Q305:V305"/>
    <mergeCell ref="W305:Y305"/>
    <mergeCell ref="Z305:AC305"/>
    <mergeCell ref="C304:F304"/>
    <mergeCell ref="H304:J304"/>
    <mergeCell ref="K304:P304"/>
    <mergeCell ref="Q304:V304"/>
    <mergeCell ref="W304:Y304"/>
    <mergeCell ref="Z302:AC302"/>
    <mergeCell ref="C303:F303"/>
    <mergeCell ref="H303:J303"/>
    <mergeCell ref="K303:P303"/>
    <mergeCell ref="Q303:V303"/>
    <mergeCell ref="W303:Y303"/>
    <mergeCell ref="Z303:AC303"/>
    <mergeCell ref="C302:F302"/>
    <mergeCell ref="H302:J302"/>
    <mergeCell ref="K302:P302"/>
    <mergeCell ref="Q302:V302"/>
    <mergeCell ref="W302:Y302"/>
    <mergeCell ref="Z308:AC308"/>
    <mergeCell ref="C309:F309"/>
    <mergeCell ref="H309:J309"/>
    <mergeCell ref="K309:P309"/>
    <mergeCell ref="Q309:V309"/>
    <mergeCell ref="W309:Y309"/>
    <mergeCell ref="Z309:AC309"/>
    <mergeCell ref="C308:F308"/>
    <mergeCell ref="H308:J308"/>
    <mergeCell ref="K308:P308"/>
    <mergeCell ref="Q308:V308"/>
    <mergeCell ref="W308:Y308"/>
    <mergeCell ref="Z306:AC306"/>
    <mergeCell ref="C307:F307"/>
    <mergeCell ref="H307:J307"/>
    <mergeCell ref="K307:P307"/>
    <mergeCell ref="Q307:V307"/>
    <mergeCell ref="W307:Y307"/>
    <mergeCell ref="Z307:AC307"/>
    <mergeCell ref="C306:F306"/>
    <mergeCell ref="H306:J306"/>
    <mergeCell ref="K306:P306"/>
    <mergeCell ref="Q306:V306"/>
    <mergeCell ref="W306:Y306"/>
    <mergeCell ref="Z312:AC312"/>
    <mergeCell ref="C313:F313"/>
    <mergeCell ref="H313:J313"/>
    <mergeCell ref="K313:P313"/>
    <mergeCell ref="Q313:V313"/>
    <mergeCell ref="W313:Y313"/>
    <mergeCell ref="Z313:AC313"/>
    <mergeCell ref="C312:F312"/>
    <mergeCell ref="H312:J312"/>
    <mergeCell ref="K312:P312"/>
    <mergeCell ref="Q312:V312"/>
    <mergeCell ref="W312:Y312"/>
    <mergeCell ref="Z310:AC310"/>
    <mergeCell ref="C311:F311"/>
    <mergeCell ref="H311:J311"/>
    <mergeCell ref="K311:P311"/>
    <mergeCell ref="Q311:V311"/>
    <mergeCell ref="W311:Y311"/>
    <mergeCell ref="Z311:AC311"/>
    <mergeCell ref="C310:F310"/>
    <mergeCell ref="H310:J310"/>
    <mergeCell ref="K310:P310"/>
    <mergeCell ref="Q310:V310"/>
    <mergeCell ref="W310:Y310"/>
    <mergeCell ref="Z316:AC316"/>
    <mergeCell ref="C317:F317"/>
    <mergeCell ref="H317:J317"/>
    <mergeCell ref="K317:P317"/>
    <mergeCell ref="Q317:V317"/>
    <mergeCell ref="W317:Y317"/>
    <mergeCell ref="Z317:AC317"/>
    <mergeCell ref="C316:F316"/>
    <mergeCell ref="H316:J316"/>
    <mergeCell ref="K316:P316"/>
    <mergeCell ref="Q316:V316"/>
    <mergeCell ref="W316:Y316"/>
    <mergeCell ref="Z314:AC314"/>
    <mergeCell ref="C315:F315"/>
    <mergeCell ref="H315:J315"/>
    <mergeCell ref="K315:P315"/>
    <mergeCell ref="Q315:V315"/>
    <mergeCell ref="W315:Y315"/>
    <mergeCell ref="Z315:AC315"/>
    <mergeCell ref="C314:F314"/>
    <mergeCell ref="H314:J314"/>
    <mergeCell ref="K314:P314"/>
    <mergeCell ref="Q314:V314"/>
    <mergeCell ref="W314:Y314"/>
    <mergeCell ref="Z320:AC320"/>
    <mergeCell ref="C321:F321"/>
    <mergeCell ref="H321:J321"/>
    <mergeCell ref="K321:P321"/>
    <mergeCell ref="Q321:V321"/>
    <mergeCell ref="W321:Y321"/>
    <mergeCell ref="Z321:AC321"/>
    <mergeCell ref="C320:F320"/>
    <mergeCell ref="H320:J320"/>
    <mergeCell ref="K320:P320"/>
    <mergeCell ref="Q320:V320"/>
    <mergeCell ref="W320:Y320"/>
    <mergeCell ref="Z318:AC318"/>
    <mergeCell ref="C319:F319"/>
    <mergeCell ref="H319:J319"/>
    <mergeCell ref="K319:P319"/>
    <mergeCell ref="Q319:V319"/>
    <mergeCell ref="W319:Y319"/>
    <mergeCell ref="Z319:AC319"/>
    <mergeCell ref="C318:F318"/>
    <mergeCell ref="H318:J318"/>
    <mergeCell ref="K318:P318"/>
    <mergeCell ref="Q318:V318"/>
    <mergeCell ref="W318:Y318"/>
    <mergeCell ref="Z324:AC324"/>
    <mergeCell ref="C325:F325"/>
    <mergeCell ref="H325:J325"/>
    <mergeCell ref="K325:P325"/>
    <mergeCell ref="Q325:V325"/>
    <mergeCell ref="W325:Y325"/>
    <mergeCell ref="Z325:AC325"/>
    <mergeCell ref="C324:F324"/>
    <mergeCell ref="H324:J324"/>
    <mergeCell ref="K324:P324"/>
    <mergeCell ref="Q324:V324"/>
    <mergeCell ref="W324:Y324"/>
    <mergeCell ref="Z322:AC322"/>
    <mergeCell ref="C323:F323"/>
    <mergeCell ref="H323:J323"/>
    <mergeCell ref="K323:P323"/>
    <mergeCell ref="Q323:V323"/>
    <mergeCell ref="W323:Y323"/>
    <mergeCell ref="Z323:AC323"/>
    <mergeCell ref="C322:F322"/>
    <mergeCell ref="H322:J322"/>
    <mergeCell ref="K322:P322"/>
    <mergeCell ref="Q322:V322"/>
    <mergeCell ref="W322:Y322"/>
    <mergeCell ref="Z328:AC328"/>
    <mergeCell ref="C329:F329"/>
    <mergeCell ref="H329:J329"/>
    <mergeCell ref="K329:P329"/>
    <mergeCell ref="Q329:V329"/>
    <mergeCell ref="W329:Y329"/>
    <mergeCell ref="Z329:AC329"/>
    <mergeCell ref="C328:F328"/>
    <mergeCell ref="H328:J328"/>
    <mergeCell ref="K328:P328"/>
    <mergeCell ref="Q328:V328"/>
    <mergeCell ref="W328:Y328"/>
    <mergeCell ref="Z326:AC326"/>
    <mergeCell ref="C327:F327"/>
    <mergeCell ref="H327:J327"/>
    <mergeCell ref="K327:P327"/>
    <mergeCell ref="Q327:V327"/>
    <mergeCell ref="W327:Y327"/>
    <mergeCell ref="Z327:AC327"/>
    <mergeCell ref="C326:F326"/>
    <mergeCell ref="H326:J326"/>
    <mergeCell ref="K326:P326"/>
    <mergeCell ref="Q326:V326"/>
    <mergeCell ref="W326:Y326"/>
    <mergeCell ref="Z332:AC332"/>
    <mergeCell ref="C333:F333"/>
    <mergeCell ref="H333:J333"/>
    <mergeCell ref="K333:P333"/>
    <mergeCell ref="Q333:V333"/>
    <mergeCell ref="W333:Y333"/>
    <mergeCell ref="Z333:AC333"/>
    <mergeCell ref="C332:F332"/>
    <mergeCell ref="H332:J332"/>
    <mergeCell ref="K332:P332"/>
    <mergeCell ref="Q332:V332"/>
    <mergeCell ref="W332:Y332"/>
    <mergeCell ref="Z330:AC330"/>
    <mergeCell ref="C331:F331"/>
    <mergeCell ref="H331:J331"/>
    <mergeCell ref="K331:P331"/>
    <mergeCell ref="Q331:V331"/>
    <mergeCell ref="W331:Y331"/>
    <mergeCell ref="Z331:AC331"/>
    <mergeCell ref="C330:F330"/>
    <mergeCell ref="H330:J330"/>
    <mergeCell ref="K330:P330"/>
    <mergeCell ref="Q330:V330"/>
    <mergeCell ref="W330:Y330"/>
    <mergeCell ref="Z336:AC336"/>
    <mergeCell ref="C337:F337"/>
    <mergeCell ref="H337:J337"/>
    <mergeCell ref="K337:P337"/>
    <mergeCell ref="Q337:V337"/>
    <mergeCell ref="W337:Y337"/>
    <mergeCell ref="Z337:AC337"/>
    <mergeCell ref="C336:F336"/>
    <mergeCell ref="H336:J336"/>
    <mergeCell ref="K336:P336"/>
    <mergeCell ref="Q336:V336"/>
    <mergeCell ref="W336:Y336"/>
    <mergeCell ref="Z334:AC334"/>
    <mergeCell ref="C335:F335"/>
    <mergeCell ref="H335:J335"/>
    <mergeCell ref="K335:P335"/>
    <mergeCell ref="Q335:V335"/>
    <mergeCell ref="W335:Y335"/>
    <mergeCell ref="Z335:AC335"/>
    <mergeCell ref="C334:F334"/>
    <mergeCell ref="H334:J334"/>
    <mergeCell ref="K334:P334"/>
    <mergeCell ref="Q334:V334"/>
    <mergeCell ref="W334:Y334"/>
    <mergeCell ref="Z340:AC340"/>
    <mergeCell ref="C341:F341"/>
    <mergeCell ref="H341:J341"/>
    <mergeCell ref="K341:P341"/>
    <mergeCell ref="Q341:V341"/>
    <mergeCell ref="W341:Y341"/>
    <mergeCell ref="Z341:AC341"/>
    <mergeCell ref="C340:F340"/>
    <mergeCell ref="H340:J340"/>
    <mergeCell ref="K340:P340"/>
    <mergeCell ref="Q340:V340"/>
    <mergeCell ref="W340:Y340"/>
    <mergeCell ref="Z338:AC338"/>
    <mergeCell ref="C339:F339"/>
    <mergeCell ref="H339:J339"/>
    <mergeCell ref="K339:P339"/>
    <mergeCell ref="Q339:V339"/>
    <mergeCell ref="W339:Y339"/>
    <mergeCell ref="Z339:AC339"/>
    <mergeCell ref="C338:F338"/>
    <mergeCell ref="H338:J338"/>
    <mergeCell ref="K338:P338"/>
    <mergeCell ref="Q338:V338"/>
    <mergeCell ref="W338:Y338"/>
    <mergeCell ref="Z344:AC344"/>
    <mergeCell ref="C345:F345"/>
    <mergeCell ref="H345:J345"/>
    <mergeCell ref="K345:P345"/>
    <mergeCell ref="Q345:V345"/>
    <mergeCell ref="W345:Y345"/>
    <mergeCell ref="Z345:AC345"/>
    <mergeCell ref="C344:F344"/>
    <mergeCell ref="H344:J344"/>
    <mergeCell ref="K344:P344"/>
    <mergeCell ref="Q344:V344"/>
    <mergeCell ref="W344:Y344"/>
    <mergeCell ref="Z342:AC342"/>
    <mergeCell ref="C343:F343"/>
    <mergeCell ref="H343:J343"/>
    <mergeCell ref="K343:P343"/>
    <mergeCell ref="Q343:V343"/>
    <mergeCell ref="W343:Y343"/>
    <mergeCell ref="Z343:AC343"/>
    <mergeCell ref="C342:F342"/>
    <mergeCell ref="H342:J342"/>
    <mergeCell ref="K342:P342"/>
    <mergeCell ref="Q342:V342"/>
    <mergeCell ref="W342:Y342"/>
    <mergeCell ref="Z348:AC348"/>
    <mergeCell ref="C349:F349"/>
    <mergeCell ref="H349:J349"/>
    <mergeCell ref="K349:P349"/>
    <mergeCell ref="Q349:V349"/>
    <mergeCell ref="W349:Y349"/>
    <mergeCell ref="Z349:AC349"/>
    <mergeCell ref="C348:F348"/>
    <mergeCell ref="H348:J348"/>
    <mergeCell ref="K348:P348"/>
    <mergeCell ref="Q348:V348"/>
    <mergeCell ref="W348:Y348"/>
    <mergeCell ref="Z346:AC346"/>
    <mergeCell ref="C347:F347"/>
    <mergeCell ref="H347:J347"/>
    <mergeCell ref="K347:P347"/>
    <mergeCell ref="Q347:V347"/>
    <mergeCell ref="W347:Y347"/>
    <mergeCell ref="Z347:AC347"/>
    <mergeCell ref="C346:F346"/>
    <mergeCell ref="H346:J346"/>
    <mergeCell ref="K346:P346"/>
    <mergeCell ref="Q346:V346"/>
    <mergeCell ref="W346:Y346"/>
    <mergeCell ref="Z352:AC352"/>
    <mergeCell ref="C353:F353"/>
    <mergeCell ref="H353:J353"/>
    <mergeCell ref="K353:P353"/>
    <mergeCell ref="Q353:V353"/>
    <mergeCell ref="W353:Y353"/>
    <mergeCell ref="Z353:AC353"/>
    <mergeCell ref="C352:F352"/>
    <mergeCell ref="H352:J352"/>
    <mergeCell ref="K352:P352"/>
    <mergeCell ref="Q352:V352"/>
    <mergeCell ref="W352:Y352"/>
    <mergeCell ref="Z350:AC350"/>
    <mergeCell ref="C351:F351"/>
    <mergeCell ref="H351:J351"/>
    <mergeCell ref="K351:P351"/>
    <mergeCell ref="Q351:V351"/>
    <mergeCell ref="W351:Y351"/>
    <mergeCell ref="Z351:AC351"/>
    <mergeCell ref="C350:F350"/>
    <mergeCell ref="H350:J350"/>
    <mergeCell ref="K350:P350"/>
    <mergeCell ref="Q350:V350"/>
    <mergeCell ref="W350:Y350"/>
    <mergeCell ref="Z356:AC356"/>
    <mergeCell ref="C357:F357"/>
    <mergeCell ref="H357:J357"/>
    <mergeCell ref="K357:P357"/>
    <mergeCell ref="Q357:V357"/>
    <mergeCell ref="W357:Y357"/>
    <mergeCell ref="Z357:AC357"/>
    <mergeCell ref="C356:F356"/>
    <mergeCell ref="H356:J356"/>
    <mergeCell ref="K356:P356"/>
    <mergeCell ref="Q356:V356"/>
    <mergeCell ref="W356:Y356"/>
    <mergeCell ref="Z354:AC354"/>
    <mergeCell ref="C355:F355"/>
    <mergeCell ref="H355:J355"/>
    <mergeCell ref="K355:P355"/>
    <mergeCell ref="Q355:V355"/>
    <mergeCell ref="W355:Y355"/>
    <mergeCell ref="Z355:AC355"/>
    <mergeCell ref="C354:F354"/>
    <mergeCell ref="H354:J354"/>
    <mergeCell ref="K354:P354"/>
    <mergeCell ref="Q354:V354"/>
    <mergeCell ref="W354:Y354"/>
    <mergeCell ref="Z360:AC360"/>
    <mergeCell ref="C361:F361"/>
    <mergeCell ref="H361:J361"/>
    <mergeCell ref="K361:P361"/>
    <mergeCell ref="Q361:V361"/>
    <mergeCell ref="W361:Y361"/>
    <mergeCell ref="Z361:AC361"/>
    <mergeCell ref="C360:F360"/>
    <mergeCell ref="H360:J360"/>
    <mergeCell ref="K360:P360"/>
    <mergeCell ref="Q360:V360"/>
    <mergeCell ref="W360:Y360"/>
    <mergeCell ref="Z358:AC358"/>
    <mergeCell ref="C359:F359"/>
    <mergeCell ref="H359:J359"/>
    <mergeCell ref="K359:P359"/>
    <mergeCell ref="Q359:V359"/>
    <mergeCell ref="W359:Y359"/>
    <mergeCell ref="Z359:AC359"/>
    <mergeCell ref="C358:F358"/>
    <mergeCell ref="H358:J358"/>
    <mergeCell ref="K358:P358"/>
    <mergeCell ref="Q358:V358"/>
    <mergeCell ref="W358:Y358"/>
    <mergeCell ref="Z364:AC364"/>
    <mergeCell ref="C365:F365"/>
    <mergeCell ref="H365:J365"/>
    <mergeCell ref="K365:P365"/>
    <mergeCell ref="Q365:V365"/>
    <mergeCell ref="W365:Y365"/>
    <mergeCell ref="Z365:AC365"/>
    <mergeCell ref="C364:F364"/>
    <mergeCell ref="H364:J364"/>
    <mergeCell ref="K364:P364"/>
    <mergeCell ref="Q364:V364"/>
    <mergeCell ref="W364:Y364"/>
    <mergeCell ref="Z362:AC362"/>
    <mergeCell ref="C363:F363"/>
    <mergeCell ref="H363:J363"/>
    <mergeCell ref="K363:P363"/>
    <mergeCell ref="Q363:V363"/>
    <mergeCell ref="W363:Y363"/>
    <mergeCell ref="Z363:AC363"/>
    <mergeCell ref="C362:F362"/>
    <mergeCell ref="H362:J362"/>
    <mergeCell ref="K362:P362"/>
    <mergeCell ref="Q362:V362"/>
    <mergeCell ref="W362:Y362"/>
    <mergeCell ref="Z368:AC368"/>
    <mergeCell ref="C369:F369"/>
    <mergeCell ref="H369:J369"/>
    <mergeCell ref="K369:P369"/>
    <mergeCell ref="Q369:V369"/>
    <mergeCell ref="W369:Y369"/>
    <mergeCell ref="Z369:AC369"/>
    <mergeCell ref="C368:F368"/>
    <mergeCell ref="H368:J368"/>
    <mergeCell ref="K368:P368"/>
    <mergeCell ref="Q368:V368"/>
    <mergeCell ref="W368:Y368"/>
    <mergeCell ref="Z366:AC366"/>
    <mergeCell ref="C367:F367"/>
    <mergeCell ref="H367:J367"/>
    <mergeCell ref="K367:P367"/>
    <mergeCell ref="Q367:V367"/>
    <mergeCell ref="W367:Y367"/>
    <mergeCell ref="Z367:AC367"/>
    <mergeCell ref="C366:F366"/>
    <mergeCell ref="H366:J366"/>
    <mergeCell ref="K366:P366"/>
    <mergeCell ref="Q366:V366"/>
    <mergeCell ref="W366:Y366"/>
    <mergeCell ref="Z372:AC372"/>
    <mergeCell ref="C373:F373"/>
    <mergeCell ref="H373:J373"/>
    <mergeCell ref="K373:P373"/>
    <mergeCell ref="Q373:V373"/>
    <mergeCell ref="W373:Y373"/>
    <mergeCell ref="Z373:AC373"/>
    <mergeCell ref="C372:F372"/>
    <mergeCell ref="H372:J372"/>
    <mergeCell ref="K372:P372"/>
    <mergeCell ref="Q372:V372"/>
    <mergeCell ref="W372:Y372"/>
    <mergeCell ref="Z370:AC370"/>
    <mergeCell ref="C371:F371"/>
    <mergeCell ref="H371:J371"/>
    <mergeCell ref="K371:P371"/>
    <mergeCell ref="Q371:V371"/>
    <mergeCell ref="W371:Y371"/>
    <mergeCell ref="Z371:AC371"/>
    <mergeCell ref="C370:F370"/>
    <mergeCell ref="H370:J370"/>
    <mergeCell ref="K370:P370"/>
    <mergeCell ref="Q370:V370"/>
    <mergeCell ref="W370:Y370"/>
    <mergeCell ref="Z376:AC376"/>
    <mergeCell ref="C377:F377"/>
    <mergeCell ref="H377:J377"/>
    <mergeCell ref="K377:P377"/>
    <mergeCell ref="Q377:V377"/>
    <mergeCell ref="W377:Y377"/>
    <mergeCell ref="Z377:AC377"/>
    <mergeCell ref="C376:F376"/>
    <mergeCell ref="H376:J376"/>
    <mergeCell ref="K376:P376"/>
    <mergeCell ref="Q376:V376"/>
    <mergeCell ref="W376:Y376"/>
    <mergeCell ref="Z374:AC374"/>
    <mergeCell ref="C375:F375"/>
    <mergeCell ref="H375:J375"/>
    <mergeCell ref="K375:P375"/>
    <mergeCell ref="Q375:V375"/>
    <mergeCell ref="W375:Y375"/>
    <mergeCell ref="Z375:AC375"/>
    <mergeCell ref="C374:F374"/>
    <mergeCell ref="H374:J374"/>
    <mergeCell ref="K374:P374"/>
    <mergeCell ref="Q374:V374"/>
    <mergeCell ref="W374:Y374"/>
    <mergeCell ref="Z380:AC380"/>
    <mergeCell ref="C381:F381"/>
    <mergeCell ref="H381:J381"/>
    <mergeCell ref="K381:P381"/>
    <mergeCell ref="Q381:V381"/>
    <mergeCell ref="W381:Y381"/>
    <mergeCell ref="Z381:AC381"/>
    <mergeCell ref="C380:F380"/>
    <mergeCell ref="H380:J380"/>
    <mergeCell ref="K380:P380"/>
    <mergeCell ref="Q380:V380"/>
    <mergeCell ref="W380:Y380"/>
    <mergeCell ref="Z378:AC378"/>
    <mergeCell ref="C379:F379"/>
    <mergeCell ref="H379:J379"/>
    <mergeCell ref="K379:P379"/>
    <mergeCell ref="Q379:V379"/>
    <mergeCell ref="W379:Y379"/>
    <mergeCell ref="Z379:AC379"/>
    <mergeCell ref="C378:F378"/>
    <mergeCell ref="H378:J378"/>
    <mergeCell ref="K378:P378"/>
    <mergeCell ref="Q378:V378"/>
    <mergeCell ref="W378:Y378"/>
    <mergeCell ref="Z384:AC384"/>
    <mergeCell ref="C385:F385"/>
    <mergeCell ref="H385:J385"/>
    <mergeCell ref="K385:P385"/>
    <mergeCell ref="Q385:V385"/>
    <mergeCell ref="W385:Y385"/>
    <mergeCell ref="Z385:AC385"/>
    <mergeCell ref="C384:F384"/>
    <mergeCell ref="H384:J384"/>
    <mergeCell ref="K384:P384"/>
    <mergeCell ref="Q384:V384"/>
    <mergeCell ref="W384:Y384"/>
    <mergeCell ref="Z382:AC382"/>
    <mergeCell ref="C383:F383"/>
    <mergeCell ref="H383:J383"/>
    <mergeCell ref="K383:P383"/>
    <mergeCell ref="Q383:V383"/>
    <mergeCell ref="W383:Y383"/>
    <mergeCell ref="Z383:AC383"/>
    <mergeCell ref="C382:F382"/>
    <mergeCell ref="H382:J382"/>
    <mergeCell ref="K382:P382"/>
    <mergeCell ref="Q382:V382"/>
    <mergeCell ref="W382:Y382"/>
    <mergeCell ref="Z388:AC388"/>
    <mergeCell ref="C389:F389"/>
    <mergeCell ref="H389:J389"/>
    <mergeCell ref="K389:P389"/>
    <mergeCell ref="Q389:V389"/>
    <mergeCell ref="W389:Y389"/>
    <mergeCell ref="Z389:AC389"/>
    <mergeCell ref="C388:F388"/>
    <mergeCell ref="H388:J388"/>
    <mergeCell ref="K388:P388"/>
    <mergeCell ref="Q388:V388"/>
    <mergeCell ref="W388:Y388"/>
    <mergeCell ref="Z386:AC386"/>
    <mergeCell ref="C387:F387"/>
    <mergeCell ref="H387:J387"/>
    <mergeCell ref="K387:P387"/>
    <mergeCell ref="Q387:V387"/>
    <mergeCell ref="W387:Y387"/>
    <mergeCell ref="Z387:AC387"/>
    <mergeCell ref="C386:F386"/>
    <mergeCell ref="H386:J386"/>
    <mergeCell ref="K386:P386"/>
    <mergeCell ref="Q386:V386"/>
    <mergeCell ref="W386:Y386"/>
    <mergeCell ref="Z392:AC392"/>
    <mergeCell ref="C393:F393"/>
    <mergeCell ref="H393:J393"/>
    <mergeCell ref="K393:P393"/>
    <mergeCell ref="Q393:V393"/>
    <mergeCell ref="W393:Y393"/>
    <mergeCell ref="Z393:AC393"/>
    <mergeCell ref="C392:F392"/>
    <mergeCell ref="H392:J392"/>
    <mergeCell ref="K392:P392"/>
    <mergeCell ref="Q392:V392"/>
    <mergeCell ref="W392:Y392"/>
    <mergeCell ref="Z390:AC390"/>
    <mergeCell ref="C391:F391"/>
    <mergeCell ref="H391:J391"/>
    <mergeCell ref="K391:P391"/>
    <mergeCell ref="Q391:V391"/>
    <mergeCell ref="W391:Y391"/>
    <mergeCell ref="Z391:AC391"/>
    <mergeCell ref="C390:F390"/>
    <mergeCell ref="H390:J390"/>
    <mergeCell ref="K390:P390"/>
    <mergeCell ref="Q390:V390"/>
    <mergeCell ref="W390:Y390"/>
    <mergeCell ref="Z396:AC396"/>
    <mergeCell ref="C397:F397"/>
    <mergeCell ref="H397:J397"/>
    <mergeCell ref="K397:P397"/>
    <mergeCell ref="Q397:V397"/>
    <mergeCell ref="W397:Y397"/>
    <mergeCell ref="Z397:AC397"/>
    <mergeCell ref="C396:F396"/>
    <mergeCell ref="H396:J396"/>
    <mergeCell ref="K396:P396"/>
    <mergeCell ref="Q396:V396"/>
    <mergeCell ref="W396:Y396"/>
    <mergeCell ref="Z394:AC394"/>
    <mergeCell ref="C395:F395"/>
    <mergeCell ref="H395:J395"/>
    <mergeCell ref="K395:P395"/>
    <mergeCell ref="Q395:V395"/>
    <mergeCell ref="W395:Y395"/>
    <mergeCell ref="Z395:AC395"/>
    <mergeCell ref="C394:F394"/>
    <mergeCell ref="H394:J394"/>
    <mergeCell ref="K394:P394"/>
    <mergeCell ref="Q394:V394"/>
    <mergeCell ref="W394:Y394"/>
    <mergeCell ref="Z400:AC400"/>
    <mergeCell ref="C401:F401"/>
    <mergeCell ref="H401:J401"/>
    <mergeCell ref="K401:P401"/>
    <mergeCell ref="Q401:V401"/>
    <mergeCell ref="W401:Y401"/>
    <mergeCell ref="Z401:AC401"/>
    <mergeCell ref="C400:F400"/>
    <mergeCell ref="H400:J400"/>
    <mergeCell ref="K400:P400"/>
    <mergeCell ref="Q400:V400"/>
    <mergeCell ref="W400:Y400"/>
    <mergeCell ref="Z398:AC398"/>
    <mergeCell ref="C399:F399"/>
    <mergeCell ref="H399:J399"/>
    <mergeCell ref="K399:P399"/>
    <mergeCell ref="Q399:V399"/>
    <mergeCell ref="W399:Y399"/>
    <mergeCell ref="Z399:AC399"/>
    <mergeCell ref="C398:F398"/>
    <mergeCell ref="H398:J398"/>
    <mergeCell ref="K398:P398"/>
    <mergeCell ref="Q398:V398"/>
    <mergeCell ref="W398:Y398"/>
    <mergeCell ref="Z404:AC404"/>
    <mergeCell ref="C405:F405"/>
    <mergeCell ref="H405:J405"/>
    <mergeCell ref="K405:P405"/>
    <mergeCell ref="Q405:V405"/>
    <mergeCell ref="W405:Y405"/>
    <mergeCell ref="Z405:AC405"/>
    <mergeCell ref="C404:F404"/>
    <mergeCell ref="H404:J404"/>
    <mergeCell ref="K404:P404"/>
    <mergeCell ref="Q404:V404"/>
    <mergeCell ref="W404:Y404"/>
    <mergeCell ref="Z402:AC402"/>
    <mergeCell ref="C403:F403"/>
    <mergeCell ref="H403:J403"/>
    <mergeCell ref="K403:P403"/>
    <mergeCell ref="Q403:V403"/>
    <mergeCell ref="W403:Y403"/>
    <mergeCell ref="Z403:AC403"/>
    <mergeCell ref="C402:F402"/>
    <mergeCell ref="H402:J402"/>
    <mergeCell ref="K402:P402"/>
    <mergeCell ref="Q402:V402"/>
    <mergeCell ref="W402:Y402"/>
    <mergeCell ref="Z408:AC408"/>
    <mergeCell ref="C409:F409"/>
    <mergeCell ref="H409:J409"/>
    <mergeCell ref="K409:P409"/>
    <mergeCell ref="Q409:V409"/>
    <mergeCell ref="W409:Y409"/>
    <mergeCell ref="Z409:AC409"/>
    <mergeCell ref="C408:F408"/>
    <mergeCell ref="H408:J408"/>
    <mergeCell ref="K408:P408"/>
    <mergeCell ref="Q408:V408"/>
    <mergeCell ref="W408:Y408"/>
    <mergeCell ref="Z406:AC406"/>
    <mergeCell ref="C407:F407"/>
    <mergeCell ref="H407:J407"/>
    <mergeCell ref="K407:P407"/>
    <mergeCell ref="Q407:V407"/>
    <mergeCell ref="W407:Y407"/>
    <mergeCell ref="Z407:AC407"/>
    <mergeCell ref="C406:F406"/>
    <mergeCell ref="H406:J406"/>
    <mergeCell ref="K406:P406"/>
    <mergeCell ref="Q406:V406"/>
    <mergeCell ref="W406:Y406"/>
    <mergeCell ref="Z412:AC412"/>
    <mergeCell ref="C413:F413"/>
    <mergeCell ref="H413:J413"/>
    <mergeCell ref="K413:P413"/>
    <mergeCell ref="Q413:V413"/>
    <mergeCell ref="W413:Y413"/>
    <mergeCell ref="Z413:AC413"/>
    <mergeCell ref="C412:F412"/>
    <mergeCell ref="H412:J412"/>
    <mergeCell ref="K412:P412"/>
    <mergeCell ref="Q412:V412"/>
    <mergeCell ref="W412:Y412"/>
    <mergeCell ref="Z410:AC410"/>
    <mergeCell ref="C411:F411"/>
    <mergeCell ref="H411:J411"/>
    <mergeCell ref="K411:P411"/>
    <mergeCell ref="Q411:V411"/>
    <mergeCell ref="W411:Y411"/>
    <mergeCell ref="Z411:AC411"/>
    <mergeCell ref="C410:F410"/>
    <mergeCell ref="H410:J410"/>
    <mergeCell ref="K410:P410"/>
    <mergeCell ref="Q410:V410"/>
    <mergeCell ref="W410:Y410"/>
    <mergeCell ref="Z416:AC416"/>
    <mergeCell ref="C417:F417"/>
    <mergeCell ref="H417:J417"/>
    <mergeCell ref="K417:P417"/>
    <mergeCell ref="Q417:V417"/>
    <mergeCell ref="W417:Y417"/>
    <mergeCell ref="Z417:AC417"/>
    <mergeCell ref="C416:F416"/>
    <mergeCell ref="H416:J416"/>
    <mergeCell ref="K416:P416"/>
    <mergeCell ref="Q416:V416"/>
    <mergeCell ref="W416:Y416"/>
    <mergeCell ref="Z414:AC414"/>
    <mergeCell ref="C415:F415"/>
    <mergeCell ref="H415:J415"/>
    <mergeCell ref="K415:P415"/>
    <mergeCell ref="Q415:V415"/>
    <mergeCell ref="W415:Y415"/>
    <mergeCell ref="Z415:AC415"/>
    <mergeCell ref="C414:F414"/>
    <mergeCell ref="H414:J414"/>
    <mergeCell ref="K414:P414"/>
    <mergeCell ref="Q414:V414"/>
    <mergeCell ref="W414:Y414"/>
    <mergeCell ref="Z420:AC420"/>
    <mergeCell ref="C421:F421"/>
    <mergeCell ref="H421:J421"/>
    <mergeCell ref="K421:P421"/>
    <mergeCell ref="Q421:V421"/>
    <mergeCell ref="W421:Y421"/>
    <mergeCell ref="Z421:AC421"/>
    <mergeCell ref="C420:F420"/>
    <mergeCell ref="H420:J420"/>
    <mergeCell ref="K420:P420"/>
    <mergeCell ref="Q420:V420"/>
    <mergeCell ref="W420:Y420"/>
    <mergeCell ref="Z418:AC418"/>
    <mergeCell ref="C419:F419"/>
    <mergeCell ref="H419:J419"/>
    <mergeCell ref="K419:P419"/>
    <mergeCell ref="Q419:V419"/>
    <mergeCell ref="W419:Y419"/>
    <mergeCell ref="Z419:AC419"/>
    <mergeCell ref="C418:F418"/>
    <mergeCell ref="H418:J418"/>
    <mergeCell ref="K418:P418"/>
    <mergeCell ref="Q418:V418"/>
    <mergeCell ref="W418:Y418"/>
    <mergeCell ref="Z424:AC424"/>
    <mergeCell ref="C425:F425"/>
    <mergeCell ref="H425:J425"/>
    <mergeCell ref="K425:P425"/>
    <mergeCell ref="Q425:V425"/>
    <mergeCell ref="W425:Y425"/>
    <mergeCell ref="Z425:AC425"/>
    <mergeCell ref="C424:F424"/>
    <mergeCell ref="H424:J424"/>
    <mergeCell ref="K424:P424"/>
    <mergeCell ref="Q424:V424"/>
    <mergeCell ref="W424:Y424"/>
    <mergeCell ref="Z422:AC422"/>
    <mergeCell ref="C423:F423"/>
    <mergeCell ref="H423:J423"/>
    <mergeCell ref="K423:P423"/>
    <mergeCell ref="Q423:V423"/>
    <mergeCell ref="W423:Y423"/>
    <mergeCell ref="Z423:AC423"/>
    <mergeCell ref="C422:F422"/>
    <mergeCell ref="H422:J422"/>
    <mergeCell ref="K422:P422"/>
    <mergeCell ref="Q422:V422"/>
    <mergeCell ref="W422:Y422"/>
    <mergeCell ref="Z428:AC428"/>
    <mergeCell ref="C429:F429"/>
    <mergeCell ref="H429:J429"/>
    <mergeCell ref="K429:P429"/>
    <mergeCell ref="Q429:V429"/>
    <mergeCell ref="W429:Y429"/>
    <mergeCell ref="Z429:AC429"/>
    <mergeCell ref="C428:F428"/>
    <mergeCell ref="H428:J428"/>
    <mergeCell ref="K428:P428"/>
    <mergeCell ref="Q428:V428"/>
    <mergeCell ref="W428:Y428"/>
    <mergeCell ref="Z426:AC426"/>
    <mergeCell ref="C427:F427"/>
    <mergeCell ref="H427:J427"/>
    <mergeCell ref="K427:P427"/>
    <mergeCell ref="Q427:V427"/>
    <mergeCell ref="W427:Y427"/>
    <mergeCell ref="Z427:AC427"/>
    <mergeCell ref="C426:F426"/>
    <mergeCell ref="H426:J426"/>
    <mergeCell ref="K426:P426"/>
    <mergeCell ref="Q426:V426"/>
    <mergeCell ref="W426:Y426"/>
    <mergeCell ref="Z432:AC432"/>
    <mergeCell ref="C433:F433"/>
    <mergeCell ref="H433:J433"/>
    <mergeCell ref="K433:P433"/>
    <mergeCell ref="Q433:V433"/>
    <mergeCell ref="W433:Y433"/>
    <mergeCell ref="Z433:AC433"/>
    <mergeCell ref="C432:F432"/>
    <mergeCell ref="H432:J432"/>
    <mergeCell ref="K432:P432"/>
    <mergeCell ref="Q432:V432"/>
    <mergeCell ref="W432:Y432"/>
    <mergeCell ref="Z430:AC430"/>
    <mergeCell ref="C431:F431"/>
    <mergeCell ref="H431:J431"/>
    <mergeCell ref="K431:P431"/>
    <mergeCell ref="Q431:V431"/>
    <mergeCell ref="W431:Y431"/>
    <mergeCell ref="Z431:AC431"/>
    <mergeCell ref="C430:F430"/>
    <mergeCell ref="H430:J430"/>
    <mergeCell ref="K430:P430"/>
    <mergeCell ref="Q430:V430"/>
    <mergeCell ref="W430:Y430"/>
    <mergeCell ref="Z436:AC436"/>
    <mergeCell ref="C437:F437"/>
    <mergeCell ref="H437:J437"/>
    <mergeCell ref="K437:P437"/>
    <mergeCell ref="Q437:V437"/>
    <mergeCell ref="W437:Y437"/>
    <mergeCell ref="Z437:AC437"/>
    <mergeCell ref="C436:F436"/>
    <mergeCell ref="H436:J436"/>
    <mergeCell ref="K436:P436"/>
    <mergeCell ref="Q436:V436"/>
    <mergeCell ref="W436:Y436"/>
    <mergeCell ref="Z434:AC434"/>
    <mergeCell ref="C435:F435"/>
    <mergeCell ref="H435:J435"/>
    <mergeCell ref="K435:P435"/>
    <mergeCell ref="Q435:V435"/>
    <mergeCell ref="W435:Y435"/>
    <mergeCell ref="Z435:AC435"/>
    <mergeCell ref="C434:F434"/>
    <mergeCell ref="H434:J434"/>
    <mergeCell ref="K434:P434"/>
    <mergeCell ref="Q434:V434"/>
    <mergeCell ref="W434:Y434"/>
    <mergeCell ref="Z440:AC440"/>
    <mergeCell ref="C441:F441"/>
    <mergeCell ref="H441:J441"/>
    <mergeCell ref="K441:P441"/>
    <mergeCell ref="Q441:V441"/>
    <mergeCell ref="W441:Y441"/>
    <mergeCell ref="Z441:AC441"/>
    <mergeCell ref="C440:F440"/>
    <mergeCell ref="H440:J440"/>
    <mergeCell ref="K440:P440"/>
    <mergeCell ref="Q440:V440"/>
    <mergeCell ref="W440:Y440"/>
    <mergeCell ref="Z438:AC438"/>
    <mergeCell ref="C439:F439"/>
    <mergeCell ref="H439:J439"/>
    <mergeCell ref="K439:P439"/>
    <mergeCell ref="Q439:V439"/>
    <mergeCell ref="W439:Y439"/>
    <mergeCell ref="Z439:AC439"/>
    <mergeCell ref="C438:F438"/>
    <mergeCell ref="H438:J438"/>
    <mergeCell ref="K438:P438"/>
    <mergeCell ref="Q438:V438"/>
    <mergeCell ref="W438:Y438"/>
    <mergeCell ref="Z444:AC444"/>
    <mergeCell ref="C445:F445"/>
    <mergeCell ref="H445:J445"/>
    <mergeCell ref="K445:P445"/>
    <mergeCell ref="Q445:V445"/>
    <mergeCell ref="W445:Y445"/>
    <mergeCell ref="Z445:AC445"/>
    <mergeCell ref="C444:F444"/>
    <mergeCell ref="H444:J444"/>
    <mergeCell ref="K444:P444"/>
    <mergeCell ref="Q444:V444"/>
    <mergeCell ref="W444:Y444"/>
    <mergeCell ref="Z442:AC442"/>
    <mergeCell ref="C443:F443"/>
    <mergeCell ref="H443:J443"/>
    <mergeCell ref="K443:P443"/>
    <mergeCell ref="Q443:V443"/>
    <mergeCell ref="W443:Y443"/>
    <mergeCell ref="Z443:AC443"/>
    <mergeCell ref="C442:F442"/>
    <mergeCell ref="H442:J442"/>
    <mergeCell ref="K442:P442"/>
    <mergeCell ref="Q442:V442"/>
    <mergeCell ref="W442:Y442"/>
    <mergeCell ref="Z448:AC448"/>
    <mergeCell ref="C449:F449"/>
    <mergeCell ref="H449:J449"/>
    <mergeCell ref="K449:P449"/>
    <mergeCell ref="Q449:V449"/>
    <mergeCell ref="W449:Y449"/>
    <mergeCell ref="Z449:AC449"/>
    <mergeCell ref="C448:F448"/>
    <mergeCell ref="H448:J448"/>
    <mergeCell ref="K448:P448"/>
    <mergeCell ref="Q448:V448"/>
    <mergeCell ref="W448:Y448"/>
    <mergeCell ref="Z446:AC446"/>
    <mergeCell ref="C447:F447"/>
    <mergeCell ref="H447:J447"/>
    <mergeCell ref="K447:P447"/>
    <mergeCell ref="Q447:V447"/>
    <mergeCell ref="W447:Y447"/>
    <mergeCell ref="Z447:AC447"/>
    <mergeCell ref="C446:F446"/>
    <mergeCell ref="H446:J446"/>
    <mergeCell ref="K446:P446"/>
    <mergeCell ref="Q446:V446"/>
    <mergeCell ref="W446:Y446"/>
    <mergeCell ref="Z452:AC452"/>
    <mergeCell ref="C453:F453"/>
    <mergeCell ref="H453:J453"/>
    <mergeCell ref="K453:P453"/>
    <mergeCell ref="Q453:V453"/>
    <mergeCell ref="W453:Y453"/>
    <mergeCell ref="Z453:AC453"/>
    <mergeCell ref="C452:F452"/>
    <mergeCell ref="H452:J452"/>
    <mergeCell ref="K452:P452"/>
    <mergeCell ref="Q452:V452"/>
    <mergeCell ref="W452:Y452"/>
    <mergeCell ref="Z450:AC450"/>
    <mergeCell ref="C451:F451"/>
    <mergeCell ref="H451:J451"/>
    <mergeCell ref="K451:P451"/>
    <mergeCell ref="Q451:V451"/>
    <mergeCell ref="W451:Y451"/>
    <mergeCell ref="Z451:AC451"/>
    <mergeCell ref="C450:F450"/>
    <mergeCell ref="H450:J450"/>
    <mergeCell ref="K450:P450"/>
    <mergeCell ref="Q450:V450"/>
    <mergeCell ref="W450:Y450"/>
    <mergeCell ref="Z456:AC456"/>
    <mergeCell ref="C457:F457"/>
    <mergeCell ref="H457:J457"/>
    <mergeCell ref="K457:P457"/>
    <mergeCell ref="Q457:V457"/>
    <mergeCell ref="W457:Y457"/>
    <mergeCell ref="Z457:AC457"/>
    <mergeCell ref="C456:F456"/>
    <mergeCell ref="H456:J456"/>
    <mergeCell ref="K456:P456"/>
    <mergeCell ref="Q456:V456"/>
    <mergeCell ref="W456:Y456"/>
    <mergeCell ref="Z454:AC454"/>
    <mergeCell ref="C455:F455"/>
    <mergeCell ref="H455:J455"/>
    <mergeCell ref="K455:P455"/>
    <mergeCell ref="Q455:V455"/>
    <mergeCell ref="W455:Y455"/>
    <mergeCell ref="Z455:AC455"/>
    <mergeCell ref="C454:F454"/>
    <mergeCell ref="H454:J454"/>
    <mergeCell ref="K454:P454"/>
    <mergeCell ref="Q454:V454"/>
    <mergeCell ref="W454:Y454"/>
    <mergeCell ref="Z460:AC460"/>
    <mergeCell ref="C461:F461"/>
    <mergeCell ref="H461:J461"/>
    <mergeCell ref="K461:P461"/>
    <mergeCell ref="Q461:V461"/>
    <mergeCell ref="W461:Y461"/>
    <mergeCell ref="Z461:AC461"/>
    <mergeCell ref="C460:F460"/>
    <mergeCell ref="H460:J460"/>
    <mergeCell ref="K460:P460"/>
    <mergeCell ref="Q460:V460"/>
    <mergeCell ref="W460:Y460"/>
    <mergeCell ref="Z458:AC458"/>
    <mergeCell ref="C459:F459"/>
    <mergeCell ref="H459:J459"/>
    <mergeCell ref="K459:P459"/>
    <mergeCell ref="Q459:V459"/>
    <mergeCell ref="W459:Y459"/>
    <mergeCell ref="Z459:AC459"/>
    <mergeCell ref="C458:F458"/>
    <mergeCell ref="H458:J458"/>
    <mergeCell ref="K458:P458"/>
    <mergeCell ref="Q458:V458"/>
    <mergeCell ref="W458:Y458"/>
    <mergeCell ref="Z464:AC464"/>
    <mergeCell ref="C465:F465"/>
    <mergeCell ref="H465:J465"/>
    <mergeCell ref="K465:P465"/>
    <mergeCell ref="Q465:V465"/>
    <mergeCell ref="W465:Y465"/>
    <mergeCell ref="Z465:AC465"/>
    <mergeCell ref="C464:F464"/>
    <mergeCell ref="H464:J464"/>
    <mergeCell ref="K464:P464"/>
    <mergeCell ref="Q464:V464"/>
    <mergeCell ref="W464:Y464"/>
    <mergeCell ref="Z462:AC462"/>
    <mergeCell ref="C463:F463"/>
    <mergeCell ref="H463:J463"/>
    <mergeCell ref="K463:P463"/>
    <mergeCell ref="Q463:V463"/>
    <mergeCell ref="W463:Y463"/>
    <mergeCell ref="Z463:AC463"/>
    <mergeCell ref="C462:F462"/>
    <mergeCell ref="H462:J462"/>
    <mergeCell ref="K462:P462"/>
    <mergeCell ref="Q462:V462"/>
    <mergeCell ref="W462:Y462"/>
    <mergeCell ref="Z468:AC468"/>
    <mergeCell ref="C469:F469"/>
    <mergeCell ref="H469:J469"/>
    <mergeCell ref="K469:P469"/>
    <mergeCell ref="Q469:V469"/>
    <mergeCell ref="W469:Y469"/>
    <mergeCell ref="Z469:AC469"/>
    <mergeCell ref="C468:F468"/>
    <mergeCell ref="H468:J468"/>
    <mergeCell ref="K468:P468"/>
    <mergeCell ref="Q468:V468"/>
    <mergeCell ref="W468:Y468"/>
    <mergeCell ref="Z466:AC466"/>
    <mergeCell ref="C467:F467"/>
    <mergeCell ref="H467:J467"/>
    <mergeCell ref="K467:P467"/>
    <mergeCell ref="Q467:V467"/>
    <mergeCell ref="W467:Y467"/>
    <mergeCell ref="Z467:AC467"/>
    <mergeCell ref="C466:F466"/>
    <mergeCell ref="H466:J466"/>
    <mergeCell ref="K466:P466"/>
    <mergeCell ref="Q466:V466"/>
    <mergeCell ref="W466:Y466"/>
    <mergeCell ref="Z472:AC472"/>
    <mergeCell ref="C473:F473"/>
    <mergeCell ref="H473:J473"/>
    <mergeCell ref="K473:P473"/>
    <mergeCell ref="Q473:V473"/>
    <mergeCell ref="W473:Y473"/>
    <mergeCell ref="Z473:AC473"/>
    <mergeCell ref="C472:F472"/>
    <mergeCell ref="H472:J472"/>
    <mergeCell ref="K472:P472"/>
    <mergeCell ref="Q472:V472"/>
    <mergeCell ref="W472:Y472"/>
    <mergeCell ref="Z470:AC470"/>
    <mergeCell ref="C471:F471"/>
    <mergeCell ref="H471:J471"/>
    <mergeCell ref="K471:P471"/>
    <mergeCell ref="Q471:V471"/>
    <mergeCell ref="W471:Y471"/>
    <mergeCell ref="Z471:AC471"/>
    <mergeCell ref="C470:F470"/>
    <mergeCell ref="H470:J470"/>
    <mergeCell ref="K470:P470"/>
    <mergeCell ref="Q470:V470"/>
    <mergeCell ref="W470:Y470"/>
    <mergeCell ref="Z476:AC476"/>
    <mergeCell ref="C477:F477"/>
    <mergeCell ref="H477:J477"/>
    <mergeCell ref="K477:P477"/>
    <mergeCell ref="Q477:V477"/>
    <mergeCell ref="W477:Y477"/>
    <mergeCell ref="Z477:AC477"/>
    <mergeCell ref="C476:F476"/>
    <mergeCell ref="H476:J476"/>
    <mergeCell ref="K476:P476"/>
    <mergeCell ref="Q476:V476"/>
    <mergeCell ref="W476:Y476"/>
    <mergeCell ref="Z474:AC474"/>
    <mergeCell ref="C475:F475"/>
    <mergeCell ref="H475:J475"/>
    <mergeCell ref="K475:P475"/>
    <mergeCell ref="Q475:V475"/>
    <mergeCell ref="W475:Y475"/>
    <mergeCell ref="Z475:AC475"/>
    <mergeCell ref="C474:F474"/>
    <mergeCell ref="H474:J474"/>
    <mergeCell ref="K474:P474"/>
    <mergeCell ref="Q474:V474"/>
    <mergeCell ref="W474:Y474"/>
    <mergeCell ref="Z480:AC480"/>
    <mergeCell ref="C481:F481"/>
    <mergeCell ref="H481:J481"/>
    <mergeCell ref="K481:P481"/>
    <mergeCell ref="Q481:V481"/>
    <mergeCell ref="W481:Y481"/>
    <mergeCell ref="Z481:AC481"/>
    <mergeCell ref="C480:F480"/>
    <mergeCell ref="H480:J480"/>
    <mergeCell ref="K480:P480"/>
    <mergeCell ref="Q480:V480"/>
    <mergeCell ref="W480:Y480"/>
    <mergeCell ref="Z478:AC478"/>
    <mergeCell ref="C479:F479"/>
    <mergeCell ref="H479:J479"/>
    <mergeCell ref="K479:P479"/>
    <mergeCell ref="Q479:V479"/>
    <mergeCell ref="W479:Y479"/>
    <mergeCell ref="Z479:AC479"/>
    <mergeCell ref="C478:F478"/>
    <mergeCell ref="H478:J478"/>
    <mergeCell ref="K478:P478"/>
    <mergeCell ref="Q478:V478"/>
    <mergeCell ref="W478:Y478"/>
    <mergeCell ref="Z484:AC484"/>
    <mergeCell ref="C485:F485"/>
    <mergeCell ref="H485:J485"/>
    <mergeCell ref="K485:P485"/>
    <mergeCell ref="Q485:V485"/>
    <mergeCell ref="W485:Y485"/>
    <mergeCell ref="Z485:AC485"/>
    <mergeCell ref="C484:F484"/>
    <mergeCell ref="H484:J484"/>
    <mergeCell ref="K484:P484"/>
    <mergeCell ref="Q484:V484"/>
    <mergeCell ref="W484:Y484"/>
    <mergeCell ref="Z482:AC482"/>
    <mergeCell ref="C483:F483"/>
    <mergeCell ref="H483:J483"/>
    <mergeCell ref="K483:P483"/>
    <mergeCell ref="Q483:V483"/>
    <mergeCell ref="W483:Y483"/>
    <mergeCell ref="Z483:AC483"/>
    <mergeCell ref="C482:F482"/>
    <mergeCell ref="H482:J482"/>
    <mergeCell ref="K482:P482"/>
    <mergeCell ref="Q482:V482"/>
    <mergeCell ref="W482:Y482"/>
    <mergeCell ref="Z488:AC488"/>
    <mergeCell ref="C489:F489"/>
    <mergeCell ref="H489:J489"/>
    <mergeCell ref="K489:P489"/>
    <mergeCell ref="Q489:V489"/>
    <mergeCell ref="W489:Y489"/>
    <mergeCell ref="Z489:AC489"/>
    <mergeCell ref="C488:F488"/>
    <mergeCell ref="H488:J488"/>
    <mergeCell ref="K488:P488"/>
    <mergeCell ref="Q488:V488"/>
    <mergeCell ref="W488:Y488"/>
    <mergeCell ref="Z486:AC486"/>
    <mergeCell ref="C487:F487"/>
    <mergeCell ref="H487:J487"/>
    <mergeCell ref="K487:P487"/>
    <mergeCell ref="Q487:V487"/>
    <mergeCell ref="W487:Y487"/>
    <mergeCell ref="Z487:AC487"/>
    <mergeCell ref="C486:F486"/>
    <mergeCell ref="H486:J486"/>
    <mergeCell ref="K486:P486"/>
    <mergeCell ref="Q486:V486"/>
    <mergeCell ref="W486:Y486"/>
    <mergeCell ref="Z492:AC492"/>
    <mergeCell ref="C493:F493"/>
    <mergeCell ref="H493:J493"/>
    <mergeCell ref="K493:P493"/>
    <mergeCell ref="Q493:V493"/>
    <mergeCell ref="W493:Y493"/>
    <mergeCell ref="Z493:AC493"/>
    <mergeCell ref="C492:F492"/>
    <mergeCell ref="H492:J492"/>
    <mergeCell ref="K492:P492"/>
    <mergeCell ref="Q492:V492"/>
    <mergeCell ref="W492:Y492"/>
    <mergeCell ref="Z490:AC490"/>
    <mergeCell ref="C491:F491"/>
    <mergeCell ref="H491:J491"/>
    <mergeCell ref="K491:P491"/>
    <mergeCell ref="Q491:V491"/>
    <mergeCell ref="W491:Y491"/>
    <mergeCell ref="Z491:AC491"/>
    <mergeCell ref="C490:F490"/>
    <mergeCell ref="H490:J490"/>
    <mergeCell ref="K490:P490"/>
    <mergeCell ref="Q490:V490"/>
    <mergeCell ref="W490:Y490"/>
    <mergeCell ref="Z496:AC496"/>
    <mergeCell ref="C497:F497"/>
    <mergeCell ref="H497:J497"/>
    <mergeCell ref="K497:P497"/>
    <mergeCell ref="Q497:V497"/>
    <mergeCell ref="W497:Y497"/>
    <mergeCell ref="Z497:AC497"/>
    <mergeCell ref="C496:F496"/>
    <mergeCell ref="H496:J496"/>
    <mergeCell ref="K496:P496"/>
    <mergeCell ref="Q496:V496"/>
    <mergeCell ref="W496:Y496"/>
    <mergeCell ref="Z494:AC494"/>
    <mergeCell ref="C495:F495"/>
    <mergeCell ref="H495:J495"/>
    <mergeCell ref="K495:P495"/>
    <mergeCell ref="Q495:V495"/>
    <mergeCell ref="W495:Y495"/>
    <mergeCell ref="Z495:AC495"/>
    <mergeCell ref="C494:F494"/>
    <mergeCell ref="H494:J494"/>
    <mergeCell ref="K494:P494"/>
    <mergeCell ref="Q494:V494"/>
    <mergeCell ref="W494:Y494"/>
    <mergeCell ref="Z500:AC500"/>
    <mergeCell ref="C501:F501"/>
    <mergeCell ref="H501:J501"/>
    <mergeCell ref="K501:P501"/>
    <mergeCell ref="Q501:V501"/>
    <mergeCell ref="W501:Y501"/>
    <mergeCell ref="Z501:AC501"/>
    <mergeCell ref="C500:F500"/>
    <mergeCell ref="H500:J500"/>
    <mergeCell ref="K500:P500"/>
    <mergeCell ref="Q500:V500"/>
    <mergeCell ref="W500:Y500"/>
    <mergeCell ref="Z498:AC498"/>
    <mergeCell ref="C499:F499"/>
    <mergeCell ref="H499:J499"/>
    <mergeCell ref="K499:P499"/>
    <mergeCell ref="Q499:V499"/>
    <mergeCell ref="W499:Y499"/>
    <mergeCell ref="Z499:AC499"/>
    <mergeCell ref="C498:F498"/>
    <mergeCell ref="H498:J498"/>
    <mergeCell ref="K498:P498"/>
    <mergeCell ref="Q498:V498"/>
    <mergeCell ref="W498:Y498"/>
    <mergeCell ref="Z504:AC504"/>
    <mergeCell ref="C505:F505"/>
    <mergeCell ref="H505:J505"/>
    <mergeCell ref="K505:P505"/>
    <mergeCell ref="Q505:V505"/>
    <mergeCell ref="W505:Y505"/>
    <mergeCell ref="Z505:AC505"/>
    <mergeCell ref="C504:F504"/>
    <mergeCell ref="H504:J504"/>
    <mergeCell ref="K504:P504"/>
    <mergeCell ref="Q504:V504"/>
    <mergeCell ref="W504:Y504"/>
    <mergeCell ref="Z502:AC502"/>
    <mergeCell ref="C503:F503"/>
    <mergeCell ref="H503:J503"/>
    <mergeCell ref="K503:P503"/>
    <mergeCell ref="Q503:V503"/>
    <mergeCell ref="W503:Y503"/>
    <mergeCell ref="Z503:AC503"/>
    <mergeCell ref="C502:F502"/>
    <mergeCell ref="H502:J502"/>
    <mergeCell ref="K502:P502"/>
    <mergeCell ref="Q502:V502"/>
    <mergeCell ref="W502:Y502"/>
    <mergeCell ref="Z508:AC508"/>
    <mergeCell ref="C509:F509"/>
    <mergeCell ref="H509:J509"/>
    <mergeCell ref="K509:P509"/>
    <mergeCell ref="Q509:V509"/>
    <mergeCell ref="W509:Y509"/>
    <mergeCell ref="Z509:AC509"/>
    <mergeCell ref="C508:F508"/>
    <mergeCell ref="H508:J508"/>
    <mergeCell ref="K508:P508"/>
    <mergeCell ref="Q508:V508"/>
    <mergeCell ref="W508:Y508"/>
    <mergeCell ref="Z506:AC506"/>
    <mergeCell ref="C507:F507"/>
    <mergeCell ref="H507:J507"/>
    <mergeCell ref="K507:P507"/>
    <mergeCell ref="Q507:V507"/>
    <mergeCell ref="W507:Y507"/>
    <mergeCell ref="Z507:AC507"/>
    <mergeCell ref="C506:F506"/>
    <mergeCell ref="H506:J506"/>
    <mergeCell ref="K506:P506"/>
    <mergeCell ref="Q506:V506"/>
    <mergeCell ref="W506:Y506"/>
    <mergeCell ref="Z512:AC512"/>
    <mergeCell ref="C513:F513"/>
    <mergeCell ref="H513:J513"/>
    <mergeCell ref="K513:P513"/>
    <mergeCell ref="Q513:V513"/>
    <mergeCell ref="W513:Y513"/>
    <mergeCell ref="Z513:AC513"/>
    <mergeCell ref="C512:F512"/>
    <mergeCell ref="H512:J512"/>
    <mergeCell ref="K512:P512"/>
    <mergeCell ref="Q512:V512"/>
    <mergeCell ref="W512:Y512"/>
    <mergeCell ref="Z510:AC510"/>
    <mergeCell ref="C511:F511"/>
    <mergeCell ref="H511:J511"/>
    <mergeCell ref="K511:P511"/>
    <mergeCell ref="Q511:V511"/>
    <mergeCell ref="W511:Y511"/>
    <mergeCell ref="Z511:AC511"/>
    <mergeCell ref="C510:F510"/>
    <mergeCell ref="H510:J510"/>
    <mergeCell ref="K510:P510"/>
    <mergeCell ref="Q510:V510"/>
    <mergeCell ref="W510:Y510"/>
    <mergeCell ref="Z516:AC516"/>
    <mergeCell ref="C517:F517"/>
    <mergeCell ref="H517:J517"/>
    <mergeCell ref="K517:P517"/>
    <mergeCell ref="Q517:V517"/>
    <mergeCell ref="W517:Y517"/>
    <mergeCell ref="Z517:AC517"/>
    <mergeCell ref="C516:F516"/>
    <mergeCell ref="H516:J516"/>
    <mergeCell ref="K516:P516"/>
    <mergeCell ref="Q516:V516"/>
    <mergeCell ref="W516:Y516"/>
    <mergeCell ref="Z514:AC514"/>
    <mergeCell ref="C515:F515"/>
    <mergeCell ref="H515:J515"/>
    <mergeCell ref="K515:P515"/>
    <mergeCell ref="Q515:V515"/>
    <mergeCell ref="W515:Y515"/>
    <mergeCell ref="Z515:AC515"/>
    <mergeCell ref="C514:F514"/>
    <mergeCell ref="H514:J514"/>
    <mergeCell ref="K514:P514"/>
    <mergeCell ref="Q514:V514"/>
    <mergeCell ref="W514:Y514"/>
    <mergeCell ref="Z520:AC520"/>
    <mergeCell ref="C521:F521"/>
    <mergeCell ref="H521:J521"/>
    <mergeCell ref="K521:P521"/>
    <mergeCell ref="Q521:V521"/>
    <mergeCell ref="W521:Y521"/>
    <mergeCell ref="Z521:AC521"/>
    <mergeCell ref="C520:F520"/>
    <mergeCell ref="H520:J520"/>
    <mergeCell ref="K520:P520"/>
    <mergeCell ref="Q520:V520"/>
    <mergeCell ref="W520:Y520"/>
    <mergeCell ref="Z518:AC518"/>
    <mergeCell ref="C519:F519"/>
    <mergeCell ref="H519:J519"/>
    <mergeCell ref="K519:P519"/>
    <mergeCell ref="Q519:V519"/>
    <mergeCell ref="W519:Y519"/>
    <mergeCell ref="Z519:AC519"/>
    <mergeCell ref="C518:F518"/>
    <mergeCell ref="H518:J518"/>
    <mergeCell ref="K518:P518"/>
    <mergeCell ref="Q518:V518"/>
    <mergeCell ref="W518:Y518"/>
    <mergeCell ref="Z524:AC524"/>
    <mergeCell ref="C525:F525"/>
    <mergeCell ref="H525:J525"/>
    <mergeCell ref="K525:P525"/>
    <mergeCell ref="Q525:V525"/>
    <mergeCell ref="W525:Y525"/>
    <mergeCell ref="Z525:AC525"/>
    <mergeCell ref="C524:F524"/>
    <mergeCell ref="H524:J524"/>
    <mergeCell ref="K524:P524"/>
    <mergeCell ref="Q524:V524"/>
    <mergeCell ref="W524:Y524"/>
    <mergeCell ref="Z522:AC522"/>
    <mergeCell ref="C523:F523"/>
    <mergeCell ref="H523:J523"/>
    <mergeCell ref="K523:P523"/>
    <mergeCell ref="Q523:V523"/>
    <mergeCell ref="W523:Y523"/>
    <mergeCell ref="Z523:AC523"/>
    <mergeCell ref="C522:F522"/>
    <mergeCell ref="H522:J522"/>
    <mergeCell ref="K522:P522"/>
    <mergeCell ref="Q522:V522"/>
    <mergeCell ref="W522:Y522"/>
    <mergeCell ref="Z528:AC528"/>
    <mergeCell ref="C529:F529"/>
    <mergeCell ref="H529:J529"/>
    <mergeCell ref="K529:P529"/>
    <mergeCell ref="Q529:V529"/>
    <mergeCell ref="W529:Y529"/>
    <mergeCell ref="Z529:AC529"/>
    <mergeCell ref="C528:F528"/>
    <mergeCell ref="H528:J528"/>
    <mergeCell ref="K528:P528"/>
    <mergeCell ref="Q528:V528"/>
    <mergeCell ref="W528:Y528"/>
    <mergeCell ref="Z526:AC526"/>
    <mergeCell ref="C527:F527"/>
    <mergeCell ref="H527:J527"/>
    <mergeCell ref="K527:P527"/>
    <mergeCell ref="Q527:V527"/>
    <mergeCell ref="W527:Y527"/>
    <mergeCell ref="Z527:AC527"/>
    <mergeCell ref="C526:F526"/>
    <mergeCell ref="H526:J526"/>
    <mergeCell ref="K526:P526"/>
    <mergeCell ref="Q526:V526"/>
    <mergeCell ref="W526:Y526"/>
    <mergeCell ref="Z532:AC532"/>
    <mergeCell ref="C533:F533"/>
    <mergeCell ref="H533:J533"/>
    <mergeCell ref="K533:P533"/>
    <mergeCell ref="Q533:V533"/>
    <mergeCell ref="W533:Y533"/>
    <mergeCell ref="Z533:AC533"/>
    <mergeCell ref="C532:F532"/>
    <mergeCell ref="H532:J532"/>
    <mergeCell ref="K532:P532"/>
    <mergeCell ref="Q532:V532"/>
    <mergeCell ref="W532:Y532"/>
    <mergeCell ref="Z530:AC530"/>
    <mergeCell ref="C531:F531"/>
    <mergeCell ref="H531:J531"/>
    <mergeCell ref="K531:P531"/>
    <mergeCell ref="Q531:V531"/>
    <mergeCell ref="W531:Y531"/>
    <mergeCell ref="Z531:AC531"/>
    <mergeCell ref="C530:F530"/>
    <mergeCell ref="H530:J530"/>
    <mergeCell ref="K530:P530"/>
    <mergeCell ref="Q530:V530"/>
    <mergeCell ref="W530:Y530"/>
    <mergeCell ref="Z536:AC536"/>
    <mergeCell ref="C537:F537"/>
    <mergeCell ref="H537:J537"/>
    <mergeCell ref="K537:P537"/>
    <mergeCell ref="Q537:V537"/>
    <mergeCell ref="W537:Y537"/>
    <mergeCell ref="Z537:AC537"/>
    <mergeCell ref="C536:F536"/>
    <mergeCell ref="H536:J536"/>
    <mergeCell ref="K536:P536"/>
    <mergeCell ref="Q536:V536"/>
    <mergeCell ref="W536:Y536"/>
    <mergeCell ref="Z534:AC534"/>
    <mergeCell ref="C535:F535"/>
    <mergeCell ref="H535:J535"/>
    <mergeCell ref="K535:P535"/>
    <mergeCell ref="Q535:V535"/>
    <mergeCell ref="W535:Y535"/>
    <mergeCell ref="Z535:AC535"/>
    <mergeCell ref="C534:F534"/>
    <mergeCell ref="H534:J534"/>
    <mergeCell ref="K534:P534"/>
    <mergeCell ref="Q534:V534"/>
    <mergeCell ref="W534:Y534"/>
    <mergeCell ref="Z540:AC540"/>
    <mergeCell ref="C541:F541"/>
    <mergeCell ref="H541:J541"/>
    <mergeCell ref="K541:P541"/>
    <mergeCell ref="Q541:V541"/>
    <mergeCell ref="W541:Y541"/>
    <mergeCell ref="Z541:AC541"/>
    <mergeCell ref="C540:F540"/>
    <mergeCell ref="H540:J540"/>
    <mergeCell ref="K540:P540"/>
    <mergeCell ref="Q540:V540"/>
    <mergeCell ref="W540:Y540"/>
    <mergeCell ref="Z538:AC538"/>
    <mergeCell ref="C539:F539"/>
    <mergeCell ref="H539:J539"/>
    <mergeCell ref="K539:P539"/>
    <mergeCell ref="Q539:V539"/>
    <mergeCell ref="W539:Y539"/>
    <mergeCell ref="Z539:AC539"/>
    <mergeCell ref="C538:F538"/>
    <mergeCell ref="H538:J538"/>
    <mergeCell ref="K538:P538"/>
    <mergeCell ref="Q538:V538"/>
    <mergeCell ref="W538:Y538"/>
    <mergeCell ref="Z544:AC544"/>
    <mergeCell ref="C545:F545"/>
    <mergeCell ref="H545:J545"/>
    <mergeCell ref="K545:P545"/>
    <mergeCell ref="Q545:V545"/>
    <mergeCell ref="W545:Y545"/>
    <mergeCell ref="Z545:AC545"/>
    <mergeCell ref="C544:F544"/>
    <mergeCell ref="H544:J544"/>
    <mergeCell ref="K544:P544"/>
    <mergeCell ref="Q544:V544"/>
    <mergeCell ref="W544:Y544"/>
    <mergeCell ref="Z542:AC542"/>
    <mergeCell ref="C543:F543"/>
    <mergeCell ref="H543:J543"/>
    <mergeCell ref="K543:P543"/>
    <mergeCell ref="Q543:V543"/>
    <mergeCell ref="W543:Y543"/>
    <mergeCell ref="Z543:AC543"/>
    <mergeCell ref="C542:F542"/>
    <mergeCell ref="H542:J542"/>
    <mergeCell ref="K542:P542"/>
    <mergeCell ref="Q542:V542"/>
    <mergeCell ref="W542:Y542"/>
    <mergeCell ref="Z548:AC548"/>
    <mergeCell ref="C549:F549"/>
    <mergeCell ref="H549:J549"/>
    <mergeCell ref="K549:P549"/>
    <mergeCell ref="Q549:V549"/>
    <mergeCell ref="W549:Y549"/>
    <mergeCell ref="Z549:AC549"/>
    <mergeCell ref="C548:F548"/>
    <mergeCell ref="H548:J548"/>
    <mergeCell ref="K548:P548"/>
    <mergeCell ref="Q548:V548"/>
    <mergeCell ref="W548:Y548"/>
    <mergeCell ref="Z546:AC546"/>
    <mergeCell ref="C547:F547"/>
    <mergeCell ref="H547:J547"/>
    <mergeCell ref="K547:P547"/>
    <mergeCell ref="Q547:V547"/>
    <mergeCell ref="W547:Y547"/>
    <mergeCell ref="Z547:AC547"/>
    <mergeCell ref="C546:F546"/>
    <mergeCell ref="H546:J546"/>
    <mergeCell ref="K546:P546"/>
    <mergeCell ref="Q546:V546"/>
    <mergeCell ref="W546:Y546"/>
    <mergeCell ref="Z552:AC552"/>
    <mergeCell ref="C553:F553"/>
    <mergeCell ref="H553:J553"/>
    <mergeCell ref="K553:P553"/>
    <mergeCell ref="Q553:V553"/>
    <mergeCell ref="W553:Y553"/>
    <mergeCell ref="Z553:AC553"/>
    <mergeCell ref="C552:F552"/>
    <mergeCell ref="H552:J552"/>
    <mergeCell ref="K552:P552"/>
    <mergeCell ref="Q552:V552"/>
    <mergeCell ref="W552:Y552"/>
    <mergeCell ref="Z550:AC550"/>
    <mergeCell ref="C551:F551"/>
    <mergeCell ref="H551:J551"/>
    <mergeCell ref="K551:P551"/>
    <mergeCell ref="Q551:V551"/>
    <mergeCell ref="W551:Y551"/>
    <mergeCell ref="Z551:AC551"/>
    <mergeCell ref="C550:F550"/>
    <mergeCell ref="H550:J550"/>
    <mergeCell ref="K550:P550"/>
    <mergeCell ref="Q550:V550"/>
    <mergeCell ref="W550:Y550"/>
    <mergeCell ref="Z556:AC556"/>
    <mergeCell ref="C557:F557"/>
    <mergeCell ref="H557:J557"/>
    <mergeCell ref="K557:P557"/>
    <mergeCell ref="Q557:V557"/>
    <mergeCell ref="W557:Y557"/>
    <mergeCell ref="Z557:AC557"/>
    <mergeCell ref="C556:F556"/>
    <mergeCell ref="H556:J556"/>
    <mergeCell ref="K556:P556"/>
    <mergeCell ref="Q556:V556"/>
    <mergeCell ref="W556:Y556"/>
    <mergeCell ref="Z554:AC554"/>
    <mergeCell ref="C555:F555"/>
    <mergeCell ref="H555:J555"/>
    <mergeCell ref="K555:P555"/>
    <mergeCell ref="Q555:V555"/>
    <mergeCell ref="W555:Y555"/>
    <mergeCell ref="Z555:AC555"/>
    <mergeCell ref="C554:F554"/>
    <mergeCell ref="H554:J554"/>
    <mergeCell ref="K554:P554"/>
    <mergeCell ref="Q554:V554"/>
    <mergeCell ref="W554:Y554"/>
    <mergeCell ref="Z560:AC560"/>
    <mergeCell ref="C561:F561"/>
    <mergeCell ref="H561:J561"/>
    <mergeCell ref="K561:P561"/>
    <mergeCell ref="Q561:V561"/>
    <mergeCell ref="W561:Y561"/>
    <mergeCell ref="Z561:AC561"/>
    <mergeCell ref="C560:F560"/>
    <mergeCell ref="H560:J560"/>
    <mergeCell ref="K560:P560"/>
    <mergeCell ref="Q560:V560"/>
    <mergeCell ref="W560:Y560"/>
    <mergeCell ref="Z558:AC558"/>
    <mergeCell ref="C559:F559"/>
    <mergeCell ref="H559:J559"/>
    <mergeCell ref="K559:P559"/>
    <mergeCell ref="Q559:V559"/>
    <mergeCell ref="W559:Y559"/>
    <mergeCell ref="Z559:AC559"/>
    <mergeCell ref="C558:F558"/>
    <mergeCell ref="H558:J558"/>
    <mergeCell ref="K558:P558"/>
    <mergeCell ref="Q558:V558"/>
    <mergeCell ref="W558:Y558"/>
    <mergeCell ref="Z564:AC564"/>
    <mergeCell ref="C565:F565"/>
    <mergeCell ref="H565:J565"/>
    <mergeCell ref="K565:P565"/>
    <mergeCell ref="Q565:V565"/>
    <mergeCell ref="W565:Y565"/>
    <mergeCell ref="Z565:AC565"/>
    <mergeCell ref="C564:F564"/>
    <mergeCell ref="H564:J564"/>
    <mergeCell ref="K564:P564"/>
    <mergeCell ref="Q564:V564"/>
    <mergeCell ref="W564:Y564"/>
    <mergeCell ref="Z562:AC562"/>
    <mergeCell ref="C563:F563"/>
    <mergeCell ref="H563:J563"/>
    <mergeCell ref="K563:P563"/>
    <mergeCell ref="Q563:V563"/>
    <mergeCell ref="W563:Y563"/>
    <mergeCell ref="Z563:AC563"/>
    <mergeCell ref="C562:F562"/>
    <mergeCell ref="H562:J562"/>
    <mergeCell ref="K562:P562"/>
    <mergeCell ref="Q562:V562"/>
    <mergeCell ref="W562:Y562"/>
    <mergeCell ref="Z568:AC568"/>
    <mergeCell ref="C569:F569"/>
    <mergeCell ref="H569:J569"/>
    <mergeCell ref="K569:P569"/>
    <mergeCell ref="Q569:V569"/>
    <mergeCell ref="W569:Y569"/>
    <mergeCell ref="Z569:AC569"/>
    <mergeCell ref="C568:F568"/>
    <mergeCell ref="H568:J568"/>
    <mergeCell ref="K568:P568"/>
    <mergeCell ref="Q568:V568"/>
    <mergeCell ref="W568:Y568"/>
    <mergeCell ref="Z566:AC566"/>
    <mergeCell ref="C567:F567"/>
    <mergeCell ref="H567:J567"/>
    <mergeCell ref="K567:P567"/>
    <mergeCell ref="Q567:V567"/>
    <mergeCell ref="W567:Y567"/>
    <mergeCell ref="Z567:AC567"/>
    <mergeCell ref="C566:F566"/>
    <mergeCell ref="H566:J566"/>
    <mergeCell ref="K566:P566"/>
    <mergeCell ref="Q566:V566"/>
    <mergeCell ref="W566:Y566"/>
    <mergeCell ref="Z572:AC572"/>
    <mergeCell ref="C573:F573"/>
    <mergeCell ref="H573:J573"/>
    <mergeCell ref="K573:P573"/>
    <mergeCell ref="Q573:V573"/>
    <mergeCell ref="W573:Y573"/>
    <mergeCell ref="Z573:AC573"/>
    <mergeCell ref="C572:F572"/>
    <mergeCell ref="H572:J572"/>
    <mergeCell ref="K572:P572"/>
    <mergeCell ref="Q572:V572"/>
    <mergeCell ref="W572:Y572"/>
    <mergeCell ref="Z570:AC570"/>
    <mergeCell ref="C571:F571"/>
    <mergeCell ref="H571:J571"/>
    <mergeCell ref="K571:P571"/>
    <mergeCell ref="Q571:V571"/>
    <mergeCell ref="W571:Y571"/>
    <mergeCell ref="Z571:AC571"/>
    <mergeCell ref="C570:F570"/>
    <mergeCell ref="H570:J570"/>
    <mergeCell ref="K570:P570"/>
    <mergeCell ref="Q570:V570"/>
    <mergeCell ref="W570:Y570"/>
    <mergeCell ref="Z576:AC576"/>
    <mergeCell ref="C577:F577"/>
    <mergeCell ref="H577:J577"/>
    <mergeCell ref="K577:P577"/>
    <mergeCell ref="Q577:V577"/>
    <mergeCell ref="W577:Y577"/>
    <mergeCell ref="Z577:AC577"/>
    <mergeCell ref="C576:F576"/>
    <mergeCell ref="H576:J576"/>
    <mergeCell ref="K576:P576"/>
    <mergeCell ref="Q576:V576"/>
    <mergeCell ref="W576:Y576"/>
    <mergeCell ref="Z574:AC574"/>
    <mergeCell ref="C575:F575"/>
    <mergeCell ref="H575:J575"/>
    <mergeCell ref="K575:P575"/>
    <mergeCell ref="Q575:V575"/>
    <mergeCell ref="W575:Y575"/>
    <mergeCell ref="Z575:AC575"/>
    <mergeCell ref="C574:F574"/>
    <mergeCell ref="H574:J574"/>
    <mergeCell ref="K574:P574"/>
    <mergeCell ref="Q574:V574"/>
    <mergeCell ref="W574:Y574"/>
    <mergeCell ref="Z580:AC580"/>
    <mergeCell ref="C581:F581"/>
    <mergeCell ref="H581:J581"/>
    <mergeCell ref="K581:P581"/>
    <mergeCell ref="Q581:V581"/>
    <mergeCell ref="W581:Y581"/>
    <mergeCell ref="Z581:AC581"/>
    <mergeCell ref="C580:F580"/>
    <mergeCell ref="H580:J580"/>
    <mergeCell ref="K580:P580"/>
    <mergeCell ref="Q580:V580"/>
    <mergeCell ref="W580:Y580"/>
    <mergeCell ref="Z578:AC578"/>
    <mergeCell ref="C579:F579"/>
    <mergeCell ref="H579:J579"/>
    <mergeCell ref="K579:P579"/>
    <mergeCell ref="Q579:V579"/>
    <mergeCell ref="W579:Y579"/>
    <mergeCell ref="Z579:AC579"/>
    <mergeCell ref="C578:F578"/>
    <mergeCell ref="H578:J578"/>
    <mergeCell ref="K578:P578"/>
    <mergeCell ref="Q578:V578"/>
    <mergeCell ref="W578:Y578"/>
  </mergeCells>
  <conditionalFormatting sqref="C16:AC200">
    <cfRule type="expression" dxfId="251" priority="1">
      <formula>$C16&lt;&gt;""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Tomador"/>
  <dimension ref="A1:AJ1146"/>
  <sheetViews>
    <sheetView topLeftCell="B1" workbookViewId="0">
      <pane ySplit="6" topLeftCell="A7" activePane="bottomLeft" state="frozen"/>
      <selection pane="bottomLeft" activeCell="E13" sqref="E13"/>
    </sheetView>
  </sheetViews>
  <sheetFormatPr defaultColWidth="9.140625" defaultRowHeight="15" x14ac:dyDescent="0.25"/>
  <cols>
    <col min="1" max="1" width="9.140625" style="26" hidden="1" customWidth="1"/>
    <col min="2" max="2" width="2" style="50" customWidth="1"/>
    <col min="3" max="3" width="48.140625" style="27" customWidth="1"/>
    <col min="4" max="4" width="22" style="34" customWidth="1"/>
    <col min="5" max="5" width="66" style="27" customWidth="1"/>
    <col min="6" max="6" width="7.140625" style="34" customWidth="1"/>
    <col min="7" max="16384" width="9.140625" style="26"/>
  </cols>
  <sheetData>
    <row r="1" spans="2:36" hidden="1" x14ac:dyDescent="0.25">
      <c r="F1" s="49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</row>
    <row r="2" spans="2:36" ht="4.5" customHeight="1" x14ac:dyDescent="0.25">
      <c r="F2" s="49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</row>
    <row r="3" spans="2:36" x14ac:dyDescent="0.25">
      <c r="B3" s="51"/>
      <c r="C3" s="41" t="s">
        <v>6</v>
      </c>
      <c r="D3" s="38" t="s">
        <v>17</v>
      </c>
      <c r="E3" s="41" t="s">
        <v>7</v>
      </c>
      <c r="F3" s="52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</row>
    <row r="4" spans="2:36" ht="23.25" customHeight="1" x14ac:dyDescent="0.25">
      <c r="B4" s="51"/>
      <c r="C4" s="39"/>
      <c r="D4" s="40"/>
      <c r="E4" s="39"/>
      <c r="F4" s="53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</row>
    <row r="5" spans="2:36" ht="47.25" customHeight="1" x14ac:dyDescent="0.25">
      <c r="C5" s="42"/>
      <c r="D5" s="43"/>
      <c r="E5" s="44"/>
      <c r="F5" s="49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</row>
    <row r="6" spans="2:36" x14ac:dyDescent="0.25">
      <c r="C6" s="45" t="s">
        <v>6</v>
      </c>
      <c r="D6" s="46" t="s">
        <v>17</v>
      </c>
      <c r="E6" s="47" t="s">
        <v>7</v>
      </c>
      <c r="F6" s="48" t="s">
        <v>8</v>
      </c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</row>
    <row r="7" spans="2:36" x14ac:dyDescent="0.25">
      <c r="C7" s="24"/>
      <c r="D7" s="25"/>
      <c r="E7" s="24"/>
      <c r="F7" s="25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</row>
    <row r="8" spans="2:36" x14ac:dyDescent="0.25">
      <c r="C8" s="24"/>
      <c r="D8" s="25"/>
      <c r="E8" s="24"/>
      <c r="F8" s="25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</row>
    <row r="9" spans="2:36" x14ac:dyDescent="0.25">
      <c r="C9" s="24"/>
      <c r="D9" s="25"/>
      <c r="E9" s="24"/>
      <c r="F9" s="25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</row>
    <row r="10" spans="2:36" x14ac:dyDescent="0.25">
      <c r="C10" s="24"/>
      <c r="D10" s="25"/>
      <c r="E10" s="24"/>
      <c r="F10" s="25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</row>
    <row r="11" spans="2:36" x14ac:dyDescent="0.25">
      <c r="C11" s="24"/>
      <c r="D11" s="25"/>
      <c r="E11" s="24"/>
      <c r="F11" s="25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</row>
    <row r="12" spans="2:36" x14ac:dyDescent="0.25">
      <c r="C12" s="24"/>
      <c r="D12" s="25"/>
      <c r="E12" s="24"/>
      <c r="F12" s="25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</row>
    <row r="13" spans="2:36" x14ac:dyDescent="0.25">
      <c r="C13" s="24"/>
      <c r="D13" s="25"/>
      <c r="E13" s="24"/>
      <c r="F13" s="25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</row>
    <row r="14" spans="2:36" x14ac:dyDescent="0.25">
      <c r="C14" s="24"/>
      <c r="D14" s="25"/>
      <c r="E14" s="24"/>
      <c r="F14" s="25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</row>
    <row r="15" spans="2:36" x14ac:dyDescent="0.25">
      <c r="C15" s="24"/>
      <c r="D15" s="25"/>
      <c r="E15" s="24"/>
      <c r="F15" s="25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</row>
    <row r="16" spans="2:36" x14ac:dyDescent="0.25">
      <c r="C16" s="24"/>
      <c r="D16" s="25"/>
      <c r="E16" s="24"/>
      <c r="F16" s="25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</row>
    <row r="17" spans="3:36" x14ac:dyDescent="0.25">
      <c r="C17" s="24"/>
      <c r="D17" s="25"/>
      <c r="E17" s="24"/>
      <c r="F17" s="25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</row>
    <row r="18" spans="3:36" x14ac:dyDescent="0.25">
      <c r="C18" s="24"/>
      <c r="D18" s="25"/>
      <c r="E18" s="24"/>
      <c r="F18" s="25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</row>
    <row r="19" spans="3:36" x14ac:dyDescent="0.25">
      <c r="C19" s="24"/>
      <c r="D19" s="25"/>
      <c r="E19" s="24"/>
      <c r="F19" s="25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</row>
    <row r="20" spans="3:36" x14ac:dyDescent="0.25">
      <c r="C20" s="24"/>
      <c r="D20" s="25"/>
      <c r="E20" s="24"/>
      <c r="F20" s="25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</row>
    <row r="21" spans="3:36" x14ac:dyDescent="0.25">
      <c r="C21" s="24"/>
      <c r="D21" s="25"/>
      <c r="E21" s="24"/>
      <c r="F21" s="25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</row>
    <row r="22" spans="3:36" x14ac:dyDescent="0.25">
      <c r="C22" s="24"/>
      <c r="D22" s="25"/>
      <c r="E22" s="24"/>
      <c r="F22" s="25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</row>
    <row r="23" spans="3:36" x14ac:dyDescent="0.25">
      <c r="C23" s="24"/>
      <c r="D23" s="25"/>
      <c r="E23" s="24"/>
      <c r="F23" s="25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</row>
    <row r="24" spans="3:36" x14ac:dyDescent="0.25">
      <c r="C24" s="24"/>
      <c r="D24" s="25"/>
      <c r="E24" s="24"/>
      <c r="F24" s="25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</row>
    <row r="25" spans="3:36" x14ac:dyDescent="0.25">
      <c r="C25" s="24"/>
      <c r="D25" s="25"/>
      <c r="E25" s="24"/>
      <c r="F25" s="25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</row>
    <row r="26" spans="3:36" x14ac:dyDescent="0.25">
      <c r="C26" s="24"/>
      <c r="D26" s="25"/>
      <c r="E26" s="24"/>
      <c r="F26" s="25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</row>
    <row r="27" spans="3:36" x14ac:dyDescent="0.25">
      <c r="C27" s="24"/>
      <c r="D27" s="25"/>
      <c r="E27" s="24"/>
      <c r="F27" s="25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</row>
    <row r="28" spans="3:36" x14ac:dyDescent="0.25">
      <c r="C28" s="24"/>
      <c r="D28" s="25"/>
      <c r="E28" s="24"/>
      <c r="F28" s="25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</row>
    <row r="29" spans="3:36" x14ac:dyDescent="0.25">
      <c r="C29" s="24"/>
      <c r="D29" s="25"/>
      <c r="E29" s="24"/>
      <c r="F29" s="25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</row>
    <row r="30" spans="3:36" x14ac:dyDescent="0.25">
      <c r="C30" s="24"/>
      <c r="D30" s="25"/>
      <c r="E30" s="24"/>
      <c r="F30" s="25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</row>
    <row r="31" spans="3:36" x14ac:dyDescent="0.25">
      <c r="C31" s="24"/>
      <c r="D31" s="25"/>
      <c r="E31" s="24"/>
      <c r="F31" s="25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</row>
    <row r="32" spans="3:36" x14ac:dyDescent="0.25">
      <c r="C32" s="24"/>
      <c r="D32" s="25"/>
      <c r="E32" s="24"/>
      <c r="F32" s="25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</row>
    <row r="33" spans="3:36" x14ac:dyDescent="0.25">
      <c r="C33" s="24"/>
      <c r="D33" s="25"/>
      <c r="E33" s="24"/>
      <c r="F33" s="25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</row>
    <row r="34" spans="3:36" x14ac:dyDescent="0.25">
      <c r="C34" s="24"/>
      <c r="D34" s="25"/>
      <c r="E34" s="24"/>
      <c r="F34" s="25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</row>
    <row r="35" spans="3:36" x14ac:dyDescent="0.25">
      <c r="C35" s="24"/>
      <c r="D35" s="25"/>
      <c r="E35" s="24"/>
      <c r="F35" s="25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</row>
    <row r="36" spans="3:36" x14ac:dyDescent="0.25">
      <c r="C36" s="24"/>
      <c r="D36" s="25"/>
      <c r="E36" s="24"/>
      <c r="F36" s="25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</row>
    <row r="37" spans="3:36" x14ac:dyDescent="0.25">
      <c r="C37" s="24"/>
      <c r="D37" s="25"/>
      <c r="E37" s="24"/>
      <c r="F37" s="25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</row>
    <row r="38" spans="3:36" x14ac:dyDescent="0.25">
      <c r="C38" s="24"/>
      <c r="D38" s="25"/>
      <c r="E38" s="24"/>
      <c r="F38" s="25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</row>
    <row r="39" spans="3:36" x14ac:dyDescent="0.25">
      <c r="C39" s="24"/>
      <c r="D39" s="25"/>
      <c r="E39" s="24"/>
      <c r="F39" s="25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</row>
    <row r="40" spans="3:36" x14ac:dyDescent="0.25">
      <c r="C40" s="24"/>
      <c r="D40" s="25"/>
      <c r="E40" s="24"/>
      <c r="F40" s="25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</row>
    <row r="41" spans="3:36" x14ac:dyDescent="0.25">
      <c r="C41" s="24"/>
      <c r="D41" s="25"/>
      <c r="E41" s="24"/>
      <c r="F41" s="25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</row>
    <row r="42" spans="3:36" x14ac:dyDescent="0.25">
      <c r="C42" s="24"/>
      <c r="D42" s="25"/>
      <c r="E42" s="24"/>
      <c r="F42" s="25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</row>
    <row r="43" spans="3:36" x14ac:dyDescent="0.25">
      <c r="C43" s="24"/>
      <c r="D43" s="25"/>
      <c r="E43" s="24"/>
      <c r="F43" s="25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</row>
    <row r="44" spans="3:36" x14ac:dyDescent="0.25">
      <c r="C44" s="24"/>
      <c r="D44" s="25"/>
      <c r="E44" s="24"/>
      <c r="F44" s="25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</row>
    <row r="45" spans="3:36" x14ac:dyDescent="0.25">
      <c r="C45" s="24"/>
      <c r="D45" s="25"/>
      <c r="E45" s="24"/>
      <c r="F45" s="25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</row>
    <row r="46" spans="3:36" x14ac:dyDescent="0.25">
      <c r="C46" s="24"/>
      <c r="D46" s="25"/>
      <c r="E46" s="24"/>
      <c r="F46" s="25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</row>
    <row r="47" spans="3:36" x14ac:dyDescent="0.25">
      <c r="C47" s="24"/>
      <c r="D47" s="25"/>
      <c r="E47" s="24"/>
      <c r="F47" s="25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</row>
    <row r="48" spans="3:36" x14ac:dyDescent="0.25">
      <c r="C48" s="24"/>
      <c r="D48" s="25"/>
      <c r="E48" s="24"/>
      <c r="F48" s="25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</row>
    <row r="49" spans="3:36" x14ac:dyDescent="0.25">
      <c r="C49" s="24"/>
      <c r="D49" s="25"/>
      <c r="E49" s="24"/>
      <c r="F49" s="25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</row>
    <row r="50" spans="3:36" x14ac:dyDescent="0.25">
      <c r="C50" s="24"/>
      <c r="D50" s="25"/>
      <c r="E50" s="24"/>
      <c r="F50" s="25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</row>
    <row r="51" spans="3:36" x14ac:dyDescent="0.25">
      <c r="C51" s="24"/>
      <c r="D51" s="25"/>
      <c r="E51" s="24"/>
      <c r="F51" s="25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</row>
    <row r="52" spans="3:36" x14ac:dyDescent="0.25">
      <c r="C52" s="24"/>
      <c r="D52" s="25"/>
      <c r="E52" s="24"/>
      <c r="F52" s="25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</row>
    <row r="53" spans="3:36" x14ac:dyDescent="0.25">
      <c r="C53" s="24"/>
      <c r="D53" s="25"/>
      <c r="E53" s="24"/>
      <c r="F53" s="25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</row>
    <row r="54" spans="3:36" x14ac:dyDescent="0.25">
      <c r="C54" s="24"/>
      <c r="D54" s="25"/>
      <c r="E54" s="24"/>
      <c r="F54" s="25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</row>
    <row r="55" spans="3:36" x14ac:dyDescent="0.25">
      <c r="C55" s="24"/>
      <c r="D55" s="25"/>
      <c r="E55" s="24"/>
      <c r="F55" s="25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</row>
    <row r="56" spans="3:36" x14ac:dyDescent="0.25">
      <c r="C56" s="24"/>
      <c r="D56" s="25"/>
      <c r="E56" s="24"/>
      <c r="F56" s="25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</row>
    <row r="57" spans="3:36" x14ac:dyDescent="0.25">
      <c r="C57" s="24"/>
      <c r="D57" s="25"/>
      <c r="E57" s="24"/>
      <c r="F57" s="25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</row>
    <row r="58" spans="3:36" x14ac:dyDescent="0.25">
      <c r="C58" s="24"/>
      <c r="D58" s="25"/>
      <c r="E58" s="24"/>
      <c r="F58" s="25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</row>
    <row r="59" spans="3:36" x14ac:dyDescent="0.25">
      <c r="C59" s="24"/>
      <c r="D59" s="25"/>
      <c r="E59" s="24"/>
      <c r="F59" s="25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</row>
    <row r="60" spans="3:36" x14ac:dyDescent="0.25">
      <c r="C60" s="24"/>
      <c r="D60" s="25"/>
      <c r="E60" s="24"/>
      <c r="F60" s="25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</row>
    <row r="61" spans="3:36" x14ac:dyDescent="0.25">
      <c r="C61" s="24"/>
      <c r="D61" s="25"/>
      <c r="E61" s="24"/>
      <c r="F61" s="25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</row>
    <row r="62" spans="3:36" x14ac:dyDescent="0.25">
      <c r="C62" s="24"/>
      <c r="D62" s="25"/>
      <c r="E62" s="24"/>
      <c r="F62" s="25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</row>
    <row r="63" spans="3:36" x14ac:dyDescent="0.25">
      <c r="C63" s="24"/>
      <c r="D63" s="25"/>
      <c r="E63" s="24"/>
      <c r="F63" s="25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</row>
    <row r="64" spans="3:36" x14ac:dyDescent="0.25">
      <c r="C64" s="24"/>
      <c r="D64" s="25"/>
      <c r="E64" s="24"/>
      <c r="F64" s="25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</row>
    <row r="65" spans="3:36" x14ac:dyDescent="0.25">
      <c r="C65" s="24"/>
      <c r="D65" s="25"/>
      <c r="E65" s="24"/>
      <c r="F65" s="25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</row>
    <row r="66" spans="3:36" x14ac:dyDescent="0.25">
      <c r="C66" s="24"/>
      <c r="D66" s="25"/>
      <c r="E66" s="24"/>
      <c r="F66" s="25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</row>
    <row r="67" spans="3:36" x14ac:dyDescent="0.25">
      <c r="C67" s="24"/>
      <c r="D67" s="25"/>
      <c r="E67" s="24"/>
      <c r="F67" s="25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</row>
    <row r="68" spans="3:36" x14ac:dyDescent="0.25">
      <c r="C68" s="24"/>
      <c r="D68" s="25"/>
      <c r="E68" s="24"/>
      <c r="F68" s="25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</row>
    <row r="69" spans="3:36" x14ac:dyDescent="0.25">
      <c r="C69" s="24"/>
      <c r="D69" s="25"/>
      <c r="E69" s="24"/>
      <c r="F69" s="25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</row>
    <row r="70" spans="3:36" x14ac:dyDescent="0.25">
      <c r="C70" s="24"/>
      <c r="D70" s="25"/>
      <c r="E70" s="24"/>
      <c r="F70" s="25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</row>
    <row r="71" spans="3:36" x14ac:dyDescent="0.25">
      <c r="C71" s="24"/>
      <c r="D71" s="25"/>
      <c r="E71" s="24"/>
      <c r="F71" s="25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</row>
    <row r="72" spans="3:36" x14ac:dyDescent="0.25">
      <c r="C72" s="24"/>
      <c r="D72" s="25"/>
      <c r="E72" s="24"/>
      <c r="F72" s="25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</row>
    <row r="73" spans="3:36" x14ac:dyDescent="0.25">
      <c r="C73" s="24"/>
      <c r="D73" s="25"/>
      <c r="E73" s="24"/>
      <c r="F73" s="25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</row>
    <row r="74" spans="3:36" x14ac:dyDescent="0.25">
      <c r="C74" s="24"/>
      <c r="D74" s="25"/>
      <c r="E74" s="24"/>
      <c r="F74" s="25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</row>
    <row r="75" spans="3:36" x14ac:dyDescent="0.25">
      <c r="C75" s="24"/>
      <c r="D75" s="25"/>
      <c r="E75" s="24"/>
      <c r="F75" s="25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</row>
    <row r="76" spans="3:36" x14ac:dyDescent="0.25">
      <c r="C76" s="24"/>
      <c r="D76" s="25"/>
      <c r="E76" s="24"/>
      <c r="F76" s="25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</row>
    <row r="77" spans="3:36" x14ac:dyDescent="0.25">
      <c r="C77" s="24"/>
      <c r="D77" s="25"/>
      <c r="E77" s="24"/>
      <c r="F77" s="25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</row>
    <row r="78" spans="3:36" x14ac:dyDescent="0.25">
      <c r="C78" s="24"/>
      <c r="D78" s="25"/>
      <c r="E78" s="24"/>
      <c r="F78" s="25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</row>
    <row r="79" spans="3:36" x14ac:dyDescent="0.25">
      <c r="C79" s="24"/>
      <c r="D79" s="25"/>
      <c r="E79" s="24"/>
      <c r="F79" s="25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</row>
    <row r="80" spans="3:36" x14ac:dyDescent="0.25">
      <c r="C80" s="24"/>
      <c r="D80" s="25"/>
      <c r="E80" s="24"/>
      <c r="F80" s="25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</row>
    <row r="81" spans="3:36" x14ac:dyDescent="0.25">
      <c r="C81" s="24"/>
      <c r="D81" s="25"/>
      <c r="E81" s="24"/>
      <c r="F81" s="25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</row>
    <row r="82" spans="3:36" x14ac:dyDescent="0.25">
      <c r="C82" s="24"/>
      <c r="D82" s="25"/>
      <c r="E82" s="24"/>
      <c r="F82" s="25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</row>
    <row r="83" spans="3:36" x14ac:dyDescent="0.25">
      <c r="C83" s="24"/>
      <c r="D83" s="25"/>
      <c r="E83" s="24"/>
      <c r="F83" s="25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</row>
    <row r="84" spans="3:36" x14ac:dyDescent="0.25">
      <c r="C84" s="24"/>
      <c r="D84" s="25"/>
      <c r="E84" s="24"/>
      <c r="F84" s="25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</row>
    <row r="85" spans="3:36" x14ac:dyDescent="0.25">
      <c r="C85" s="24"/>
      <c r="D85" s="25"/>
      <c r="E85" s="24"/>
      <c r="F85" s="25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</row>
    <row r="86" spans="3:36" x14ac:dyDescent="0.25">
      <c r="C86" s="24"/>
      <c r="D86" s="25"/>
      <c r="E86" s="24"/>
      <c r="F86" s="25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</row>
    <row r="87" spans="3:36" x14ac:dyDescent="0.25">
      <c r="C87" s="24"/>
      <c r="D87" s="25"/>
      <c r="E87" s="24"/>
      <c r="F87" s="25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</row>
    <row r="88" spans="3:36" x14ac:dyDescent="0.25">
      <c r="C88" s="24"/>
      <c r="D88" s="25"/>
      <c r="E88" s="24"/>
      <c r="F88" s="25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</row>
    <row r="89" spans="3:36" x14ac:dyDescent="0.25">
      <c r="C89" s="24"/>
      <c r="D89" s="25"/>
      <c r="E89" s="24"/>
      <c r="F89" s="25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</row>
    <row r="90" spans="3:36" x14ac:dyDescent="0.25">
      <c r="C90" s="24"/>
      <c r="D90" s="25"/>
      <c r="E90" s="24"/>
      <c r="F90" s="25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</row>
    <row r="91" spans="3:36" x14ac:dyDescent="0.25">
      <c r="C91" s="24"/>
      <c r="D91" s="25"/>
      <c r="E91" s="24"/>
      <c r="F91" s="25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</row>
    <row r="92" spans="3:36" x14ac:dyDescent="0.25">
      <c r="C92" s="24"/>
      <c r="D92" s="25"/>
      <c r="E92" s="24"/>
      <c r="F92" s="25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</row>
    <row r="93" spans="3:36" x14ac:dyDescent="0.25">
      <c r="C93" s="24"/>
      <c r="D93" s="25"/>
      <c r="E93" s="24"/>
      <c r="F93" s="25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</row>
    <row r="94" spans="3:36" x14ac:dyDescent="0.25">
      <c r="C94" s="24"/>
      <c r="D94" s="25"/>
      <c r="E94" s="24"/>
      <c r="F94" s="25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</row>
    <row r="95" spans="3:36" x14ac:dyDescent="0.25">
      <c r="C95" s="24"/>
      <c r="D95" s="25"/>
      <c r="E95" s="24"/>
      <c r="F95" s="25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</row>
    <row r="96" spans="3:36" x14ac:dyDescent="0.25">
      <c r="C96" s="24"/>
      <c r="D96" s="25"/>
      <c r="E96" s="24"/>
      <c r="F96" s="25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</row>
    <row r="97" spans="3:36" x14ac:dyDescent="0.25">
      <c r="C97" s="24"/>
      <c r="D97" s="25"/>
      <c r="E97" s="24"/>
      <c r="F97" s="25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</row>
    <row r="98" spans="3:36" x14ac:dyDescent="0.25">
      <c r="C98" s="24"/>
      <c r="D98" s="25"/>
      <c r="E98" s="24"/>
      <c r="F98" s="25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</row>
    <row r="99" spans="3:36" x14ac:dyDescent="0.25">
      <c r="C99" s="24"/>
      <c r="D99" s="25"/>
      <c r="E99" s="24"/>
      <c r="F99" s="25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</row>
    <row r="100" spans="3:36" x14ac:dyDescent="0.25">
      <c r="C100" s="24"/>
      <c r="D100" s="25"/>
      <c r="E100" s="24"/>
      <c r="F100" s="25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</row>
    <row r="101" spans="3:36" x14ac:dyDescent="0.25">
      <c r="C101" s="24"/>
      <c r="D101" s="25"/>
      <c r="E101" s="24"/>
      <c r="F101" s="25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</row>
    <row r="102" spans="3:36" x14ac:dyDescent="0.25">
      <c r="C102" s="24"/>
      <c r="D102" s="25"/>
      <c r="E102" s="24"/>
      <c r="F102" s="25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</row>
    <row r="103" spans="3:36" x14ac:dyDescent="0.25">
      <c r="C103" s="24"/>
      <c r="D103" s="25"/>
      <c r="E103" s="24"/>
      <c r="F103" s="25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</row>
    <row r="104" spans="3:36" x14ac:dyDescent="0.25">
      <c r="C104" s="24"/>
      <c r="D104" s="25"/>
      <c r="E104" s="24"/>
      <c r="F104" s="25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</row>
    <row r="105" spans="3:36" x14ac:dyDescent="0.25">
      <c r="C105" s="24"/>
      <c r="D105" s="25"/>
      <c r="E105" s="24"/>
      <c r="F105" s="25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</row>
    <row r="106" spans="3:36" x14ac:dyDescent="0.25">
      <c r="C106" s="24"/>
      <c r="D106" s="25"/>
      <c r="E106" s="24"/>
      <c r="F106" s="25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</row>
    <row r="107" spans="3:36" x14ac:dyDescent="0.25">
      <c r="C107" s="24"/>
      <c r="D107" s="25"/>
      <c r="E107" s="24"/>
      <c r="F107" s="25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</row>
    <row r="108" spans="3:36" x14ac:dyDescent="0.25">
      <c r="C108" s="24"/>
      <c r="D108" s="25"/>
      <c r="E108" s="24"/>
      <c r="F108" s="25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</row>
    <row r="109" spans="3:36" x14ac:dyDescent="0.25">
      <c r="C109" s="24"/>
      <c r="D109" s="25"/>
      <c r="E109" s="24"/>
      <c r="F109" s="25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</row>
    <row r="110" spans="3:36" x14ac:dyDescent="0.25">
      <c r="C110" s="24"/>
      <c r="D110" s="25"/>
      <c r="E110" s="24"/>
      <c r="F110" s="25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</row>
    <row r="111" spans="3:36" x14ac:dyDescent="0.25">
      <c r="C111" s="24"/>
      <c r="D111" s="25"/>
      <c r="E111" s="24"/>
      <c r="F111" s="25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</row>
    <row r="112" spans="3:36" x14ac:dyDescent="0.25">
      <c r="C112" s="24"/>
      <c r="D112" s="25"/>
      <c r="E112" s="24"/>
      <c r="F112" s="25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</row>
    <row r="113" spans="3:36" x14ac:dyDescent="0.25">
      <c r="C113" s="24"/>
      <c r="D113" s="25"/>
      <c r="E113" s="24"/>
      <c r="F113" s="25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</row>
    <row r="114" spans="3:36" x14ac:dyDescent="0.25">
      <c r="C114" s="24"/>
      <c r="D114" s="25"/>
      <c r="E114" s="24"/>
      <c r="F114" s="25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</row>
    <row r="115" spans="3:36" x14ac:dyDescent="0.25">
      <c r="C115" s="24"/>
      <c r="D115" s="25"/>
      <c r="E115" s="24"/>
      <c r="F115" s="25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</row>
    <row r="116" spans="3:36" x14ac:dyDescent="0.25">
      <c r="C116" s="24"/>
      <c r="D116" s="25"/>
      <c r="E116" s="24"/>
      <c r="F116" s="25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</row>
    <row r="117" spans="3:36" x14ac:dyDescent="0.25">
      <c r="C117" s="24"/>
      <c r="D117" s="25"/>
      <c r="E117" s="24"/>
      <c r="F117" s="25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</row>
    <row r="118" spans="3:36" x14ac:dyDescent="0.25">
      <c r="C118" s="24"/>
      <c r="D118" s="25"/>
      <c r="E118" s="24"/>
      <c r="F118" s="25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</row>
    <row r="119" spans="3:36" x14ac:dyDescent="0.25">
      <c r="C119" s="24"/>
      <c r="D119" s="25"/>
      <c r="E119" s="24"/>
      <c r="F119" s="25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</row>
    <row r="120" spans="3:36" x14ac:dyDescent="0.25">
      <c r="C120" s="24"/>
      <c r="D120" s="25"/>
      <c r="E120" s="24"/>
      <c r="F120" s="25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</row>
    <row r="121" spans="3:36" x14ac:dyDescent="0.25">
      <c r="C121" s="24"/>
      <c r="D121" s="25"/>
      <c r="E121" s="24"/>
      <c r="F121" s="25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</row>
    <row r="122" spans="3:36" x14ac:dyDescent="0.25">
      <c r="C122" s="24"/>
      <c r="D122" s="25"/>
      <c r="E122" s="24"/>
      <c r="F122" s="25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</row>
    <row r="123" spans="3:36" x14ac:dyDescent="0.25">
      <c r="C123" s="24"/>
      <c r="D123" s="25"/>
      <c r="E123" s="24"/>
      <c r="F123" s="25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</row>
    <row r="124" spans="3:36" x14ac:dyDescent="0.25">
      <c r="C124" s="24"/>
      <c r="D124" s="25"/>
      <c r="E124" s="24"/>
      <c r="F124" s="25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</row>
    <row r="125" spans="3:36" x14ac:dyDescent="0.25">
      <c r="C125" s="24"/>
      <c r="D125" s="25"/>
      <c r="E125" s="24"/>
      <c r="F125" s="25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</row>
    <row r="126" spans="3:36" x14ac:dyDescent="0.25">
      <c r="C126" s="24"/>
      <c r="D126" s="25"/>
      <c r="E126" s="24"/>
      <c r="F126" s="25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</row>
    <row r="127" spans="3:36" x14ac:dyDescent="0.25">
      <c r="C127" s="24"/>
      <c r="D127" s="25"/>
      <c r="E127" s="24"/>
      <c r="F127" s="25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</row>
    <row r="128" spans="3:36" x14ac:dyDescent="0.25">
      <c r="C128" s="24"/>
      <c r="D128" s="25"/>
      <c r="E128" s="24"/>
      <c r="F128" s="25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</row>
    <row r="129" spans="3:36" x14ac:dyDescent="0.25">
      <c r="C129" s="24"/>
      <c r="D129" s="25"/>
      <c r="E129" s="24"/>
      <c r="F129" s="25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</row>
    <row r="130" spans="3:36" x14ac:dyDescent="0.25">
      <c r="C130" s="24"/>
      <c r="D130" s="25"/>
      <c r="E130" s="24"/>
      <c r="F130" s="25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</row>
    <row r="131" spans="3:36" x14ac:dyDescent="0.25">
      <c r="C131" s="24"/>
      <c r="D131" s="25"/>
      <c r="E131" s="24"/>
      <c r="F131" s="25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</row>
    <row r="132" spans="3:36" x14ac:dyDescent="0.25">
      <c r="C132" s="24"/>
      <c r="D132" s="25"/>
      <c r="E132" s="24"/>
      <c r="F132" s="25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</row>
    <row r="133" spans="3:36" x14ac:dyDescent="0.25">
      <c r="C133" s="24"/>
      <c r="D133" s="25"/>
      <c r="E133" s="24"/>
      <c r="F133" s="25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</row>
    <row r="134" spans="3:36" x14ac:dyDescent="0.25">
      <c r="C134" s="24"/>
      <c r="D134" s="25"/>
      <c r="E134" s="24"/>
      <c r="F134" s="25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</row>
    <row r="135" spans="3:36" x14ac:dyDescent="0.25">
      <c r="C135" s="24"/>
      <c r="D135" s="25"/>
      <c r="E135" s="24"/>
      <c r="F135" s="25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</row>
    <row r="136" spans="3:36" x14ac:dyDescent="0.25">
      <c r="C136" s="24"/>
      <c r="D136" s="25"/>
      <c r="E136" s="24"/>
      <c r="F136" s="25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</row>
    <row r="137" spans="3:36" x14ac:dyDescent="0.25">
      <c r="C137" s="24"/>
      <c r="D137" s="25"/>
      <c r="E137" s="24"/>
      <c r="F137" s="25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</row>
    <row r="138" spans="3:36" x14ac:dyDescent="0.25">
      <c r="C138" s="24"/>
      <c r="D138" s="25"/>
      <c r="E138" s="24"/>
      <c r="F138" s="25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</row>
    <row r="139" spans="3:36" x14ac:dyDescent="0.25">
      <c r="C139" s="24"/>
      <c r="D139" s="25"/>
      <c r="E139" s="24"/>
      <c r="F139" s="25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</row>
    <row r="140" spans="3:36" x14ac:dyDescent="0.25">
      <c r="C140" s="24"/>
      <c r="D140" s="25"/>
      <c r="E140" s="24"/>
      <c r="F140" s="25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</row>
    <row r="141" spans="3:36" x14ac:dyDescent="0.25">
      <c r="C141" s="24"/>
      <c r="D141" s="25"/>
      <c r="E141" s="24"/>
      <c r="F141" s="25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</row>
    <row r="142" spans="3:36" x14ac:dyDescent="0.25">
      <c r="C142" s="24"/>
      <c r="D142" s="25"/>
      <c r="E142" s="24"/>
      <c r="F142" s="25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</row>
    <row r="143" spans="3:36" x14ac:dyDescent="0.25">
      <c r="C143" s="24"/>
      <c r="D143" s="25"/>
      <c r="E143" s="24"/>
      <c r="F143" s="25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</row>
    <row r="144" spans="3:36" x14ac:dyDescent="0.25">
      <c r="C144" s="24"/>
      <c r="D144" s="25"/>
      <c r="E144" s="24"/>
      <c r="F144" s="25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</row>
    <row r="145" spans="3:36" x14ac:dyDescent="0.25">
      <c r="C145" s="24"/>
      <c r="D145" s="25"/>
      <c r="E145" s="24"/>
      <c r="F145" s="25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</row>
    <row r="146" spans="3:36" x14ac:dyDescent="0.25">
      <c r="C146" s="24"/>
      <c r="D146" s="25"/>
      <c r="E146" s="24"/>
      <c r="F146" s="25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</row>
    <row r="147" spans="3:36" x14ac:dyDescent="0.25">
      <c r="C147" s="24"/>
      <c r="D147" s="25"/>
      <c r="E147" s="24"/>
      <c r="F147" s="25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</row>
    <row r="148" spans="3:36" x14ac:dyDescent="0.25">
      <c r="C148" s="24"/>
      <c r="D148" s="25"/>
      <c r="E148" s="24"/>
      <c r="F148" s="25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</row>
    <row r="149" spans="3:36" x14ac:dyDescent="0.25">
      <c r="C149" s="24"/>
      <c r="D149" s="25"/>
      <c r="E149" s="24"/>
      <c r="F149" s="25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</row>
    <row r="150" spans="3:36" x14ac:dyDescent="0.25">
      <c r="C150" s="24"/>
      <c r="D150" s="25"/>
      <c r="E150" s="24"/>
      <c r="F150" s="25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</row>
    <row r="151" spans="3:36" x14ac:dyDescent="0.25">
      <c r="C151" s="24"/>
      <c r="D151" s="25"/>
      <c r="E151" s="24"/>
      <c r="F151" s="25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</row>
    <row r="152" spans="3:36" x14ac:dyDescent="0.25">
      <c r="C152" s="24"/>
      <c r="D152" s="25"/>
      <c r="E152" s="24"/>
      <c r="F152" s="25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</row>
    <row r="153" spans="3:36" x14ac:dyDescent="0.25">
      <c r="C153" s="24"/>
      <c r="D153" s="25"/>
      <c r="E153" s="24"/>
      <c r="F153" s="25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0"/>
    </row>
    <row r="154" spans="3:36" x14ac:dyDescent="0.25">
      <c r="C154" s="24"/>
      <c r="D154" s="25"/>
      <c r="E154" s="24"/>
      <c r="F154" s="25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0"/>
    </row>
    <row r="155" spans="3:36" x14ac:dyDescent="0.25">
      <c r="C155" s="24"/>
      <c r="D155" s="25"/>
      <c r="E155" s="24"/>
      <c r="F155" s="25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0"/>
    </row>
    <row r="156" spans="3:36" x14ac:dyDescent="0.25">
      <c r="C156" s="24"/>
      <c r="D156" s="25"/>
      <c r="E156" s="24"/>
      <c r="F156" s="25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0"/>
    </row>
    <row r="157" spans="3:36" x14ac:dyDescent="0.25">
      <c r="C157" s="24"/>
      <c r="D157" s="25"/>
      <c r="E157" s="24"/>
      <c r="F157" s="25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</row>
    <row r="158" spans="3:36" x14ac:dyDescent="0.25">
      <c r="C158" s="24"/>
      <c r="D158" s="25"/>
      <c r="E158" s="24"/>
      <c r="F158" s="25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</row>
    <row r="159" spans="3:36" x14ac:dyDescent="0.25">
      <c r="C159" s="24"/>
      <c r="D159" s="25"/>
      <c r="E159" s="24"/>
      <c r="F159" s="25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</row>
    <row r="160" spans="3:36" x14ac:dyDescent="0.25">
      <c r="C160" s="24"/>
      <c r="D160" s="25"/>
      <c r="E160" s="24"/>
      <c r="F160" s="25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0"/>
    </row>
    <row r="161" spans="3:36" x14ac:dyDescent="0.25">
      <c r="C161" s="24"/>
      <c r="D161" s="25"/>
      <c r="E161" s="24"/>
      <c r="F161" s="25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</row>
    <row r="162" spans="3:36" x14ac:dyDescent="0.25">
      <c r="C162" s="24"/>
      <c r="D162" s="25"/>
      <c r="E162" s="24"/>
      <c r="F162" s="25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0"/>
    </row>
    <row r="163" spans="3:36" x14ac:dyDescent="0.25">
      <c r="C163" s="24"/>
      <c r="D163" s="25"/>
      <c r="E163" s="24"/>
      <c r="F163" s="25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0"/>
    </row>
    <row r="164" spans="3:36" x14ac:dyDescent="0.25">
      <c r="C164" s="24"/>
      <c r="D164" s="25"/>
      <c r="E164" s="24"/>
      <c r="F164" s="25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0"/>
    </row>
    <row r="165" spans="3:36" x14ac:dyDescent="0.25">
      <c r="C165" s="24"/>
      <c r="D165" s="25"/>
      <c r="E165" s="24"/>
      <c r="F165" s="25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0"/>
    </row>
    <row r="166" spans="3:36" x14ac:dyDescent="0.25">
      <c r="C166" s="24"/>
      <c r="D166" s="25"/>
      <c r="E166" s="24"/>
      <c r="F166" s="25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</row>
    <row r="167" spans="3:36" x14ac:dyDescent="0.25">
      <c r="C167" s="24"/>
      <c r="D167" s="25"/>
      <c r="E167" s="24"/>
      <c r="F167" s="25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</row>
    <row r="168" spans="3:36" x14ac:dyDescent="0.25">
      <c r="C168" s="24"/>
      <c r="D168" s="25"/>
      <c r="E168" s="24"/>
      <c r="F168" s="25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</row>
    <row r="169" spans="3:36" x14ac:dyDescent="0.25">
      <c r="C169" s="24"/>
      <c r="D169" s="25"/>
      <c r="E169" s="24"/>
      <c r="F169" s="25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</row>
    <row r="170" spans="3:36" x14ac:dyDescent="0.25">
      <c r="C170" s="24"/>
      <c r="D170" s="25"/>
      <c r="E170" s="24"/>
      <c r="F170" s="25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0"/>
    </row>
    <row r="171" spans="3:36" x14ac:dyDescent="0.25">
      <c r="C171" s="24"/>
      <c r="D171" s="25"/>
      <c r="E171" s="24"/>
      <c r="F171" s="25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</row>
    <row r="172" spans="3:36" x14ac:dyDescent="0.25">
      <c r="C172" s="24"/>
      <c r="D172" s="25"/>
      <c r="E172" s="24"/>
      <c r="F172" s="25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0"/>
    </row>
    <row r="173" spans="3:36" x14ac:dyDescent="0.25">
      <c r="C173" s="24"/>
      <c r="D173" s="25"/>
      <c r="E173" s="24"/>
      <c r="F173" s="25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0"/>
    </row>
    <row r="174" spans="3:36" x14ac:dyDescent="0.25">
      <c r="C174" s="24"/>
      <c r="D174" s="25"/>
      <c r="E174" s="24"/>
      <c r="F174" s="25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0"/>
    </row>
    <row r="175" spans="3:36" x14ac:dyDescent="0.25">
      <c r="C175" s="24"/>
      <c r="D175" s="25"/>
      <c r="E175" s="24"/>
      <c r="F175" s="25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0"/>
    </row>
    <row r="176" spans="3:36" x14ac:dyDescent="0.25">
      <c r="C176" s="24"/>
      <c r="D176" s="25"/>
      <c r="E176" s="24"/>
      <c r="F176" s="25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0"/>
    </row>
    <row r="177" spans="3:36" x14ac:dyDescent="0.25">
      <c r="C177" s="24"/>
      <c r="D177" s="25"/>
      <c r="E177" s="24"/>
      <c r="F177" s="25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0"/>
    </row>
    <row r="178" spans="3:36" x14ac:dyDescent="0.25">
      <c r="C178" s="24"/>
      <c r="D178" s="25"/>
      <c r="E178" s="24"/>
      <c r="F178" s="25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0"/>
    </row>
    <row r="179" spans="3:36" x14ac:dyDescent="0.25">
      <c r="C179" s="24"/>
      <c r="D179" s="25"/>
      <c r="E179" s="24"/>
      <c r="F179" s="25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</row>
    <row r="180" spans="3:36" x14ac:dyDescent="0.25">
      <c r="C180" s="24"/>
      <c r="D180" s="25"/>
      <c r="E180" s="24"/>
      <c r="F180" s="25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0"/>
    </row>
    <row r="181" spans="3:36" x14ac:dyDescent="0.25">
      <c r="C181" s="24"/>
      <c r="D181" s="25"/>
      <c r="E181" s="24"/>
      <c r="F181" s="25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0"/>
    </row>
    <row r="182" spans="3:36" x14ac:dyDescent="0.25">
      <c r="C182" s="24"/>
      <c r="D182" s="25"/>
      <c r="E182" s="24"/>
      <c r="F182" s="25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0"/>
    </row>
    <row r="183" spans="3:36" x14ac:dyDescent="0.25">
      <c r="C183" s="24"/>
      <c r="D183" s="25"/>
      <c r="E183" s="24"/>
      <c r="F183" s="25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0"/>
    </row>
    <row r="184" spans="3:36" x14ac:dyDescent="0.25">
      <c r="C184" s="24"/>
      <c r="D184" s="25"/>
      <c r="E184" s="24"/>
      <c r="F184" s="25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</row>
    <row r="185" spans="3:36" x14ac:dyDescent="0.25">
      <c r="C185" s="24"/>
      <c r="D185" s="25"/>
      <c r="E185" s="24"/>
      <c r="F185" s="25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</row>
    <row r="186" spans="3:36" x14ac:dyDescent="0.25">
      <c r="C186" s="24"/>
      <c r="D186" s="25"/>
      <c r="E186" s="24"/>
      <c r="F186" s="25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</row>
    <row r="187" spans="3:36" x14ac:dyDescent="0.25">
      <c r="C187" s="24"/>
      <c r="D187" s="25"/>
      <c r="E187" s="24"/>
      <c r="F187" s="25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</row>
    <row r="188" spans="3:36" x14ac:dyDescent="0.25">
      <c r="C188" s="24"/>
      <c r="D188" s="25"/>
      <c r="E188" s="24"/>
      <c r="F188" s="25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</row>
    <row r="189" spans="3:36" x14ac:dyDescent="0.25">
      <c r="C189" s="24"/>
      <c r="D189" s="25"/>
      <c r="E189" s="24"/>
      <c r="F189" s="25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</row>
    <row r="190" spans="3:36" x14ac:dyDescent="0.25">
      <c r="C190" s="24"/>
      <c r="D190" s="25"/>
      <c r="E190" s="24"/>
      <c r="F190" s="25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0"/>
    </row>
    <row r="191" spans="3:36" x14ac:dyDescent="0.25">
      <c r="C191" s="24"/>
      <c r="D191" s="25"/>
      <c r="E191" s="24"/>
      <c r="F191" s="25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</row>
    <row r="192" spans="3:36" x14ac:dyDescent="0.25">
      <c r="C192" s="24"/>
      <c r="D192" s="25"/>
      <c r="E192" s="24"/>
      <c r="F192" s="25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0"/>
    </row>
    <row r="193" spans="3:36" x14ac:dyDescent="0.25">
      <c r="C193" s="24"/>
      <c r="D193" s="25"/>
      <c r="E193" s="24"/>
      <c r="F193" s="25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0"/>
    </row>
    <row r="194" spans="3:36" x14ac:dyDescent="0.25">
      <c r="C194" s="24"/>
      <c r="D194" s="25"/>
      <c r="E194" s="24"/>
      <c r="F194" s="25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0"/>
    </row>
    <row r="195" spans="3:36" x14ac:dyDescent="0.25">
      <c r="C195" s="24"/>
      <c r="D195" s="25"/>
      <c r="E195" s="24"/>
      <c r="F195" s="25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0"/>
    </row>
    <row r="196" spans="3:36" x14ac:dyDescent="0.25">
      <c r="C196" s="24"/>
      <c r="D196" s="25"/>
      <c r="E196" s="24"/>
      <c r="F196" s="25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0"/>
    </row>
    <row r="197" spans="3:36" x14ac:dyDescent="0.25">
      <c r="C197" s="24"/>
      <c r="D197" s="25"/>
      <c r="E197" s="24"/>
      <c r="F197" s="25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</row>
    <row r="198" spans="3:36" x14ac:dyDescent="0.25">
      <c r="C198" s="24"/>
      <c r="D198" s="25"/>
      <c r="E198" s="24"/>
      <c r="F198" s="25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0"/>
    </row>
    <row r="199" spans="3:36" x14ac:dyDescent="0.25">
      <c r="C199" s="24"/>
      <c r="D199" s="25"/>
      <c r="E199" s="24"/>
      <c r="F199" s="25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0"/>
    </row>
    <row r="200" spans="3:36" x14ac:dyDescent="0.25">
      <c r="C200" s="24"/>
      <c r="D200" s="25"/>
      <c r="E200" s="24"/>
      <c r="F200" s="25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0"/>
    </row>
    <row r="201" spans="3:36" x14ac:dyDescent="0.25">
      <c r="C201" s="24"/>
      <c r="D201" s="25"/>
      <c r="E201" s="24"/>
      <c r="F201" s="25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0"/>
    </row>
    <row r="202" spans="3:36" x14ac:dyDescent="0.25">
      <c r="C202" s="24"/>
      <c r="D202" s="25"/>
      <c r="E202" s="24"/>
      <c r="F202" s="25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50"/>
      <c r="AB202" s="50"/>
      <c r="AC202" s="50"/>
      <c r="AD202" s="50"/>
      <c r="AE202" s="50"/>
      <c r="AF202" s="50"/>
      <c r="AG202" s="50"/>
      <c r="AH202" s="50"/>
      <c r="AI202" s="50"/>
      <c r="AJ202" s="50"/>
    </row>
    <row r="203" spans="3:36" x14ac:dyDescent="0.25">
      <c r="C203" s="24"/>
      <c r="D203" s="25"/>
      <c r="E203" s="24"/>
      <c r="F203" s="25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50"/>
      <c r="AJ203" s="50"/>
    </row>
    <row r="204" spans="3:36" x14ac:dyDescent="0.25">
      <c r="C204" s="24"/>
      <c r="D204" s="25"/>
      <c r="E204" s="24"/>
      <c r="F204" s="25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50"/>
      <c r="AB204" s="50"/>
      <c r="AC204" s="50"/>
      <c r="AD204" s="50"/>
      <c r="AE204" s="50"/>
      <c r="AF204" s="50"/>
      <c r="AG204" s="50"/>
      <c r="AH204" s="50"/>
      <c r="AI204" s="50"/>
      <c r="AJ204" s="50"/>
    </row>
    <row r="205" spans="3:36" x14ac:dyDescent="0.25">
      <c r="C205" s="24"/>
      <c r="D205" s="25"/>
      <c r="E205" s="24"/>
      <c r="F205" s="25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50"/>
      <c r="AJ205" s="50"/>
    </row>
    <row r="206" spans="3:36" x14ac:dyDescent="0.25">
      <c r="C206" s="24"/>
      <c r="D206" s="25"/>
      <c r="E206" s="24"/>
      <c r="F206" s="25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50"/>
      <c r="AB206" s="50"/>
      <c r="AC206" s="50"/>
      <c r="AD206" s="50"/>
      <c r="AE206" s="50"/>
      <c r="AF206" s="50"/>
      <c r="AG206" s="50"/>
      <c r="AH206" s="50"/>
      <c r="AI206" s="50"/>
      <c r="AJ206" s="50"/>
    </row>
    <row r="207" spans="3:36" x14ac:dyDescent="0.25">
      <c r="C207" s="24"/>
      <c r="D207" s="25"/>
      <c r="E207" s="24"/>
      <c r="F207" s="25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50"/>
      <c r="AJ207" s="50"/>
    </row>
    <row r="208" spans="3:36" x14ac:dyDescent="0.25">
      <c r="C208" s="24"/>
      <c r="D208" s="25"/>
      <c r="E208" s="24"/>
      <c r="F208" s="25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50"/>
      <c r="AB208" s="50"/>
      <c r="AC208" s="50"/>
      <c r="AD208" s="50"/>
      <c r="AE208" s="50"/>
      <c r="AF208" s="50"/>
      <c r="AG208" s="50"/>
      <c r="AH208" s="50"/>
      <c r="AI208" s="50"/>
      <c r="AJ208" s="50"/>
    </row>
    <row r="209" spans="3:36" x14ac:dyDescent="0.25">
      <c r="C209" s="24"/>
      <c r="D209" s="25"/>
      <c r="E209" s="24"/>
      <c r="F209" s="25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50"/>
      <c r="AG209" s="50"/>
      <c r="AH209" s="50"/>
      <c r="AI209" s="50"/>
      <c r="AJ209" s="50"/>
    </row>
    <row r="210" spans="3:36" x14ac:dyDescent="0.25">
      <c r="C210" s="24"/>
      <c r="D210" s="25"/>
      <c r="E210" s="24"/>
      <c r="F210" s="25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D210" s="50"/>
      <c r="AE210" s="50"/>
      <c r="AF210" s="50"/>
      <c r="AG210" s="50"/>
      <c r="AH210" s="50"/>
      <c r="AI210" s="50"/>
      <c r="AJ210" s="50"/>
    </row>
    <row r="211" spans="3:36" x14ac:dyDescent="0.25">
      <c r="C211" s="24"/>
      <c r="D211" s="25"/>
      <c r="E211" s="24"/>
      <c r="F211" s="25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</row>
    <row r="212" spans="3:36" x14ac:dyDescent="0.25">
      <c r="C212" s="24"/>
      <c r="D212" s="25"/>
      <c r="E212" s="24"/>
      <c r="F212" s="25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D212" s="50"/>
      <c r="AE212" s="50"/>
      <c r="AF212" s="50"/>
      <c r="AG212" s="50"/>
      <c r="AH212" s="50"/>
      <c r="AI212" s="50"/>
      <c r="AJ212" s="50"/>
    </row>
    <row r="213" spans="3:36" x14ac:dyDescent="0.25">
      <c r="C213" s="24"/>
      <c r="D213" s="25"/>
      <c r="E213" s="24"/>
      <c r="F213" s="25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50"/>
      <c r="AG213" s="50"/>
      <c r="AH213" s="50"/>
      <c r="AI213" s="50"/>
      <c r="AJ213" s="50"/>
    </row>
    <row r="214" spans="3:36" x14ac:dyDescent="0.25">
      <c r="C214" s="24"/>
      <c r="D214" s="25"/>
      <c r="E214" s="24"/>
      <c r="F214" s="25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50"/>
      <c r="AB214" s="50"/>
      <c r="AC214" s="50"/>
      <c r="AD214" s="50"/>
      <c r="AE214" s="50"/>
      <c r="AF214" s="50"/>
      <c r="AG214" s="50"/>
      <c r="AH214" s="50"/>
      <c r="AI214" s="50"/>
      <c r="AJ214" s="50"/>
    </row>
    <row r="215" spans="3:36" x14ac:dyDescent="0.25">
      <c r="C215" s="24"/>
      <c r="D215" s="25"/>
      <c r="E215" s="24"/>
      <c r="F215" s="25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D215" s="50"/>
      <c r="AE215" s="50"/>
      <c r="AF215" s="50"/>
      <c r="AG215" s="50"/>
      <c r="AH215" s="50"/>
      <c r="AI215" s="50"/>
      <c r="AJ215" s="50"/>
    </row>
    <row r="216" spans="3:36" x14ac:dyDescent="0.25">
      <c r="C216" s="24"/>
      <c r="D216" s="25"/>
      <c r="E216" s="24"/>
      <c r="F216" s="25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50"/>
      <c r="AG216" s="50"/>
      <c r="AH216" s="50"/>
      <c r="AI216" s="50"/>
      <c r="AJ216" s="50"/>
    </row>
    <row r="217" spans="3:36" x14ac:dyDescent="0.25">
      <c r="C217" s="24"/>
      <c r="D217" s="25"/>
      <c r="E217" s="24"/>
      <c r="F217" s="25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50"/>
      <c r="AJ217" s="50"/>
    </row>
    <row r="218" spans="3:36" x14ac:dyDescent="0.25">
      <c r="C218" s="24"/>
      <c r="D218" s="25"/>
      <c r="E218" s="24"/>
      <c r="F218" s="25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50"/>
      <c r="AG218" s="50"/>
      <c r="AH218" s="50"/>
      <c r="AI218" s="50"/>
      <c r="AJ218" s="50"/>
    </row>
    <row r="219" spans="3:36" x14ac:dyDescent="0.25">
      <c r="C219" s="24"/>
      <c r="D219" s="25"/>
      <c r="E219" s="24"/>
      <c r="F219" s="25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D219" s="50"/>
      <c r="AE219" s="50"/>
      <c r="AF219" s="50"/>
      <c r="AG219" s="50"/>
      <c r="AH219" s="50"/>
      <c r="AI219" s="50"/>
      <c r="AJ219" s="50"/>
    </row>
    <row r="220" spans="3:36" x14ac:dyDescent="0.25">
      <c r="C220" s="24"/>
      <c r="D220" s="25"/>
      <c r="E220" s="24"/>
      <c r="F220" s="25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50"/>
      <c r="AG220" s="50"/>
      <c r="AH220" s="50"/>
      <c r="AI220" s="50"/>
      <c r="AJ220" s="50"/>
    </row>
    <row r="221" spans="3:36" x14ac:dyDescent="0.25">
      <c r="C221" s="24"/>
      <c r="D221" s="25"/>
      <c r="E221" s="24"/>
      <c r="F221" s="25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50"/>
      <c r="AG221" s="50"/>
      <c r="AH221" s="50"/>
      <c r="AI221" s="50"/>
      <c r="AJ221" s="50"/>
    </row>
    <row r="222" spans="3:36" x14ac:dyDescent="0.25">
      <c r="C222" s="24"/>
      <c r="D222" s="25"/>
      <c r="E222" s="24"/>
      <c r="F222" s="25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50"/>
      <c r="AG222" s="50"/>
      <c r="AH222" s="50"/>
      <c r="AI222" s="50"/>
      <c r="AJ222" s="50"/>
    </row>
    <row r="223" spans="3:36" x14ac:dyDescent="0.25">
      <c r="C223" s="24"/>
      <c r="D223" s="25"/>
      <c r="E223" s="24"/>
      <c r="F223" s="25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D223" s="50"/>
      <c r="AE223" s="50"/>
      <c r="AF223" s="50"/>
      <c r="AG223" s="50"/>
      <c r="AH223" s="50"/>
      <c r="AI223" s="50"/>
      <c r="AJ223" s="50"/>
    </row>
    <row r="224" spans="3:36" x14ac:dyDescent="0.25">
      <c r="C224" s="24"/>
      <c r="D224" s="25"/>
      <c r="E224" s="24"/>
      <c r="F224" s="25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D224" s="50"/>
      <c r="AE224" s="50"/>
      <c r="AF224" s="50"/>
      <c r="AG224" s="50"/>
      <c r="AH224" s="50"/>
      <c r="AI224" s="50"/>
      <c r="AJ224" s="50"/>
    </row>
    <row r="225" spans="3:36" x14ac:dyDescent="0.25">
      <c r="C225" s="24"/>
      <c r="D225" s="25"/>
      <c r="E225" s="24"/>
      <c r="F225" s="25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50"/>
      <c r="AG225" s="50"/>
      <c r="AH225" s="50"/>
      <c r="AI225" s="50"/>
      <c r="AJ225" s="50"/>
    </row>
    <row r="226" spans="3:36" x14ac:dyDescent="0.25">
      <c r="C226" s="24"/>
      <c r="D226" s="25"/>
      <c r="E226" s="24"/>
      <c r="F226" s="25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50"/>
      <c r="AG226" s="50"/>
      <c r="AH226" s="50"/>
      <c r="AI226" s="50"/>
      <c r="AJ226" s="50"/>
    </row>
    <row r="227" spans="3:36" x14ac:dyDescent="0.25">
      <c r="C227" s="24"/>
      <c r="D227" s="25"/>
      <c r="E227" s="24"/>
      <c r="F227" s="25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</row>
    <row r="228" spans="3:36" x14ac:dyDescent="0.25">
      <c r="C228" s="24"/>
      <c r="D228" s="25"/>
      <c r="E228" s="24"/>
      <c r="F228" s="25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D228" s="50"/>
      <c r="AE228" s="50"/>
      <c r="AF228" s="50"/>
      <c r="AG228" s="50"/>
      <c r="AH228" s="50"/>
      <c r="AI228" s="50"/>
      <c r="AJ228" s="50"/>
    </row>
    <row r="229" spans="3:36" x14ac:dyDescent="0.25">
      <c r="C229" s="24"/>
      <c r="D229" s="25"/>
      <c r="E229" s="24"/>
      <c r="F229" s="25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D229" s="50"/>
      <c r="AE229" s="50"/>
      <c r="AF229" s="50"/>
      <c r="AG229" s="50"/>
      <c r="AH229" s="50"/>
      <c r="AI229" s="50"/>
      <c r="AJ229" s="50"/>
    </row>
    <row r="230" spans="3:36" x14ac:dyDescent="0.25">
      <c r="C230" s="24"/>
      <c r="D230" s="25"/>
      <c r="E230" s="24"/>
      <c r="F230" s="25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D230" s="50"/>
      <c r="AE230" s="50"/>
      <c r="AF230" s="50"/>
      <c r="AG230" s="50"/>
      <c r="AH230" s="50"/>
      <c r="AI230" s="50"/>
      <c r="AJ230" s="50"/>
    </row>
    <row r="231" spans="3:36" x14ac:dyDescent="0.25">
      <c r="C231" s="24"/>
      <c r="D231" s="25"/>
      <c r="E231" s="24"/>
      <c r="F231" s="25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50"/>
      <c r="AG231" s="50"/>
      <c r="AH231" s="50"/>
      <c r="AI231" s="50"/>
      <c r="AJ231" s="50"/>
    </row>
    <row r="232" spans="3:36" x14ac:dyDescent="0.25">
      <c r="C232" s="24"/>
      <c r="D232" s="25"/>
      <c r="E232" s="24"/>
      <c r="F232" s="25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D232" s="50"/>
      <c r="AE232" s="50"/>
      <c r="AF232" s="50"/>
      <c r="AG232" s="50"/>
      <c r="AH232" s="50"/>
      <c r="AI232" s="50"/>
      <c r="AJ232" s="50"/>
    </row>
    <row r="233" spans="3:36" x14ac:dyDescent="0.25">
      <c r="C233" s="24"/>
      <c r="D233" s="25"/>
      <c r="E233" s="24"/>
      <c r="F233" s="25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D233" s="50"/>
      <c r="AE233" s="50"/>
      <c r="AF233" s="50"/>
      <c r="AG233" s="50"/>
      <c r="AH233" s="50"/>
      <c r="AI233" s="50"/>
      <c r="AJ233" s="50"/>
    </row>
    <row r="234" spans="3:36" x14ac:dyDescent="0.25">
      <c r="C234" s="24"/>
      <c r="D234" s="25"/>
      <c r="E234" s="24"/>
      <c r="F234" s="25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D234" s="50"/>
      <c r="AE234" s="50"/>
      <c r="AF234" s="50"/>
      <c r="AG234" s="50"/>
      <c r="AH234" s="50"/>
      <c r="AI234" s="50"/>
      <c r="AJ234" s="50"/>
    </row>
    <row r="235" spans="3:36" x14ac:dyDescent="0.25">
      <c r="C235" s="24"/>
      <c r="D235" s="25"/>
      <c r="E235" s="24"/>
      <c r="F235" s="25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D235" s="50"/>
      <c r="AE235" s="50"/>
      <c r="AF235" s="50"/>
      <c r="AG235" s="50"/>
      <c r="AH235" s="50"/>
      <c r="AI235" s="50"/>
      <c r="AJ235" s="50"/>
    </row>
    <row r="236" spans="3:36" x14ac:dyDescent="0.25">
      <c r="C236" s="24"/>
      <c r="D236" s="25"/>
      <c r="E236" s="24"/>
      <c r="F236" s="25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D236" s="50"/>
      <c r="AE236" s="50"/>
      <c r="AF236" s="50"/>
      <c r="AG236" s="50"/>
      <c r="AH236" s="50"/>
      <c r="AI236" s="50"/>
      <c r="AJ236" s="50"/>
    </row>
    <row r="237" spans="3:36" x14ac:dyDescent="0.25">
      <c r="C237" s="24"/>
      <c r="D237" s="25"/>
      <c r="E237" s="24"/>
      <c r="F237" s="25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50"/>
      <c r="AG237" s="50"/>
      <c r="AH237" s="50"/>
      <c r="AI237" s="50"/>
      <c r="AJ237" s="50"/>
    </row>
    <row r="238" spans="3:36" x14ac:dyDescent="0.25">
      <c r="C238" s="24"/>
      <c r="D238" s="25"/>
      <c r="E238" s="24"/>
      <c r="F238" s="25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D238" s="50"/>
      <c r="AE238" s="50"/>
      <c r="AF238" s="50"/>
      <c r="AG238" s="50"/>
      <c r="AH238" s="50"/>
      <c r="AI238" s="50"/>
      <c r="AJ238" s="50"/>
    </row>
    <row r="239" spans="3:36" x14ac:dyDescent="0.25">
      <c r="C239" s="24"/>
      <c r="D239" s="25"/>
      <c r="E239" s="24"/>
      <c r="F239" s="25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D239" s="50"/>
      <c r="AE239" s="50"/>
      <c r="AF239" s="50"/>
      <c r="AG239" s="50"/>
      <c r="AH239" s="50"/>
      <c r="AI239" s="50"/>
      <c r="AJ239" s="50"/>
    </row>
    <row r="240" spans="3:36" x14ac:dyDescent="0.25">
      <c r="C240" s="24"/>
      <c r="D240" s="25"/>
      <c r="E240" s="24"/>
      <c r="F240" s="25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D240" s="50"/>
      <c r="AE240" s="50"/>
      <c r="AF240" s="50"/>
      <c r="AG240" s="50"/>
      <c r="AH240" s="50"/>
      <c r="AI240" s="50"/>
      <c r="AJ240" s="50"/>
    </row>
    <row r="241" spans="3:36" x14ac:dyDescent="0.25">
      <c r="C241" s="24"/>
      <c r="D241" s="25"/>
      <c r="E241" s="24"/>
      <c r="F241" s="25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50"/>
      <c r="AG241" s="50"/>
      <c r="AH241" s="50"/>
      <c r="AI241" s="50"/>
      <c r="AJ241" s="50"/>
    </row>
    <row r="242" spans="3:36" x14ac:dyDescent="0.25">
      <c r="C242" s="24"/>
      <c r="D242" s="25"/>
      <c r="E242" s="24"/>
      <c r="F242" s="25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D242" s="50"/>
      <c r="AE242" s="50"/>
      <c r="AF242" s="50"/>
      <c r="AG242" s="50"/>
      <c r="AH242" s="50"/>
      <c r="AI242" s="50"/>
      <c r="AJ242" s="50"/>
    </row>
    <row r="243" spans="3:36" x14ac:dyDescent="0.25">
      <c r="C243" s="24"/>
      <c r="D243" s="25"/>
      <c r="E243" s="24"/>
      <c r="F243" s="25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50"/>
      <c r="AG243" s="50"/>
      <c r="AH243" s="50"/>
      <c r="AI243" s="50"/>
      <c r="AJ243" s="50"/>
    </row>
    <row r="244" spans="3:36" x14ac:dyDescent="0.25">
      <c r="C244" s="24"/>
      <c r="D244" s="25"/>
      <c r="E244" s="24"/>
      <c r="F244" s="25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D244" s="50"/>
      <c r="AE244" s="50"/>
      <c r="AF244" s="50"/>
      <c r="AG244" s="50"/>
      <c r="AH244" s="50"/>
      <c r="AI244" s="50"/>
      <c r="AJ244" s="50"/>
    </row>
    <row r="245" spans="3:36" x14ac:dyDescent="0.25">
      <c r="C245" s="24"/>
      <c r="D245" s="25"/>
      <c r="E245" s="24"/>
      <c r="F245" s="25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D245" s="50"/>
      <c r="AE245" s="50"/>
      <c r="AF245" s="50"/>
      <c r="AG245" s="50"/>
      <c r="AH245" s="50"/>
      <c r="AI245" s="50"/>
      <c r="AJ245" s="50"/>
    </row>
    <row r="246" spans="3:36" x14ac:dyDescent="0.25">
      <c r="C246" s="24"/>
      <c r="D246" s="25"/>
      <c r="E246" s="24"/>
      <c r="F246" s="25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D246" s="50"/>
      <c r="AE246" s="50"/>
      <c r="AF246" s="50"/>
      <c r="AG246" s="50"/>
      <c r="AH246" s="50"/>
      <c r="AI246" s="50"/>
      <c r="AJ246" s="50"/>
    </row>
    <row r="247" spans="3:36" x14ac:dyDescent="0.25">
      <c r="C247" s="24"/>
      <c r="D247" s="25"/>
      <c r="E247" s="24"/>
      <c r="F247" s="25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50"/>
      <c r="AJ247" s="50"/>
    </row>
    <row r="248" spans="3:36" x14ac:dyDescent="0.25">
      <c r="C248" s="24"/>
      <c r="D248" s="25"/>
      <c r="E248" s="24"/>
      <c r="F248" s="25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50"/>
      <c r="AJ248" s="50"/>
    </row>
    <row r="249" spans="3:36" x14ac:dyDescent="0.25">
      <c r="C249" s="24"/>
      <c r="D249" s="25"/>
      <c r="E249" s="24"/>
      <c r="F249" s="25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</row>
    <row r="250" spans="3:36" x14ac:dyDescent="0.25">
      <c r="C250" s="24"/>
      <c r="D250" s="25"/>
      <c r="E250" s="24"/>
      <c r="F250" s="25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50"/>
      <c r="AG250" s="50"/>
      <c r="AH250" s="50"/>
      <c r="AI250" s="50"/>
      <c r="AJ250" s="50"/>
    </row>
    <row r="251" spans="3:36" x14ac:dyDescent="0.25">
      <c r="C251" s="24"/>
      <c r="D251" s="25"/>
      <c r="E251" s="24"/>
      <c r="F251" s="25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</row>
    <row r="252" spans="3:36" x14ac:dyDescent="0.25">
      <c r="C252" s="24"/>
      <c r="D252" s="25"/>
      <c r="E252" s="24"/>
      <c r="F252" s="25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50"/>
      <c r="AJ252" s="50"/>
    </row>
    <row r="253" spans="3:36" x14ac:dyDescent="0.25">
      <c r="C253" s="24"/>
      <c r="D253" s="25"/>
      <c r="E253" s="24"/>
      <c r="F253" s="25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50"/>
      <c r="AJ253" s="50"/>
    </row>
    <row r="254" spans="3:36" x14ac:dyDescent="0.25">
      <c r="C254" s="24"/>
      <c r="D254" s="25"/>
      <c r="E254" s="24"/>
      <c r="F254" s="25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50"/>
      <c r="AG254" s="50"/>
      <c r="AH254" s="50"/>
      <c r="AI254" s="50"/>
      <c r="AJ254" s="50"/>
    </row>
    <row r="255" spans="3:36" x14ac:dyDescent="0.25">
      <c r="C255" s="24"/>
      <c r="D255" s="25"/>
      <c r="E255" s="24"/>
      <c r="F255" s="25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50"/>
      <c r="AJ255" s="50"/>
    </row>
    <row r="256" spans="3:36" x14ac:dyDescent="0.25">
      <c r="C256" s="24"/>
      <c r="D256" s="25"/>
      <c r="E256" s="24"/>
      <c r="F256" s="25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50"/>
      <c r="AG256" s="50"/>
      <c r="AH256" s="50"/>
      <c r="AI256" s="50"/>
      <c r="AJ256" s="50"/>
    </row>
    <row r="257" spans="3:36" x14ac:dyDescent="0.25">
      <c r="C257" s="24"/>
      <c r="D257" s="25"/>
      <c r="E257" s="24"/>
      <c r="F257" s="25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50"/>
      <c r="AJ257" s="50"/>
    </row>
    <row r="258" spans="3:36" x14ac:dyDescent="0.25">
      <c r="C258" s="24"/>
      <c r="D258" s="25"/>
      <c r="E258" s="24"/>
      <c r="F258" s="25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50"/>
      <c r="AG258" s="50"/>
      <c r="AH258" s="50"/>
      <c r="AI258" s="50"/>
      <c r="AJ258" s="50"/>
    </row>
    <row r="259" spans="3:36" x14ac:dyDescent="0.25">
      <c r="C259" s="24"/>
      <c r="D259" s="25"/>
      <c r="E259" s="24"/>
      <c r="F259" s="25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</row>
    <row r="260" spans="3:36" x14ac:dyDescent="0.25">
      <c r="C260" s="24"/>
      <c r="D260" s="25"/>
      <c r="E260" s="24"/>
      <c r="F260" s="25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50"/>
      <c r="AJ260" s="50"/>
    </row>
    <row r="261" spans="3:36" x14ac:dyDescent="0.25">
      <c r="C261" s="24"/>
      <c r="D261" s="25"/>
      <c r="E261" s="24"/>
      <c r="F261" s="25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</row>
    <row r="262" spans="3:36" x14ac:dyDescent="0.25">
      <c r="C262" s="24"/>
      <c r="D262" s="25"/>
      <c r="E262" s="24"/>
      <c r="F262" s="25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50"/>
      <c r="AG262" s="50"/>
      <c r="AH262" s="50"/>
      <c r="AI262" s="50"/>
      <c r="AJ262" s="50"/>
    </row>
    <row r="263" spans="3:36" x14ac:dyDescent="0.25">
      <c r="C263" s="24"/>
      <c r="D263" s="25"/>
      <c r="E263" s="24"/>
      <c r="F263" s="25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50"/>
      <c r="AJ263" s="50"/>
    </row>
    <row r="264" spans="3:36" x14ac:dyDescent="0.25">
      <c r="C264" s="24"/>
      <c r="D264" s="25"/>
      <c r="E264" s="24"/>
      <c r="F264" s="25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D264" s="50"/>
      <c r="AE264" s="50"/>
      <c r="AF264" s="50"/>
      <c r="AG264" s="50"/>
      <c r="AH264" s="50"/>
      <c r="AI264" s="50"/>
      <c r="AJ264" s="50"/>
    </row>
    <row r="265" spans="3:36" x14ac:dyDescent="0.25">
      <c r="C265" s="24"/>
      <c r="D265" s="25"/>
      <c r="E265" s="24"/>
      <c r="F265" s="25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D265" s="50"/>
      <c r="AE265" s="50"/>
      <c r="AF265" s="50"/>
      <c r="AG265" s="50"/>
      <c r="AH265" s="50"/>
      <c r="AI265" s="50"/>
      <c r="AJ265" s="50"/>
    </row>
    <row r="266" spans="3:36" x14ac:dyDescent="0.25">
      <c r="C266" s="24"/>
      <c r="D266" s="25"/>
      <c r="E266" s="24"/>
      <c r="F266" s="25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D266" s="50"/>
      <c r="AE266" s="50"/>
      <c r="AF266" s="50"/>
      <c r="AG266" s="50"/>
      <c r="AH266" s="50"/>
      <c r="AI266" s="50"/>
      <c r="AJ266" s="50"/>
    </row>
    <row r="267" spans="3:36" x14ac:dyDescent="0.25">
      <c r="C267" s="24"/>
      <c r="D267" s="25"/>
      <c r="E267" s="24"/>
      <c r="F267" s="25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50"/>
      <c r="AG267" s="50"/>
      <c r="AH267" s="50"/>
      <c r="AI267" s="50"/>
      <c r="AJ267" s="50"/>
    </row>
    <row r="268" spans="3:36" x14ac:dyDescent="0.25">
      <c r="C268" s="24"/>
      <c r="D268" s="25"/>
      <c r="E268" s="24"/>
      <c r="F268" s="25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D268" s="50"/>
      <c r="AE268" s="50"/>
      <c r="AF268" s="50"/>
      <c r="AG268" s="50"/>
      <c r="AH268" s="50"/>
      <c r="AI268" s="50"/>
      <c r="AJ268" s="50"/>
    </row>
    <row r="269" spans="3:36" x14ac:dyDescent="0.25">
      <c r="C269" s="24"/>
      <c r="D269" s="25"/>
      <c r="E269" s="24"/>
      <c r="F269" s="25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D269" s="50"/>
      <c r="AE269" s="50"/>
      <c r="AF269" s="50"/>
      <c r="AG269" s="50"/>
      <c r="AH269" s="50"/>
      <c r="AI269" s="50"/>
      <c r="AJ269" s="50"/>
    </row>
    <row r="270" spans="3:36" x14ac:dyDescent="0.25">
      <c r="C270" s="24"/>
      <c r="D270" s="25"/>
      <c r="E270" s="24"/>
      <c r="F270" s="25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D270" s="50"/>
      <c r="AE270" s="50"/>
      <c r="AF270" s="50"/>
      <c r="AG270" s="50"/>
      <c r="AH270" s="50"/>
      <c r="AI270" s="50"/>
      <c r="AJ270" s="50"/>
    </row>
    <row r="271" spans="3:36" x14ac:dyDescent="0.25">
      <c r="C271" s="24"/>
      <c r="D271" s="25"/>
      <c r="E271" s="24"/>
      <c r="F271" s="25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50"/>
      <c r="AG271" s="50"/>
      <c r="AH271" s="50"/>
      <c r="AI271" s="50"/>
      <c r="AJ271" s="50"/>
    </row>
    <row r="272" spans="3:36" x14ac:dyDescent="0.25">
      <c r="C272" s="24"/>
      <c r="D272" s="25"/>
      <c r="E272" s="24"/>
      <c r="F272" s="25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D272" s="50"/>
      <c r="AE272" s="50"/>
      <c r="AF272" s="50"/>
      <c r="AG272" s="50"/>
      <c r="AH272" s="50"/>
      <c r="AI272" s="50"/>
      <c r="AJ272" s="50"/>
    </row>
    <row r="273" spans="3:36" x14ac:dyDescent="0.25">
      <c r="C273" s="24"/>
      <c r="D273" s="25"/>
      <c r="E273" s="24"/>
      <c r="F273" s="25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D273" s="50"/>
      <c r="AE273" s="50"/>
      <c r="AF273" s="50"/>
      <c r="AG273" s="50"/>
      <c r="AH273" s="50"/>
      <c r="AI273" s="50"/>
      <c r="AJ273" s="50"/>
    </row>
    <row r="274" spans="3:36" x14ac:dyDescent="0.25">
      <c r="C274" s="24"/>
      <c r="D274" s="25"/>
      <c r="E274" s="24"/>
      <c r="F274" s="25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D274" s="50"/>
      <c r="AE274" s="50"/>
      <c r="AF274" s="50"/>
      <c r="AG274" s="50"/>
      <c r="AH274" s="50"/>
      <c r="AI274" s="50"/>
      <c r="AJ274" s="50"/>
    </row>
    <row r="275" spans="3:36" x14ac:dyDescent="0.25">
      <c r="C275" s="24"/>
      <c r="D275" s="25"/>
      <c r="E275" s="24"/>
      <c r="F275" s="25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50"/>
      <c r="AG275" s="50"/>
      <c r="AH275" s="50"/>
      <c r="AI275" s="50"/>
      <c r="AJ275" s="50"/>
    </row>
    <row r="276" spans="3:36" x14ac:dyDescent="0.25">
      <c r="C276" s="24"/>
      <c r="D276" s="25"/>
      <c r="E276" s="24"/>
      <c r="F276" s="25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D276" s="50"/>
      <c r="AE276" s="50"/>
      <c r="AF276" s="50"/>
      <c r="AG276" s="50"/>
      <c r="AH276" s="50"/>
      <c r="AI276" s="50"/>
      <c r="AJ276" s="50"/>
    </row>
    <row r="277" spans="3:36" x14ac:dyDescent="0.25">
      <c r="C277" s="24"/>
      <c r="D277" s="25"/>
      <c r="E277" s="24"/>
      <c r="F277" s="25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50"/>
      <c r="AG277" s="50"/>
      <c r="AH277" s="50"/>
      <c r="AI277" s="50"/>
      <c r="AJ277" s="50"/>
    </row>
    <row r="278" spans="3:36" x14ac:dyDescent="0.25">
      <c r="C278" s="24"/>
      <c r="D278" s="25"/>
      <c r="E278" s="24"/>
      <c r="F278" s="25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D278" s="50"/>
      <c r="AE278" s="50"/>
      <c r="AF278" s="50"/>
      <c r="AG278" s="50"/>
      <c r="AH278" s="50"/>
      <c r="AI278" s="50"/>
      <c r="AJ278" s="50"/>
    </row>
    <row r="279" spans="3:36" x14ac:dyDescent="0.25">
      <c r="C279" s="24"/>
      <c r="D279" s="25"/>
      <c r="E279" s="24"/>
      <c r="F279" s="25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D279" s="50"/>
      <c r="AE279" s="50"/>
      <c r="AF279" s="50"/>
      <c r="AG279" s="50"/>
      <c r="AH279" s="50"/>
      <c r="AI279" s="50"/>
      <c r="AJ279" s="50"/>
    </row>
    <row r="280" spans="3:36" x14ac:dyDescent="0.25">
      <c r="C280" s="24"/>
      <c r="D280" s="25"/>
      <c r="E280" s="24"/>
      <c r="F280" s="25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D280" s="50"/>
      <c r="AE280" s="50"/>
      <c r="AF280" s="50"/>
      <c r="AG280" s="50"/>
      <c r="AH280" s="50"/>
      <c r="AI280" s="50"/>
      <c r="AJ280" s="50"/>
    </row>
    <row r="281" spans="3:36" x14ac:dyDescent="0.25">
      <c r="C281" s="24"/>
      <c r="D281" s="25"/>
      <c r="E281" s="24"/>
      <c r="F281" s="25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50"/>
      <c r="AG281" s="50"/>
      <c r="AH281" s="50"/>
      <c r="AI281" s="50"/>
      <c r="AJ281" s="50"/>
    </row>
    <row r="282" spans="3:36" x14ac:dyDescent="0.25">
      <c r="C282" s="24"/>
      <c r="D282" s="25"/>
      <c r="E282" s="24"/>
      <c r="F282" s="25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D282" s="50"/>
      <c r="AE282" s="50"/>
      <c r="AF282" s="50"/>
      <c r="AG282" s="50"/>
      <c r="AH282" s="50"/>
      <c r="AI282" s="50"/>
      <c r="AJ282" s="50"/>
    </row>
    <row r="283" spans="3:36" x14ac:dyDescent="0.25">
      <c r="C283" s="24"/>
      <c r="D283" s="25"/>
      <c r="E283" s="24"/>
      <c r="F283" s="25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D283" s="50"/>
      <c r="AE283" s="50"/>
      <c r="AF283" s="50"/>
      <c r="AG283" s="50"/>
      <c r="AH283" s="50"/>
      <c r="AI283" s="50"/>
      <c r="AJ283" s="50"/>
    </row>
    <row r="284" spans="3:36" x14ac:dyDescent="0.25">
      <c r="C284" s="24"/>
      <c r="D284" s="25"/>
      <c r="E284" s="24"/>
      <c r="F284" s="25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D284" s="50"/>
      <c r="AE284" s="50"/>
      <c r="AF284" s="50"/>
      <c r="AG284" s="50"/>
      <c r="AH284" s="50"/>
      <c r="AI284" s="50"/>
      <c r="AJ284" s="50"/>
    </row>
    <row r="285" spans="3:36" x14ac:dyDescent="0.25">
      <c r="C285" s="24"/>
      <c r="D285" s="25"/>
      <c r="E285" s="24"/>
      <c r="F285" s="25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D285" s="50"/>
      <c r="AE285" s="50"/>
      <c r="AF285" s="50"/>
      <c r="AG285" s="50"/>
      <c r="AH285" s="50"/>
      <c r="AI285" s="50"/>
      <c r="AJ285" s="50"/>
    </row>
    <row r="286" spans="3:36" x14ac:dyDescent="0.25">
      <c r="C286" s="24"/>
      <c r="D286" s="25"/>
      <c r="E286" s="24"/>
      <c r="F286" s="25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D286" s="50"/>
      <c r="AE286" s="50"/>
      <c r="AF286" s="50"/>
      <c r="AG286" s="50"/>
      <c r="AH286" s="50"/>
      <c r="AI286" s="50"/>
      <c r="AJ286" s="50"/>
    </row>
    <row r="287" spans="3:36" x14ac:dyDescent="0.25">
      <c r="C287" s="24"/>
      <c r="D287" s="25"/>
      <c r="E287" s="24"/>
      <c r="F287" s="25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D287" s="50"/>
      <c r="AE287" s="50"/>
      <c r="AF287" s="50"/>
      <c r="AG287" s="50"/>
      <c r="AH287" s="50"/>
      <c r="AI287" s="50"/>
      <c r="AJ287" s="50"/>
    </row>
    <row r="288" spans="3:36" x14ac:dyDescent="0.25">
      <c r="C288" s="24"/>
      <c r="D288" s="25"/>
      <c r="E288" s="24"/>
      <c r="F288" s="25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D288" s="50"/>
      <c r="AE288" s="50"/>
      <c r="AF288" s="50"/>
      <c r="AG288" s="50"/>
      <c r="AH288" s="50"/>
      <c r="AI288" s="50"/>
      <c r="AJ288" s="50"/>
    </row>
    <row r="289" spans="3:36" x14ac:dyDescent="0.25">
      <c r="C289" s="24"/>
      <c r="D289" s="25"/>
      <c r="E289" s="24"/>
      <c r="F289" s="25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D289" s="50"/>
      <c r="AE289" s="50"/>
      <c r="AF289" s="50"/>
      <c r="AG289" s="50"/>
      <c r="AH289" s="50"/>
      <c r="AI289" s="50"/>
      <c r="AJ289" s="50"/>
    </row>
    <row r="290" spans="3:36" x14ac:dyDescent="0.25">
      <c r="C290" s="24"/>
      <c r="D290" s="25"/>
      <c r="E290" s="24"/>
      <c r="F290" s="25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D290" s="50"/>
      <c r="AE290" s="50"/>
      <c r="AF290" s="50"/>
      <c r="AG290" s="50"/>
      <c r="AH290" s="50"/>
      <c r="AI290" s="50"/>
      <c r="AJ290" s="50"/>
    </row>
    <row r="291" spans="3:36" x14ac:dyDescent="0.25">
      <c r="C291" s="24"/>
      <c r="D291" s="25"/>
      <c r="E291" s="24"/>
      <c r="F291" s="25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50"/>
      <c r="AG291" s="50"/>
      <c r="AH291" s="50"/>
      <c r="AI291" s="50"/>
      <c r="AJ291" s="50"/>
    </row>
    <row r="292" spans="3:36" x14ac:dyDescent="0.25">
      <c r="C292" s="24"/>
      <c r="D292" s="25"/>
      <c r="E292" s="24"/>
      <c r="F292" s="25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D292" s="50"/>
      <c r="AE292" s="50"/>
      <c r="AF292" s="50"/>
      <c r="AG292" s="50"/>
      <c r="AH292" s="50"/>
      <c r="AI292" s="50"/>
      <c r="AJ292" s="50"/>
    </row>
    <row r="293" spans="3:36" x14ac:dyDescent="0.25">
      <c r="C293" s="24"/>
      <c r="D293" s="25"/>
      <c r="E293" s="24"/>
      <c r="F293" s="25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  <c r="AA293" s="50"/>
      <c r="AB293" s="50"/>
      <c r="AC293" s="50"/>
      <c r="AD293" s="50"/>
      <c r="AE293" s="50"/>
      <c r="AF293" s="50"/>
      <c r="AG293" s="50"/>
      <c r="AH293" s="50"/>
      <c r="AI293" s="50"/>
      <c r="AJ293" s="50"/>
    </row>
    <row r="294" spans="3:36" x14ac:dyDescent="0.25">
      <c r="C294" s="24"/>
      <c r="D294" s="25"/>
      <c r="E294" s="24"/>
      <c r="F294" s="25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D294" s="50"/>
      <c r="AE294" s="50"/>
      <c r="AF294" s="50"/>
      <c r="AG294" s="50"/>
      <c r="AH294" s="50"/>
      <c r="AI294" s="50"/>
      <c r="AJ294" s="50"/>
    </row>
    <row r="295" spans="3:36" x14ac:dyDescent="0.25">
      <c r="C295" s="24"/>
      <c r="D295" s="25"/>
      <c r="E295" s="24"/>
      <c r="F295" s="25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D295" s="50"/>
      <c r="AE295" s="50"/>
      <c r="AF295" s="50"/>
      <c r="AG295" s="50"/>
      <c r="AH295" s="50"/>
      <c r="AI295" s="50"/>
      <c r="AJ295" s="50"/>
    </row>
    <row r="296" spans="3:36" x14ac:dyDescent="0.25">
      <c r="C296" s="24"/>
      <c r="D296" s="25"/>
      <c r="E296" s="24"/>
      <c r="F296" s="25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D296" s="50"/>
      <c r="AE296" s="50"/>
      <c r="AF296" s="50"/>
      <c r="AG296" s="50"/>
      <c r="AH296" s="50"/>
      <c r="AI296" s="50"/>
      <c r="AJ296" s="50"/>
    </row>
    <row r="297" spans="3:36" x14ac:dyDescent="0.25">
      <c r="C297" s="24"/>
      <c r="D297" s="25"/>
      <c r="E297" s="24"/>
      <c r="F297" s="25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50"/>
      <c r="AG297" s="50"/>
      <c r="AH297" s="50"/>
      <c r="AI297" s="50"/>
      <c r="AJ297" s="50"/>
    </row>
    <row r="298" spans="3:36" x14ac:dyDescent="0.25">
      <c r="C298" s="24"/>
      <c r="D298" s="25"/>
      <c r="E298" s="24"/>
      <c r="F298" s="25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D298" s="50"/>
      <c r="AE298" s="50"/>
      <c r="AF298" s="50"/>
      <c r="AG298" s="50"/>
      <c r="AH298" s="50"/>
      <c r="AI298" s="50"/>
      <c r="AJ298" s="50"/>
    </row>
    <row r="299" spans="3:36" x14ac:dyDescent="0.25">
      <c r="C299" s="24"/>
      <c r="D299" s="25"/>
      <c r="E299" s="24"/>
      <c r="F299" s="25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D299" s="50"/>
      <c r="AE299" s="50"/>
      <c r="AF299" s="50"/>
      <c r="AG299" s="50"/>
      <c r="AH299" s="50"/>
      <c r="AI299" s="50"/>
      <c r="AJ299" s="50"/>
    </row>
    <row r="300" spans="3:36" x14ac:dyDescent="0.25">
      <c r="C300" s="24"/>
      <c r="D300" s="25"/>
      <c r="E300" s="24"/>
      <c r="F300" s="25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D300" s="50"/>
      <c r="AE300" s="50"/>
      <c r="AF300" s="50"/>
      <c r="AG300" s="50"/>
      <c r="AH300" s="50"/>
      <c r="AI300" s="50"/>
      <c r="AJ300" s="50"/>
    </row>
    <row r="301" spans="3:36" x14ac:dyDescent="0.25">
      <c r="C301" s="24"/>
      <c r="D301" s="25"/>
      <c r="E301" s="24"/>
      <c r="F301" s="25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50"/>
      <c r="AJ301" s="50"/>
    </row>
    <row r="302" spans="3:36" x14ac:dyDescent="0.25">
      <c r="C302" s="24"/>
      <c r="D302" s="25"/>
      <c r="E302" s="24"/>
      <c r="F302" s="25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D302" s="50"/>
      <c r="AE302" s="50"/>
      <c r="AF302" s="50"/>
      <c r="AG302" s="50"/>
      <c r="AH302" s="50"/>
      <c r="AI302" s="50"/>
      <c r="AJ302" s="50"/>
    </row>
    <row r="303" spans="3:36" x14ac:dyDescent="0.25">
      <c r="C303" s="24"/>
      <c r="D303" s="25"/>
      <c r="E303" s="24"/>
      <c r="F303" s="25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D303" s="50"/>
      <c r="AE303" s="50"/>
      <c r="AF303" s="50"/>
      <c r="AG303" s="50"/>
      <c r="AH303" s="50"/>
      <c r="AI303" s="50"/>
      <c r="AJ303" s="50"/>
    </row>
    <row r="304" spans="3:36" x14ac:dyDescent="0.25">
      <c r="C304" s="24"/>
      <c r="D304" s="25"/>
      <c r="E304" s="24"/>
      <c r="F304" s="25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  <c r="AA304" s="50"/>
      <c r="AB304" s="50"/>
      <c r="AC304" s="50"/>
      <c r="AD304" s="50"/>
      <c r="AE304" s="50"/>
      <c r="AF304" s="50"/>
      <c r="AG304" s="50"/>
      <c r="AH304" s="50"/>
      <c r="AI304" s="50"/>
      <c r="AJ304" s="50"/>
    </row>
    <row r="305" spans="3:36" x14ac:dyDescent="0.25">
      <c r="C305" s="24"/>
      <c r="D305" s="25"/>
      <c r="E305" s="24"/>
      <c r="F305" s="25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D305" s="50"/>
      <c r="AE305" s="50"/>
      <c r="AF305" s="50"/>
      <c r="AG305" s="50"/>
      <c r="AH305" s="50"/>
      <c r="AI305" s="50"/>
      <c r="AJ305" s="50"/>
    </row>
    <row r="306" spans="3:36" x14ac:dyDescent="0.25">
      <c r="C306" s="24"/>
      <c r="D306" s="25"/>
      <c r="E306" s="24"/>
      <c r="F306" s="25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D306" s="50"/>
      <c r="AE306" s="50"/>
      <c r="AF306" s="50"/>
      <c r="AG306" s="50"/>
      <c r="AH306" s="50"/>
      <c r="AI306" s="50"/>
      <c r="AJ306" s="50"/>
    </row>
    <row r="307" spans="3:36" x14ac:dyDescent="0.25">
      <c r="C307" s="24"/>
      <c r="D307" s="25"/>
      <c r="E307" s="24"/>
      <c r="F307" s="25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D307" s="50"/>
      <c r="AE307" s="50"/>
      <c r="AF307" s="50"/>
      <c r="AG307" s="50"/>
      <c r="AH307" s="50"/>
      <c r="AI307" s="50"/>
      <c r="AJ307" s="50"/>
    </row>
    <row r="308" spans="3:36" x14ac:dyDescent="0.25">
      <c r="C308" s="24"/>
      <c r="D308" s="25"/>
      <c r="E308" s="24"/>
      <c r="F308" s="25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D308" s="50"/>
      <c r="AE308" s="50"/>
      <c r="AF308" s="50"/>
      <c r="AG308" s="50"/>
      <c r="AH308" s="50"/>
      <c r="AI308" s="50"/>
      <c r="AJ308" s="50"/>
    </row>
    <row r="309" spans="3:36" x14ac:dyDescent="0.25">
      <c r="C309" s="24"/>
      <c r="D309" s="25"/>
      <c r="E309" s="24"/>
      <c r="F309" s="25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D309" s="50"/>
      <c r="AE309" s="50"/>
      <c r="AF309" s="50"/>
      <c r="AG309" s="50"/>
      <c r="AH309" s="50"/>
      <c r="AI309" s="50"/>
      <c r="AJ309" s="50"/>
    </row>
    <row r="310" spans="3:36" x14ac:dyDescent="0.25">
      <c r="C310" s="24"/>
      <c r="D310" s="25"/>
      <c r="E310" s="24"/>
      <c r="F310" s="25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  <c r="AA310" s="50"/>
      <c r="AB310" s="50"/>
      <c r="AC310" s="50"/>
      <c r="AD310" s="50"/>
      <c r="AE310" s="50"/>
      <c r="AF310" s="50"/>
      <c r="AG310" s="50"/>
      <c r="AH310" s="50"/>
      <c r="AI310" s="50"/>
      <c r="AJ310" s="50"/>
    </row>
    <row r="311" spans="3:36" x14ac:dyDescent="0.25">
      <c r="C311" s="24"/>
      <c r="D311" s="25"/>
      <c r="E311" s="24"/>
      <c r="F311" s="25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  <c r="AA311" s="50"/>
      <c r="AB311" s="50"/>
      <c r="AC311" s="50"/>
      <c r="AD311" s="50"/>
      <c r="AE311" s="50"/>
      <c r="AF311" s="50"/>
      <c r="AG311" s="50"/>
      <c r="AH311" s="50"/>
      <c r="AI311" s="50"/>
      <c r="AJ311" s="50"/>
    </row>
    <row r="312" spans="3:36" x14ac:dyDescent="0.25">
      <c r="C312" s="24"/>
      <c r="D312" s="25"/>
      <c r="E312" s="24"/>
      <c r="F312" s="25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  <c r="AA312" s="50"/>
      <c r="AB312" s="50"/>
      <c r="AC312" s="50"/>
      <c r="AD312" s="50"/>
      <c r="AE312" s="50"/>
      <c r="AF312" s="50"/>
      <c r="AG312" s="50"/>
      <c r="AH312" s="50"/>
      <c r="AI312" s="50"/>
      <c r="AJ312" s="50"/>
    </row>
    <row r="313" spans="3:36" x14ac:dyDescent="0.25">
      <c r="C313" s="24"/>
      <c r="D313" s="25"/>
      <c r="E313" s="24"/>
      <c r="F313" s="25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D313" s="50"/>
      <c r="AE313" s="50"/>
      <c r="AF313" s="50"/>
      <c r="AG313" s="50"/>
      <c r="AH313" s="50"/>
      <c r="AI313" s="50"/>
      <c r="AJ313" s="50"/>
    </row>
    <row r="314" spans="3:36" x14ac:dyDescent="0.25">
      <c r="C314" s="24"/>
      <c r="D314" s="25"/>
      <c r="E314" s="24"/>
      <c r="F314" s="25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50"/>
      <c r="AG314" s="50"/>
      <c r="AH314" s="50"/>
      <c r="AI314" s="50"/>
      <c r="AJ314" s="50"/>
    </row>
    <row r="315" spans="3:36" x14ac:dyDescent="0.25">
      <c r="C315" s="24"/>
      <c r="D315" s="25"/>
      <c r="E315" s="24"/>
      <c r="F315" s="25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D315" s="50"/>
      <c r="AE315" s="50"/>
      <c r="AF315" s="50"/>
      <c r="AG315" s="50"/>
      <c r="AH315" s="50"/>
      <c r="AI315" s="50"/>
      <c r="AJ315" s="50"/>
    </row>
    <row r="316" spans="3:36" x14ac:dyDescent="0.25">
      <c r="C316" s="24"/>
      <c r="D316" s="25"/>
      <c r="E316" s="24"/>
      <c r="F316" s="25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D316" s="50"/>
      <c r="AE316" s="50"/>
      <c r="AF316" s="50"/>
      <c r="AG316" s="50"/>
      <c r="AH316" s="50"/>
      <c r="AI316" s="50"/>
      <c r="AJ316" s="50"/>
    </row>
    <row r="317" spans="3:36" x14ac:dyDescent="0.25">
      <c r="C317" s="24"/>
      <c r="D317" s="25"/>
      <c r="E317" s="24"/>
      <c r="F317" s="25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D317" s="50"/>
      <c r="AE317" s="50"/>
      <c r="AF317" s="50"/>
      <c r="AG317" s="50"/>
      <c r="AH317" s="50"/>
      <c r="AI317" s="50"/>
      <c r="AJ317" s="50"/>
    </row>
    <row r="318" spans="3:36" x14ac:dyDescent="0.25">
      <c r="C318" s="24"/>
      <c r="D318" s="25"/>
      <c r="E318" s="24"/>
      <c r="F318" s="25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D318" s="50"/>
      <c r="AE318" s="50"/>
      <c r="AF318" s="50"/>
      <c r="AG318" s="50"/>
      <c r="AH318" s="50"/>
      <c r="AI318" s="50"/>
      <c r="AJ318" s="50"/>
    </row>
    <row r="319" spans="3:36" x14ac:dyDescent="0.25">
      <c r="C319" s="24"/>
      <c r="D319" s="25"/>
      <c r="E319" s="24"/>
      <c r="F319" s="25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  <c r="AA319" s="50"/>
      <c r="AB319" s="50"/>
      <c r="AC319" s="50"/>
      <c r="AD319" s="50"/>
      <c r="AE319" s="50"/>
      <c r="AF319" s="50"/>
      <c r="AG319" s="50"/>
      <c r="AH319" s="50"/>
      <c r="AI319" s="50"/>
      <c r="AJ319" s="50"/>
    </row>
    <row r="320" spans="3:36" x14ac:dyDescent="0.25">
      <c r="C320" s="24"/>
      <c r="D320" s="25"/>
      <c r="E320" s="24"/>
      <c r="F320" s="25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D320" s="50"/>
      <c r="AE320" s="50"/>
      <c r="AF320" s="50"/>
      <c r="AG320" s="50"/>
      <c r="AH320" s="50"/>
      <c r="AI320" s="50"/>
      <c r="AJ320" s="50"/>
    </row>
    <row r="321" spans="3:36" x14ac:dyDescent="0.25">
      <c r="C321" s="24"/>
      <c r="D321" s="25"/>
      <c r="E321" s="24"/>
      <c r="F321" s="25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50"/>
      <c r="AG321" s="50"/>
      <c r="AH321" s="50"/>
      <c r="AI321" s="50"/>
      <c r="AJ321" s="50"/>
    </row>
    <row r="322" spans="3:36" x14ac:dyDescent="0.25">
      <c r="C322" s="24"/>
      <c r="D322" s="25"/>
      <c r="E322" s="24"/>
      <c r="F322" s="25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D322" s="50"/>
      <c r="AE322" s="50"/>
      <c r="AF322" s="50"/>
      <c r="AG322" s="50"/>
      <c r="AH322" s="50"/>
      <c r="AI322" s="50"/>
      <c r="AJ322" s="50"/>
    </row>
    <row r="323" spans="3:36" x14ac:dyDescent="0.25">
      <c r="C323" s="24"/>
      <c r="D323" s="25"/>
      <c r="E323" s="24"/>
      <c r="F323" s="25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50"/>
      <c r="AG323" s="50"/>
      <c r="AH323" s="50"/>
      <c r="AI323" s="50"/>
      <c r="AJ323" s="50"/>
    </row>
    <row r="324" spans="3:36" x14ac:dyDescent="0.25">
      <c r="C324" s="24"/>
      <c r="D324" s="25"/>
      <c r="E324" s="24"/>
      <c r="F324" s="25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D324" s="50"/>
      <c r="AE324" s="50"/>
      <c r="AF324" s="50"/>
      <c r="AG324" s="50"/>
      <c r="AH324" s="50"/>
      <c r="AI324" s="50"/>
      <c r="AJ324" s="50"/>
    </row>
    <row r="325" spans="3:36" x14ac:dyDescent="0.25">
      <c r="C325" s="24"/>
      <c r="D325" s="25"/>
      <c r="E325" s="24"/>
      <c r="F325" s="25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D325" s="50"/>
      <c r="AE325" s="50"/>
      <c r="AF325" s="50"/>
      <c r="AG325" s="50"/>
      <c r="AH325" s="50"/>
      <c r="AI325" s="50"/>
      <c r="AJ325" s="50"/>
    </row>
    <row r="326" spans="3:36" x14ac:dyDescent="0.25">
      <c r="C326" s="24"/>
      <c r="D326" s="25"/>
      <c r="E326" s="24"/>
      <c r="F326" s="25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D326" s="50"/>
      <c r="AE326" s="50"/>
      <c r="AF326" s="50"/>
      <c r="AG326" s="50"/>
      <c r="AH326" s="50"/>
      <c r="AI326" s="50"/>
      <c r="AJ326" s="50"/>
    </row>
    <row r="327" spans="3:36" x14ac:dyDescent="0.25">
      <c r="C327" s="24"/>
      <c r="D327" s="25"/>
      <c r="E327" s="24"/>
      <c r="F327" s="25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D327" s="50"/>
      <c r="AE327" s="50"/>
      <c r="AF327" s="50"/>
      <c r="AG327" s="50"/>
      <c r="AH327" s="50"/>
      <c r="AI327" s="50"/>
      <c r="AJ327" s="50"/>
    </row>
    <row r="328" spans="3:36" x14ac:dyDescent="0.25">
      <c r="C328" s="24"/>
      <c r="D328" s="25"/>
      <c r="E328" s="24"/>
      <c r="F328" s="25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D328" s="50"/>
      <c r="AE328" s="50"/>
      <c r="AF328" s="50"/>
      <c r="AG328" s="50"/>
      <c r="AH328" s="50"/>
      <c r="AI328" s="50"/>
      <c r="AJ328" s="50"/>
    </row>
    <row r="329" spans="3:36" x14ac:dyDescent="0.25">
      <c r="C329" s="24"/>
      <c r="D329" s="25"/>
      <c r="E329" s="24"/>
      <c r="F329" s="25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D329" s="50"/>
      <c r="AE329" s="50"/>
      <c r="AF329" s="50"/>
      <c r="AG329" s="50"/>
      <c r="AH329" s="50"/>
      <c r="AI329" s="50"/>
      <c r="AJ329" s="50"/>
    </row>
    <row r="330" spans="3:36" x14ac:dyDescent="0.25">
      <c r="C330" s="24"/>
      <c r="D330" s="25"/>
      <c r="E330" s="24"/>
      <c r="F330" s="25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D330" s="50"/>
      <c r="AE330" s="50"/>
      <c r="AF330" s="50"/>
      <c r="AG330" s="50"/>
      <c r="AH330" s="50"/>
      <c r="AI330" s="50"/>
      <c r="AJ330" s="50"/>
    </row>
    <row r="331" spans="3:36" x14ac:dyDescent="0.25">
      <c r="C331" s="24"/>
      <c r="D331" s="25"/>
      <c r="E331" s="24"/>
      <c r="F331" s="25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D331" s="50"/>
      <c r="AE331" s="50"/>
      <c r="AF331" s="50"/>
      <c r="AG331" s="50"/>
      <c r="AH331" s="50"/>
      <c r="AI331" s="50"/>
      <c r="AJ331" s="50"/>
    </row>
    <row r="332" spans="3:36" x14ac:dyDescent="0.25">
      <c r="C332" s="24"/>
      <c r="D332" s="25"/>
      <c r="E332" s="24"/>
      <c r="F332" s="25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D332" s="50"/>
      <c r="AE332" s="50"/>
      <c r="AF332" s="50"/>
      <c r="AG332" s="50"/>
      <c r="AH332" s="50"/>
      <c r="AI332" s="50"/>
      <c r="AJ332" s="50"/>
    </row>
    <row r="333" spans="3:36" x14ac:dyDescent="0.25">
      <c r="C333" s="24"/>
      <c r="D333" s="25"/>
      <c r="E333" s="24"/>
      <c r="F333" s="25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D333" s="50"/>
      <c r="AE333" s="50"/>
      <c r="AF333" s="50"/>
      <c r="AG333" s="50"/>
      <c r="AH333" s="50"/>
      <c r="AI333" s="50"/>
      <c r="AJ333" s="50"/>
    </row>
    <row r="334" spans="3:36" x14ac:dyDescent="0.25">
      <c r="C334" s="24"/>
      <c r="D334" s="25"/>
      <c r="E334" s="24"/>
      <c r="F334" s="25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D334" s="50"/>
      <c r="AE334" s="50"/>
      <c r="AF334" s="50"/>
      <c r="AG334" s="50"/>
      <c r="AH334" s="50"/>
      <c r="AI334" s="50"/>
      <c r="AJ334" s="50"/>
    </row>
    <row r="335" spans="3:36" x14ac:dyDescent="0.25">
      <c r="C335" s="24"/>
      <c r="D335" s="25"/>
      <c r="E335" s="24"/>
      <c r="F335" s="25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D335" s="50"/>
      <c r="AE335" s="50"/>
      <c r="AF335" s="50"/>
      <c r="AG335" s="50"/>
      <c r="AH335" s="50"/>
      <c r="AI335" s="50"/>
      <c r="AJ335" s="50"/>
    </row>
    <row r="336" spans="3:36" x14ac:dyDescent="0.25">
      <c r="C336" s="24"/>
      <c r="D336" s="25"/>
      <c r="E336" s="24"/>
      <c r="F336" s="25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D336" s="50"/>
      <c r="AE336" s="50"/>
      <c r="AF336" s="50"/>
      <c r="AG336" s="50"/>
      <c r="AH336" s="50"/>
      <c r="AI336" s="50"/>
      <c r="AJ336" s="50"/>
    </row>
    <row r="337" spans="3:36" x14ac:dyDescent="0.25">
      <c r="C337" s="24"/>
      <c r="D337" s="25"/>
      <c r="E337" s="24"/>
      <c r="F337" s="25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D337" s="50"/>
      <c r="AE337" s="50"/>
      <c r="AF337" s="50"/>
      <c r="AG337" s="50"/>
      <c r="AH337" s="50"/>
      <c r="AI337" s="50"/>
      <c r="AJ337" s="50"/>
    </row>
    <row r="338" spans="3:36" x14ac:dyDescent="0.25">
      <c r="C338" s="24"/>
      <c r="D338" s="25"/>
      <c r="E338" s="24"/>
      <c r="F338" s="25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D338" s="50"/>
      <c r="AE338" s="50"/>
      <c r="AF338" s="50"/>
      <c r="AG338" s="50"/>
      <c r="AH338" s="50"/>
      <c r="AI338" s="50"/>
      <c r="AJ338" s="50"/>
    </row>
    <row r="339" spans="3:36" x14ac:dyDescent="0.25">
      <c r="C339" s="24"/>
      <c r="D339" s="25"/>
      <c r="E339" s="24"/>
      <c r="F339" s="25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D339" s="50"/>
      <c r="AE339" s="50"/>
      <c r="AF339" s="50"/>
      <c r="AG339" s="50"/>
      <c r="AH339" s="50"/>
      <c r="AI339" s="50"/>
      <c r="AJ339" s="50"/>
    </row>
    <row r="340" spans="3:36" x14ac:dyDescent="0.25">
      <c r="C340" s="24"/>
      <c r="D340" s="25"/>
      <c r="E340" s="24"/>
      <c r="F340" s="25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D340" s="50"/>
      <c r="AE340" s="50"/>
      <c r="AF340" s="50"/>
      <c r="AG340" s="50"/>
      <c r="AH340" s="50"/>
      <c r="AI340" s="50"/>
      <c r="AJ340" s="50"/>
    </row>
    <row r="341" spans="3:36" x14ac:dyDescent="0.25">
      <c r="C341" s="24"/>
      <c r="D341" s="25"/>
      <c r="E341" s="24"/>
      <c r="F341" s="25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50"/>
      <c r="AG341" s="50"/>
      <c r="AH341" s="50"/>
      <c r="AI341" s="50"/>
      <c r="AJ341" s="50"/>
    </row>
    <row r="342" spans="3:36" x14ac:dyDescent="0.25">
      <c r="C342" s="24"/>
      <c r="D342" s="25"/>
      <c r="E342" s="24"/>
      <c r="F342" s="25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D342" s="50"/>
      <c r="AE342" s="50"/>
      <c r="AF342" s="50"/>
      <c r="AG342" s="50"/>
      <c r="AH342" s="50"/>
      <c r="AI342" s="50"/>
      <c r="AJ342" s="50"/>
    </row>
    <row r="343" spans="3:36" x14ac:dyDescent="0.25">
      <c r="C343" s="24"/>
      <c r="D343" s="25"/>
      <c r="E343" s="24"/>
      <c r="F343" s="25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D343" s="50"/>
      <c r="AE343" s="50"/>
      <c r="AF343" s="50"/>
      <c r="AG343" s="50"/>
      <c r="AH343" s="50"/>
      <c r="AI343" s="50"/>
      <c r="AJ343" s="50"/>
    </row>
    <row r="344" spans="3:36" x14ac:dyDescent="0.25">
      <c r="C344" s="24"/>
      <c r="D344" s="25"/>
      <c r="E344" s="24"/>
      <c r="F344" s="25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D344" s="50"/>
      <c r="AE344" s="50"/>
      <c r="AF344" s="50"/>
      <c r="AG344" s="50"/>
      <c r="AH344" s="50"/>
      <c r="AI344" s="50"/>
      <c r="AJ344" s="50"/>
    </row>
    <row r="345" spans="3:36" x14ac:dyDescent="0.25">
      <c r="C345" s="24"/>
      <c r="D345" s="25"/>
      <c r="E345" s="24"/>
      <c r="F345" s="25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D345" s="50"/>
      <c r="AE345" s="50"/>
      <c r="AF345" s="50"/>
      <c r="AG345" s="50"/>
      <c r="AH345" s="50"/>
      <c r="AI345" s="50"/>
      <c r="AJ345" s="50"/>
    </row>
    <row r="346" spans="3:36" x14ac:dyDescent="0.25">
      <c r="C346" s="24"/>
      <c r="D346" s="25"/>
      <c r="E346" s="24"/>
      <c r="F346" s="25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D346" s="50"/>
      <c r="AE346" s="50"/>
      <c r="AF346" s="50"/>
      <c r="AG346" s="50"/>
      <c r="AH346" s="50"/>
      <c r="AI346" s="50"/>
      <c r="AJ346" s="50"/>
    </row>
    <row r="347" spans="3:36" x14ac:dyDescent="0.25">
      <c r="C347" s="24"/>
      <c r="D347" s="25"/>
      <c r="E347" s="24"/>
      <c r="F347" s="25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50"/>
      <c r="AG347" s="50"/>
      <c r="AH347" s="50"/>
      <c r="AI347" s="50"/>
      <c r="AJ347" s="50"/>
    </row>
    <row r="348" spans="3:36" x14ac:dyDescent="0.25">
      <c r="C348" s="24"/>
      <c r="D348" s="25"/>
      <c r="E348" s="24"/>
      <c r="F348" s="25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50"/>
      <c r="AG348" s="50"/>
      <c r="AH348" s="50"/>
      <c r="AI348" s="50"/>
      <c r="AJ348" s="50"/>
    </row>
    <row r="349" spans="3:36" x14ac:dyDescent="0.25">
      <c r="C349" s="24"/>
      <c r="D349" s="25"/>
      <c r="E349" s="24"/>
      <c r="F349" s="25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50"/>
      <c r="AG349" s="50"/>
      <c r="AH349" s="50"/>
      <c r="AI349" s="50"/>
      <c r="AJ349" s="50"/>
    </row>
    <row r="350" spans="3:36" x14ac:dyDescent="0.25">
      <c r="C350" s="24"/>
      <c r="D350" s="25"/>
      <c r="E350" s="24"/>
      <c r="F350" s="25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D350" s="50"/>
      <c r="AE350" s="50"/>
      <c r="AF350" s="50"/>
      <c r="AG350" s="50"/>
      <c r="AH350" s="50"/>
      <c r="AI350" s="50"/>
      <c r="AJ350" s="50"/>
    </row>
    <row r="351" spans="3:36" x14ac:dyDescent="0.25">
      <c r="C351" s="24"/>
      <c r="D351" s="25"/>
      <c r="E351" s="24"/>
      <c r="F351" s="25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50"/>
      <c r="AG351" s="50"/>
      <c r="AH351" s="50"/>
      <c r="AI351" s="50"/>
      <c r="AJ351" s="50"/>
    </row>
    <row r="352" spans="3:36" x14ac:dyDescent="0.25">
      <c r="C352" s="24"/>
      <c r="D352" s="25"/>
      <c r="E352" s="24"/>
      <c r="F352" s="25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50"/>
      <c r="AG352" s="50"/>
      <c r="AH352" s="50"/>
      <c r="AI352" s="50"/>
      <c r="AJ352" s="50"/>
    </row>
    <row r="353" spans="3:36" x14ac:dyDescent="0.25">
      <c r="C353" s="24"/>
      <c r="D353" s="25"/>
      <c r="E353" s="24"/>
      <c r="F353" s="25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50"/>
      <c r="AG353" s="50"/>
      <c r="AH353" s="50"/>
      <c r="AI353" s="50"/>
      <c r="AJ353" s="50"/>
    </row>
    <row r="354" spans="3:36" x14ac:dyDescent="0.25">
      <c r="C354" s="24"/>
      <c r="D354" s="25"/>
      <c r="E354" s="24"/>
      <c r="F354" s="25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50"/>
      <c r="AG354" s="50"/>
      <c r="AH354" s="50"/>
      <c r="AI354" s="50"/>
      <c r="AJ354" s="50"/>
    </row>
    <row r="355" spans="3:36" x14ac:dyDescent="0.25">
      <c r="C355" s="24"/>
      <c r="D355" s="25"/>
      <c r="E355" s="24"/>
      <c r="F355" s="25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50"/>
      <c r="AG355" s="50"/>
      <c r="AH355" s="50"/>
      <c r="AI355" s="50"/>
      <c r="AJ355" s="50"/>
    </row>
    <row r="356" spans="3:36" x14ac:dyDescent="0.25">
      <c r="C356" s="24"/>
      <c r="D356" s="25"/>
      <c r="E356" s="24"/>
      <c r="F356" s="25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50"/>
      <c r="AG356" s="50"/>
      <c r="AH356" s="50"/>
      <c r="AI356" s="50"/>
      <c r="AJ356" s="50"/>
    </row>
    <row r="357" spans="3:36" x14ac:dyDescent="0.25">
      <c r="C357" s="24"/>
      <c r="D357" s="25"/>
      <c r="E357" s="24"/>
      <c r="F357" s="25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50"/>
      <c r="AG357" s="50"/>
      <c r="AH357" s="50"/>
      <c r="AI357" s="50"/>
      <c r="AJ357" s="50"/>
    </row>
    <row r="358" spans="3:36" x14ac:dyDescent="0.25">
      <c r="C358" s="24"/>
      <c r="D358" s="25"/>
      <c r="E358" s="24"/>
      <c r="F358" s="25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50"/>
      <c r="AG358" s="50"/>
      <c r="AH358" s="50"/>
      <c r="AI358" s="50"/>
      <c r="AJ358" s="50"/>
    </row>
    <row r="359" spans="3:36" x14ac:dyDescent="0.25">
      <c r="C359" s="24"/>
      <c r="D359" s="25"/>
      <c r="E359" s="24"/>
      <c r="F359" s="25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  <c r="AA359" s="50"/>
      <c r="AB359" s="50"/>
      <c r="AC359" s="50"/>
      <c r="AD359" s="50"/>
      <c r="AE359" s="50"/>
      <c r="AF359" s="50"/>
      <c r="AG359" s="50"/>
      <c r="AH359" s="50"/>
      <c r="AI359" s="50"/>
      <c r="AJ359" s="50"/>
    </row>
    <row r="360" spans="3:36" x14ac:dyDescent="0.25">
      <c r="C360" s="24"/>
      <c r="D360" s="25"/>
      <c r="E360" s="24"/>
      <c r="F360" s="25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50"/>
      <c r="AG360" s="50"/>
      <c r="AH360" s="50"/>
      <c r="AI360" s="50"/>
      <c r="AJ360" s="50"/>
    </row>
    <row r="361" spans="3:36" x14ac:dyDescent="0.25">
      <c r="C361" s="24"/>
      <c r="D361" s="25"/>
      <c r="E361" s="24"/>
      <c r="F361" s="25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50"/>
      <c r="AJ361" s="50"/>
    </row>
    <row r="362" spans="3:36" x14ac:dyDescent="0.25">
      <c r="C362" s="24"/>
      <c r="D362" s="25"/>
      <c r="E362" s="24"/>
      <c r="F362" s="25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50"/>
      <c r="AG362" s="50"/>
      <c r="AH362" s="50"/>
      <c r="AI362" s="50"/>
      <c r="AJ362" s="50"/>
    </row>
    <row r="363" spans="3:36" x14ac:dyDescent="0.25">
      <c r="C363" s="24"/>
      <c r="D363" s="25"/>
      <c r="E363" s="24"/>
      <c r="F363" s="25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D363" s="50"/>
      <c r="AE363" s="50"/>
      <c r="AF363" s="50"/>
      <c r="AG363" s="50"/>
      <c r="AH363" s="50"/>
      <c r="AI363" s="50"/>
      <c r="AJ363" s="50"/>
    </row>
    <row r="364" spans="3:36" x14ac:dyDescent="0.25">
      <c r="C364" s="24"/>
      <c r="D364" s="25"/>
      <c r="E364" s="24"/>
      <c r="F364" s="25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50"/>
      <c r="AG364" s="50"/>
      <c r="AH364" s="50"/>
      <c r="AI364" s="50"/>
      <c r="AJ364" s="50"/>
    </row>
    <row r="365" spans="3:36" x14ac:dyDescent="0.25">
      <c r="C365" s="24"/>
      <c r="D365" s="25"/>
      <c r="E365" s="24"/>
      <c r="F365" s="25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50"/>
      <c r="AG365" s="50"/>
      <c r="AH365" s="50"/>
      <c r="AI365" s="50"/>
      <c r="AJ365" s="50"/>
    </row>
    <row r="366" spans="3:36" x14ac:dyDescent="0.25">
      <c r="C366" s="24"/>
      <c r="D366" s="25"/>
      <c r="E366" s="24"/>
      <c r="F366" s="25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50"/>
      <c r="AG366" s="50"/>
      <c r="AH366" s="50"/>
      <c r="AI366" s="50"/>
      <c r="AJ366" s="50"/>
    </row>
    <row r="367" spans="3:36" x14ac:dyDescent="0.25">
      <c r="C367" s="24"/>
      <c r="D367" s="25"/>
      <c r="E367" s="24"/>
      <c r="F367" s="25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50"/>
      <c r="AG367" s="50"/>
      <c r="AH367" s="50"/>
      <c r="AI367" s="50"/>
      <c r="AJ367" s="50"/>
    </row>
    <row r="368" spans="3:36" x14ac:dyDescent="0.25">
      <c r="C368" s="24"/>
      <c r="D368" s="25"/>
      <c r="E368" s="24"/>
      <c r="F368" s="25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50"/>
      <c r="AG368" s="50"/>
      <c r="AH368" s="50"/>
      <c r="AI368" s="50"/>
      <c r="AJ368" s="50"/>
    </row>
    <row r="369" spans="3:36" x14ac:dyDescent="0.25">
      <c r="C369" s="24"/>
      <c r="D369" s="25"/>
      <c r="E369" s="24"/>
      <c r="F369" s="25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D369" s="50"/>
      <c r="AE369" s="50"/>
      <c r="AF369" s="50"/>
      <c r="AG369" s="50"/>
      <c r="AH369" s="50"/>
      <c r="AI369" s="50"/>
      <c r="AJ369" s="50"/>
    </row>
    <row r="370" spans="3:36" x14ac:dyDescent="0.25">
      <c r="C370" s="24"/>
      <c r="D370" s="25"/>
      <c r="E370" s="24"/>
      <c r="F370" s="25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50"/>
      <c r="AG370" s="50"/>
      <c r="AH370" s="50"/>
      <c r="AI370" s="50"/>
      <c r="AJ370" s="50"/>
    </row>
    <row r="371" spans="3:36" x14ac:dyDescent="0.25">
      <c r="C371" s="24"/>
      <c r="D371" s="25"/>
      <c r="E371" s="24"/>
      <c r="F371" s="25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50"/>
      <c r="AJ371" s="50"/>
    </row>
    <row r="372" spans="3:36" x14ac:dyDescent="0.25">
      <c r="C372" s="24"/>
      <c r="D372" s="25"/>
      <c r="E372" s="24"/>
      <c r="F372" s="25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50"/>
      <c r="AG372" s="50"/>
      <c r="AH372" s="50"/>
      <c r="AI372" s="50"/>
      <c r="AJ372" s="50"/>
    </row>
    <row r="373" spans="3:36" x14ac:dyDescent="0.25">
      <c r="C373" s="24"/>
      <c r="D373" s="25"/>
      <c r="E373" s="24"/>
      <c r="F373" s="25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  <c r="AA373" s="50"/>
      <c r="AB373" s="50"/>
      <c r="AC373" s="50"/>
      <c r="AD373" s="50"/>
      <c r="AE373" s="50"/>
      <c r="AF373" s="50"/>
      <c r="AG373" s="50"/>
      <c r="AH373" s="50"/>
      <c r="AI373" s="50"/>
      <c r="AJ373" s="50"/>
    </row>
    <row r="374" spans="3:36" x14ac:dyDescent="0.25">
      <c r="C374" s="24"/>
      <c r="D374" s="25"/>
      <c r="E374" s="24"/>
      <c r="F374" s="25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50"/>
      <c r="AG374" s="50"/>
      <c r="AH374" s="50"/>
      <c r="AI374" s="50"/>
      <c r="AJ374" s="50"/>
    </row>
    <row r="375" spans="3:36" x14ac:dyDescent="0.25">
      <c r="C375" s="24"/>
      <c r="D375" s="25"/>
      <c r="E375" s="24"/>
      <c r="F375" s="25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50"/>
      <c r="AG375" s="50"/>
      <c r="AH375" s="50"/>
      <c r="AI375" s="50"/>
      <c r="AJ375" s="50"/>
    </row>
    <row r="376" spans="3:36" x14ac:dyDescent="0.25">
      <c r="C376" s="24"/>
      <c r="D376" s="25"/>
      <c r="E376" s="24"/>
      <c r="F376" s="25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50"/>
      <c r="AG376" s="50"/>
      <c r="AH376" s="50"/>
      <c r="AI376" s="50"/>
      <c r="AJ376" s="50"/>
    </row>
    <row r="377" spans="3:36" x14ac:dyDescent="0.25">
      <c r="C377" s="24"/>
      <c r="D377" s="25"/>
      <c r="E377" s="24"/>
      <c r="F377" s="25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D377" s="50"/>
      <c r="AE377" s="50"/>
      <c r="AF377" s="50"/>
      <c r="AG377" s="50"/>
      <c r="AH377" s="50"/>
      <c r="AI377" s="50"/>
      <c r="AJ377" s="50"/>
    </row>
    <row r="378" spans="3:36" x14ac:dyDescent="0.25">
      <c r="C378" s="24"/>
      <c r="D378" s="25"/>
      <c r="E378" s="24"/>
      <c r="F378" s="25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50"/>
      <c r="AJ378" s="50"/>
    </row>
    <row r="379" spans="3:36" x14ac:dyDescent="0.25">
      <c r="C379" s="24"/>
      <c r="D379" s="25"/>
      <c r="E379" s="24"/>
      <c r="F379" s="25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50"/>
      <c r="AJ379" s="50"/>
    </row>
    <row r="380" spans="3:36" x14ac:dyDescent="0.25">
      <c r="C380" s="24"/>
      <c r="D380" s="25"/>
      <c r="E380" s="24"/>
      <c r="F380" s="25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50"/>
      <c r="AJ380" s="50"/>
    </row>
    <row r="381" spans="3:36" x14ac:dyDescent="0.25">
      <c r="C381" s="24"/>
      <c r="D381" s="25"/>
      <c r="E381" s="24"/>
      <c r="F381" s="25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50"/>
      <c r="AG381" s="50"/>
      <c r="AH381" s="50"/>
      <c r="AI381" s="50"/>
      <c r="AJ381" s="50"/>
    </row>
    <row r="382" spans="3:36" x14ac:dyDescent="0.25">
      <c r="C382" s="24"/>
      <c r="D382" s="25"/>
      <c r="E382" s="24"/>
      <c r="F382" s="25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50"/>
      <c r="AJ382" s="50"/>
    </row>
    <row r="383" spans="3:36" x14ac:dyDescent="0.25">
      <c r="C383" s="24"/>
      <c r="D383" s="25"/>
      <c r="E383" s="24"/>
      <c r="F383" s="25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50"/>
      <c r="AJ383" s="50"/>
    </row>
    <row r="384" spans="3:36" x14ac:dyDescent="0.25">
      <c r="C384" s="24"/>
      <c r="D384" s="25"/>
      <c r="E384" s="24"/>
      <c r="F384" s="25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50"/>
      <c r="AJ384" s="50"/>
    </row>
    <row r="385" spans="3:36" x14ac:dyDescent="0.25">
      <c r="C385" s="24"/>
      <c r="D385" s="25"/>
      <c r="E385" s="24"/>
      <c r="F385" s="25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50"/>
      <c r="AG385" s="50"/>
      <c r="AH385" s="50"/>
      <c r="AI385" s="50"/>
      <c r="AJ385" s="50"/>
    </row>
    <row r="386" spans="3:36" x14ac:dyDescent="0.25">
      <c r="C386" s="24"/>
      <c r="D386" s="25"/>
      <c r="E386" s="24"/>
      <c r="F386" s="25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50"/>
      <c r="AJ386" s="50"/>
    </row>
    <row r="387" spans="3:36" x14ac:dyDescent="0.25">
      <c r="C387" s="24"/>
      <c r="D387" s="25"/>
      <c r="E387" s="24"/>
      <c r="F387" s="25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50"/>
      <c r="AJ387" s="50"/>
    </row>
    <row r="388" spans="3:36" x14ac:dyDescent="0.25">
      <c r="C388" s="24"/>
      <c r="D388" s="25"/>
      <c r="E388" s="24"/>
      <c r="F388" s="25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50"/>
      <c r="AJ388" s="50"/>
    </row>
    <row r="389" spans="3:36" x14ac:dyDescent="0.25">
      <c r="C389" s="24"/>
      <c r="D389" s="25"/>
      <c r="E389" s="24"/>
      <c r="F389" s="25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50"/>
      <c r="AG389" s="50"/>
      <c r="AH389" s="50"/>
      <c r="AI389" s="50"/>
      <c r="AJ389" s="50"/>
    </row>
    <row r="390" spans="3:36" x14ac:dyDescent="0.25">
      <c r="C390" s="24"/>
      <c r="D390" s="25"/>
      <c r="E390" s="24"/>
      <c r="F390" s="25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50"/>
      <c r="AJ390" s="50"/>
    </row>
    <row r="391" spans="3:36" x14ac:dyDescent="0.25">
      <c r="C391" s="24"/>
      <c r="D391" s="25"/>
      <c r="E391" s="24"/>
      <c r="F391" s="25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50"/>
      <c r="AJ391" s="50"/>
    </row>
    <row r="392" spans="3:36" x14ac:dyDescent="0.25">
      <c r="C392" s="24"/>
      <c r="D392" s="25"/>
      <c r="E392" s="24"/>
      <c r="F392" s="25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50"/>
      <c r="AG392" s="50"/>
      <c r="AH392" s="50"/>
      <c r="AI392" s="50"/>
      <c r="AJ392" s="50"/>
    </row>
    <row r="393" spans="3:36" x14ac:dyDescent="0.25">
      <c r="C393" s="24"/>
      <c r="D393" s="25"/>
      <c r="E393" s="24"/>
      <c r="F393" s="25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D393" s="50"/>
      <c r="AE393" s="50"/>
      <c r="AF393" s="50"/>
      <c r="AG393" s="50"/>
      <c r="AH393" s="50"/>
      <c r="AI393" s="50"/>
      <c r="AJ393" s="50"/>
    </row>
    <row r="394" spans="3:36" x14ac:dyDescent="0.25">
      <c r="C394" s="24"/>
      <c r="D394" s="25"/>
      <c r="E394" s="24"/>
      <c r="F394" s="25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D394" s="50"/>
      <c r="AE394" s="50"/>
      <c r="AF394" s="50"/>
      <c r="AG394" s="50"/>
      <c r="AH394" s="50"/>
      <c r="AI394" s="50"/>
      <c r="AJ394" s="50"/>
    </row>
    <row r="395" spans="3:36" x14ac:dyDescent="0.25">
      <c r="C395" s="24"/>
      <c r="D395" s="25"/>
      <c r="E395" s="24"/>
      <c r="F395" s="25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50"/>
      <c r="AG395" s="50"/>
      <c r="AH395" s="50"/>
      <c r="AI395" s="50"/>
      <c r="AJ395" s="50"/>
    </row>
    <row r="396" spans="3:36" x14ac:dyDescent="0.25">
      <c r="C396" s="24"/>
      <c r="D396" s="25"/>
      <c r="E396" s="24"/>
      <c r="F396" s="25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50"/>
      <c r="AG396" s="50"/>
      <c r="AH396" s="50"/>
      <c r="AI396" s="50"/>
      <c r="AJ396" s="50"/>
    </row>
    <row r="397" spans="3:36" x14ac:dyDescent="0.25">
      <c r="C397" s="24"/>
      <c r="D397" s="25"/>
      <c r="E397" s="24"/>
      <c r="F397" s="25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50"/>
      <c r="AG397" s="50"/>
      <c r="AH397" s="50"/>
      <c r="AI397" s="50"/>
      <c r="AJ397" s="50"/>
    </row>
    <row r="398" spans="3:36" x14ac:dyDescent="0.25">
      <c r="C398" s="24"/>
      <c r="D398" s="25"/>
      <c r="E398" s="24"/>
      <c r="F398" s="25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D398" s="50"/>
      <c r="AE398" s="50"/>
      <c r="AF398" s="50"/>
      <c r="AG398" s="50"/>
      <c r="AH398" s="50"/>
      <c r="AI398" s="50"/>
      <c r="AJ398" s="50"/>
    </row>
    <row r="399" spans="3:36" x14ac:dyDescent="0.25">
      <c r="C399" s="24"/>
      <c r="D399" s="25"/>
      <c r="E399" s="24"/>
      <c r="F399" s="25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50"/>
      <c r="AG399" s="50"/>
      <c r="AH399" s="50"/>
      <c r="AI399" s="50"/>
      <c r="AJ399" s="50"/>
    </row>
    <row r="400" spans="3:36" x14ac:dyDescent="0.25">
      <c r="C400" s="24"/>
      <c r="D400" s="25"/>
      <c r="E400" s="24"/>
      <c r="F400" s="25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0"/>
      <c r="AG400" s="50"/>
      <c r="AH400" s="50"/>
      <c r="AI400" s="50"/>
      <c r="AJ400" s="50"/>
    </row>
    <row r="401" spans="3:36" x14ac:dyDescent="0.25">
      <c r="C401" s="24"/>
      <c r="D401" s="25"/>
      <c r="E401" s="24"/>
      <c r="F401" s="25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50"/>
      <c r="AJ401" s="50"/>
    </row>
    <row r="402" spans="3:36" x14ac:dyDescent="0.25">
      <c r="C402" s="24"/>
      <c r="D402" s="25"/>
      <c r="E402" s="24"/>
      <c r="F402" s="25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D402" s="50"/>
      <c r="AE402" s="50"/>
      <c r="AF402" s="50"/>
      <c r="AG402" s="50"/>
      <c r="AH402" s="50"/>
      <c r="AI402" s="50"/>
      <c r="AJ402" s="50"/>
    </row>
    <row r="403" spans="3:36" x14ac:dyDescent="0.25">
      <c r="C403" s="24"/>
      <c r="D403" s="25"/>
      <c r="E403" s="24"/>
      <c r="F403" s="25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50"/>
      <c r="AJ403" s="50"/>
    </row>
    <row r="404" spans="3:36" x14ac:dyDescent="0.25">
      <c r="C404" s="24"/>
      <c r="D404" s="25"/>
      <c r="E404" s="24"/>
      <c r="F404" s="25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50"/>
      <c r="AG404" s="50"/>
      <c r="AH404" s="50"/>
      <c r="AI404" s="50"/>
      <c r="AJ404" s="50"/>
    </row>
    <row r="405" spans="3:36" x14ac:dyDescent="0.25">
      <c r="C405" s="24"/>
      <c r="D405" s="25"/>
      <c r="E405" s="24"/>
      <c r="F405" s="25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</row>
    <row r="406" spans="3:36" x14ac:dyDescent="0.25">
      <c r="C406" s="24"/>
      <c r="D406" s="25"/>
      <c r="E406" s="24"/>
      <c r="F406" s="25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D406" s="50"/>
      <c r="AE406" s="50"/>
      <c r="AF406" s="50"/>
      <c r="AG406" s="50"/>
      <c r="AH406" s="50"/>
      <c r="AI406" s="50"/>
      <c r="AJ406" s="50"/>
    </row>
    <row r="407" spans="3:36" x14ac:dyDescent="0.25">
      <c r="C407" s="24"/>
      <c r="D407" s="25"/>
      <c r="E407" s="24"/>
      <c r="F407" s="25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50"/>
      <c r="AG407" s="50"/>
      <c r="AH407" s="50"/>
      <c r="AI407" s="50"/>
      <c r="AJ407" s="50"/>
    </row>
    <row r="408" spans="3:36" x14ac:dyDescent="0.25">
      <c r="C408" s="24"/>
      <c r="D408" s="25"/>
      <c r="E408" s="24"/>
      <c r="F408" s="25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50"/>
      <c r="AG408" s="50"/>
      <c r="AH408" s="50"/>
      <c r="AI408" s="50"/>
      <c r="AJ408" s="50"/>
    </row>
    <row r="409" spans="3:36" x14ac:dyDescent="0.25">
      <c r="C409" s="24"/>
      <c r="D409" s="25"/>
      <c r="E409" s="24"/>
      <c r="F409" s="25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50"/>
      <c r="AG409" s="50"/>
      <c r="AH409" s="50"/>
      <c r="AI409" s="50"/>
      <c r="AJ409" s="50"/>
    </row>
    <row r="410" spans="3:36" x14ac:dyDescent="0.25">
      <c r="C410" s="24"/>
      <c r="D410" s="25"/>
      <c r="E410" s="24"/>
      <c r="F410" s="25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D410" s="50"/>
      <c r="AE410" s="50"/>
      <c r="AF410" s="50"/>
      <c r="AG410" s="50"/>
      <c r="AH410" s="50"/>
      <c r="AI410" s="50"/>
      <c r="AJ410" s="50"/>
    </row>
    <row r="411" spans="3:36" x14ac:dyDescent="0.25">
      <c r="C411" s="24"/>
      <c r="D411" s="25"/>
      <c r="E411" s="24"/>
      <c r="F411" s="25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50"/>
      <c r="AJ411" s="50"/>
    </row>
    <row r="412" spans="3:36" x14ac:dyDescent="0.25">
      <c r="C412" s="24"/>
      <c r="D412" s="25"/>
      <c r="E412" s="24"/>
      <c r="F412" s="25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50"/>
      <c r="AG412" s="50"/>
      <c r="AH412" s="50"/>
      <c r="AI412" s="50"/>
      <c r="AJ412" s="50"/>
    </row>
    <row r="413" spans="3:36" x14ac:dyDescent="0.25">
      <c r="C413" s="24"/>
      <c r="D413" s="25"/>
      <c r="E413" s="24"/>
      <c r="F413" s="25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50"/>
      <c r="AG413" s="50"/>
      <c r="AH413" s="50"/>
      <c r="AI413" s="50"/>
      <c r="AJ413" s="50"/>
    </row>
    <row r="414" spans="3:36" x14ac:dyDescent="0.25">
      <c r="C414" s="24"/>
      <c r="D414" s="25"/>
      <c r="E414" s="24"/>
      <c r="F414" s="25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</row>
    <row r="415" spans="3:36" x14ac:dyDescent="0.25">
      <c r="C415" s="24"/>
      <c r="D415" s="25"/>
      <c r="E415" s="24"/>
      <c r="F415" s="25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</row>
    <row r="416" spans="3:36" x14ac:dyDescent="0.25">
      <c r="C416" s="24"/>
      <c r="D416" s="25"/>
      <c r="E416" s="24"/>
      <c r="F416" s="25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50"/>
      <c r="AG416" s="50"/>
      <c r="AH416" s="50"/>
      <c r="AI416" s="50"/>
      <c r="AJ416" s="50"/>
    </row>
    <row r="417" spans="3:36" x14ac:dyDescent="0.25">
      <c r="C417" s="24"/>
      <c r="D417" s="25"/>
      <c r="E417" s="24"/>
      <c r="F417" s="25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50"/>
      <c r="AG417" s="50"/>
      <c r="AH417" s="50"/>
      <c r="AI417" s="50"/>
      <c r="AJ417" s="50"/>
    </row>
    <row r="418" spans="3:36" x14ac:dyDescent="0.25">
      <c r="C418" s="24"/>
      <c r="D418" s="25"/>
      <c r="E418" s="24"/>
      <c r="F418" s="25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D418" s="50"/>
      <c r="AE418" s="50"/>
      <c r="AF418" s="50"/>
      <c r="AG418" s="50"/>
      <c r="AH418" s="50"/>
      <c r="AI418" s="50"/>
      <c r="AJ418" s="50"/>
    </row>
    <row r="419" spans="3:36" x14ac:dyDescent="0.25">
      <c r="C419" s="24"/>
      <c r="D419" s="25"/>
      <c r="E419" s="24"/>
      <c r="F419" s="25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50"/>
      <c r="AG419" s="50"/>
      <c r="AH419" s="50"/>
      <c r="AI419" s="50"/>
      <c r="AJ419" s="50"/>
    </row>
    <row r="420" spans="3:36" x14ac:dyDescent="0.25">
      <c r="C420" s="24"/>
      <c r="D420" s="25"/>
      <c r="E420" s="24"/>
      <c r="F420" s="25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50"/>
      <c r="AG420" s="50"/>
      <c r="AH420" s="50"/>
      <c r="AI420" s="50"/>
      <c r="AJ420" s="50"/>
    </row>
    <row r="421" spans="3:36" x14ac:dyDescent="0.25">
      <c r="C421" s="24"/>
      <c r="D421" s="25"/>
      <c r="E421" s="24"/>
      <c r="F421" s="25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50"/>
      <c r="AJ421" s="50"/>
    </row>
    <row r="422" spans="3:36" x14ac:dyDescent="0.25">
      <c r="C422" s="24"/>
      <c r="D422" s="25"/>
      <c r="E422" s="24"/>
      <c r="F422" s="25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50"/>
      <c r="AG422" s="50"/>
      <c r="AH422" s="50"/>
      <c r="AI422" s="50"/>
      <c r="AJ422" s="50"/>
    </row>
    <row r="423" spans="3:36" x14ac:dyDescent="0.25">
      <c r="C423" s="24"/>
      <c r="D423" s="25"/>
      <c r="E423" s="24"/>
      <c r="F423" s="25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D423" s="50"/>
      <c r="AE423" s="50"/>
      <c r="AF423" s="50"/>
      <c r="AG423" s="50"/>
      <c r="AH423" s="50"/>
      <c r="AI423" s="50"/>
      <c r="AJ423" s="50"/>
    </row>
    <row r="424" spans="3:36" x14ac:dyDescent="0.25">
      <c r="C424" s="24"/>
      <c r="D424" s="25"/>
      <c r="E424" s="24"/>
      <c r="F424" s="25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D424" s="50"/>
      <c r="AE424" s="50"/>
      <c r="AF424" s="50"/>
      <c r="AG424" s="50"/>
      <c r="AH424" s="50"/>
      <c r="AI424" s="50"/>
      <c r="AJ424" s="50"/>
    </row>
    <row r="425" spans="3:36" x14ac:dyDescent="0.25">
      <c r="C425" s="24"/>
      <c r="D425" s="25"/>
      <c r="E425" s="24"/>
      <c r="F425" s="25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</row>
    <row r="426" spans="3:36" x14ac:dyDescent="0.25">
      <c r="C426" s="24"/>
      <c r="D426" s="25"/>
      <c r="E426" s="24"/>
      <c r="F426" s="25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</row>
    <row r="427" spans="3:36" x14ac:dyDescent="0.25">
      <c r="C427" s="24"/>
      <c r="D427" s="25"/>
      <c r="E427" s="24"/>
      <c r="F427" s="25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</row>
    <row r="428" spans="3:36" x14ac:dyDescent="0.25">
      <c r="C428" s="24"/>
      <c r="D428" s="25"/>
      <c r="E428" s="24"/>
      <c r="F428" s="25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D428" s="50"/>
      <c r="AE428" s="50"/>
      <c r="AF428" s="50"/>
      <c r="AG428" s="50"/>
      <c r="AH428" s="50"/>
      <c r="AI428" s="50"/>
      <c r="AJ428" s="50"/>
    </row>
    <row r="429" spans="3:36" x14ac:dyDescent="0.25">
      <c r="C429" s="24"/>
      <c r="D429" s="25"/>
      <c r="E429" s="24"/>
      <c r="F429" s="25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D429" s="50"/>
      <c r="AE429" s="50"/>
      <c r="AF429" s="50"/>
      <c r="AG429" s="50"/>
      <c r="AH429" s="50"/>
      <c r="AI429" s="50"/>
      <c r="AJ429" s="50"/>
    </row>
    <row r="430" spans="3:36" x14ac:dyDescent="0.25">
      <c r="C430" s="24"/>
      <c r="D430" s="25"/>
      <c r="E430" s="24"/>
      <c r="F430" s="25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D430" s="50"/>
      <c r="AE430" s="50"/>
      <c r="AF430" s="50"/>
      <c r="AG430" s="50"/>
      <c r="AH430" s="50"/>
      <c r="AI430" s="50"/>
      <c r="AJ430" s="50"/>
    </row>
    <row r="431" spans="3:36" x14ac:dyDescent="0.25">
      <c r="C431" s="24"/>
      <c r="D431" s="25"/>
      <c r="E431" s="24"/>
      <c r="F431" s="25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D431" s="50"/>
      <c r="AE431" s="50"/>
      <c r="AF431" s="50"/>
      <c r="AG431" s="50"/>
      <c r="AH431" s="50"/>
      <c r="AI431" s="50"/>
      <c r="AJ431" s="50"/>
    </row>
    <row r="432" spans="3:36" x14ac:dyDescent="0.25">
      <c r="C432" s="24"/>
      <c r="D432" s="25"/>
      <c r="E432" s="24"/>
      <c r="F432" s="25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</row>
    <row r="433" spans="3:36" x14ac:dyDescent="0.25">
      <c r="C433" s="24"/>
      <c r="D433" s="25"/>
      <c r="E433" s="24"/>
      <c r="F433" s="25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</row>
    <row r="434" spans="3:36" x14ac:dyDescent="0.25">
      <c r="C434" s="24"/>
      <c r="D434" s="25"/>
      <c r="E434" s="24"/>
      <c r="F434" s="25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</row>
    <row r="435" spans="3:36" x14ac:dyDescent="0.25">
      <c r="C435" s="24"/>
      <c r="D435" s="25"/>
      <c r="E435" s="24"/>
      <c r="F435" s="25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D435" s="50"/>
      <c r="AE435" s="50"/>
      <c r="AF435" s="50"/>
      <c r="AG435" s="50"/>
      <c r="AH435" s="50"/>
      <c r="AI435" s="50"/>
      <c r="AJ435" s="50"/>
    </row>
    <row r="436" spans="3:36" x14ac:dyDescent="0.25">
      <c r="C436" s="24"/>
      <c r="D436" s="25"/>
      <c r="E436" s="24"/>
      <c r="F436" s="25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D436" s="50"/>
      <c r="AE436" s="50"/>
      <c r="AF436" s="50"/>
      <c r="AG436" s="50"/>
      <c r="AH436" s="50"/>
      <c r="AI436" s="50"/>
      <c r="AJ436" s="50"/>
    </row>
    <row r="437" spans="3:36" x14ac:dyDescent="0.25">
      <c r="C437" s="24"/>
      <c r="D437" s="25"/>
      <c r="E437" s="24"/>
      <c r="F437" s="25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D437" s="50"/>
      <c r="AE437" s="50"/>
      <c r="AF437" s="50"/>
      <c r="AG437" s="50"/>
      <c r="AH437" s="50"/>
      <c r="AI437" s="50"/>
      <c r="AJ437" s="50"/>
    </row>
    <row r="438" spans="3:36" x14ac:dyDescent="0.25">
      <c r="C438" s="24"/>
      <c r="D438" s="25"/>
      <c r="E438" s="24"/>
      <c r="F438" s="25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50"/>
      <c r="AE438" s="50"/>
      <c r="AF438" s="50"/>
      <c r="AG438" s="50"/>
      <c r="AH438" s="50"/>
      <c r="AI438" s="50"/>
      <c r="AJ438" s="50"/>
    </row>
    <row r="439" spans="3:36" x14ac:dyDescent="0.25">
      <c r="C439" s="24"/>
      <c r="D439" s="25"/>
      <c r="E439" s="24"/>
      <c r="F439" s="25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</row>
    <row r="440" spans="3:36" x14ac:dyDescent="0.25">
      <c r="C440" s="24"/>
      <c r="D440" s="25"/>
      <c r="E440" s="24"/>
      <c r="F440" s="25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</row>
    <row r="441" spans="3:36" x14ac:dyDescent="0.25">
      <c r="C441" s="24"/>
      <c r="D441" s="25"/>
      <c r="E441" s="24"/>
      <c r="F441" s="25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</row>
    <row r="442" spans="3:36" x14ac:dyDescent="0.25">
      <c r="C442" s="24"/>
      <c r="D442" s="25"/>
      <c r="E442" s="24"/>
      <c r="F442" s="25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50"/>
      <c r="AE442" s="50"/>
      <c r="AF442" s="50"/>
      <c r="AG442" s="50"/>
      <c r="AH442" s="50"/>
      <c r="AI442" s="50"/>
      <c r="AJ442" s="50"/>
    </row>
    <row r="443" spans="3:36" x14ac:dyDescent="0.25">
      <c r="C443" s="24"/>
      <c r="D443" s="25"/>
      <c r="E443" s="24"/>
      <c r="F443" s="25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D443" s="50"/>
      <c r="AE443" s="50"/>
      <c r="AF443" s="50"/>
      <c r="AG443" s="50"/>
      <c r="AH443" s="50"/>
      <c r="AI443" s="50"/>
      <c r="AJ443" s="50"/>
    </row>
    <row r="444" spans="3:36" x14ac:dyDescent="0.25">
      <c r="C444" s="24"/>
      <c r="D444" s="25"/>
      <c r="E444" s="24"/>
      <c r="F444" s="25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D444" s="50"/>
      <c r="AE444" s="50"/>
      <c r="AF444" s="50"/>
      <c r="AG444" s="50"/>
      <c r="AH444" s="50"/>
      <c r="AI444" s="50"/>
      <c r="AJ444" s="50"/>
    </row>
    <row r="445" spans="3:36" x14ac:dyDescent="0.25">
      <c r="C445" s="24"/>
      <c r="D445" s="25"/>
      <c r="E445" s="24"/>
      <c r="F445" s="25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</row>
    <row r="446" spans="3:36" x14ac:dyDescent="0.25">
      <c r="C446" s="24"/>
      <c r="D446" s="25"/>
      <c r="E446" s="24"/>
      <c r="F446" s="25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</row>
    <row r="447" spans="3:36" x14ac:dyDescent="0.25">
      <c r="C447" s="24"/>
      <c r="D447" s="25"/>
      <c r="E447" s="24"/>
      <c r="F447" s="25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D447" s="50"/>
      <c r="AE447" s="50"/>
      <c r="AF447" s="50"/>
      <c r="AG447" s="50"/>
      <c r="AH447" s="50"/>
      <c r="AI447" s="50"/>
      <c r="AJ447" s="50"/>
    </row>
    <row r="448" spans="3:36" x14ac:dyDescent="0.25">
      <c r="C448" s="24"/>
      <c r="D448" s="25"/>
      <c r="E448" s="24"/>
      <c r="F448" s="25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D448" s="50"/>
      <c r="AE448" s="50"/>
      <c r="AF448" s="50"/>
      <c r="AG448" s="50"/>
      <c r="AH448" s="50"/>
      <c r="AI448" s="50"/>
      <c r="AJ448" s="50"/>
    </row>
    <row r="449" spans="3:36" x14ac:dyDescent="0.25">
      <c r="C449" s="24"/>
      <c r="D449" s="25"/>
      <c r="E449" s="24"/>
      <c r="F449" s="25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D449" s="50"/>
      <c r="AE449" s="50"/>
      <c r="AF449" s="50"/>
      <c r="AG449" s="50"/>
      <c r="AH449" s="50"/>
      <c r="AI449" s="50"/>
      <c r="AJ449" s="50"/>
    </row>
    <row r="450" spans="3:36" x14ac:dyDescent="0.25">
      <c r="C450" s="24"/>
      <c r="D450" s="25"/>
      <c r="E450" s="24"/>
      <c r="F450" s="25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</row>
    <row r="451" spans="3:36" x14ac:dyDescent="0.25">
      <c r="C451" s="24"/>
      <c r="D451" s="25"/>
      <c r="E451" s="24"/>
      <c r="F451" s="25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</row>
    <row r="452" spans="3:36" x14ac:dyDescent="0.25">
      <c r="C452" s="24"/>
      <c r="D452" s="25"/>
      <c r="E452" s="24"/>
      <c r="F452" s="25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D452" s="50"/>
      <c r="AE452" s="50"/>
      <c r="AF452" s="50"/>
      <c r="AG452" s="50"/>
      <c r="AH452" s="50"/>
      <c r="AI452" s="50"/>
      <c r="AJ452" s="50"/>
    </row>
    <row r="453" spans="3:36" x14ac:dyDescent="0.25">
      <c r="C453" s="24"/>
      <c r="D453" s="25"/>
      <c r="E453" s="24"/>
      <c r="F453" s="25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D453" s="50"/>
      <c r="AE453" s="50"/>
      <c r="AF453" s="50"/>
      <c r="AG453" s="50"/>
      <c r="AH453" s="50"/>
      <c r="AI453" s="50"/>
      <c r="AJ453" s="50"/>
    </row>
    <row r="454" spans="3:36" x14ac:dyDescent="0.25">
      <c r="C454" s="24"/>
      <c r="D454" s="25"/>
      <c r="E454" s="24"/>
      <c r="F454" s="25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50"/>
      <c r="AE454" s="50"/>
      <c r="AF454" s="50"/>
      <c r="AG454" s="50"/>
      <c r="AH454" s="50"/>
      <c r="AI454" s="50"/>
      <c r="AJ454" s="50"/>
    </row>
    <row r="455" spans="3:36" x14ac:dyDescent="0.25">
      <c r="C455" s="24"/>
      <c r="D455" s="25"/>
      <c r="E455" s="24"/>
      <c r="F455" s="25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</row>
    <row r="456" spans="3:36" x14ac:dyDescent="0.25">
      <c r="C456" s="24"/>
      <c r="D456" s="25"/>
      <c r="E456" s="24"/>
      <c r="F456" s="25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</row>
    <row r="457" spans="3:36" x14ac:dyDescent="0.25">
      <c r="C457" s="24"/>
      <c r="D457" s="25"/>
      <c r="E457" s="24"/>
      <c r="F457" s="25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D457" s="50"/>
      <c r="AE457" s="50"/>
      <c r="AF457" s="50"/>
      <c r="AG457" s="50"/>
      <c r="AH457" s="50"/>
      <c r="AI457" s="50"/>
      <c r="AJ457" s="50"/>
    </row>
    <row r="458" spans="3:36" x14ac:dyDescent="0.25">
      <c r="C458" s="24"/>
      <c r="D458" s="25"/>
      <c r="E458" s="24"/>
      <c r="F458" s="25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D458" s="50"/>
      <c r="AE458" s="50"/>
      <c r="AF458" s="50"/>
      <c r="AG458" s="50"/>
      <c r="AH458" s="50"/>
      <c r="AI458" s="50"/>
      <c r="AJ458" s="50"/>
    </row>
    <row r="459" spans="3:36" x14ac:dyDescent="0.25">
      <c r="C459" s="24"/>
      <c r="D459" s="25"/>
      <c r="E459" s="24"/>
      <c r="F459" s="25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D459" s="50"/>
      <c r="AE459" s="50"/>
      <c r="AF459" s="50"/>
      <c r="AG459" s="50"/>
      <c r="AH459" s="50"/>
      <c r="AI459" s="50"/>
      <c r="AJ459" s="50"/>
    </row>
    <row r="460" spans="3:36" x14ac:dyDescent="0.25">
      <c r="C460" s="24"/>
      <c r="D460" s="25"/>
      <c r="E460" s="24"/>
      <c r="F460" s="25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</row>
    <row r="461" spans="3:36" x14ac:dyDescent="0.25">
      <c r="C461" s="24"/>
      <c r="D461" s="25"/>
      <c r="E461" s="24"/>
      <c r="F461" s="25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50"/>
      <c r="AG461" s="50"/>
      <c r="AH461" s="50"/>
      <c r="AI461" s="50"/>
      <c r="AJ461" s="50"/>
    </row>
    <row r="462" spans="3:36" x14ac:dyDescent="0.25">
      <c r="C462" s="24"/>
      <c r="D462" s="25"/>
      <c r="E462" s="24"/>
      <c r="F462" s="25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</row>
    <row r="463" spans="3:36" x14ac:dyDescent="0.25">
      <c r="C463" s="24"/>
      <c r="D463" s="25"/>
      <c r="E463" s="24"/>
      <c r="F463" s="25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</row>
    <row r="464" spans="3:36" x14ac:dyDescent="0.25">
      <c r="C464" s="24"/>
      <c r="D464" s="25"/>
      <c r="E464" s="24"/>
      <c r="F464" s="25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D464" s="50"/>
      <c r="AE464" s="50"/>
      <c r="AF464" s="50"/>
      <c r="AG464" s="50"/>
      <c r="AH464" s="50"/>
      <c r="AI464" s="50"/>
      <c r="AJ464" s="50"/>
    </row>
    <row r="465" spans="3:36" x14ac:dyDescent="0.25">
      <c r="C465" s="24"/>
      <c r="D465" s="25"/>
      <c r="E465" s="24"/>
      <c r="F465" s="25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D465" s="50"/>
      <c r="AE465" s="50"/>
      <c r="AF465" s="50"/>
      <c r="AG465" s="50"/>
      <c r="AH465" s="50"/>
      <c r="AI465" s="50"/>
      <c r="AJ465" s="50"/>
    </row>
    <row r="466" spans="3:36" x14ac:dyDescent="0.25">
      <c r="C466" s="24"/>
      <c r="D466" s="25"/>
      <c r="E466" s="24"/>
      <c r="F466" s="25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D466" s="50"/>
      <c r="AE466" s="50"/>
      <c r="AF466" s="50"/>
      <c r="AG466" s="50"/>
      <c r="AH466" s="50"/>
      <c r="AI466" s="50"/>
      <c r="AJ466" s="50"/>
    </row>
    <row r="467" spans="3:36" x14ac:dyDescent="0.25">
      <c r="C467" s="24"/>
      <c r="D467" s="25"/>
      <c r="E467" s="24"/>
      <c r="F467" s="25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50"/>
      <c r="AE467" s="50"/>
      <c r="AF467" s="50"/>
      <c r="AG467" s="50"/>
      <c r="AH467" s="50"/>
      <c r="AI467" s="50"/>
      <c r="AJ467" s="50"/>
    </row>
    <row r="468" spans="3:36" x14ac:dyDescent="0.25">
      <c r="C468" s="24"/>
      <c r="D468" s="25"/>
      <c r="E468" s="24"/>
      <c r="F468" s="25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50"/>
      <c r="AE468" s="50"/>
      <c r="AF468" s="50"/>
      <c r="AG468" s="50"/>
      <c r="AH468" s="50"/>
      <c r="AI468" s="50"/>
      <c r="AJ468" s="50"/>
    </row>
    <row r="469" spans="3:36" x14ac:dyDescent="0.25">
      <c r="C469" s="24"/>
      <c r="D469" s="25"/>
      <c r="E469" s="24"/>
      <c r="F469" s="25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50"/>
      <c r="AE469" s="50"/>
      <c r="AF469" s="50"/>
      <c r="AG469" s="50"/>
      <c r="AH469" s="50"/>
      <c r="AI469" s="50"/>
      <c r="AJ469" s="50"/>
    </row>
    <row r="470" spans="3:36" x14ac:dyDescent="0.25">
      <c r="C470" s="24"/>
      <c r="D470" s="25"/>
      <c r="E470" s="24"/>
      <c r="F470" s="25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50"/>
      <c r="AE470" s="50"/>
      <c r="AF470" s="50"/>
      <c r="AG470" s="50"/>
      <c r="AH470" s="50"/>
      <c r="AI470" s="50"/>
      <c r="AJ470" s="50"/>
    </row>
    <row r="471" spans="3:36" x14ac:dyDescent="0.25">
      <c r="C471" s="24"/>
      <c r="D471" s="25"/>
      <c r="E471" s="24"/>
      <c r="F471" s="25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D471" s="50"/>
      <c r="AE471" s="50"/>
      <c r="AF471" s="50"/>
      <c r="AG471" s="50"/>
      <c r="AH471" s="50"/>
      <c r="AI471" s="50"/>
      <c r="AJ471" s="50"/>
    </row>
    <row r="472" spans="3:36" x14ac:dyDescent="0.25">
      <c r="C472" s="24"/>
      <c r="D472" s="25"/>
      <c r="E472" s="24"/>
      <c r="F472" s="25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D472" s="50"/>
      <c r="AE472" s="50"/>
      <c r="AF472" s="50"/>
      <c r="AG472" s="50"/>
      <c r="AH472" s="50"/>
      <c r="AI472" s="50"/>
      <c r="AJ472" s="50"/>
    </row>
    <row r="473" spans="3:36" x14ac:dyDescent="0.25">
      <c r="C473" s="24"/>
      <c r="D473" s="25"/>
      <c r="E473" s="24"/>
      <c r="F473" s="25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D473" s="50"/>
      <c r="AE473" s="50"/>
      <c r="AF473" s="50"/>
      <c r="AG473" s="50"/>
      <c r="AH473" s="50"/>
      <c r="AI473" s="50"/>
      <c r="AJ473" s="50"/>
    </row>
    <row r="474" spans="3:36" x14ac:dyDescent="0.25">
      <c r="C474" s="24"/>
      <c r="D474" s="25"/>
      <c r="E474" s="24"/>
      <c r="F474" s="25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D474" s="50"/>
      <c r="AE474" s="50"/>
      <c r="AF474" s="50"/>
      <c r="AG474" s="50"/>
      <c r="AH474" s="50"/>
      <c r="AI474" s="50"/>
      <c r="AJ474" s="50"/>
    </row>
    <row r="475" spans="3:36" x14ac:dyDescent="0.25">
      <c r="C475" s="24"/>
      <c r="D475" s="25"/>
      <c r="E475" s="24"/>
      <c r="F475" s="25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D475" s="50"/>
      <c r="AE475" s="50"/>
      <c r="AF475" s="50"/>
      <c r="AG475" s="50"/>
      <c r="AH475" s="50"/>
      <c r="AI475" s="50"/>
      <c r="AJ475" s="50"/>
    </row>
    <row r="476" spans="3:36" x14ac:dyDescent="0.25">
      <c r="C476" s="24"/>
      <c r="D476" s="25"/>
      <c r="E476" s="24"/>
      <c r="F476" s="25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D476" s="50"/>
      <c r="AE476" s="50"/>
      <c r="AF476" s="50"/>
      <c r="AG476" s="50"/>
      <c r="AH476" s="50"/>
      <c r="AI476" s="50"/>
      <c r="AJ476" s="50"/>
    </row>
    <row r="477" spans="3:36" x14ac:dyDescent="0.25">
      <c r="C477" s="24"/>
      <c r="D477" s="25"/>
      <c r="E477" s="24"/>
      <c r="F477" s="25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D477" s="50"/>
      <c r="AE477" s="50"/>
      <c r="AF477" s="50"/>
      <c r="AG477" s="50"/>
      <c r="AH477" s="50"/>
      <c r="AI477" s="50"/>
      <c r="AJ477" s="50"/>
    </row>
    <row r="478" spans="3:36" x14ac:dyDescent="0.25">
      <c r="C478" s="24"/>
      <c r="D478" s="25"/>
      <c r="E478" s="24"/>
      <c r="F478" s="25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D478" s="50"/>
      <c r="AE478" s="50"/>
      <c r="AF478" s="50"/>
      <c r="AG478" s="50"/>
      <c r="AH478" s="50"/>
      <c r="AI478" s="50"/>
      <c r="AJ478" s="50"/>
    </row>
    <row r="479" spans="3:36" x14ac:dyDescent="0.25">
      <c r="C479" s="24"/>
      <c r="D479" s="25"/>
      <c r="E479" s="24"/>
      <c r="F479" s="25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D479" s="50"/>
      <c r="AE479" s="50"/>
      <c r="AF479" s="50"/>
      <c r="AG479" s="50"/>
      <c r="AH479" s="50"/>
      <c r="AI479" s="50"/>
      <c r="AJ479" s="50"/>
    </row>
    <row r="480" spans="3:36" x14ac:dyDescent="0.25">
      <c r="C480" s="24"/>
      <c r="D480" s="25"/>
      <c r="E480" s="24"/>
      <c r="F480" s="25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D480" s="50"/>
      <c r="AE480" s="50"/>
      <c r="AF480" s="50"/>
      <c r="AG480" s="50"/>
      <c r="AH480" s="50"/>
      <c r="AI480" s="50"/>
      <c r="AJ480" s="50"/>
    </row>
    <row r="481" spans="3:36" x14ac:dyDescent="0.25">
      <c r="C481" s="24"/>
      <c r="D481" s="25"/>
      <c r="E481" s="24"/>
      <c r="F481" s="25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50"/>
      <c r="AG481" s="50"/>
      <c r="AH481" s="50"/>
      <c r="AI481" s="50"/>
      <c r="AJ481" s="50"/>
    </row>
    <row r="482" spans="3:36" x14ac:dyDescent="0.25">
      <c r="C482" s="24"/>
      <c r="D482" s="25"/>
      <c r="E482" s="24"/>
      <c r="F482" s="25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D482" s="50"/>
      <c r="AE482" s="50"/>
      <c r="AF482" s="50"/>
      <c r="AG482" s="50"/>
      <c r="AH482" s="50"/>
      <c r="AI482" s="50"/>
      <c r="AJ482" s="50"/>
    </row>
    <row r="483" spans="3:36" x14ac:dyDescent="0.25">
      <c r="C483" s="24"/>
      <c r="D483" s="25"/>
      <c r="E483" s="24"/>
      <c r="F483" s="25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50"/>
      <c r="AG483" s="50"/>
      <c r="AH483" s="50"/>
      <c r="AI483" s="50"/>
      <c r="AJ483" s="50"/>
    </row>
    <row r="484" spans="3:36" x14ac:dyDescent="0.25">
      <c r="C484" s="24"/>
      <c r="D484" s="25"/>
      <c r="E484" s="24"/>
      <c r="F484" s="25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D484" s="50"/>
      <c r="AE484" s="50"/>
      <c r="AF484" s="50"/>
      <c r="AG484" s="50"/>
      <c r="AH484" s="50"/>
      <c r="AI484" s="50"/>
      <c r="AJ484" s="50"/>
    </row>
    <row r="485" spans="3:36" x14ac:dyDescent="0.25">
      <c r="C485" s="24"/>
      <c r="D485" s="25"/>
      <c r="E485" s="24"/>
      <c r="F485" s="25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D485" s="50"/>
      <c r="AE485" s="50"/>
      <c r="AF485" s="50"/>
      <c r="AG485" s="50"/>
      <c r="AH485" s="50"/>
      <c r="AI485" s="50"/>
      <c r="AJ485" s="50"/>
    </row>
    <row r="486" spans="3:36" x14ac:dyDescent="0.25">
      <c r="C486" s="24"/>
      <c r="D486" s="25"/>
      <c r="E486" s="24"/>
      <c r="F486" s="25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D486" s="50"/>
      <c r="AE486" s="50"/>
      <c r="AF486" s="50"/>
      <c r="AG486" s="50"/>
      <c r="AH486" s="50"/>
      <c r="AI486" s="50"/>
      <c r="AJ486" s="50"/>
    </row>
    <row r="487" spans="3:36" x14ac:dyDescent="0.25">
      <c r="C487" s="24"/>
      <c r="D487" s="25"/>
      <c r="E487" s="24"/>
      <c r="F487" s="25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D487" s="50"/>
      <c r="AE487" s="50"/>
      <c r="AF487" s="50"/>
      <c r="AG487" s="50"/>
      <c r="AH487" s="50"/>
      <c r="AI487" s="50"/>
      <c r="AJ487" s="50"/>
    </row>
    <row r="488" spans="3:36" x14ac:dyDescent="0.25">
      <c r="C488" s="24"/>
      <c r="D488" s="25"/>
      <c r="E488" s="24"/>
      <c r="F488" s="25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D488" s="50"/>
      <c r="AE488" s="50"/>
      <c r="AF488" s="50"/>
      <c r="AG488" s="50"/>
      <c r="AH488" s="50"/>
      <c r="AI488" s="50"/>
      <c r="AJ488" s="50"/>
    </row>
    <row r="489" spans="3:36" x14ac:dyDescent="0.25">
      <c r="C489" s="24"/>
      <c r="D489" s="25"/>
      <c r="E489" s="24"/>
      <c r="F489" s="25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D489" s="50"/>
      <c r="AE489" s="50"/>
      <c r="AF489" s="50"/>
      <c r="AG489" s="50"/>
      <c r="AH489" s="50"/>
      <c r="AI489" s="50"/>
      <c r="AJ489" s="50"/>
    </row>
    <row r="490" spans="3:36" x14ac:dyDescent="0.25">
      <c r="C490" s="24"/>
      <c r="D490" s="25"/>
      <c r="E490" s="24"/>
      <c r="F490" s="25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D490" s="50"/>
      <c r="AE490" s="50"/>
      <c r="AF490" s="50"/>
      <c r="AG490" s="50"/>
      <c r="AH490" s="50"/>
      <c r="AI490" s="50"/>
      <c r="AJ490" s="50"/>
    </row>
    <row r="491" spans="3:36" x14ac:dyDescent="0.25">
      <c r="C491" s="24"/>
      <c r="D491" s="25"/>
      <c r="E491" s="24"/>
      <c r="F491" s="25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50"/>
      <c r="AG491" s="50"/>
      <c r="AH491" s="50"/>
      <c r="AI491" s="50"/>
      <c r="AJ491" s="50"/>
    </row>
    <row r="492" spans="3:36" x14ac:dyDescent="0.25">
      <c r="C492" s="24"/>
      <c r="D492" s="25"/>
      <c r="E492" s="24"/>
      <c r="F492" s="25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D492" s="50"/>
      <c r="AE492" s="50"/>
      <c r="AF492" s="50"/>
      <c r="AG492" s="50"/>
      <c r="AH492" s="50"/>
      <c r="AI492" s="50"/>
      <c r="AJ492" s="50"/>
    </row>
    <row r="493" spans="3:36" x14ac:dyDescent="0.25">
      <c r="C493" s="24"/>
      <c r="D493" s="25"/>
      <c r="E493" s="24"/>
      <c r="F493" s="25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D493" s="50"/>
      <c r="AE493" s="50"/>
      <c r="AF493" s="50"/>
      <c r="AG493" s="50"/>
      <c r="AH493" s="50"/>
      <c r="AI493" s="50"/>
      <c r="AJ493" s="50"/>
    </row>
    <row r="494" spans="3:36" x14ac:dyDescent="0.25">
      <c r="C494" s="24"/>
      <c r="D494" s="25"/>
      <c r="E494" s="24"/>
      <c r="F494" s="25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D494" s="50"/>
      <c r="AE494" s="50"/>
      <c r="AF494" s="50"/>
      <c r="AG494" s="50"/>
      <c r="AH494" s="50"/>
      <c r="AI494" s="50"/>
      <c r="AJ494" s="50"/>
    </row>
    <row r="495" spans="3:36" x14ac:dyDescent="0.25">
      <c r="C495" s="24"/>
      <c r="D495" s="25"/>
      <c r="E495" s="24"/>
      <c r="F495" s="25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D495" s="50"/>
      <c r="AE495" s="50"/>
      <c r="AF495" s="50"/>
      <c r="AG495" s="50"/>
      <c r="AH495" s="50"/>
      <c r="AI495" s="50"/>
      <c r="AJ495" s="50"/>
    </row>
    <row r="496" spans="3:36" x14ac:dyDescent="0.25">
      <c r="C496" s="24"/>
      <c r="D496" s="25"/>
      <c r="E496" s="24"/>
      <c r="F496" s="25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D496" s="50"/>
      <c r="AE496" s="50"/>
      <c r="AF496" s="50"/>
      <c r="AG496" s="50"/>
      <c r="AH496" s="50"/>
      <c r="AI496" s="50"/>
      <c r="AJ496" s="50"/>
    </row>
    <row r="497" spans="3:36" x14ac:dyDescent="0.25">
      <c r="C497" s="24"/>
      <c r="D497" s="25"/>
      <c r="E497" s="24"/>
      <c r="F497" s="25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D497" s="50"/>
      <c r="AE497" s="50"/>
      <c r="AF497" s="50"/>
      <c r="AG497" s="50"/>
      <c r="AH497" s="50"/>
      <c r="AI497" s="50"/>
      <c r="AJ497" s="50"/>
    </row>
    <row r="498" spans="3:36" x14ac:dyDescent="0.25">
      <c r="C498" s="24"/>
      <c r="D498" s="25"/>
      <c r="E498" s="24"/>
      <c r="F498" s="25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D498" s="50"/>
      <c r="AE498" s="50"/>
      <c r="AF498" s="50"/>
      <c r="AG498" s="50"/>
      <c r="AH498" s="50"/>
      <c r="AI498" s="50"/>
      <c r="AJ498" s="50"/>
    </row>
    <row r="499" spans="3:36" x14ac:dyDescent="0.25">
      <c r="C499" s="24"/>
      <c r="D499" s="25"/>
      <c r="E499" s="24"/>
      <c r="F499" s="25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50"/>
      <c r="AG499" s="50"/>
      <c r="AH499" s="50"/>
      <c r="AI499" s="50"/>
      <c r="AJ499" s="50"/>
    </row>
    <row r="500" spans="3:36" x14ac:dyDescent="0.25">
      <c r="C500" s="24"/>
      <c r="D500" s="25"/>
      <c r="E500" s="24"/>
      <c r="F500" s="25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D500" s="50"/>
      <c r="AE500" s="50"/>
      <c r="AF500" s="50"/>
      <c r="AG500" s="50"/>
      <c r="AH500" s="50"/>
      <c r="AI500" s="50"/>
      <c r="AJ500" s="50"/>
    </row>
    <row r="501" spans="3:36" x14ac:dyDescent="0.25">
      <c r="C501" s="24"/>
      <c r="D501" s="25"/>
      <c r="E501" s="24"/>
      <c r="F501" s="25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50"/>
      <c r="AG501" s="50"/>
      <c r="AH501" s="50"/>
      <c r="AI501" s="50"/>
      <c r="AJ501" s="50"/>
    </row>
    <row r="502" spans="3:36" x14ac:dyDescent="0.25">
      <c r="C502" s="24"/>
      <c r="D502" s="25"/>
      <c r="E502" s="24"/>
      <c r="F502" s="25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50"/>
      <c r="AE502" s="50"/>
      <c r="AF502" s="50"/>
      <c r="AG502" s="50"/>
      <c r="AH502" s="50"/>
      <c r="AI502" s="50"/>
      <c r="AJ502" s="50"/>
    </row>
    <row r="503" spans="3:36" x14ac:dyDescent="0.25">
      <c r="C503" s="24"/>
      <c r="D503" s="25"/>
      <c r="E503" s="24"/>
      <c r="F503" s="25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50"/>
      <c r="AE503" s="50"/>
      <c r="AF503" s="50"/>
      <c r="AG503" s="50"/>
      <c r="AH503" s="50"/>
      <c r="AI503" s="50"/>
      <c r="AJ503" s="50"/>
    </row>
    <row r="504" spans="3:36" x14ac:dyDescent="0.25">
      <c r="C504" s="24"/>
      <c r="D504" s="25"/>
      <c r="E504" s="24"/>
      <c r="F504" s="25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D504" s="50"/>
      <c r="AE504" s="50"/>
      <c r="AF504" s="50"/>
      <c r="AG504" s="50"/>
      <c r="AH504" s="50"/>
      <c r="AI504" s="50"/>
      <c r="AJ504" s="50"/>
    </row>
    <row r="505" spans="3:36" x14ac:dyDescent="0.25">
      <c r="C505" s="24"/>
      <c r="D505" s="25"/>
      <c r="E505" s="24"/>
      <c r="F505" s="25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50"/>
      <c r="AE505" s="50"/>
      <c r="AF505" s="50"/>
      <c r="AG505" s="50"/>
      <c r="AH505" s="50"/>
      <c r="AI505" s="50"/>
      <c r="AJ505" s="50"/>
    </row>
    <row r="506" spans="3:36" x14ac:dyDescent="0.25">
      <c r="C506" s="24"/>
      <c r="D506" s="25"/>
      <c r="E506" s="24"/>
      <c r="F506" s="25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50"/>
      <c r="AE506" s="50"/>
      <c r="AF506" s="50"/>
      <c r="AG506" s="50"/>
      <c r="AH506" s="50"/>
      <c r="AI506" s="50"/>
      <c r="AJ506" s="50"/>
    </row>
    <row r="507" spans="3:36" x14ac:dyDescent="0.25">
      <c r="C507" s="24"/>
      <c r="D507" s="25"/>
      <c r="E507" s="24"/>
      <c r="F507" s="25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50"/>
      <c r="AE507" s="50"/>
      <c r="AF507" s="50"/>
      <c r="AG507" s="50"/>
      <c r="AH507" s="50"/>
      <c r="AI507" s="50"/>
      <c r="AJ507" s="50"/>
    </row>
    <row r="508" spans="3:36" x14ac:dyDescent="0.25">
      <c r="C508" s="24"/>
      <c r="D508" s="25"/>
      <c r="E508" s="24"/>
      <c r="F508" s="25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D508" s="50"/>
      <c r="AE508" s="50"/>
      <c r="AF508" s="50"/>
      <c r="AG508" s="50"/>
      <c r="AH508" s="50"/>
      <c r="AI508" s="50"/>
      <c r="AJ508" s="50"/>
    </row>
    <row r="509" spans="3:36" x14ac:dyDescent="0.25">
      <c r="C509" s="24"/>
      <c r="D509" s="25"/>
      <c r="E509" s="24"/>
      <c r="F509" s="25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50"/>
      <c r="AE509" s="50"/>
      <c r="AF509" s="50"/>
      <c r="AG509" s="50"/>
      <c r="AH509" s="50"/>
      <c r="AI509" s="50"/>
      <c r="AJ509" s="50"/>
    </row>
    <row r="510" spans="3:36" x14ac:dyDescent="0.25">
      <c r="C510" s="24"/>
      <c r="D510" s="25"/>
      <c r="E510" s="24"/>
      <c r="F510" s="25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D510" s="50"/>
      <c r="AE510" s="50"/>
      <c r="AF510" s="50"/>
      <c r="AG510" s="50"/>
      <c r="AH510" s="50"/>
      <c r="AI510" s="50"/>
      <c r="AJ510" s="50"/>
    </row>
    <row r="511" spans="3:36" x14ac:dyDescent="0.25">
      <c r="C511" s="24"/>
      <c r="D511" s="25"/>
      <c r="E511" s="24"/>
      <c r="F511" s="25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50"/>
      <c r="AE511" s="50"/>
      <c r="AF511" s="50"/>
      <c r="AG511" s="50"/>
      <c r="AH511" s="50"/>
      <c r="AI511" s="50"/>
      <c r="AJ511" s="50"/>
    </row>
    <row r="512" spans="3:36" x14ac:dyDescent="0.25">
      <c r="C512" s="24"/>
      <c r="D512" s="25"/>
      <c r="E512" s="24"/>
      <c r="F512" s="25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D512" s="50"/>
      <c r="AE512" s="50"/>
      <c r="AF512" s="50"/>
      <c r="AG512" s="50"/>
      <c r="AH512" s="50"/>
      <c r="AI512" s="50"/>
      <c r="AJ512" s="50"/>
    </row>
    <row r="513" spans="3:36" x14ac:dyDescent="0.25">
      <c r="C513" s="24"/>
      <c r="D513" s="25"/>
      <c r="E513" s="24"/>
      <c r="F513" s="25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D513" s="50"/>
      <c r="AE513" s="50"/>
      <c r="AF513" s="50"/>
      <c r="AG513" s="50"/>
      <c r="AH513" s="50"/>
      <c r="AI513" s="50"/>
      <c r="AJ513" s="50"/>
    </row>
    <row r="514" spans="3:36" x14ac:dyDescent="0.25">
      <c r="C514" s="24"/>
      <c r="D514" s="25"/>
      <c r="E514" s="24"/>
      <c r="F514" s="25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D514" s="50"/>
      <c r="AE514" s="50"/>
      <c r="AF514" s="50"/>
      <c r="AG514" s="50"/>
      <c r="AH514" s="50"/>
      <c r="AI514" s="50"/>
      <c r="AJ514" s="50"/>
    </row>
    <row r="515" spans="3:36" x14ac:dyDescent="0.25">
      <c r="C515" s="24"/>
      <c r="D515" s="25"/>
      <c r="E515" s="24"/>
      <c r="F515" s="25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50"/>
      <c r="AE515" s="50"/>
      <c r="AF515" s="50"/>
      <c r="AG515" s="50"/>
      <c r="AH515" s="50"/>
      <c r="AI515" s="50"/>
      <c r="AJ515" s="50"/>
    </row>
    <row r="516" spans="3:36" x14ac:dyDescent="0.25">
      <c r="C516" s="24"/>
      <c r="D516" s="25"/>
      <c r="E516" s="24"/>
      <c r="F516" s="25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D516" s="50"/>
      <c r="AE516" s="50"/>
      <c r="AF516" s="50"/>
      <c r="AG516" s="50"/>
      <c r="AH516" s="50"/>
      <c r="AI516" s="50"/>
      <c r="AJ516" s="50"/>
    </row>
    <row r="517" spans="3:36" x14ac:dyDescent="0.25">
      <c r="C517" s="24"/>
      <c r="D517" s="25"/>
      <c r="E517" s="24"/>
      <c r="F517" s="25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D517" s="50"/>
      <c r="AE517" s="50"/>
      <c r="AF517" s="50"/>
      <c r="AG517" s="50"/>
      <c r="AH517" s="50"/>
      <c r="AI517" s="50"/>
      <c r="AJ517" s="50"/>
    </row>
    <row r="518" spans="3:36" x14ac:dyDescent="0.25">
      <c r="C518" s="24"/>
      <c r="D518" s="25"/>
      <c r="E518" s="24"/>
      <c r="F518" s="25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D518" s="50"/>
      <c r="AE518" s="50"/>
      <c r="AF518" s="50"/>
      <c r="AG518" s="50"/>
      <c r="AH518" s="50"/>
      <c r="AI518" s="50"/>
      <c r="AJ518" s="50"/>
    </row>
    <row r="519" spans="3:36" x14ac:dyDescent="0.25">
      <c r="C519" s="24"/>
      <c r="D519" s="25"/>
      <c r="E519" s="24"/>
      <c r="F519" s="25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D519" s="50"/>
      <c r="AE519" s="50"/>
      <c r="AF519" s="50"/>
      <c r="AG519" s="50"/>
      <c r="AH519" s="50"/>
      <c r="AI519" s="50"/>
      <c r="AJ519" s="50"/>
    </row>
    <row r="520" spans="3:36" x14ac:dyDescent="0.25">
      <c r="C520" s="24"/>
      <c r="D520" s="25"/>
      <c r="E520" s="24"/>
      <c r="F520" s="25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D520" s="50"/>
      <c r="AE520" s="50"/>
      <c r="AF520" s="50"/>
      <c r="AG520" s="50"/>
      <c r="AH520" s="50"/>
      <c r="AI520" s="50"/>
      <c r="AJ520" s="50"/>
    </row>
    <row r="521" spans="3:36" x14ac:dyDescent="0.25">
      <c r="C521" s="24"/>
      <c r="D521" s="25"/>
      <c r="E521" s="24"/>
      <c r="F521" s="25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50"/>
      <c r="AG521" s="50"/>
      <c r="AH521" s="50"/>
      <c r="AI521" s="50"/>
      <c r="AJ521" s="50"/>
    </row>
    <row r="522" spans="3:36" x14ac:dyDescent="0.25">
      <c r="C522" s="24"/>
      <c r="D522" s="25"/>
      <c r="E522" s="24"/>
      <c r="F522" s="25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D522" s="50"/>
      <c r="AE522" s="50"/>
      <c r="AF522" s="50"/>
      <c r="AG522" s="50"/>
      <c r="AH522" s="50"/>
      <c r="AI522" s="50"/>
      <c r="AJ522" s="50"/>
    </row>
    <row r="523" spans="3:36" x14ac:dyDescent="0.25">
      <c r="C523" s="24"/>
      <c r="D523" s="25"/>
      <c r="E523" s="24"/>
      <c r="F523" s="25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D523" s="50"/>
      <c r="AE523" s="50"/>
      <c r="AF523" s="50"/>
      <c r="AG523" s="50"/>
      <c r="AH523" s="50"/>
      <c r="AI523" s="50"/>
      <c r="AJ523" s="50"/>
    </row>
    <row r="524" spans="3:36" x14ac:dyDescent="0.25">
      <c r="C524" s="24"/>
      <c r="D524" s="25"/>
      <c r="E524" s="24"/>
      <c r="F524" s="25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D524" s="50"/>
      <c r="AE524" s="50"/>
      <c r="AF524" s="50"/>
      <c r="AG524" s="50"/>
      <c r="AH524" s="50"/>
      <c r="AI524" s="50"/>
      <c r="AJ524" s="50"/>
    </row>
    <row r="525" spans="3:36" x14ac:dyDescent="0.25">
      <c r="C525" s="24"/>
      <c r="D525" s="25"/>
      <c r="E525" s="24"/>
      <c r="F525" s="25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D525" s="50"/>
      <c r="AE525" s="50"/>
      <c r="AF525" s="50"/>
      <c r="AG525" s="50"/>
      <c r="AH525" s="50"/>
      <c r="AI525" s="50"/>
      <c r="AJ525" s="50"/>
    </row>
    <row r="526" spans="3:36" x14ac:dyDescent="0.25">
      <c r="C526" s="24"/>
      <c r="D526" s="25"/>
      <c r="E526" s="24"/>
      <c r="F526" s="25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D526" s="50"/>
      <c r="AE526" s="50"/>
      <c r="AF526" s="50"/>
      <c r="AG526" s="50"/>
      <c r="AH526" s="50"/>
      <c r="AI526" s="50"/>
      <c r="AJ526" s="50"/>
    </row>
    <row r="527" spans="3:36" x14ac:dyDescent="0.25">
      <c r="C527" s="24"/>
      <c r="D527" s="25"/>
      <c r="E527" s="24"/>
      <c r="F527" s="25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D527" s="50"/>
      <c r="AE527" s="50"/>
      <c r="AF527" s="50"/>
      <c r="AG527" s="50"/>
      <c r="AH527" s="50"/>
      <c r="AI527" s="50"/>
      <c r="AJ527" s="50"/>
    </row>
    <row r="528" spans="3:36" x14ac:dyDescent="0.25">
      <c r="C528" s="24"/>
      <c r="D528" s="25"/>
      <c r="E528" s="24"/>
      <c r="F528" s="25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D528" s="50"/>
      <c r="AE528" s="50"/>
      <c r="AF528" s="50"/>
      <c r="AG528" s="50"/>
      <c r="AH528" s="50"/>
      <c r="AI528" s="50"/>
      <c r="AJ528" s="50"/>
    </row>
    <row r="529" spans="3:36" x14ac:dyDescent="0.25">
      <c r="C529" s="24"/>
      <c r="D529" s="25"/>
      <c r="E529" s="24"/>
      <c r="F529" s="25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D529" s="50"/>
      <c r="AE529" s="50"/>
      <c r="AF529" s="50"/>
      <c r="AG529" s="50"/>
      <c r="AH529" s="50"/>
      <c r="AI529" s="50"/>
      <c r="AJ529" s="50"/>
    </row>
    <row r="530" spans="3:36" x14ac:dyDescent="0.25">
      <c r="C530" s="24"/>
      <c r="D530" s="25"/>
      <c r="E530" s="24"/>
      <c r="F530" s="25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D530" s="50"/>
      <c r="AE530" s="50"/>
      <c r="AF530" s="50"/>
      <c r="AG530" s="50"/>
      <c r="AH530" s="50"/>
      <c r="AI530" s="50"/>
      <c r="AJ530" s="50"/>
    </row>
    <row r="531" spans="3:36" x14ac:dyDescent="0.25">
      <c r="C531" s="24"/>
      <c r="D531" s="25"/>
      <c r="E531" s="24"/>
      <c r="F531" s="25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50"/>
      <c r="AJ531" s="50"/>
    </row>
    <row r="532" spans="3:36" x14ac:dyDescent="0.25">
      <c r="C532" s="24"/>
      <c r="D532" s="25"/>
      <c r="E532" s="24"/>
      <c r="F532" s="25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D532" s="50"/>
      <c r="AE532" s="50"/>
      <c r="AF532" s="50"/>
      <c r="AG532" s="50"/>
      <c r="AH532" s="50"/>
      <c r="AI532" s="50"/>
      <c r="AJ532" s="50"/>
    </row>
    <row r="533" spans="3:36" x14ac:dyDescent="0.25">
      <c r="C533" s="24"/>
      <c r="D533" s="25"/>
      <c r="E533" s="24"/>
      <c r="F533" s="25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D533" s="50"/>
      <c r="AE533" s="50"/>
      <c r="AF533" s="50"/>
      <c r="AG533" s="50"/>
      <c r="AH533" s="50"/>
      <c r="AI533" s="50"/>
      <c r="AJ533" s="50"/>
    </row>
    <row r="534" spans="3:36" x14ac:dyDescent="0.25">
      <c r="C534" s="24"/>
      <c r="D534" s="25"/>
      <c r="E534" s="24"/>
      <c r="F534" s="25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D534" s="50"/>
      <c r="AE534" s="50"/>
      <c r="AF534" s="50"/>
      <c r="AG534" s="50"/>
      <c r="AH534" s="50"/>
      <c r="AI534" s="50"/>
      <c r="AJ534" s="50"/>
    </row>
    <row r="535" spans="3:36" x14ac:dyDescent="0.25">
      <c r="C535" s="24"/>
      <c r="D535" s="25"/>
      <c r="E535" s="24"/>
      <c r="F535" s="25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D535" s="50"/>
      <c r="AE535" s="50"/>
      <c r="AF535" s="50"/>
      <c r="AG535" s="50"/>
      <c r="AH535" s="50"/>
      <c r="AI535" s="50"/>
      <c r="AJ535" s="50"/>
    </row>
    <row r="536" spans="3:36" x14ac:dyDescent="0.25">
      <c r="C536" s="24"/>
      <c r="D536" s="25"/>
      <c r="E536" s="24"/>
      <c r="F536" s="25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D536" s="50"/>
      <c r="AE536" s="50"/>
      <c r="AF536" s="50"/>
      <c r="AG536" s="50"/>
      <c r="AH536" s="50"/>
      <c r="AI536" s="50"/>
      <c r="AJ536" s="50"/>
    </row>
    <row r="537" spans="3:36" x14ac:dyDescent="0.25">
      <c r="C537" s="24"/>
      <c r="D537" s="25"/>
      <c r="E537" s="24"/>
      <c r="F537" s="25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D537" s="50"/>
      <c r="AE537" s="50"/>
      <c r="AF537" s="50"/>
      <c r="AG537" s="50"/>
      <c r="AH537" s="50"/>
      <c r="AI537" s="50"/>
      <c r="AJ537" s="50"/>
    </row>
    <row r="538" spans="3:36" x14ac:dyDescent="0.25">
      <c r="C538" s="24"/>
      <c r="D538" s="25"/>
      <c r="E538" s="24"/>
      <c r="F538" s="25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D538" s="50"/>
      <c r="AE538" s="50"/>
      <c r="AF538" s="50"/>
      <c r="AG538" s="50"/>
      <c r="AH538" s="50"/>
      <c r="AI538" s="50"/>
      <c r="AJ538" s="50"/>
    </row>
    <row r="539" spans="3:36" x14ac:dyDescent="0.25">
      <c r="C539" s="24"/>
      <c r="D539" s="25"/>
      <c r="E539" s="24"/>
      <c r="F539" s="25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D539" s="50"/>
      <c r="AE539" s="50"/>
      <c r="AF539" s="50"/>
      <c r="AG539" s="50"/>
      <c r="AH539" s="50"/>
      <c r="AI539" s="50"/>
      <c r="AJ539" s="50"/>
    </row>
    <row r="540" spans="3:36" x14ac:dyDescent="0.25">
      <c r="C540" s="24"/>
      <c r="D540" s="25"/>
      <c r="E540" s="24"/>
      <c r="F540" s="25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D540" s="50"/>
      <c r="AE540" s="50"/>
      <c r="AF540" s="50"/>
      <c r="AG540" s="50"/>
      <c r="AH540" s="50"/>
      <c r="AI540" s="50"/>
      <c r="AJ540" s="50"/>
    </row>
    <row r="541" spans="3:36" x14ac:dyDescent="0.25">
      <c r="C541" s="24"/>
      <c r="D541" s="25"/>
      <c r="E541" s="24"/>
      <c r="F541" s="25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D541" s="50"/>
      <c r="AE541" s="50"/>
      <c r="AF541" s="50"/>
      <c r="AG541" s="50"/>
      <c r="AH541" s="50"/>
      <c r="AI541" s="50"/>
      <c r="AJ541" s="50"/>
    </row>
    <row r="542" spans="3:36" x14ac:dyDescent="0.25">
      <c r="C542" s="24"/>
      <c r="D542" s="25"/>
      <c r="E542" s="24"/>
      <c r="F542" s="25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D542" s="50"/>
      <c r="AE542" s="50"/>
      <c r="AF542" s="50"/>
      <c r="AG542" s="50"/>
      <c r="AH542" s="50"/>
      <c r="AI542" s="50"/>
      <c r="AJ542" s="50"/>
    </row>
    <row r="543" spans="3:36" x14ac:dyDescent="0.25">
      <c r="C543" s="24"/>
      <c r="D543" s="25"/>
      <c r="E543" s="24"/>
      <c r="F543" s="25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D543" s="50"/>
      <c r="AE543" s="50"/>
      <c r="AF543" s="50"/>
      <c r="AG543" s="50"/>
      <c r="AH543" s="50"/>
      <c r="AI543" s="50"/>
      <c r="AJ543" s="50"/>
    </row>
    <row r="544" spans="3:36" x14ac:dyDescent="0.25">
      <c r="C544" s="24"/>
      <c r="D544" s="25"/>
      <c r="E544" s="24"/>
      <c r="F544" s="25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D544" s="50"/>
      <c r="AE544" s="50"/>
      <c r="AF544" s="50"/>
      <c r="AG544" s="50"/>
      <c r="AH544" s="50"/>
      <c r="AI544" s="50"/>
      <c r="AJ544" s="50"/>
    </row>
    <row r="545" spans="3:36" x14ac:dyDescent="0.25">
      <c r="C545" s="24"/>
      <c r="D545" s="25"/>
      <c r="E545" s="24"/>
      <c r="F545" s="25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D545" s="50"/>
      <c r="AE545" s="50"/>
      <c r="AF545" s="50"/>
      <c r="AG545" s="50"/>
      <c r="AH545" s="50"/>
      <c r="AI545" s="50"/>
      <c r="AJ545" s="50"/>
    </row>
    <row r="546" spans="3:36" x14ac:dyDescent="0.25">
      <c r="C546" s="24"/>
      <c r="D546" s="25"/>
      <c r="E546" s="24"/>
      <c r="F546" s="25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D546" s="50"/>
      <c r="AE546" s="50"/>
      <c r="AF546" s="50"/>
      <c r="AG546" s="50"/>
      <c r="AH546" s="50"/>
      <c r="AI546" s="50"/>
      <c r="AJ546" s="50"/>
    </row>
    <row r="547" spans="3:36" x14ac:dyDescent="0.25">
      <c r="C547" s="24"/>
      <c r="D547" s="25"/>
      <c r="E547" s="24"/>
      <c r="F547" s="25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50"/>
      <c r="AG547" s="50"/>
      <c r="AH547" s="50"/>
      <c r="AI547" s="50"/>
      <c r="AJ547" s="50"/>
    </row>
    <row r="548" spans="3:36" x14ac:dyDescent="0.25">
      <c r="C548" s="24"/>
      <c r="D548" s="25"/>
      <c r="E548" s="24"/>
      <c r="F548" s="25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D548" s="50"/>
      <c r="AE548" s="50"/>
      <c r="AF548" s="50"/>
      <c r="AG548" s="50"/>
      <c r="AH548" s="50"/>
      <c r="AI548" s="50"/>
      <c r="AJ548" s="50"/>
    </row>
    <row r="549" spans="3:36" x14ac:dyDescent="0.25">
      <c r="C549" s="24"/>
      <c r="D549" s="25"/>
      <c r="E549" s="24"/>
      <c r="F549" s="25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D549" s="50"/>
      <c r="AE549" s="50"/>
      <c r="AF549" s="50"/>
      <c r="AG549" s="50"/>
      <c r="AH549" s="50"/>
      <c r="AI549" s="50"/>
      <c r="AJ549" s="50"/>
    </row>
    <row r="550" spans="3:36" x14ac:dyDescent="0.25">
      <c r="C550" s="24"/>
      <c r="D550" s="25"/>
      <c r="E550" s="24"/>
      <c r="F550" s="25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D550" s="50"/>
      <c r="AE550" s="50"/>
      <c r="AF550" s="50"/>
      <c r="AG550" s="50"/>
      <c r="AH550" s="50"/>
      <c r="AI550" s="50"/>
      <c r="AJ550" s="50"/>
    </row>
    <row r="551" spans="3:36" x14ac:dyDescent="0.25">
      <c r="C551" s="24"/>
      <c r="D551" s="25"/>
      <c r="E551" s="24"/>
      <c r="F551" s="25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50"/>
      <c r="AG551" s="50"/>
      <c r="AH551" s="50"/>
      <c r="AI551" s="50"/>
      <c r="AJ551" s="50"/>
    </row>
    <row r="552" spans="3:36" x14ac:dyDescent="0.25">
      <c r="C552" s="24"/>
      <c r="D552" s="25"/>
      <c r="E552" s="24"/>
      <c r="F552" s="25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D552" s="50"/>
      <c r="AE552" s="50"/>
      <c r="AF552" s="50"/>
      <c r="AG552" s="50"/>
      <c r="AH552" s="50"/>
      <c r="AI552" s="50"/>
      <c r="AJ552" s="50"/>
    </row>
    <row r="553" spans="3:36" x14ac:dyDescent="0.25">
      <c r="C553" s="24"/>
      <c r="D553" s="25"/>
      <c r="E553" s="24"/>
      <c r="F553" s="25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D553" s="50"/>
      <c r="AE553" s="50"/>
      <c r="AF553" s="50"/>
      <c r="AG553" s="50"/>
      <c r="AH553" s="50"/>
      <c r="AI553" s="50"/>
      <c r="AJ553" s="50"/>
    </row>
    <row r="554" spans="3:36" x14ac:dyDescent="0.25">
      <c r="C554" s="24"/>
      <c r="D554" s="25"/>
      <c r="E554" s="24"/>
      <c r="F554" s="25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D554" s="50"/>
      <c r="AE554" s="50"/>
      <c r="AF554" s="50"/>
      <c r="AG554" s="50"/>
      <c r="AH554" s="50"/>
      <c r="AI554" s="50"/>
      <c r="AJ554" s="50"/>
    </row>
    <row r="555" spans="3:36" x14ac:dyDescent="0.25">
      <c r="C555" s="24"/>
      <c r="D555" s="25"/>
      <c r="E555" s="24"/>
      <c r="F555" s="25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D555" s="50"/>
      <c r="AE555" s="50"/>
      <c r="AF555" s="50"/>
      <c r="AG555" s="50"/>
      <c r="AH555" s="50"/>
      <c r="AI555" s="50"/>
      <c r="AJ555" s="50"/>
    </row>
    <row r="556" spans="3:36" x14ac:dyDescent="0.25">
      <c r="C556" s="24"/>
      <c r="D556" s="25"/>
      <c r="E556" s="24"/>
      <c r="F556" s="25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D556" s="50"/>
      <c r="AE556" s="50"/>
      <c r="AF556" s="50"/>
      <c r="AG556" s="50"/>
      <c r="AH556" s="50"/>
      <c r="AI556" s="50"/>
      <c r="AJ556" s="50"/>
    </row>
    <row r="557" spans="3:36" x14ac:dyDescent="0.25">
      <c r="C557" s="24"/>
      <c r="D557" s="25"/>
      <c r="E557" s="24"/>
      <c r="F557" s="25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D557" s="50"/>
      <c r="AE557" s="50"/>
      <c r="AF557" s="50"/>
      <c r="AG557" s="50"/>
      <c r="AH557" s="50"/>
      <c r="AI557" s="50"/>
      <c r="AJ557" s="50"/>
    </row>
    <row r="558" spans="3:36" x14ac:dyDescent="0.25">
      <c r="C558" s="24"/>
      <c r="D558" s="25"/>
      <c r="E558" s="24"/>
      <c r="F558" s="25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D558" s="50"/>
      <c r="AE558" s="50"/>
      <c r="AF558" s="50"/>
      <c r="AG558" s="50"/>
      <c r="AH558" s="50"/>
      <c r="AI558" s="50"/>
      <c r="AJ558" s="50"/>
    </row>
    <row r="559" spans="3:36" x14ac:dyDescent="0.25">
      <c r="C559" s="24"/>
      <c r="D559" s="25"/>
      <c r="E559" s="24"/>
      <c r="F559" s="25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D559" s="50"/>
      <c r="AE559" s="50"/>
      <c r="AF559" s="50"/>
      <c r="AG559" s="50"/>
      <c r="AH559" s="50"/>
      <c r="AI559" s="50"/>
      <c r="AJ559" s="50"/>
    </row>
    <row r="560" spans="3:36" x14ac:dyDescent="0.25">
      <c r="C560" s="24"/>
      <c r="D560" s="25"/>
      <c r="E560" s="24"/>
      <c r="F560" s="25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D560" s="50"/>
      <c r="AE560" s="50"/>
      <c r="AF560" s="50"/>
      <c r="AG560" s="50"/>
      <c r="AH560" s="50"/>
      <c r="AI560" s="50"/>
      <c r="AJ560" s="50"/>
    </row>
    <row r="561" spans="3:36" x14ac:dyDescent="0.25">
      <c r="C561" s="24"/>
      <c r="D561" s="25"/>
      <c r="E561" s="24"/>
      <c r="F561" s="25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50"/>
      <c r="AG561" s="50"/>
      <c r="AH561" s="50"/>
      <c r="AI561" s="50"/>
      <c r="AJ561" s="50"/>
    </row>
    <row r="562" spans="3:36" x14ac:dyDescent="0.25">
      <c r="C562" s="24"/>
      <c r="D562" s="25"/>
      <c r="E562" s="24"/>
      <c r="F562" s="25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D562" s="50"/>
      <c r="AE562" s="50"/>
      <c r="AF562" s="50"/>
      <c r="AG562" s="50"/>
      <c r="AH562" s="50"/>
      <c r="AI562" s="50"/>
      <c r="AJ562" s="50"/>
    </row>
    <row r="563" spans="3:36" x14ac:dyDescent="0.25">
      <c r="C563" s="24"/>
      <c r="D563" s="25"/>
      <c r="E563" s="24"/>
      <c r="F563" s="25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50"/>
      <c r="AG563" s="50"/>
      <c r="AH563" s="50"/>
      <c r="AI563" s="50"/>
      <c r="AJ563" s="50"/>
    </row>
    <row r="564" spans="3:36" x14ac:dyDescent="0.25">
      <c r="C564" s="24"/>
      <c r="D564" s="25"/>
      <c r="E564" s="24"/>
      <c r="F564" s="25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D564" s="50"/>
      <c r="AE564" s="50"/>
      <c r="AF564" s="50"/>
      <c r="AG564" s="50"/>
      <c r="AH564" s="50"/>
      <c r="AI564" s="50"/>
      <c r="AJ564" s="50"/>
    </row>
    <row r="565" spans="3:36" x14ac:dyDescent="0.25">
      <c r="C565" s="24"/>
      <c r="D565" s="25"/>
      <c r="E565" s="24"/>
      <c r="F565" s="25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D565" s="50"/>
      <c r="AE565" s="50"/>
      <c r="AF565" s="50"/>
      <c r="AG565" s="50"/>
      <c r="AH565" s="50"/>
      <c r="AI565" s="50"/>
      <c r="AJ565" s="50"/>
    </row>
    <row r="566" spans="3:36" x14ac:dyDescent="0.25">
      <c r="C566" s="24"/>
      <c r="D566" s="25"/>
      <c r="E566" s="24"/>
      <c r="F566" s="25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D566" s="50"/>
      <c r="AE566" s="50"/>
      <c r="AF566" s="50"/>
      <c r="AG566" s="50"/>
      <c r="AH566" s="50"/>
      <c r="AI566" s="50"/>
      <c r="AJ566" s="50"/>
    </row>
    <row r="567" spans="3:36" x14ac:dyDescent="0.25">
      <c r="C567" s="24"/>
      <c r="D567" s="25"/>
      <c r="E567" s="24"/>
      <c r="F567" s="25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D567" s="50"/>
      <c r="AE567" s="50"/>
      <c r="AF567" s="50"/>
      <c r="AG567" s="50"/>
      <c r="AH567" s="50"/>
      <c r="AI567" s="50"/>
      <c r="AJ567" s="50"/>
    </row>
    <row r="568" spans="3:36" x14ac:dyDescent="0.25">
      <c r="C568" s="24"/>
      <c r="D568" s="25"/>
      <c r="E568" s="24"/>
      <c r="F568" s="25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D568" s="50"/>
      <c r="AE568" s="50"/>
      <c r="AF568" s="50"/>
      <c r="AG568" s="50"/>
      <c r="AH568" s="50"/>
      <c r="AI568" s="50"/>
      <c r="AJ568" s="50"/>
    </row>
    <row r="569" spans="3:36" x14ac:dyDescent="0.25">
      <c r="C569" s="24"/>
      <c r="D569" s="25"/>
      <c r="E569" s="24"/>
      <c r="F569" s="25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D569" s="50"/>
      <c r="AE569" s="50"/>
      <c r="AF569" s="50"/>
      <c r="AG569" s="50"/>
      <c r="AH569" s="50"/>
      <c r="AI569" s="50"/>
      <c r="AJ569" s="50"/>
    </row>
    <row r="570" spans="3:36" x14ac:dyDescent="0.25">
      <c r="C570" s="24"/>
      <c r="D570" s="25"/>
      <c r="E570" s="24"/>
      <c r="F570" s="25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D570" s="50"/>
      <c r="AE570" s="50"/>
      <c r="AF570" s="50"/>
      <c r="AG570" s="50"/>
      <c r="AH570" s="50"/>
      <c r="AI570" s="50"/>
      <c r="AJ570" s="50"/>
    </row>
    <row r="571" spans="3:36" x14ac:dyDescent="0.25">
      <c r="C571" s="24"/>
      <c r="D571" s="25"/>
      <c r="E571" s="24"/>
      <c r="F571" s="25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50"/>
      <c r="AG571" s="50"/>
      <c r="AH571" s="50"/>
      <c r="AI571" s="50"/>
      <c r="AJ571" s="50"/>
    </row>
    <row r="572" spans="3:36" x14ac:dyDescent="0.25">
      <c r="C572" s="24"/>
      <c r="D572" s="25"/>
      <c r="E572" s="24"/>
      <c r="F572" s="25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D572" s="50"/>
      <c r="AE572" s="50"/>
      <c r="AF572" s="50"/>
      <c r="AG572" s="50"/>
      <c r="AH572" s="50"/>
      <c r="AI572" s="50"/>
      <c r="AJ572" s="50"/>
    </row>
    <row r="573" spans="3:36" x14ac:dyDescent="0.25">
      <c r="C573" s="24"/>
      <c r="D573" s="25"/>
      <c r="E573" s="24"/>
      <c r="F573" s="25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D573" s="50"/>
      <c r="AE573" s="50"/>
      <c r="AF573" s="50"/>
      <c r="AG573" s="50"/>
      <c r="AH573" s="50"/>
      <c r="AI573" s="50"/>
      <c r="AJ573" s="50"/>
    </row>
    <row r="574" spans="3:36" x14ac:dyDescent="0.25">
      <c r="C574" s="24"/>
      <c r="D574" s="25"/>
      <c r="E574" s="24"/>
      <c r="F574" s="25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D574" s="50"/>
      <c r="AE574" s="50"/>
      <c r="AF574" s="50"/>
      <c r="AG574" s="50"/>
      <c r="AH574" s="50"/>
      <c r="AI574" s="50"/>
      <c r="AJ574" s="50"/>
    </row>
    <row r="575" spans="3:36" x14ac:dyDescent="0.25">
      <c r="C575" s="24"/>
      <c r="D575" s="25"/>
      <c r="E575" s="24"/>
      <c r="F575" s="25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D575" s="50"/>
      <c r="AE575" s="50"/>
      <c r="AF575" s="50"/>
      <c r="AG575" s="50"/>
      <c r="AH575" s="50"/>
      <c r="AI575" s="50"/>
      <c r="AJ575" s="50"/>
    </row>
    <row r="576" spans="3:36" x14ac:dyDescent="0.25">
      <c r="C576" s="24"/>
      <c r="D576" s="25"/>
      <c r="E576" s="24"/>
      <c r="F576" s="25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D576" s="50"/>
      <c r="AE576" s="50"/>
      <c r="AF576" s="50"/>
      <c r="AG576" s="50"/>
      <c r="AH576" s="50"/>
      <c r="AI576" s="50"/>
      <c r="AJ576" s="50"/>
    </row>
    <row r="577" spans="3:36" x14ac:dyDescent="0.25">
      <c r="C577" s="24"/>
      <c r="D577" s="25"/>
      <c r="E577" s="24"/>
      <c r="F577" s="25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D577" s="50"/>
      <c r="AE577" s="50"/>
      <c r="AF577" s="50"/>
      <c r="AG577" s="50"/>
      <c r="AH577" s="50"/>
      <c r="AI577" s="50"/>
      <c r="AJ577" s="50"/>
    </row>
    <row r="578" spans="3:36" x14ac:dyDescent="0.25">
      <c r="C578" s="24"/>
      <c r="D578" s="25"/>
      <c r="E578" s="24"/>
      <c r="F578" s="25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D578" s="50"/>
      <c r="AE578" s="50"/>
      <c r="AF578" s="50"/>
      <c r="AG578" s="50"/>
      <c r="AH578" s="50"/>
      <c r="AI578" s="50"/>
      <c r="AJ578" s="50"/>
    </row>
    <row r="579" spans="3:36" x14ac:dyDescent="0.25">
      <c r="C579" s="24"/>
      <c r="D579" s="25"/>
      <c r="E579" s="24"/>
      <c r="F579" s="25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50"/>
      <c r="AG579" s="50"/>
      <c r="AH579" s="50"/>
      <c r="AI579" s="50"/>
      <c r="AJ579" s="50"/>
    </row>
    <row r="580" spans="3:36" x14ac:dyDescent="0.25">
      <c r="C580" s="24"/>
      <c r="D580" s="25"/>
      <c r="E580" s="24"/>
      <c r="F580" s="25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D580" s="50"/>
      <c r="AE580" s="50"/>
      <c r="AF580" s="50"/>
      <c r="AG580" s="50"/>
      <c r="AH580" s="50"/>
      <c r="AI580" s="50"/>
      <c r="AJ580" s="50"/>
    </row>
    <row r="581" spans="3:36" x14ac:dyDescent="0.25">
      <c r="C581" s="24"/>
      <c r="D581" s="25"/>
      <c r="E581" s="24"/>
      <c r="F581" s="25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0"/>
      <c r="AJ581" s="50"/>
    </row>
    <row r="582" spans="3:36" x14ac:dyDescent="0.25">
      <c r="C582" s="24"/>
      <c r="D582" s="25"/>
      <c r="E582" s="24"/>
      <c r="F582" s="25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50"/>
      <c r="AG582" s="50"/>
      <c r="AH582" s="50"/>
      <c r="AI582" s="50"/>
      <c r="AJ582" s="50"/>
    </row>
    <row r="583" spans="3:36" x14ac:dyDescent="0.25">
      <c r="C583" s="24"/>
      <c r="D583" s="25"/>
      <c r="E583" s="24"/>
      <c r="F583" s="25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D583" s="50"/>
      <c r="AE583" s="50"/>
      <c r="AF583" s="50"/>
      <c r="AG583" s="50"/>
      <c r="AH583" s="50"/>
      <c r="AI583" s="50"/>
      <c r="AJ583" s="50"/>
    </row>
    <row r="584" spans="3:36" x14ac:dyDescent="0.25">
      <c r="C584" s="24"/>
      <c r="D584" s="25"/>
      <c r="E584" s="24"/>
      <c r="F584" s="25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50"/>
      <c r="AG584" s="50"/>
      <c r="AH584" s="50"/>
      <c r="AI584" s="50"/>
      <c r="AJ584" s="50"/>
    </row>
    <row r="585" spans="3:36" x14ac:dyDescent="0.25">
      <c r="C585" s="24"/>
      <c r="D585" s="25"/>
      <c r="E585" s="24"/>
      <c r="F585" s="25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D585" s="50"/>
      <c r="AE585" s="50"/>
      <c r="AF585" s="50"/>
      <c r="AG585" s="50"/>
      <c r="AH585" s="50"/>
      <c r="AI585" s="50"/>
      <c r="AJ585" s="50"/>
    </row>
    <row r="586" spans="3:36" x14ac:dyDescent="0.25">
      <c r="C586" s="24"/>
      <c r="D586" s="25"/>
      <c r="E586" s="24"/>
      <c r="F586" s="25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D586" s="50"/>
      <c r="AE586" s="50"/>
      <c r="AF586" s="50"/>
      <c r="AG586" s="50"/>
      <c r="AH586" s="50"/>
      <c r="AI586" s="50"/>
      <c r="AJ586" s="50"/>
    </row>
    <row r="587" spans="3:36" x14ac:dyDescent="0.25">
      <c r="C587" s="24"/>
      <c r="D587" s="25"/>
      <c r="E587" s="24"/>
      <c r="F587" s="25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D587" s="50"/>
      <c r="AE587" s="50"/>
      <c r="AF587" s="50"/>
      <c r="AG587" s="50"/>
      <c r="AH587" s="50"/>
      <c r="AI587" s="50"/>
      <c r="AJ587" s="50"/>
    </row>
    <row r="588" spans="3:36" x14ac:dyDescent="0.25">
      <c r="C588" s="24"/>
      <c r="D588" s="25"/>
      <c r="E588" s="24"/>
      <c r="F588" s="25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D588" s="50"/>
      <c r="AE588" s="50"/>
      <c r="AF588" s="50"/>
      <c r="AG588" s="50"/>
      <c r="AH588" s="50"/>
      <c r="AI588" s="50"/>
      <c r="AJ588" s="50"/>
    </row>
    <row r="589" spans="3:36" x14ac:dyDescent="0.25">
      <c r="C589" s="24"/>
      <c r="D589" s="25"/>
      <c r="E589" s="24"/>
      <c r="F589" s="25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D589" s="50"/>
      <c r="AE589" s="50"/>
      <c r="AF589" s="50"/>
      <c r="AG589" s="50"/>
      <c r="AH589" s="50"/>
      <c r="AI589" s="50"/>
      <c r="AJ589" s="50"/>
    </row>
    <row r="590" spans="3:36" x14ac:dyDescent="0.25">
      <c r="C590" s="24"/>
      <c r="D590" s="25"/>
      <c r="E590" s="24"/>
      <c r="F590" s="25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D590" s="50"/>
      <c r="AE590" s="50"/>
      <c r="AF590" s="50"/>
      <c r="AG590" s="50"/>
      <c r="AH590" s="50"/>
      <c r="AI590" s="50"/>
      <c r="AJ590" s="50"/>
    </row>
    <row r="591" spans="3:36" x14ac:dyDescent="0.25">
      <c r="C591" s="24"/>
      <c r="D591" s="25"/>
      <c r="E591" s="24"/>
      <c r="F591" s="25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D591" s="50"/>
      <c r="AE591" s="50"/>
      <c r="AF591" s="50"/>
      <c r="AG591" s="50"/>
      <c r="AH591" s="50"/>
      <c r="AI591" s="50"/>
      <c r="AJ591" s="50"/>
    </row>
    <row r="592" spans="3:36" x14ac:dyDescent="0.25">
      <c r="C592" s="24"/>
      <c r="D592" s="25"/>
      <c r="E592" s="24"/>
      <c r="F592" s="25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D592" s="50"/>
      <c r="AE592" s="50"/>
      <c r="AF592" s="50"/>
      <c r="AG592" s="50"/>
      <c r="AH592" s="50"/>
      <c r="AI592" s="50"/>
      <c r="AJ592" s="50"/>
    </row>
    <row r="593" spans="3:36" x14ac:dyDescent="0.25">
      <c r="C593" s="24"/>
      <c r="D593" s="25"/>
      <c r="E593" s="24"/>
      <c r="F593" s="25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D593" s="50"/>
      <c r="AE593" s="50"/>
      <c r="AF593" s="50"/>
      <c r="AG593" s="50"/>
      <c r="AH593" s="50"/>
      <c r="AI593" s="50"/>
      <c r="AJ593" s="50"/>
    </row>
    <row r="594" spans="3:36" x14ac:dyDescent="0.25">
      <c r="C594" s="24"/>
      <c r="D594" s="25"/>
      <c r="E594" s="24"/>
      <c r="F594" s="25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D594" s="50"/>
      <c r="AE594" s="50"/>
      <c r="AF594" s="50"/>
      <c r="AG594" s="50"/>
      <c r="AH594" s="50"/>
      <c r="AI594" s="50"/>
      <c r="AJ594" s="50"/>
    </row>
    <row r="595" spans="3:36" x14ac:dyDescent="0.25">
      <c r="C595" s="24"/>
      <c r="D595" s="25"/>
      <c r="E595" s="24"/>
      <c r="F595" s="25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50"/>
      <c r="AG595" s="50"/>
      <c r="AH595" s="50"/>
      <c r="AI595" s="50"/>
      <c r="AJ595" s="50"/>
    </row>
    <row r="596" spans="3:36" x14ac:dyDescent="0.25">
      <c r="C596" s="24"/>
      <c r="D596" s="25"/>
      <c r="E596" s="24"/>
      <c r="F596" s="25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D596" s="50"/>
      <c r="AE596" s="50"/>
      <c r="AF596" s="50"/>
      <c r="AG596" s="50"/>
      <c r="AH596" s="50"/>
      <c r="AI596" s="50"/>
      <c r="AJ596" s="50"/>
    </row>
    <row r="597" spans="3:36" x14ac:dyDescent="0.25">
      <c r="C597" s="24"/>
      <c r="D597" s="25"/>
      <c r="E597" s="24"/>
      <c r="F597" s="25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D597" s="50"/>
      <c r="AE597" s="50"/>
      <c r="AF597" s="50"/>
      <c r="AG597" s="50"/>
      <c r="AH597" s="50"/>
      <c r="AI597" s="50"/>
      <c r="AJ597" s="50"/>
    </row>
    <row r="598" spans="3:36" x14ac:dyDescent="0.25">
      <c r="C598" s="24"/>
      <c r="D598" s="25"/>
      <c r="E598" s="24"/>
      <c r="F598" s="25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50"/>
      <c r="AE598" s="50"/>
      <c r="AF598" s="50"/>
      <c r="AG598" s="50"/>
      <c r="AH598" s="50"/>
      <c r="AI598" s="50"/>
      <c r="AJ598" s="50"/>
    </row>
    <row r="599" spans="3:36" x14ac:dyDescent="0.25">
      <c r="C599" s="24"/>
      <c r="D599" s="25"/>
      <c r="E599" s="24"/>
      <c r="F599" s="25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D599" s="50"/>
      <c r="AE599" s="50"/>
      <c r="AF599" s="50"/>
      <c r="AG599" s="50"/>
      <c r="AH599" s="50"/>
      <c r="AI599" s="50"/>
      <c r="AJ599" s="50"/>
    </row>
    <row r="600" spans="3:36" x14ac:dyDescent="0.25">
      <c r="C600" s="24"/>
      <c r="D600" s="25"/>
      <c r="E600" s="24"/>
      <c r="F600" s="25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D600" s="50"/>
      <c r="AE600" s="50"/>
      <c r="AF600" s="50"/>
      <c r="AG600" s="50"/>
      <c r="AH600" s="50"/>
      <c r="AI600" s="50"/>
      <c r="AJ600" s="50"/>
    </row>
    <row r="601" spans="3:36" x14ac:dyDescent="0.25">
      <c r="C601" s="24"/>
      <c r="D601" s="25"/>
      <c r="E601" s="24"/>
      <c r="F601" s="25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D601" s="50"/>
      <c r="AE601" s="50"/>
      <c r="AF601" s="50"/>
      <c r="AG601" s="50"/>
      <c r="AH601" s="50"/>
      <c r="AI601" s="50"/>
      <c r="AJ601" s="50"/>
    </row>
    <row r="602" spans="3:36" x14ac:dyDescent="0.25">
      <c r="C602" s="24"/>
      <c r="D602" s="25"/>
      <c r="E602" s="24"/>
      <c r="F602" s="25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50"/>
      <c r="AE602" s="50"/>
      <c r="AF602" s="50"/>
      <c r="AG602" s="50"/>
      <c r="AH602" s="50"/>
      <c r="AI602" s="50"/>
      <c r="AJ602" s="50"/>
    </row>
    <row r="603" spans="3:36" x14ac:dyDescent="0.25">
      <c r="C603" s="24"/>
      <c r="D603" s="25"/>
      <c r="E603" s="24"/>
      <c r="F603" s="25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D603" s="50"/>
      <c r="AE603" s="50"/>
      <c r="AF603" s="50"/>
      <c r="AG603" s="50"/>
      <c r="AH603" s="50"/>
      <c r="AI603" s="50"/>
      <c r="AJ603" s="50"/>
    </row>
    <row r="604" spans="3:36" x14ac:dyDescent="0.25">
      <c r="C604" s="24"/>
      <c r="D604" s="25"/>
      <c r="E604" s="24"/>
      <c r="F604" s="25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D604" s="50"/>
      <c r="AE604" s="50"/>
      <c r="AF604" s="50"/>
      <c r="AG604" s="50"/>
      <c r="AH604" s="50"/>
      <c r="AI604" s="50"/>
      <c r="AJ604" s="50"/>
    </row>
    <row r="605" spans="3:36" x14ac:dyDescent="0.25">
      <c r="C605" s="24"/>
      <c r="D605" s="25"/>
      <c r="E605" s="24"/>
      <c r="F605" s="25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D605" s="50"/>
      <c r="AE605" s="50"/>
      <c r="AF605" s="50"/>
      <c r="AG605" s="50"/>
      <c r="AH605" s="50"/>
      <c r="AI605" s="50"/>
      <c r="AJ605" s="50"/>
    </row>
    <row r="606" spans="3:36" x14ac:dyDescent="0.25">
      <c r="C606" s="24"/>
      <c r="D606" s="25"/>
      <c r="E606" s="24"/>
      <c r="F606" s="25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D606" s="50"/>
      <c r="AE606" s="50"/>
      <c r="AF606" s="50"/>
      <c r="AG606" s="50"/>
      <c r="AH606" s="50"/>
      <c r="AI606" s="50"/>
      <c r="AJ606" s="50"/>
    </row>
    <row r="607" spans="3:36" x14ac:dyDescent="0.25">
      <c r="C607" s="24"/>
      <c r="D607" s="25"/>
      <c r="E607" s="24"/>
      <c r="F607" s="25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D607" s="50"/>
      <c r="AE607" s="50"/>
      <c r="AF607" s="50"/>
      <c r="AG607" s="50"/>
      <c r="AH607" s="50"/>
      <c r="AI607" s="50"/>
      <c r="AJ607" s="50"/>
    </row>
    <row r="608" spans="3:36" x14ac:dyDescent="0.25">
      <c r="C608" s="24"/>
      <c r="D608" s="25"/>
      <c r="E608" s="24"/>
      <c r="F608" s="25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D608" s="50"/>
      <c r="AE608" s="50"/>
      <c r="AF608" s="50"/>
      <c r="AG608" s="50"/>
      <c r="AH608" s="50"/>
      <c r="AI608" s="50"/>
      <c r="AJ608" s="50"/>
    </row>
    <row r="609" spans="3:36" x14ac:dyDescent="0.25">
      <c r="C609" s="24"/>
      <c r="D609" s="25"/>
      <c r="E609" s="24"/>
      <c r="F609" s="25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D609" s="50"/>
      <c r="AE609" s="50"/>
      <c r="AF609" s="50"/>
      <c r="AG609" s="50"/>
      <c r="AH609" s="50"/>
      <c r="AI609" s="50"/>
      <c r="AJ609" s="50"/>
    </row>
    <row r="610" spans="3:36" x14ac:dyDescent="0.25">
      <c r="C610" s="24"/>
      <c r="D610" s="25"/>
      <c r="E610" s="24"/>
      <c r="F610" s="25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D610" s="50"/>
      <c r="AE610" s="50"/>
      <c r="AF610" s="50"/>
      <c r="AG610" s="50"/>
      <c r="AH610" s="50"/>
      <c r="AI610" s="50"/>
      <c r="AJ610" s="50"/>
    </row>
    <row r="611" spans="3:36" x14ac:dyDescent="0.25">
      <c r="C611" s="24"/>
      <c r="D611" s="25"/>
      <c r="E611" s="24"/>
      <c r="F611" s="25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50"/>
      <c r="AG611" s="50"/>
      <c r="AH611" s="50"/>
      <c r="AI611" s="50"/>
      <c r="AJ611" s="50"/>
    </row>
    <row r="612" spans="3:36" x14ac:dyDescent="0.25">
      <c r="C612" s="24"/>
      <c r="D612" s="25"/>
      <c r="E612" s="24"/>
      <c r="F612" s="25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D612" s="50"/>
      <c r="AE612" s="50"/>
      <c r="AF612" s="50"/>
      <c r="AG612" s="50"/>
      <c r="AH612" s="50"/>
      <c r="AI612" s="50"/>
      <c r="AJ612" s="50"/>
    </row>
    <row r="613" spans="3:36" x14ac:dyDescent="0.25">
      <c r="C613" s="24"/>
      <c r="D613" s="25"/>
      <c r="E613" s="24"/>
      <c r="F613" s="25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D613" s="50"/>
      <c r="AE613" s="50"/>
      <c r="AF613" s="50"/>
      <c r="AG613" s="50"/>
      <c r="AH613" s="50"/>
      <c r="AI613" s="50"/>
      <c r="AJ613" s="50"/>
    </row>
    <row r="614" spans="3:36" x14ac:dyDescent="0.25">
      <c r="C614" s="24"/>
      <c r="D614" s="25"/>
      <c r="E614" s="24"/>
      <c r="F614" s="25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D614" s="50"/>
      <c r="AE614" s="50"/>
      <c r="AF614" s="50"/>
      <c r="AG614" s="50"/>
      <c r="AH614" s="50"/>
      <c r="AI614" s="50"/>
      <c r="AJ614" s="50"/>
    </row>
    <row r="615" spans="3:36" x14ac:dyDescent="0.25">
      <c r="C615" s="24"/>
      <c r="D615" s="25"/>
      <c r="E615" s="24"/>
      <c r="F615" s="25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D615" s="50"/>
      <c r="AE615" s="50"/>
      <c r="AF615" s="50"/>
      <c r="AG615" s="50"/>
      <c r="AH615" s="50"/>
      <c r="AI615" s="50"/>
      <c r="AJ615" s="50"/>
    </row>
    <row r="616" spans="3:36" x14ac:dyDescent="0.25">
      <c r="C616" s="24"/>
      <c r="D616" s="25"/>
      <c r="E616" s="24"/>
      <c r="F616" s="25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D616" s="50"/>
      <c r="AE616" s="50"/>
      <c r="AF616" s="50"/>
      <c r="AG616" s="50"/>
      <c r="AH616" s="50"/>
      <c r="AI616" s="50"/>
      <c r="AJ616" s="50"/>
    </row>
    <row r="617" spans="3:36" x14ac:dyDescent="0.25">
      <c r="C617" s="24"/>
      <c r="D617" s="25"/>
      <c r="E617" s="24"/>
      <c r="F617" s="25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D617" s="50"/>
      <c r="AE617" s="50"/>
      <c r="AF617" s="50"/>
      <c r="AG617" s="50"/>
      <c r="AH617" s="50"/>
      <c r="AI617" s="50"/>
      <c r="AJ617" s="50"/>
    </row>
    <row r="618" spans="3:36" x14ac:dyDescent="0.25">
      <c r="C618" s="24"/>
      <c r="D618" s="25"/>
      <c r="E618" s="24"/>
      <c r="F618" s="25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D618" s="50"/>
      <c r="AE618" s="50"/>
      <c r="AF618" s="50"/>
      <c r="AG618" s="50"/>
      <c r="AH618" s="50"/>
      <c r="AI618" s="50"/>
      <c r="AJ618" s="50"/>
    </row>
    <row r="619" spans="3:36" x14ac:dyDescent="0.25">
      <c r="C619" s="24"/>
      <c r="D619" s="25"/>
      <c r="E619" s="24"/>
      <c r="F619" s="25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D619" s="50"/>
      <c r="AE619" s="50"/>
      <c r="AF619" s="50"/>
      <c r="AG619" s="50"/>
      <c r="AH619" s="50"/>
      <c r="AI619" s="50"/>
      <c r="AJ619" s="50"/>
    </row>
    <row r="620" spans="3:36" x14ac:dyDescent="0.25">
      <c r="C620" s="24"/>
      <c r="D620" s="25"/>
      <c r="E620" s="24"/>
      <c r="F620" s="25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D620" s="50"/>
      <c r="AE620" s="50"/>
      <c r="AF620" s="50"/>
      <c r="AG620" s="50"/>
      <c r="AH620" s="50"/>
      <c r="AI620" s="50"/>
      <c r="AJ620" s="50"/>
    </row>
    <row r="621" spans="3:36" x14ac:dyDescent="0.25">
      <c r="C621" s="24"/>
      <c r="D621" s="25"/>
      <c r="E621" s="24"/>
      <c r="F621" s="25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50"/>
      <c r="AG621" s="50"/>
      <c r="AH621" s="50"/>
      <c r="AI621" s="50"/>
      <c r="AJ621" s="50"/>
    </row>
    <row r="622" spans="3:36" x14ac:dyDescent="0.25">
      <c r="C622" s="24"/>
      <c r="D622" s="25"/>
      <c r="E622" s="24"/>
      <c r="F622" s="25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D622" s="50"/>
      <c r="AE622" s="50"/>
      <c r="AF622" s="50"/>
      <c r="AG622" s="50"/>
      <c r="AH622" s="50"/>
      <c r="AI622" s="50"/>
      <c r="AJ622" s="50"/>
    </row>
    <row r="623" spans="3:36" x14ac:dyDescent="0.25">
      <c r="C623" s="24"/>
      <c r="D623" s="25"/>
      <c r="E623" s="24"/>
      <c r="F623" s="25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D623" s="50"/>
      <c r="AE623" s="50"/>
      <c r="AF623" s="50"/>
      <c r="AG623" s="50"/>
      <c r="AH623" s="50"/>
      <c r="AI623" s="50"/>
      <c r="AJ623" s="50"/>
    </row>
    <row r="624" spans="3:36" x14ac:dyDescent="0.25">
      <c r="C624" s="24"/>
      <c r="D624" s="25"/>
      <c r="E624" s="24"/>
      <c r="F624" s="25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D624" s="50"/>
      <c r="AE624" s="50"/>
      <c r="AF624" s="50"/>
      <c r="AG624" s="50"/>
      <c r="AH624" s="50"/>
      <c r="AI624" s="50"/>
      <c r="AJ624" s="50"/>
    </row>
    <row r="625" spans="3:36" x14ac:dyDescent="0.25">
      <c r="C625" s="24"/>
      <c r="D625" s="25"/>
      <c r="E625" s="24"/>
      <c r="F625" s="25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D625" s="50"/>
      <c r="AE625" s="50"/>
      <c r="AF625" s="50"/>
      <c r="AG625" s="50"/>
      <c r="AH625" s="50"/>
      <c r="AI625" s="50"/>
      <c r="AJ625" s="50"/>
    </row>
    <row r="626" spans="3:36" x14ac:dyDescent="0.25">
      <c r="C626" s="24"/>
      <c r="D626" s="25"/>
      <c r="E626" s="24"/>
      <c r="F626" s="25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D626" s="50"/>
      <c r="AE626" s="50"/>
      <c r="AF626" s="50"/>
      <c r="AG626" s="50"/>
      <c r="AH626" s="50"/>
      <c r="AI626" s="50"/>
      <c r="AJ626" s="50"/>
    </row>
    <row r="627" spans="3:36" x14ac:dyDescent="0.25">
      <c r="C627" s="24"/>
      <c r="D627" s="25"/>
      <c r="E627" s="24"/>
      <c r="F627" s="25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50"/>
      <c r="AG627" s="50"/>
      <c r="AH627" s="50"/>
      <c r="AI627" s="50"/>
      <c r="AJ627" s="50"/>
    </row>
    <row r="628" spans="3:36" x14ac:dyDescent="0.25">
      <c r="C628" s="24"/>
      <c r="D628" s="25"/>
      <c r="E628" s="24"/>
      <c r="F628" s="25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D628" s="50"/>
      <c r="AE628" s="50"/>
      <c r="AF628" s="50"/>
      <c r="AG628" s="50"/>
      <c r="AH628" s="50"/>
      <c r="AI628" s="50"/>
      <c r="AJ628" s="50"/>
    </row>
    <row r="629" spans="3:36" x14ac:dyDescent="0.25">
      <c r="C629" s="24"/>
      <c r="D629" s="25"/>
      <c r="E629" s="24"/>
      <c r="F629" s="25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D629" s="50"/>
      <c r="AE629" s="50"/>
      <c r="AF629" s="50"/>
      <c r="AG629" s="50"/>
      <c r="AH629" s="50"/>
      <c r="AI629" s="50"/>
      <c r="AJ629" s="50"/>
    </row>
    <row r="630" spans="3:36" x14ac:dyDescent="0.25">
      <c r="C630" s="24"/>
      <c r="D630" s="25"/>
      <c r="E630" s="24"/>
      <c r="F630" s="25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D630" s="50"/>
      <c r="AE630" s="50"/>
      <c r="AF630" s="50"/>
      <c r="AG630" s="50"/>
      <c r="AH630" s="50"/>
      <c r="AI630" s="50"/>
      <c r="AJ630" s="50"/>
    </row>
    <row r="631" spans="3:36" x14ac:dyDescent="0.25">
      <c r="C631" s="24"/>
      <c r="D631" s="25"/>
      <c r="E631" s="24"/>
      <c r="F631" s="25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50"/>
      <c r="AG631" s="50"/>
      <c r="AH631" s="50"/>
      <c r="AI631" s="50"/>
      <c r="AJ631" s="50"/>
    </row>
    <row r="632" spans="3:36" x14ac:dyDescent="0.25">
      <c r="C632" s="24"/>
      <c r="D632" s="25"/>
      <c r="E632" s="24"/>
      <c r="F632" s="25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D632" s="50"/>
      <c r="AE632" s="50"/>
      <c r="AF632" s="50"/>
      <c r="AG632" s="50"/>
      <c r="AH632" s="50"/>
      <c r="AI632" s="50"/>
      <c r="AJ632" s="50"/>
    </row>
    <row r="633" spans="3:36" x14ac:dyDescent="0.25">
      <c r="C633" s="24"/>
      <c r="D633" s="25"/>
      <c r="E633" s="24"/>
      <c r="F633" s="25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D633" s="50"/>
      <c r="AE633" s="50"/>
      <c r="AF633" s="50"/>
      <c r="AG633" s="50"/>
      <c r="AH633" s="50"/>
      <c r="AI633" s="50"/>
      <c r="AJ633" s="50"/>
    </row>
    <row r="634" spans="3:36" x14ac:dyDescent="0.25">
      <c r="C634" s="24"/>
      <c r="D634" s="25"/>
      <c r="E634" s="24"/>
      <c r="F634" s="25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D634" s="50"/>
      <c r="AE634" s="50"/>
      <c r="AF634" s="50"/>
      <c r="AG634" s="50"/>
      <c r="AH634" s="50"/>
      <c r="AI634" s="50"/>
      <c r="AJ634" s="50"/>
    </row>
    <row r="635" spans="3:36" x14ac:dyDescent="0.25">
      <c r="C635" s="24"/>
      <c r="D635" s="25"/>
      <c r="E635" s="24"/>
      <c r="F635" s="25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D635" s="50"/>
      <c r="AE635" s="50"/>
      <c r="AF635" s="50"/>
      <c r="AG635" s="50"/>
      <c r="AH635" s="50"/>
      <c r="AI635" s="50"/>
      <c r="AJ635" s="50"/>
    </row>
    <row r="636" spans="3:36" x14ac:dyDescent="0.25">
      <c r="C636" s="24"/>
      <c r="D636" s="25"/>
      <c r="E636" s="24"/>
      <c r="F636" s="25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D636" s="50"/>
      <c r="AE636" s="50"/>
      <c r="AF636" s="50"/>
      <c r="AG636" s="50"/>
      <c r="AH636" s="50"/>
      <c r="AI636" s="50"/>
      <c r="AJ636" s="50"/>
    </row>
    <row r="637" spans="3:36" x14ac:dyDescent="0.25">
      <c r="C637" s="24"/>
      <c r="D637" s="25"/>
      <c r="E637" s="24"/>
      <c r="F637" s="25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D637" s="50"/>
      <c r="AE637" s="50"/>
      <c r="AF637" s="50"/>
      <c r="AG637" s="50"/>
      <c r="AH637" s="50"/>
      <c r="AI637" s="50"/>
      <c r="AJ637" s="50"/>
    </row>
    <row r="638" spans="3:36" x14ac:dyDescent="0.25">
      <c r="C638" s="24"/>
      <c r="D638" s="25"/>
      <c r="E638" s="24"/>
      <c r="F638" s="25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D638" s="50"/>
      <c r="AE638" s="50"/>
      <c r="AF638" s="50"/>
      <c r="AG638" s="50"/>
      <c r="AH638" s="50"/>
      <c r="AI638" s="50"/>
      <c r="AJ638" s="50"/>
    </row>
    <row r="639" spans="3:36" x14ac:dyDescent="0.25">
      <c r="C639" s="24"/>
      <c r="D639" s="25"/>
      <c r="E639" s="24"/>
      <c r="F639" s="25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D639" s="50"/>
      <c r="AE639" s="50"/>
      <c r="AF639" s="50"/>
      <c r="AG639" s="50"/>
      <c r="AH639" s="50"/>
      <c r="AI639" s="50"/>
      <c r="AJ639" s="50"/>
    </row>
    <row r="640" spans="3:36" x14ac:dyDescent="0.25">
      <c r="C640" s="24"/>
      <c r="D640" s="25"/>
      <c r="E640" s="24"/>
      <c r="F640" s="25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D640" s="50"/>
      <c r="AE640" s="50"/>
      <c r="AF640" s="50"/>
      <c r="AG640" s="50"/>
      <c r="AH640" s="50"/>
      <c r="AI640" s="50"/>
      <c r="AJ640" s="50"/>
    </row>
    <row r="641" spans="3:36" x14ac:dyDescent="0.25">
      <c r="C641" s="24"/>
      <c r="D641" s="25"/>
      <c r="E641" s="24"/>
      <c r="F641" s="25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50"/>
      <c r="AG641" s="50"/>
      <c r="AH641" s="50"/>
      <c r="AI641" s="50"/>
      <c r="AJ641" s="50"/>
    </row>
    <row r="642" spans="3:36" x14ac:dyDescent="0.25">
      <c r="C642" s="24"/>
      <c r="D642" s="25"/>
      <c r="E642" s="24"/>
      <c r="F642" s="25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D642" s="50"/>
      <c r="AE642" s="50"/>
      <c r="AF642" s="50"/>
      <c r="AG642" s="50"/>
      <c r="AH642" s="50"/>
      <c r="AI642" s="50"/>
      <c r="AJ642" s="50"/>
    </row>
    <row r="643" spans="3:36" x14ac:dyDescent="0.25">
      <c r="C643" s="24"/>
      <c r="D643" s="25"/>
      <c r="E643" s="24"/>
      <c r="F643" s="25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50"/>
      <c r="AG643" s="50"/>
      <c r="AH643" s="50"/>
      <c r="AI643" s="50"/>
      <c r="AJ643" s="50"/>
    </row>
    <row r="644" spans="3:36" x14ac:dyDescent="0.25">
      <c r="C644" s="24"/>
      <c r="D644" s="25"/>
      <c r="E644" s="24"/>
      <c r="F644" s="25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D644" s="50"/>
      <c r="AE644" s="50"/>
      <c r="AF644" s="50"/>
      <c r="AG644" s="50"/>
      <c r="AH644" s="50"/>
      <c r="AI644" s="50"/>
      <c r="AJ644" s="50"/>
    </row>
    <row r="645" spans="3:36" x14ac:dyDescent="0.25">
      <c r="C645" s="24"/>
      <c r="D645" s="25"/>
      <c r="E645" s="24"/>
      <c r="F645" s="25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D645" s="50"/>
      <c r="AE645" s="50"/>
      <c r="AF645" s="50"/>
      <c r="AG645" s="50"/>
      <c r="AH645" s="50"/>
      <c r="AI645" s="50"/>
      <c r="AJ645" s="50"/>
    </row>
    <row r="646" spans="3:36" x14ac:dyDescent="0.25">
      <c r="C646" s="24"/>
      <c r="D646" s="25"/>
      <c r="E646" s="24"/>
      <c r="F646" s="25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D646" s="50"/>
      <c r="AE646" s="50"/>
      <c r="AF646" s="50"/>
      <c r="AG646" s="50"/>
      <c r="AH646" s="50"/>
      <c r="AI646" s="50"/>
      <c r="AJ646" s="50"/>
    </row>
    <row r="647" spans="3:36" x14ac:dyDescent="0.25">
      <c r="C647" s="24"/>
      <c r="D647" s="25"/>
      <c r="E647" s="24"/>
      <c r="F647" s="25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D647" s="50"/>
      <c r="AE647" s="50"/>
      <c r="AF647" s="50"/>
      <c r="AG647" s="50"/>
      <c r="AH647" s="50"/>
      <c r="AI647" s="50"/>
      <c r="AJ647" s="50"/>
    </row>
    <row r="648" spans="3:36" x14ac:dyDescent="0.25">
      <c r="C648" s="24"/>
      <c r="D648" s="25"/>
      <c r="E648" s="24"/>
      <c r="F648" s="25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D648" s="50"/>
      <c r="AE648" s="50"/>
      <c r="AF648" s="50"/>
      <c r="AG648" s="50"/>
      <c r="AH648" s="50"/>
      <c r="AI648" s="50"/>
      <c r="AJ648" s="50"/>
    </row>
    <row r="649" spans="3:36" x14ac:dyDescent="0.25">
      <c r="C649" s="24"/>
      <c r="D649" s="25"/>
      <c r="E649" s="24"/>
      <c r="F649" s="25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D649" s="50"/>
      <c r="AE649" s="50"/>
      <c r="AF649" s="50"/>
      <c r="AG649" s="50"/>
      <c r="AH649" s="50"/>
      <c r="AI649" s="50"/>
      <c r="AJ649" s="50"/>
    </row>
    <row r="650" spans="3:36" x14ac:dyDescent="0.25">
      <c r="C650" s="24"/>
      <c r="D650" s="25"/>
      <c r="E650" s="24"/>
      <c r="F650" s="25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D650" s="50"/>
      <c r="AE650" s="50"/>
      <c r="AF650" s="50"/>
      <c r="AG650" s="50"/>
      <c r="AH650" s="50"/>
      <c r="AI650" s="50"/>
      <c r="AJ650" s="50"/>
    </row>
    <row r="651" spans="3:36" x14ac:dyDescent="0.25">
      <c r="C651" s="24"/>
      <c r="D651" s="25"/>
      <c r="E651" s="24"/>
      <c r="F651" s="25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50"/>
      <c r="AG651" s="50"/>
      <c r="AH651" s="50"/>
      <c r="AI651" s="50"/>
      <c r="AJ651" s="50"/>
    </row>
    <row r="652" spans="3:36" x14ac:dyDescent="0.25">
      <c r="C652" s="24"/>
      <c r="D652" s="25"/>
      <c r="E652" s="24"/>
      <c r="F652" s="25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50"/>
      <c r="AG652" s="50"/>
      <c r="AH652" s="50"/>
      <c r="AI652" s="50"/>
      <c r="AJ652" s="50"/>
    </row>
    <row r="653" spans="3:36" x14ac:dyDescent="0.25">
      <c r="C653" s="24"/>
      <c r="D653" s="25"/>
      <c r="E653" s="24"/>
      <c r="F653" s="25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D653" s="50"/>
      <c r="AE653" s="50"/>
      <c r="AF653" s="50"/>
      <c r="AG653" s="50"/>
      <c r="AH653" s="50"/>
      <c r="AI653" s="50"/>
      <c r="AJ653" s="50"/>
    </row>
    <row r="654" spans="3:36" x14ac:dyDescent="0.25">
      <c r="C654" s="24"/>
      <c r="D654" s="25"/>
      <c r="E654" s="24"/>
      <c r="F654" s="25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D654" s="50"/>
      <c r="AE654" s="50"/>
      <c r="AF654" s="50"/>
      <c r="AG654" s="50"/>
      <c r="AH654" s="50"/>
      <c r="AI654" s="50"/>
      <c r="AJ654" s="50"/>
    </row>
    <row r="655" spans="3:36" x14ac:dyDescent="0.25">
      <c r="C655" s="24"/>
      <c r="D655" s="25"/>
      <c r="E655" s="24"/>
      <c r="F655" s="25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D655" s="50"/>
      <c r="AE655" s="50"/>
      <c r="AF655" s="50"/>
      <c r="AG655" s="50"/>
      <c r="AH655" s="50"/>
      <c r="AI655" s="50"/>
      <c r="AJ655" s="50"/>
    </row>
    <row r="656" spans="3:36" x14ac:dyDescent="0.25">
      <c r="C656" s="24"/>
      <c r="D656" s="25"/>
      <c r="E656" s="24"/>
      <c r="F656" s="25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D656" s="50"/>
      <c r="AE656" s="50"/>
      <c r="AF656" s="50"/>
      <c r="AG656" s="50"/>
      <c r="AH656" s="50"/>
      <c r="AI656" s="50"/>
      <c r="AJ656" s="50"/>
    </row>
    <row r="657" spans="3:36" x14ac:dyDescent="0.25">
      <c r="C657" s="24"/>
      <c r="D657" s="25"/>
      <c r="E657" s="24"/>
      <c r="F657" s="25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D657" s="50"/>
      <c r="AE657" s="50"/>
      <c r="AF657" s="50"/>
      <c r="AG657" s="50"/>
      <c r="AH657" s="50"/>
      <c r="AI657" s="50"/>
      <c r="AJ657" s="50"/>
    </row>
    <row r="658" spans="3:36" x14ac:dyDescent="0.25">
      <c r="C658" s="24"/>
      <c r="D658" s="25"/>
      <c r="E658" s="24"/>
      <c r="F658" s="25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D658" s="50"/>
      <c r="AE658" s="50"/>
      <c r="AF658" s="50"/>
      <c r="AG658" s="50"/>
      <c r="AH658" s="50"/>
      <c r="AI658" s="50"/>
      <c r="AJ658" s="50"/>
    </row>
    <row r="659" spans="3:36" x14ac:dyDescent="0.25">
      <c r="C659" s="24"/>
      <c r="D659" s="25"/>
      <c r="E659" s="24"/>
      <c r="F659" s="25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50"/>
      <c r="AG659" s="50"/>
      <c r="AH659" s="50"/>
      <c r="AI659" s="50"/>
      <c r="AJ659" s="50"/>
    </row>
    <row r="660" spans="3:36" x14ac:dyDescent="0.25">
      <c r="C660" s="24"/>
      <c r="D660" s="25"/>
      <c r="E660" s="24"/>
      <c r="F660" s="25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D660" s="50"/>
      <c r="AE660" s="50"/>
      <c r="AF660" s="50"/>
      <c r="AG660" s="50"/>
      <c r="AH660" s="50"/>
      <c r="AI660" s="50"/>
      <c r="AJ660" s="50"/>
    </row>
    <row r="661" spans="3:36" x14ac:dyDescent="0.25">
      <c r="C661" s="24"/>
      <c r="D661" s="25"/>
      <c r="E661" s="24"/>
      <c r="F661" s="25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50"/>
      <c r="AG661" s="50"/>
      <c r="AH661" s="50"/>
      <c r="AI661" s="50"/>
      <c r="AJ661" s="50"/>
    </row>
    <row r="662" spans="3:36" x14ac:dyDescent="0.25">
      <c r="C662" s="24"/>
      <c r="D662" s="25"/>
      <c r="E662" s="24"/>
      <c r="F662" s="25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D662" s="50"/>
      <c r="AE662" s="50"/>
      <c r="AF662" s="50"/>
      <c r="AG662" s="50"/>
      <c r="AH662" s="50"/>
      <c r="AI662" s="50"/>
      <c r="AJ662" s="50"/>
    </row>
    <row r="663" spans="3:36" x14ac:dyDescent="0.25">
      <c r="C663" s="24"/>
      <c r="D663" s="25"/>
      <c r="E663" s="24"/>
      <c r="F663" s="25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D663" s="50"/>
      <c r="AE663" s="50"/>
      <c r="AF663" s="50"/>
      <c r="AG663" s="50"/>
      <c r="AH663" s="50"/>
      <c r="AI663" s="50"/>
      <c r="AJ663" s="50"/>
    </row>
    <row r="664" spans="3:36" x14ac:dyDescent="0.25">
      <c r="C664" s="24"/>
      <c r="D664" s="25"/>
      <c r="E664" s="24"/>
      <c r="F664" s="25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D664" s="50"/>
      <c r="AE664" s="50"/>
      <c r="AF664" s="50"/>
      <c r="AG664" s="50"/>
      <c r="AH664" s="50"/>
      <c r="AI664" s="50"/>
      <c r="AJ664" s="50"/>
    </row>
    <row r="665" spans="3:36" x14ac:dyDescent="0.25">
      <c r="C665" s="24"/>
      <c r="D665" s="25"/>
      <c r="E665" s="24"/>
      <c r="F665" s="25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D665" s="50"/>
      <c r="AE665" s="50"/>
      <c r="AF665" s="50"/>
      <c r="AG665" s="50"/>
      <c r="AH665" s="50"/>
      <c r="AI665" s="50"/>
      <c r="AJ665" s="50"/>
    </row>
    <row r="666" spans="3:36" x14ac:dyDescent="0.25">
      <c r="C666" s="24"/>
      <c r="D666" s="25"/>
      <c r="E666" s="24"/>
      <c r="F666" s="25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D666" s="50"/>
      <c r="AE666" s="50"/>
      <c r="AF666" s="50"/>
      <c r="AG666" s="50"/>
      <c r="AH666" s="50"/>
      <c r="AI666" s="50"/>
      <c r="AJ666" s="50"/>
    </row>
    <row r="667" spans="3:36" x14ac:dyDescent="0.25">
      <c r="C667" s="24"/>
      <c r="D667" s="25"/>
      <c r="E667" s="24"/>
      <c r="F667" s="25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D667" s="50"/>
      <c r="AE667" s="50"/>
      <c r="AF667" s="50"/>
      <c r="AG667" s="50"/>
      <c r="AH667" s="50"/>
      <c r="AI667" s="50"/>
      <c r="AJ667" s="50"/>
    </row>
    <row r="668" spans="3:36" x14ac:dyDescent="0.25">
      <c r="C668" s="24"/>
      <c r="D668" s="25"/>
      <c r="E668" s="24"/>
      <c r="F668" s="25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D668" s="50"/>
      <c r="AE668" s="50"/>
      <c r="AF668" s="50"/>
      <c r="AG668" s="50"/>
      <c r="AH668" s="50"/>
      <c r="AI668" s="50"/>
      <c r="AJ668" s="50"/>
    </row>
    <row r="669" spans="3:36" x14ac:dyDescent="0.25">
      <c r="C669" s="24"/>
      <c r="D669" s="25"/>
      <c r="E669" s="24"/>
      <c r="F669" s="25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D669" s="50"/>
      <c r="AE669" s="50"/>
      <c r="AF669" s="50"/>
      <c r="AG669" s="50"/>
      <c r="AH669" s="50"/>
      <c r="AI669" s="50"/>
      <c r="AJ669" s="50"/>
    </row>
    <row r="670" spans="3:36" x14ac:dyDescent="0.25">
      <c r="C670" s="24"/>
      <c r="D670" s="25"/>
      <c r="E670" s="24"/>
      <c r="F670" s="25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D670" s="50"/>
      <c r="AE670" s="50"/>
      <c r="AF670" s="50"/>
      <c r="AG670" s="50"/>
      <c r="AH670" s="50"/>
      <c r="AI670" s="50"/>
      <c r="AJ670" s="50"/>
    </row>
    <row r="671" spans="3:36" x14ac:dyDescent="0.25">
      <c r="C671" s="24"/>
      <c r="D671" s="25"/>
      <c r="E671" s="24"/>
      <c r="F671" s="25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50"/>
      <c r="AG671" s="50"/>
      <c r="AH671" s="50"/>
      <c r="AI671" s="50"/>
      <c r="AJ671" s="50"/>
    </row>
    <row r="672" spans="3:36" x14ac:dyDescent="0.25">
      <c r="C672" s="24"/>
      <c r="D672" s="25"/>
      <c r="E672" s="24"/>
      <c r="F672" s="25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D672" s="50"/>
      <c r="AE672" s="50"/>
      <c r="AF672" s="50"/>
      <c r="AG672" s="50"/>
      <c r="AH672" s="50"/>
      <c r="AI672" s="50"/>
      <c r="AJ672" s="50"/>
    </row>
    <row r="673" spans="3:36" x14ac:dyDescent="0.25">
      <c r="C673" s="24"/>
      <c r="D673" s="25"/>
      <c r="E673" s="24"/>
      <c r="F673" s="25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D673" s="50"/>
      <c r="AE673" s="50"/>
      <c r="AF673" s="50"/>
      <c r="AG673" s="50"/>
      <c r="AH673" s="50"/>
      <c r="AI673" s="50"/>
      <c r="AJ673" s="50"/>
    </row>
    <row r="674" spans="3:36" x14ac:dyDescent="0.25">
      <c r="C674" s="24"/>
      <c r="D674" s="25"/>
      <c r="E674" s="24"/>
      <c r="F674" s="25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D674" s="50"/>
      <c r="AE674" s="50"/>
      <c r="AF674" s="50"/>
      <c r="AG674" s="50"/>
      <c r="AH674" s="50"/>
      <c r="AI674" s="50"/>
      <c r="AJ674" s="50"/>
    </row>
    <row r="675" spans="3:36" x14ac:dyDescent="0.25">
      <c r="C675" s="24"/>
      <c r="D675" s="25"/>
      <c r="E675" s="24"/>
      <c r="F675" s="25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D675" s="50"/>
      <c r="AE675" s="50"/>
      <c r="AF675" s="50"/>
      <c r="AG675" s="50"/>
      <c r="AH675" s="50"/>
      <c r="AI675" s="50"/>
      <c r="AJ675" s="50"/>
    </row>
    <row r="676" spans="3:36" x14ac:dyDescent="0.25">
      <c r="C676" s="24"/>
      <c r="D676" s="25"/>
      <c r="E676" s="24"/>
      <c r="F676" s="25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D676" s="50"/>
      <c r="AE676" s="50"/>
      <c r="AF676" s="50"/>
      <c r="AG676" s="50"/>
      <c r="AH676" s="50"/>
      <c r="AI676" s="50"/>
      <c r="AJ676" s="50"/>
    </row>
    <row r="677" spans="3:36" x14ac:dyDescent="0.25">
      <c r="C677" s="24"/>
      <c r="D677" s="25"/>
      <c r="E677" s="24"/>
      <c r="F677" s="25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D677" s="50"/>
      <c r="AE677" s="50"/>
      <c r="AF677" s="50"/>
      <c r="AG677" s="50"/>
      <c r="AH677" s="50"/>
      <c r="AI677" s="50"/>
      <c r="AJ677" s="50"/>
    </row>
    <row r="678" spans="3:36" x14ac:dyDescent="0.25">
      <c r="C678" s="24"/>
      <c r="D678" s="25"/>
      <c r="E678" s="24"/>
      <c r="F678" s="25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D678" s="50"/>
      <c r="AE678" s="50"/>
      <c r="AF678" s="50"/>
      <c r="AG678" s="50"/>
      <c r="AH678" s="50"/>
      <c r="AI678" s="50"/>
      <c r="AJ678" s="50"/>
    </row>
    <row r="679" spans="3:36" x14ac:dyDescent="0.25">
      <c r="C679" s="24"/>
      <c r="D679" s="25"/>
      <c r="E679" s="24"/>
      <c r="F679" s="25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D679" s="50"/>
      <c r="AE679" s="50"/>
      <c r="AF679" s="50"/>
      <c r="AG679" s="50"/>
      <c r="AH679" s="50"/>
      <c r="AI679" s="50"/>
      <c r="AJ679" s="50"/>
    </row>
    <row r="680" spans="3:36" x14ac:dyDescent="0.25">
      <c r="C680" s="24"/>
      <c r="D680" s="25"/>
      <c r="E680" s="24"/>
      <c r="F680" s="25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D680" s="50"/>
      <c r="AE680" s="50"/>
      <c r="AF680" s="50"/>
      <c r="AG680" s="50"/>
      <c r="AH680" s="50"/>
      <c r="AI680" s="50"/>
      <c r="AJ680" s="50"/>
    </row>
    <row r="681" spans="3:36" x14ac:dyDescent="0.25">
      <c r="C681" s="24"/>
      <c r="D681" s="25"/>
      <c r="E681" s="24"/>
      <c r="F681" s="25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50"/>
      <c r="AG681" s="50"/>
      <c r="AH681" s="50"/>
      <c r="AI681" s="50"/>
      <c r="AJ681" s="50"/>
    </row>
    <row r="682" spans="3:36" x14ac:dyDescent="0.25">
      <c r="C682" s="24"/>
      <c r="D682" s="25"/>
      <c r="E682" s="24"/>
      <c r="F682" s="25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D682" s="50"/>
      <c r="AE682" s="50"/>
      <c r="AF682" s="50"/>
      <c r="AG682" s="50"/>
      <c r="AH682" s="50"/>
      <c r="AI682" s="50"/>
      <c r="AJ682" s="50"/>
    </row>
    <row r="683" spans="3:36" x14ac:dyDescent="0.25">
      <c r="C683" s="24"/>
      <c r="D683" s="25"/>
      <c r="E683" s="24"/>
      <c r="F683" s="25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D683" s="50"/>
      <c r="AE683" s="50"/>
      <c r="AF683" s="50"/>
      <c r="AG683" s="50"/>
      <c r="AH683" s="50"/>
      <c r="AI683" s="50"/>
      <c r="AJ683" s="50"/>
    </row>
    <row r="684" spans="3:36" x14ac:dyDescent="0.25">
      <c r="C684" s="24"/>
      <c r="D684" s="25"/>
      <c r="E684" s="24"/>
      <c r="F684" s="25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D684" s="50"/>
      <c r="AE684" s="50"/>
      <c r="AF684" s="50"/>
      <c r="AG684" s="50"/>
      <c r="AH684" s="50"/>
      <c r="AI684" s="50"/>
      <c r="AJ684" s="50"/>
    </row>
    <row r="685" spans="3:36" x14ac:dyDescent="0.25">
      <c r="C685" s="24"/>
      <c r="D685" s="25"/>
      <c r="E685" s="24"/>
      <c r="F685" s="25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D685" s="50"/>
      <c r="AE685" s="50"/>
      <c r="AF685" s="50"/>
      <c r="AG685" s="50"/>
      <c r="AH685" s="50"/>
      <c r="AI685" s="50"/>
      <c r="AJ685" s="50"/>
    </row>
    <row r="686" spans="3:36" x14ac:dyDescent="0.25">
      <c r="C686" s="24"/>
      <c r="D686" s="25"/>
      <c r="E686" s="24"/>
      <c r="F686" s="25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D686" s="50"/>
      <c r="AE686" s="50"/>
      <c r="AF686" s="50"/>
      <c r="AG686" s="50"/>
      <c r="AH686" s="50"/>
      <c r="AI686" s="50"/>
      <c r="AJ686" s="50"/>
    </row>
    <row r="687" spans="3:36" x14ac:dyDescent="0.25">
      <c r="C687" s="24"/>
      <c r="D687" s="25"/>
      <c r="E687" s="24"/>
      <c r="F687" s="25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D687" s="50"/>
      <c r="AE687" s="50"/>
      <c r="AF687" s="50"/>
      <c r="AG687" s="50"/>
      <c r="AH687" s="50"/>
      <c r="AI687" s="50"/>
      <c r="AJ687" s="50"/>
    </row>
    <row r="688" spans="3:36" x14ac:dyDescent="0.25">
      <c r="C688" s="24"/>
      <c r="D688" s="25"/>
      <c r="E688" s="24"/>
      <c r="F688" s="25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D688" s="50"/>
      <c r="AE688" s="50"/>
      <c r="AF688" s="50"/>
      <c r="AG688" s="50"/>
      <c r="AH688" s="50"/>
      <c r="AI688" s="50"/>
      <c r="AJ688" s="50"/>
    </row>
    <row r="689" spans="3:36" x14ac:dyDescent="0.25">
      <c r="C689" s="24"/>
      <c r="D689" s="25"/>
      <c r="E689" s="24"/>
      <c r="F689" s="25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D689" s="50"/>
      <c r="AE689" s="50"/>
      <c r="AF689" s="50"/>
      <c r="AG689" s="50"/>
      <c r="AH689" s="50"/>
      <c r="AI689" s="50"/>
      <c r="AJ689" s="50"/>
    </row>
    <row r="690" spans="3:36" x14ac:dyDescent="0.25">
      <c r="C690" s="24"/>
      <c r="D690" s="25"/>
      <c r="E690" s="24"/>
      <c r="F690" s="25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D690" s="50"/>
      <c r="AE690" s="50"/>
      <c r="AF690" s="50"/>
      <c r="AG690" s="50"/>
      <c r="AH690" s="50"/>
      <c r="AI690" s="50"/>
      <c r="AJ690" s="50"/>
    </row>
    <row r="691" spans="3:36" x14ac:dyDescent="0.25">
      <c r="C691" s="24"/>
      <c r="D691" s="25"/>
      <c r="E691" s="24"/>
      <c r="F691" s="25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50"/>
      <c r="AG691" s="50"/>
      <c r="AH691" s="50"/>
      <c r="AI691" s="50"/>
      <c r="AJ691" s="50"/>
    </row>
    <row r="692" spans="3:36" x14ac:dyDescent="0.25">
      <c r="C692" s="24"/>
      <c r="D692" s="25"/>
      <c r="E692" s="24"/>
      <c r="F692" s="25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D692" s="50"/>
      <c r="AE692" s="50"/>
      <c r="AF692" s="50"/>
      <c r="AG692" s="50"/>
      <c r="AH692" s="50"/>
      <c r="AI692" s="50"/>
      <c r="AJ692" s="50"/>
    </row>
    <row r="693" spans="3:36" x14ac:dyDescent="0.25">
      <c r="C693" s="24"/>
      <c r="D693" s="25"/>
      <c r="E693" s="24"/>
      <c r="F693" s="25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D693" s="50"/>
      <c r="AE693" s="50"/>
      <c r="AF693" s="50"/>
      <c r="AG693" s="50"/>
      <c r="AH693" s="50"/>
      <c r="AI693" s="50"/>
      <c r="AJ693" s="50"/>
    </row>
    <row r="694" spans="3:36" x14ac:dyDescent="0.25">
      <c r="C694" s="24"/>
      <c r="D694" s="25"/>
      <c r="E694" s="24"/>
      <c r="F694" s="25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D694" s="50"/>
      <c r="AE694" s="50"/>
      <c r="AF694" s="50"/>
      <c r="AG694" s="50"/>
      <c r="AH694" s="50"/>
      <c r="AI694" s="50"/>
      <c r="AJ694" s="50"/>
    </row>
    <row r="695" spans="3:36" x14ac:dyDescent="0.25">
      <c r="C695" s="24"/>
      <c r="D695" s="25"/>
      <c r="E695" s="24"/>
      <c r="F695" s="25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D695" s="50"/>
      <c r="AE695" s="50"/>
      <c r="AF695" s="50"/>
      <c r="AG695" s="50"/>
      <c r="AH695" s="50"/>
      <c r="AI695" s="50"/>
      <c r="AJ695" s="50"/>
    </row>
    <row r="696" spans="3:36" x14ac:dyDescent="0.25">
      <c r="C696" s="24"/>
      <c r="D696" s="25"/>
      <c r="E696" s="24"/>
      <c r="F696" s="25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D696" s="50"/>
      <c r="AE696" s="50"/>
      <c r="AF696" s="50"/>
      <c r="AG696" s="50"/>
      <c r="AH696" s="50"/>
      <c r="AI696" s="50"/>
      <c r="AJ696" s="50"/>
    </row>
    <row r="697" spans="3:36" x14ac:dyDescent="0.25">
      <c r="C697" s="24"/>
      <c r="D697" s="25"/>
      <c r="E697" s="24"/>
      <c r="F697" s="25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D697" s="50"/>
      <c r="AE697" s="50"/>
      <c r="AF697" s="50"/>
      <c r="AG697" s="50"/>
      <c r="AH697" s="50"/>
      <c r="AI697" s="50"/>
      <c r="AJ697" s="50"/>
    </row>
    <row r="698" spans="3:36" x14ac:dyDescent="0.25">
      <c r="C698" s="24"/>
      <c r="D698" s="25"/>
      <c r="E698" s="24"/>
      <c r="F698" s="25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D698" s="50"/>
      <c r="AE698" s="50"/>
      <c r="AF698" s="50"/>
      <c r="AG698" s="50"/>
      <c r="AH698" s="50"/>
      <c r="AI698" s="50"/>
      <c r="AJ698" s="50"/>
    </row>
    <row r="699" spans="3:36" x14ac:dyDescent="0.25">
      <c r="C699" s="24"/>
      <c r="D699" s="25"/>
      <c r="E699" s="24"/>
      <c r="F699" s="25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D699" s="50"/>
      <c r="AE699" s="50"/>
      <c r="AF699" s="50"/>
      <c r="AG699" s="50"/>
      <c r="AH699" s="50"/>
      <c r="AI699" s="50"/>
      <c r="AJ699" s="50"/>
    </row>
    <row r="700" spans="3:36" x14ac:dyDescent="0.25">
      <c r="C700" s="24"/>
      <c r="D700" s="25"/>
      <c r="E700" s="24"/>
      <c r="F700" s="25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D700" s="50"/>
      <c r="AE700" s="50"/>
      <c r="AF700" s="50"/>
      <c r="AG700" s="50"/>
      <c r="AH700" s="50"/>
      <c r="AI700" s="50"/>
      <c r="AJ700" s="50"/>
    </row>
    <row r="701" spans="3:36" x14ac:dyDescent="0.25">
      <c r="C701" s="24"/>
      <c r="D701" s="25"/>
      <c r="E701" s="24"/>
      <c r="F701" s="25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50"/>
      <c r="AG701" s="50"/>
      <c r="AH701" s="50"/>
      <c r="AI701" s="50"/>
      <c r="AJ701" s="50"/>
    </row>
    <row r="702" spans="3:36" x14ac:dyDescent="0.25">
      <c r="C702" s="24"/>
      <c r="D702" s="25"/>
      <c r="E702" s="24"/>
      <c r="F702" s="25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D702" s="50"/>
      <c r="AE702" s="50"/>
      <c r="AF702" s="50"/>
      <c r="AG702" s="50"/>
      <c r="AH702" s="50"/>
      <c r="AI702" s="50"/>
      <c r="AJ702" s="50"/>
    </row>
    <row r="703" spans="3:36" x14ac:dyDescent="0.25">
      <c r="C703" s="24"/>
      <c r="D703" s="25"/>
      <c r="E703" s="24"/>
      <c r="F703" s="25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D703" s="50"/>
      <c r="AE703" s="50"/>
      <c r="AF703" s="50"/>
      <c r="AG703" s="50"/>
      <c r="AH703" s="50"/>
      <c r="AI703" s="50"/>
      <c r="AJ703" s="50"/>
    </row>
    <row r="704" spans="3:36" x14ac:dyDescent="0.25">
      <c r="C704" s="24"/>
      <c r="D704" s="25"/>
      <c r="E704" s="24"/>
      <c r="F704" s="25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D704" s="50"/>
      <c r="AE704" s="50"/>
      <c r="AF704" s="50"/>
      <c r="AG704" s="50"/>
      <c r="AH704" s="50"/>
      <c r="AI704" s="50"/>
      <c r="AJ704" s="50"/>
    </row>
    <row r="705" spans="3:36" x14ac:dyDescent="0.25">
      <c r="C705" s="24"/>
      <c r="D705" s="25"/>
      <c r="E705" s="24"/>
      <c r="F705" s="25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D705" s="50"/>
      <c r="AE705" s="50"/>
      <c r="AF705" s="50"/>
      <c r="AG705" s="50"/>
      <c r="AH705" s="50"/>
      <c r="AI705" s="50"/>
      <c r="AJ705" s="50"/>
    </row>
    <row r="706" spans="3:36" x14ac:dyDescent="0.25">
      <c r="C706" s="24"/>
      <c r="D706" s="25"/>
      <c r="E706" s="24"/>
      <c r="F706" s="25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D706" s="50"/>
      <c r="AE706" s="50"/>
      <c r="AF706" s="50"/>
      <c r="AG706" s="50"/>
      <c r="AH706" s="50"/>
      <c r="AI706" s="50"/>
      <c r="AJ706" s="50"/>
    </row>
    <row r="707" spans="3:36" x14ac:dyDescent="0.25">
      <c r="C707" s="24"/>
      <c r="D707" s="25"/>
      <c r="E707" s="24"/>
      <c r="F707" s="25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50"/>
      <c r="AG707" s="50"/>
      <c r="AH707" s="50"/>
      <c r="AI707" s="50"/>
      <c r="AJ707" s="50"/>
    </row>
    <row r="708" spans="3:36" x14ac:dyDescent="0.25">
      <c r="C708" s="24"/>
      <c r="D708" s="25"/>
      <c r="E708" s="24"/>
      <c r="F708" s="25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D708" s="50"/>
      <c r="AE708" s="50"/>
      <c r="AF708" s="50"/>
      <c r="AG708" s="50"/>
      <c r="AH708" s="50"/>
      <c r="AI708" s="50"/>
      <c r="AJ708" s="50"/>
    </row>
    <row r="709" spans="3:36" x14ac:dyDescent="0.25">
      <c r="C709" s="24"/>
      <c r="D709" s="25"/>
      <c r="E709" s="24"/>
      <c r="F709" s="25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D709" s="50"/>
      <c r="AE709" s="50"/>
      <c r="AF709" s="50"/>
      <c r="AG709" s="50"/>
      <c r="AH709" s="50"/>
      <c r="AI709" s="50"/>
      <c r="AJ709" s="50"/>
    </row>
    <row r="710" spans="3:36" x14ac:dyDescent="0.25">
      <c r="C710" s="24"/>
      <c r="D710" s="25"/>
      <c r="E710" s="24"/>
      <c r="F710" s="25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D710" s="50"/>
      <c r="AE710" s="50"/>
      <c r="AF710" s="50"/>
      <c r="AG710" s="50"/>
      <c r="AH710" s="50"/>
      <c r="AI710" s="50"/>
      <c r="AJ710" s="50"/>
    </row>
    <row r="711" spans="3:36" x14ac:dyDescent="0.25">
      <c r="C711" s="24"/>
      <c r="D711" s="25"/>
      <c r="E711" s="24"/>
      <c r="F711" s="25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50"/>
      <c r="AG711" s="50"/>
      <c r="AH711" s="50"/>
      <c r="AI711" s="50"/>
      <c r="AJ711" s="50"/>
    </row>
    <row r="712" spans="3:36" x14ac:dyDescent="0.25">
      <c r="C712" s="24"/>
      <c r="D712" s="25"/>
      <c r="E712" s="24"/>
      <c r="F712" s="25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D712" s="50"/>
      <c r="AE712" s="50"/>
      <c r="AF712" s="50"/>
      <c r="AG712" s="50"/>
      <c r="AH712" s="50"/>
      <c r="AI712" s="50"/>
      <c r="AJ712" s="50"/>
    </row>
    <row r="713" spans="3:36" x14ac:dyDescent="0.25">
      <c r="C713" s="24"/>
      <c r="D713" s="25"/>
      <c r="E713" s="24"/>
      <c r="F713" s="25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D713" s="50"/>
      <c r="AE713" s="50"/>
      <c r="AF713" s="50"/>
      <c r="AG713" s="50"/>
      <c r="AH713" s="50"/>
      <c r="AI713" s="50"/>
      <c r="AJ713" s="50"/>
    </row>
    <row r="714" spans="3:36" x14ac:dyDescent="0.25">
      <c r="C714" s="24"/>
      <c r="D714" s="25"/>
      <c r="E714" s="24"/>
      <c r="F714" s="25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D714" s="50"/>
      <c r="AE714" s="50"/>
      <c r="AF714" s="50"/>
      <c r="AG714" s="50"/>
      <c r="AH714" s="50"/>
      <c r="AI714" s="50"/>
      <c r="AJ714" s="50"/>
    </row>
    <row r="715" spans="3:36" x14ac:dyDescent="0.25">
      <c r="C715" s="24"/>
      <c r="D715" s="25"/>
      <c r="E715" s="24"/>
      <c r="F715" s="25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D715" s="50"/>
      <c r="AE715" s="50"/>
      <c r="AF715" s="50"/>
      <c r="AG715" s="50"/>
      <c r="AH715" s="50"/>
      <c r="AI715" s="50"/>
      <c r="AJ715" s="50"/>
    </row>
    <row r="716" spans="3:36" x14ac:dyDescent="0.25">
      <c r="C716" s="24"/>
      <c r="D716" s="25"/>
      <c r="E716" s="24"/>
      <c r="F716" s="25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D716" s="50"/>
      <c r="AE716" s="50"/>
      <c r="AF716" s="50"/>
      <c r="AG716" s="50"/>
      <c r="AH716" s="50"/>
      <c r="AI716" s="50"/>
      <c r="AJ716" s="50"/>
    </row>
    <row r="717" spans="3:36" x14ac:dyDescent="0.25">
      <c r="C717" s="24"/>
      <c r="D717" s="25"/>
      <c r="E717" s="24"/>
      <c r="F717" s="25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D717" s="50"/>
      <c r="AE717" s="50"/>
      <c r="AF717" s="50"/>
      <c r="AG717" s="50"/>
      <c r="AH717" s="50"/>
      <c r="AI717" s="50"/>
      <c r="AJ717" s="50"/>
    </row>
    <row r="718" spans="3:36" x14ac:dyDescent="0.25">
      <c r="C718" s="24"/>
      <c r="D718" s="25"/>
      <c r="E718" s="24"/>
      <c r="F718" s="25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D718" s="50"/>
      <c r="AE718" s="50"/>
      <c r="AF718" s="50"/>
      <c r="AG718" s="50"/>
      <c r="AH718" s="50"/>
      <c r="AI718" s="50"/>
      <c r="AJ718" s="50"/>
    </row>
    <row r="719" spans="3:36" x14ac:dyDescent="0.25">
      <c r="C719" s="24"/>
      <c r="D719" s="25"/>
      <c r="E719" s="24"/>
      <c r="F719" s="25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D719" s="50"/>
      <c r="AE719" s="50"/>
      <c r="AF719" s="50"/>
      <c r="AG719" s="50"/>
      <c r="AH719" s="50"/>
      <c r="AI719" s="50"/>
      <c r="AJ719" s="50"/>
    </row>
    <row r="720" spans="3:36" x14ac:dyDescent="0.25">
      <c r="C720" s="24"/>
      <c r="D720" s="25"/>
      <c r="E720" s="24"/>
      <c r="F720" s="25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D720" s="50"/>
      <c r="AE720" s="50"/>
      <c r="AF720" s="50"/>
      <c r="AG720" s="50"/>
      <c r="AH720" s="50"/>
      <c r="AI720" s="50"/>
      <c r="AJ720" s="50"/>
    </row>
    <row r="721" spans="3:36" x14ac:dyDescent="0.25">
      <c r="C721" s="24"/>
      <c r="D721" s="25"/>
      <c r="E721" s="24"/>
      <c r="F721" s="25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50"/>
      <c r="AG721" s="50"/>
      <c r="AH721" s="50"/>
      <c r="AI721" s="50"/>
      <c r="AJ721" s="50"/>
    </row>
    <row r="722" spans="3:36" x14ac:dyDescent="0.25">
      <c r="C722" s="24"/>
      <c r="D722" s="25"/>
      <c r="E722" s="24"/>
      <c r="F722" s="25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D722" s="50"/>
      <c r="AE722" s="50"/>
      <c r="AF722" s="50"/>
      <c r="AG722" s="50"/>
      <c r="AH722" s="50"/>
      <c r="AI722" s="50"/>
      <c r="AJ722" s="50"/>
    </row>
    <row r="723" spans="3:36" x14ac:dyDescent="0.25">
      <c r="C723" s="24"/>
      <c r="D723" s="25"/>
      <c r="E723" s="24"/>
      <c r="F723" s="25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50"/>
      <c r="AG723" s="50"/>
      <c r="AH723" s="50"/>
      <c r="AI723" s="50"/>
      <c r="AJ723" s="50"/>
    </row>
    <row r="724" spans="3:36" x14ac:dyDescent="0.25">
      <c r="C724" s="24"/>
      <c r="D724" s="25"/>
      <c r="E724" s="24"/>
      <c r="F724" s="25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D724" s="50"/>
      <c r="AE724" s="50"/>
      <c r="AF724" s="50"/>
      <c r="AG724" s="50"/>
      <c r="AH724" s="50"/>
      <c r="AI724" s="50"/>
      <c r="AJ724" s="50"/>
    </row>
    <row r="725" spans="3:36" x14ac:dyDescent="0.25">
      <c r="C725" s="24"/>
      <c r="D725" s="25"/>
      <c r="E725" s="24"/>
      <c r="F725" s="25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D725" s="50"/>
      <c r="AE725" s="50"/>
      <c r="AF725" s="50"/>
      <c r="AG725" s="50"/>
      <c r="AH725" s="50"/>
      <c r="AI725" s="50"/>
      <c r="AJ725" s="50"/>
    </row>
    <row r="726" spans="3:36" x14ac:dyDescent="0.25">
      <c r="C726" s="24"/>
      <c r="D726" s="25"/>
      <c r="E726" s="24"/>
      <c r="F726" s="25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D726" s="50"/>
      <c r="AE726" s="50"/>
      <c r="AF726" s="50"/>
      <c r="AG726" s="50"/>
      <c r="AH726" s="50"/>
      <c r="AI726" s="50"/>
      <c r="AJ726" s="50"/>
    </row>
    <row r="727" spans="3:36" x14ac:dyDescent="0.25">
      <c r="C727" s="24"/>
      <c r="D727" s="25"/>
      <c r="E727" s="24"/>
      <c r="F727" s="25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D727" s="50"/>
      <c r="AE727" s="50"/>
      <c r="AF727" s="50"/>
      <c r="AG727" s="50"/>
      <c r="AH727" s="50"/>
      <c r="AI727" s="50"/>
      <c r="AJ727" s="50"/>
    </row>
    <row r="728" spans="3:36" x14ac:dyDescent="0.25">
      <c r="C728" s="24"/>
      <c r="D728" s="25"/>
      <c r="E728" s="24"/>
      <c r="F728" s="25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D728" s="50"/>
      <c r="AE728" s="50"/>
      <c r="AF728" s="50"/>
      <c r="AG728" s="50"/>
      <c r="AH728" s="50"/>
      <c r="AI728" s="50"/>
      <c r="AJ728" s="50"/>
    </row>
    <row r="729" spans="3:36" x14ac:dyDescent="0.25">
      <c r="C729" s="24"/>
      <c r="D729" s="25"/>
      <c r="E729" s="24"/>
      <c r="F729" s="25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D729" s="50"/>
      <c r="AE729" s="50"/>
      <c r="AF729" s="50"/>
      <c r="AG729" s="50"/>
      <c r="AH729" s="50"/>
      <c r="AI729" s="50"/>
      <c r="AJ729" s="50"/>
    </row>
    <row r="730" spans="3:36" x14ac:dyDescent="0.25">
      <c r="C730" s="24"/>
      <c r="D730" s="25"/>
      <c r="E730" s="24"/>
      <c r="F730" s="25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D730" s="50"/>
      <c r="AE730" s="50"/>
      <c r="AF730" s="50"/>
      <c r="AG730" s="50"/>
      <c r="AH730" s="50"/>
      <c r="AI730" s="50"/>
      <c r="AJ730" s="50"/>
    </row>
    <row r="731" spans="3:36" x14ac:dyDescent="0.25">
      <c r="C731" s="24"/>
      <c r="D731" s="25"/>
      <c r="E731" s="24"/>
      <c r="F731" s="25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D731" s="50"/>
      <c r="AE731" s="50"/>
      <c r="AF731" s="50"/>
      <c r="AG731" s="50"/>
      <c r="AH731" s="50"/>
      <c r="AI731" s="50"/>
      <c r="AJ731" s="50"/>
    </row>
    <row r="732" spans="3:36" x14ac:dyDescent="0.25">
      <c r="C732" s="24"/>
      <c r="D732" s="25"/>
      <c r="E732" s="24"/>
      <c r="F732" s="25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D732" s="50"/>
      <c r="AE732" s="50"/>
      <c r="AF732" s="50"/>
      <c r="AG732" s="50"/>
      <c r="AH732" s="50"/>
      <c r="AI732" s="50"/>
      <c r="AJ732" s="50"/>
    </row>
    <row r="733" spans="3:36" x14ac:dyDescent="0.25">
      <c r="C733" s="24"/>
      <c r="D733" s="25"/>
      <c r="E733" s="24"/>
      <c r="F733" s="25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D733" s="50"/>
      <c r="AE733" s="50"/>
      <c r="AF733" s="50"/>
      <c r="AG733" s="50"/>
      <c r="AH733" s="50"/>
      <c r="AI733" s="50"/>
      <c r="AJ733" s="50"/>
    </row>
    <row r="734" spans="3:36" x14ac:dyDescent="0.25">
      <c r="C734" s="24"/>
      <c r="D734" s="25"/>
      <c r="E734" s="24"/>
      <c r="F734" s="25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D734" s="50"/>
      <c r="AE734" s="50"/>
      <c r="AF734" s="50"/>
      <c r="AG734" s="50"/>
      <c r="AH734" s="50"/>
      <c r="AI734" s="50"/>
      <c r="AJ734" s="50"/>
    </row>
    <row r="735" spans="3:36" x14ac:dyDescent="0.25">
      <c r="C735" s="24"/>
      <c r="D735" s="25"/>
      <c r="E735" s="24"/>
      <c r="F735" s="25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D735" s="50"/>
      <c r="AE735" s="50"/>
      <c r="AF735" s="50"/>
      <c r="AG735" s="50"/>
      <c r="AH735" s="50"/>
      <c r="AI735" s="50"/>
      <c r="AJ735" s="50"/>
    </row>
    <row r="736" spans="3:36" x14ac:dyDescent="0.25">
      <c r="C736" s="24"/>
      <c r="D736" s="25"/>
      <c r="E736" s="24"/>
      <c r="F736" s="25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D736" s="50"/>
      <c r="AE736" s="50"/>
      <c r="AF736" s="50"/>
      <c r="AG736" s="50"/>
      <c r="AH736" s="50"/>
      <c r="AI736" s="50"/>
      <c r="AJ736" s="50"/>
    </row>
    <row r="737" spans="3:36" x14ac:dyDescent="0.25">
      <c r="C737" s="24"/>
      <c r="D737" s="25"/>
      <c r="E737" s="24"/>
      <c r="F737" s="25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D737" s="50"/>
      <c r="AE737" s="50"/>
      <c r="AF737" s="50"/>
      <c r="AG737" s="50"/>
      <c r="AH737" s="50"/>
      <c r="AI737" s="50"/>
      <c r="AJ737" s="50"/>
    </row>
    <row r="738" spans="3:36" x14ac:dyDescent="0.25">
      <c r="C738" s="24"/>
      <c r="D738" s="25"/>
      <c r="E738" s="24"/>
      <c r="F738" s="25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D738" s="50"/>
      <c r="AE738" s="50"/>
      <c r="AF738" s="50"/>
      <c r="AG738" s="50"/>
      <c r="AH738" s="50"/>
      <c r="AI738" s="50"/>
      <c r="AJ738" s="50"/>
    </row>
    <row r="739" spans="3:36" x14ac:dyDescent="0.25">
      <c r="C739" s="24"/>
      <c r="D739" s="25"/>
      <c r="E739" s="24"/>
      <c r="F739" s="25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D739" s="50"/>
      <c r="AE739" s="50"/>
      <c r="AF739" s="50"/>
      <c r="AG739" s="50"/>
      <c r="AH739" s="50"/>
      <c r="AI739" s="50"/>
      <c r="AJ739" s="50"/>
    </row>
    <row r="740" spans="3:36" x14ac:dyDescent="0.25">
      <c r="C740" s="24"/>
      <c r="D740" s="25"/>
      <c r="E740" s="24"/>
      <c r="F740" s="25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D740" s="50"/>
      <c r="AE740" s="50"/>
      <c r="AF740" s="50"/>
      <c r="AG740" s="50"/>
      <c r="AH740" s="50"/>
      <c r="AI740" s="50"/>
      <c r="AJ740" s="50"/>
    </row>
    <row r="741" spans="3:36" x14ac:dyDescent="0.25">
      <c r="C741" s="24"/>
      <c r="D741" s="25"/>
      <c r="E741" s="24"/>
      <c r="F741" s="25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50"/>
      <c r="AG741" s="50"/>
      <c r="AH741" s="50"/>
      <c r="AI741" s="50"/>
      <c r="AJ741" s="50"/>
    </row>
    <row r="742" spans="3:36" x14ac:dyDescent="0.25">
      <c r="C742" s="24"/>
      <c r="D742" s="25"/>
      <c r="E742" s="24"/>
      <c r="F742" s="25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D742" s="50"/>
      <c r="AE742" s="50"/>
      <c r="AF742" s="50"/>
      <c r="AG742" s="50"/>
      <c r="AH742" s="50"/>
      <c r="AI742" s="50"/>
      <c r="AJ742" s="50"/>
    </row>
    <row r="743" spans="3:36" x14ac:dyDescent="0.25">
      <c r="C743" s="24"/>
      <c r="D743" s="25"/>
      <c r="E743" s="24"/>
      <c r="F743" s="25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D743" s="50"/>
      <c r="AE743" s="50"/>
      <c r="AF743" s="50"/>
      <c r="AG743" s="50"/>
      <c r="AH743" s="50"/>
      <c r="AI743" s="50"/>
      <c r="AJ743" s="50"/>
    </row>
    <row r="744" spans="3:36" x14ac:dyDescent="0.25">
      <c r="C744" s="24"/>
      <c r="D744" s="25"/>
      <c r="E744" s="24"/>
      <c r="F744" s="25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D744" s="50"/>
      <c r="AE744" s="50"/>
      <c r="AF744" s="50"/>
      <c r="AG744" s="50"/>
      <c r="AH744" s="50"/>
      <c r="AI744" s="50"/>
      <c r="AJ744" s="50"/>
    </row>
    <row r="745" spans="3:36" x14ac:dyDescent="0.25">
      <c r="C745" s="24"/>
      <c r="D745" s="25"/>
      <c r="E745" s="24"/>
      <c r="F745" s="25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D745" s="50"/>
      <c r="AE745" s="50"/>
      <c r="AF745" s="50"/>
      <c r="AG745" s="50"/>
      <c r="AH745" s="50"/>
      <c r="AI745" s="50"/>
      <c r="AJ745" s="50"/>
    </row>
    <row r="746" spans="3:36" x14ac:dyDescent="0.25">
      <c r="C746" s="24"/>
      <c r="D746" s="25"/>
      <c r="E746" s="24"/>
      <c r="F746" s="25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D746" s="50"/>
      <c r="AE746" s="50"/>
      <c r="AF746" s="50"/>
      <c r="AG746" s="50"/>
      <c r="AH746" s="50"/>
      <c r="AI746" s="50"/>
      <c r="AJ746" s="50"/>
    </row>
    <row r="747" spans="3:36" x14ac:dyDescent="0.25">
      <c r="C747" s="24"/>
      <c r="D747" s="25"/>
      <c r="E747" s="24"/>
      <c r="F747" s="25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D747" s="50"/>
      <c r="AE747" s="50"/>
      <c r="AF747" s="50"/>
      <c r="AG747" s="50"/>
      <c r="AH747" s="50"/>
      <c r="AI747" s="50"/>
      <c r="AJ747" s="50"/>
    </row>
    <row r="748" spans="3:36" x14ac:dyDescent="0.25">
      <c r="C748" s="24"/>
      <c r="D748" s="25"/>
      <c r="E748" s="24"/>
      <c r="F748" s="25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D748" s="50"/>
      <c r="AE748" s="50"/>
      <c r="AF748" s="50"/>
      <c r="AG748" s="50"/>
      <c r="AH748" s="50"/>
      <c r="AI748" s="50"/>
      <c r="AJ748" s="50"/>
    </row>
    <row r="749" spans="3:36" x14ac:dyDescent="0.25">
      <c r="C749" s="24"/>
      <c r="D749" s="25"/>
      <c r="E749" s="24"/>
      <c r="F749" s="25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D749" s="50"/>
      <c r="AE749" s="50"/>
      <c r="AF749" s="50"/>
      <c r="AG749" s="50"/>
      <c r="AH749" s="50"/>
      <c r="AI749" s="50"/>
      <c r="AJ749" s="50"/>
    </row>
    <row r="750" spans="3:36" x14ac:dyDescent="0.25">
      <c r="C750" s="24"/>
      <c r="D750" s="25"/>
      <c r="E750" s="24"/>
      <c r="F750" s="25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D750" s="50"/>
      <c r="AE750" s="50"/>
      <c r="AF750" s="50"/>
      <c r="AG750" s="50"/>
      <c r="AH750" s="50"/>
      <c r="AI750" s="50"/>
      <c r="AJ750" s="50"/>
    </row>
    <row r="751" spans="3:36" x14ac:dyDescent="0.25">
      <c r="C751" s="24"/>
      <c r="D751" s="25"/>
      <c r="E751" s="24"/>
      <c r="F751" s="25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D751" s="50"/>
      <c r="AE751" s="50"/>
      <c r="AF751" s="50"/>
      <c r="AG751" s="50"/>
      <c r="AH751" s="50"/>
      <c r="AI751" s="50"/>
      <c r="AJ751" s="50"/>
    </row>
    <row r="752" spans="3:36" x14ac:dyDescent="0.25">
      <c r="C752" s="24"/>
      <c r="D752" s="25"/>
      <c r="E752" s="24"/>
      <c r="F752" s="25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D752" s="50"/>
      <c r="AE752" s="50"/>
      <c r="AF752" s="50"/>
      <c r="AG752" s="50"/>
      <c r="AH752" s="50"/>
      <c r="AI752" s="50"/>
      <c r="AJ752" s="50"/>
    </row>
    <row r="753" spans="3:36" x14ac:dyDescent="0.25">
      <c r="C753" s="24"/>
      <c r="D753" s="25"/>
      <c r="E753" s="24"/>
      <c r="F753" s="25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D753" s="50"/>
      <c r="AE753" s="50"/>
      <c r="AF753" s="50"/>
      <c r="AG753" s="50"/>
      <c r="AH753" s="50"/>
      <c r="AI753" s="50"/>
      <c r="AJ753" s="50"/>
    </row>
    <row r="754" spans="3:36" x14ac:dyDescent="0.25">
      <c r="C754" s="24"/>
      <c r="D754" s="25"/>
      <c r="E754" s="24"/>
      <c r="F754" s="25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D754" s="50"/>
      <c r="AE754" s="50"/>
      <c r="AF754" s="50"/>
      <c r="AG754" s="50"/>
      <c r="AH754" s="50"/>
      <c r="AI754" s="50"/>
      <c r="AJ754" s="50"/>
    </row>
    <row r="755" spans="3:36" x14ac:dyDescent="0.25">
      <c r="C755" s="24"/>
      <c r="D755" s="25"/>
      <c r="E755" s="24"/>
      <c r="F755" s="25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D755" s="50"/>
      <c r="AE755" s="50"/>
      <c r="AF755" s="50"/>
      <c r="AG755" s="50"/>
      <c r="AH755" s="50"/>
      <c r="AI755" s="50"/>
      <c r="AJ755" s="50"/>
    </row>
    <row r="756" spans="3:36" x14ac:dyDescent="0.25">
      <c r="C756" s="24"/>
      <c r="D756" s="25"/>
      <c r="E756" s="24"/>
      <c r="F756" s="25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D756" s="50"/>
      <c r="AE756" s="50"/>
      <c r="AF756" s="50"/>
      <c r="AG756" s="50"/>
      <c r="AH756" s="50"/>
      <c r="AI756" s="50"/>
      <c r="AJ756" s="50"/>
    </row>
    <row r="757" spans="3:36" x14ac:dyDescent="0.25">
      <c r="C757" s="24"/>
      <c r="D757" s="25"/>
      <c r="E757" s="24"/>
      <c r="F757" s="25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D757" s="50"/>
      <c r="AE757" s="50"/>
      <c r="AF757" s="50"/>
      <c r="AG757" s="50"/>
      <c r="AH757" s="50"/>
      <c r="AI757" s="50"/>
      <c r="AJ757" s="50"/>
    </row>
    <row r="758" spans="3:36" x14ac:dyDescent="0.25">
      <c r="C758" s="24"/>
      <c r="D758" s="25"/>
      <c r="E758" s="24"/>
      <c r="F758" s="25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D758" s="50"/>
      <c r="AE758" s="50"/>
      <c r="AF758" s="50"/>
      <c r="AG758" s="50"/>
      <c r="AH758" s="50"/>
      <c r="AI758" s="50"/>
      <c r="AJ758" s="50"/>
    </row>
    <row r="759" spans="3:36" x14ac:dyDescent="0.25">
      <c r="C759" s="24"/>
      <c r="D759" s="25"/>
      <c r="E759" s="24"/>
      <c r="F759" s="25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D759" s="50"/>
      <c r="AE759" s="50"/>
      <c r="AF759" s="50"/>
      <c r="AG759" s="50"/>
      <c r="AH759" s="50"/>
      <c r="AI759" s="50"/>
      <c r="AJ759" s="50"/>
    </row>
    <row r="760" spans="3:36" x14ac:dyDescent="0.25">
      <c r="C760" s="24"/>
      <c r="D760" s="25"/>
      <c r="E760" s="24"/>
      <c r="F760" s="25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D760" s="50"/>
      <c r="AE760" s="50"/>
      <c r="AF760" s="50"/>
      <c r="AG760" s="50"/>
      <c r="AH760" s="50"/>
      <c r="AI760" s="50"/>
      <c r="AJ760" s="50"/>
    </row>
    <row r="761" spans="3:36" x14ac:dyDescent="0.25">
      <c r="C761" s="24"/>
      <c r="D761" s="25"/>
      <c r="E761" s="24"/>
      <c r="F761" s="25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D761" s="50"/>
      <c r="AE761" s="50"/>
      <c r="AF761" s="50"/>
      <c r="AG761" s="50"/>
      <c r="AH761" s="50"/>
      <c r="AI761" s="50"/>
      <c r="AJ761" s="50"/>
    </row>
    <row r="762" spans="3:36" x14ac:dyDescent="0.25">
      <c r="C762" s="24"/>
      <c r="D762" s="25"/>
      <c r="E762" s="24"/>
      <c r="F762" s="25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D762" s="50"/>
      <c r="AE762" s="50"/>
      <c r="AF762" s="50"/>
      <c r="AG762" s="50"/>
      <c r="AH762" s="50"/>
      <c r="AI762" s="50"/>
      <c r="AJ762" s="50"/>
    </row>
    <row r="763" spans="3:36" x14ac:dyDescent="0.25">
      <c r="C763" s="24"/>
      <c r="D763" s="25"/>
      <c r="E763" s="24"/>
      <c r="F763" s="25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D763" s="50"/>
      <c r="AE763" s="50"/>
      <c r="AF763" s="50"/>
      <c r="AG763" s="50"/>
      <c r="AH763" s="50"/>
      <c r="AI763" s="50"/>
      <c r="AJ763" s="50"/>
    </row>
    <row r="764" spans="3:36" x14ac:dyDescent="0.25">
      <c r="C764" s="24"/>
      <c r="D764" s="25"/>
      <c r="E764" s="24"/>
      <c r="F764" s="25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D764" s="50"/>
      <c r="AE764" s="50"/>
      <c r="AF764" s="50"/>
      <c r="AG764" s="50"/>
      <c r="AH764" s="50"/>
      <c r="AI764" s="50"/>
      <c r="AJ764" s="50"/>
    </row>
    <row r="765" spans="3:36" x14ac:dyDescent="0.25">
      <c r="C765" s="24"/>
      <c r="D765" s="25"/>
      <c r="E765" s="24"/>
      <c r="F765" s="25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D765" s="50"/>
      <c r="AE765" s="50"/>
      <c r="AF765" s="50"/>
      <c r="AG765" s="50"/>
      <c r="AH765" s="50"/>
      <c r="AI765" s="50"/>
      <c r="AJ765" s="50"/>
    </row>
    <row r="766" spans="3:36" x14ac:dyDescent="0.25">
      <c r="C766" s="24"/>
      <c r="D766" s="25"/>
      <c r="E766" s="24"/>
      <c r="F766" s="25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D766" s="50"/>
      <c r="AE766" s="50"/>
      <c r="AF766" s="50"/>
      <c r="AG766" s="50"/>
      <c r="AH766" s="50"/>
      <c r="AI766" s="50"/>
      <c r="AJ766" s="50"/>
    </row>
    <row r="767" spans="3:36" x14ac:dyDescent="0.25">
      <c r="C767" s="24"/>
      <c r="D767" s="25"/>
      <c r="E767" s="24"/>
      <c r="F767" s="25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D767" s="50"/>
      <c r="AE767" s="50"/>
      <c r="AF767" s="50"/>
      <c r="AG767" s="50"/>
      <c r="AH767" s="50"/>
      <c r="AI767" s="50"/>
      <c r="AJ767" s="50"/>
    </row>
    <row r="768" spans="3:36" x14ac:dyDescent="0.25">
      <c r="C768" s="24"/>
      <c r="D768" s="25"/>
      <c r="E768" s="24"/>
      <c r="F768" s="25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D768" s="50"/>
      <c r="AE768" s="50"/>
      <c r="AF768" s="50"/>
      <c r="AG768" s="50"/>
      <c r="AH768" s="50"/>
      <c r="AI768" s="50"/>
      <c r="AJ768" s="50"/>
    </row>
    <row r="769" spans="3:36" x14ac:dyDescent="0.25">
      <c r="C769" s="24"/>
      <c r="D769" s="25"/>
      <c r="E769" s="24"/>
      <c r="F769" s="25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D769" s="50"/>
      <c r="AE769" s="50"/>
      <c r="AF769" s="50"/>
      <c r="AG769" s="50"/>
      <c r="AH769" s="50"/>
      <c r="AI769" s="50"/>
      <c r="AJ769" s="50"/>
    </row>
    <row r="770" spans="3:36" x14ac:dyDescent="0.25">
      <c r="C770" s="24"/>
      <c r="D770" s="25"/>
      <c r="E770" s="24"/>
      <c r="F770" s="25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D770" s="50"/>
      <c r="AE770" s="50"/>
      <c r="AF770" s="50"/>
      <c r="AG770" s="50"/>
      <c r="AH770" s="50"/>
      <c r="AI770" s="50"/>
      <c r="AJ770" s="50"/>
    </row>
    <row r="771" spans="3:36" x14ac:dyDescent="0.25">
      <c r="C771" s="24"/>
      <c r="D771" s="25"/>
      <c r="E771" s="24"/>
      <c r="F771" s="25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50"/>
      <c r="AJ771" s="50"/>
    </row>
    <row r="772" spans="3:36" x14ac:dyDescent="0.25">
      <c r="C772" s="24"/>
      <c r="D772" s="25"/>
      <c r="E772" s="24"/>
      <c r="F772" s="25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D772" s="50"/>
      <c r="AE772" s="50"/>
      <c r="AF772" s="50"/>
      <c r="AG772" s="50"/>
      <c r="AH772" s="50"/>
      <c r="AI772" s="50"/>
      <c r="AJ772" s="50"/>
    </row>
    <row r="773" spans="3:36" x14ac:dyDescent="0.25">
      <c r="C773" s="24"/>
      <c r="D773" s="25"/>
      <c r="E773" s="24"/>
      <c r="F773" s="25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D773" s="50"/>
      <c r="AE773" s="50"/>
      <c r="AF773" s="50"/>
      <c r="AG773" s="50"/>
      <c r="AH773" s="50"/>
      <c r="AI773" s="50"/>
      <c r="AJ773" s="50"/>
    </row>
    <row r="774" spans="3:36" x14ac:dyDescent="0.25">
      <c r="C774" s="24"/>
      <c r="D774" s="25"/>
      <c r="E774" s="24"/>
      <c r="F774" s="25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D774" s="50"/>
      <c r="AE774" s="50"/>
      <c r="AF774" s="50"/>
      <c r="AG774" s="50"/>
      <c r="AH774" s="50"/>
      <c r="AI774" s="50"/>
      <c r="AJ774" s="50"/>
    </row>
    <row r="775" spans="3:36" x14ac:dyDescent="0.25">
      <c r="C775" s="24"/>
      <c r="D775" s="25"/>
      <c r="E775" s="24"/>
      <c r="F775" s="25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D775" s="50"/>
      <c r="AE775" s="50"/>
      <c r="AF775" s="50"/>
      <c r="AG775" s="50"/>
      <c r="AH775" s="50"/>
      <c r="AI775" s="50"/>
      <c r="AJ775" s="50"/>
    </row>
    <row r="776" spans="3:36" x14ac:dyDescent="0.25">
      <c r="C776" s="24"/>
      <c r="D776" s="25"/>
      <c r="E776" s="24"/>
      <c r="F776" s="25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D776" s="50"/>
      <c r="AE776" s="50"/>
      <c r="AF776" s="50"/>
      <c r="AG776" s="50"/>
      <c r="AH776" s="50"/>
      <c r="AI776" s="50"/>
      <c r="AJ776" s="50"/>
    </row>
    <row r="777" spans="3:36" x14ac:dyDescent="0.25">
      <c r="C777" s="24"/>
      <c r="D777" s="25"/>
      <c r="E777" s="24"/>
      <c r="F777" s="25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D777" s="50"/>
      <c r="AE777" s="50"/>
      <c r="AF777" s="50"/>
      <c r="AG777" s="50"/>
      <c r="AH777" s="50"/>
      <c r="AI777" s="50"/>
      <c r="AJ777" s="50"/>
    </row>
    <row r="778" spans="3:36" x14ac:dyDescent="0.25">
      <c r="C778" s="24"/>
      <c r="D778" s="25"/>
      <c r="E778" s="24"/>
      <c r="F778" s="25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D778" s="50"/>
      <c r="AE778" s="50"/>
      <c r="AF778" s="50"/>
      <c r="AG778" s="50"/>
      <c r="AH778" s="50"/>
      <c r="AI778" s="50"/>
      <c r="AJ778" s="50"/>
    </row>
    <row r="779" spans="3:36" x14ac:dyDescent="0.25">
      <c r="C779" s="24"/>
      <c r="D779" s="25"/>
      <c r="E779" s="24"/>
      <c r="F779" s="25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D779" s="50"/>
      <c r="AE779" s="50"/>
      <c r="AF779" s="50"/>
      <c r="AG779" s="50"/>
      <c r="AH779" s="50"/>
      <c r="AI779" s="50"/>
      <c r="AJ779" s="50"/>
    </row>
    <row r="780" spans="3:36" x14ac:dyDescent="0.25">
      <c r="C780" s="24"/>
      <c r="D780" s="25"/>
      <c r="E780" s="24"/>
      <c r="F780" s="25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D780" s="50"/>
      <c r="AE780" s="50"/>
      <c r="AF780" s="50"/>
      <c r="AG780" s="50"/>
      <c r="AH780" s="50"/>
      <c r="AI780" s="50"/>
      <c r="AJ780" s="50"/>
    </row>
    <row r="781" spans="3:36" x14ac:dyDescent="0.25">
      <c r="C781" s="24"/>
      <c r="D781" s="25"/>
      <c r="E781" s="24"/>
      <c r="F781" s="25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D781" s="50"/>
      <c r="AE781" s="50"/>
      <c r="AF781" s="50"/>
      <c r="AG781" s="50"/>
      <c r="AH781" s="50"/>
      <c r="AI781" s="50"/>
      <c r="AJ781" s="50"/>
    </row>
    <row r="782" spans="3:36" x14ac:dyDescent="0.25">
      <c r="C782" s="24"/>
      <c r="D782" s="25"/>
      <c r="E782" s="24"/>
      <c r="F782" s="25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D782" s="50"/>
      <c r="AE782" s="50"/>
      <c r="AF782" s="50"/>
      <c r="AG782" s="50"/>
      <c r="AH782" s="50"/>
      <c r="AI782" s="50"/>
      <c r="AJ782" s="50"/>
    </row>
    <row r="783" spans="3:36" x14ac:dyDescent="0.25">
      <c r="C783" s="24"/>
      <c r="D783" s="25"/>
      <c r="E783" s="24"/>
      <c r="F783" s="25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D783" s="50"/>
      <c r="AE783" s="50"/>
      <c r="AF783" s="50"/>
      <c r="AG783" s="50"/>
      <c r="AH783" s="50"/>
      <c r="AI783" s="50"/>
      <c r="AJ783" s="50"/>
    </row>
    <row r="784" spans="3:36" x14ac:dyDescent="0.25">
      <c r="C784" s="24"/>
      <c r="D784" s="25"/>
      <c r="E784" s="24"/>
      <c r="F784" s="25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D784" s="50"/>
      <c r="AE784" s="50"/>
      <c r="AF784" s="50"/>
      <c r="AG784" s="50"/>
      <c r="AH784" s="50"/>
      <c r="AI784" s="50"/>
      <c r="AJ784" s="50"/>
    </row>
    <row r="785" spans="3:36" x14ac:dyDescent="0.25">
      <c r="C785" s="24"/>
      <c r="D785" s="25"/>
      <c r="E785" s="24"/>
      <c r="F785" s="25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50"/>
      <c r="AG785" s="50"/>
      <c r="AH785" s="50"/>
      <c r="AI785" s="50"/>
      <c r="AJ785" s="50"/>
    </row>
    <row r="786" spans="3:36" x14ac:dyDescent="0.25">
      <c r="C786" s="24"/>
      <c r="D786" s="25"/>
      <c r="E786" s="24"/>
      <c r="F786" s="25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D786" s="50"/>
      <c r="AE786" s="50"/>
      <c r="AF786" s="50"/>
      <c r="AG786" s="50"/>
      <c r="AH786" s="50"/>
      <c r="AI786" s="50"/>
      <c r="AJ786" s="50"/>
    </row>
    <row r="787" spans="3:36" x14ac:dyDescent="0.25">
      <c r="C787" s="24"/>
      <c r="D787" s="25"/>
      <c r="E787" s="24"/>
      <c r="F787" s="25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50"/>
      <c r="AG787" s="50"/>
      <c r="AH787" s="50"/>
      <c r="AI787" s="50"/>
      <c r="AJ787" s="50"/>
    </row>
    <row r="788" spans="3:36" x14ac:dyDescent="0.25">
      <c r="C788" s="24"/>
      <c r="D788" s="25"/>
      <c r="E788" s="24"/>
      <c r="F788" s="25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D788" s="50"/>
      <c r="AE788" s="50"/>
      <c r="AF788" s="50"/>
      <c r="AG788" s="50"/>
      <c r="AH788" s="50"/>
      <c r="AI788" s="50"/>
      <c r="AJ788" s="50"/>
    </row>
    <row r="789" spans="3:36" x14ac:dyDescent="0.25">
      <c r="C789" s="24"/>
      <c r="D789" s="25"/>
      <c r="E789" s="24"/>
      <c r="F789" s="25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D789" s="50"/>
      <c r="AE789" s="50"/>
      <c r="AF789" s="50"/>
      <c r="AG789" s="50"/>
      <c r="AH789" s="50"/>
      <c r="AI789" s="50"/>
      <c r="AJ789" s="50"/>
    </row>
    <row r="790" spans="3:36" x14ac:dyDescent="0.25">
      <c r="C790" s="24"/>
      <c r="D790" s="25"/>
      <c r="E790" s="24"/>
      <c r="F790" s="25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D790" s="50"/>
      <c r="AE790" s="50"/>
      <c r="AF790" s="50"/>
      <c r="AG790" s="50"/>
      <c r="AH790" s="50"/>
      <c r="AI790" s="50"/>
      <c r="AJ790" s="50"/>
    </row>
    <row r="791" spans="3:36" x14ac:dyDescent="0.25">
      <c r="C791" s="24"/>
      <c r="D791" s="25"/>
      <c r="E791" s="24"/>
      <c r="F791" s="25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50"/>
      <c r="AG791" s="50"/>
      <c r="AH791" s="50"/>
      <c r="AI791" s="50"/>
      <c r="AJ791" s="50"/>
    </row>
    <row r="792" spans="3:36" x14ac:dyDescent="0.25">
      <c r="C792" s="24"/>
      <c r="D792" s="25"/>
      <c r="E792" s="24"/>
      <c r="F792" s="25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D792" s="50"/>
      <c r="AE792" s="50"/>
      <c r="AF792" s="50"/>
      <c r="AG792" s="50"/>
      <c r="AH792" s="50"/>
      <c r="AI792" s="50"/>
      <c r="AJ792" s="50"/>
    </row>
    <row r="793" spans="3:36" x14ac:dyDescent="0.25">
      <c r="C793" s="24"/>
      <c r="D793" s="25"/>
      <c r="E793" s="24"/>
      <c r="F793" s="25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D793" s="50"/>
      <c r="AE793" s="50"/>
      <c r="AF793" s="50"/>
      <c r="AG793" s="50"/>
      <c r="AH793" s="50"/>
      <c r="AI793" s="50"/>
      <c r="AJ793" s="50"/>
    </row>
    <row r="794" spans="3:36" x14ac:dyDescent="0.25">
      <c r="C794" s="24"/>
      <c r="D794" s="25"/>
      <c r="E794" s="24"/>
      <c r="F794" s="25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D794" s="50"/>
      <c r="AE794" s="50"/>
      <c r="AF794" s="50"/>
      <c r="AG794" s="50"/>
      <c r="AH794" s="50"/>
      <c r="AI794" s="50"/>
      <c r="AJ794" s="50"/>
    </row>
    <row r="795" spans="3:36" x14ac:dyDescent="0.25">
      <c r="C795" s="24"/>
      <c r="D795" s="25"/>
      <c r="E795" s="24"/>
      <c r="F795" s="25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D795" s="50"/>
      <c r="AE795" s="50"/>
      <c r="AF795" s="50"/>
      <c r="AG795" s="50"/>
      <c r="AH795" s="50"/>
      <c r="AI795" s="50"/>
      <c r="AJ795" s="50"/>
    </row>
    <row r="796" spans="3:36" x14ac:dyDescent="0.25">
      <c r="C796" s="24"/>
      <c r="D796" s="25"/>
      <c r="E796" s="24"/>
      <c r="F796" s="25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D796" s="50"/>
      <c r="AE796" s="50"/>
      <c r="AF796" s="50"/>
      <c r="AG796" s="50"/>
      <c r="AH796" s="50"/>
      <c r="AI796" s="50"/>
      <c r="AJ796" s="50"/>
    </row>
    <row r="797" spans="3:36" x14ac:dyDescent="0.25">
      <c r="C797" s="24"/>
      <c r="D797" s="25"/>
      <c r="E797" s="24"/>
      <c r="F797" s="25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D797" s="50"/>
      <c r="AE797" s="50"/>
      <c r="AF797" s="50"/>
      <c r="AG797" s="50"/>
      <c r="AH797" s="50"/>
      <c r="AI797" s="50"/>
      <c r="AJ797" s="50"/>
    </row>
    <row r="798" spans="3:36" x14ac:dyDescent="0.25">
      <c r="C798" s="24"/>
      <c r="D798" s="25"/>
      <c r="E798" s="24"/>
      <c r="F798" s="25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D798" s="50"/>
      <c r="AE798" s="50"/>
      <c r="AF798" s="50"/>
      <c r="AG798" s="50"/>
      <c r="AH798" s="50"/>
      <c r="AI798" s="50"/>
      <c r="AJ798" s="50"/>
    </row>
    <row r="799" spans="3:36" x14ac:dyDescent="0.25">
      <c r="C799" s="24"/>
      <c r="D799" s="25"/>
      <c r="E799" s="24"/>
      <c r="F799" s="25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D799" s="50"/>
      <c r="AE799" s="50"/>
      <c r="AF799" s="50"/>
      <c r="AG799" s="50"/>
      <c r="AH799" s="50"/>
      <c r="AI799" s="50"/>
      <c r="AJ799" s="50"/>
    </row>
    <row r="800" spans="3:36" x14ac:dyDescent="0.25">
      <c r="C800" s="24"/>
      <c r="D800" s="25"/>
      <c r="E800" s="24"/>
      <c r="F800" s="25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D800" s="50"/>
      <c r="AE800" s="50"/>
      <c r="AF800" s="50"/>
      <c r="AG800" s="50"/>
      <c r="AH800" s="50"/>
      <c r="AI800" s="50"/>
      <c r="AJ800" s="50"/>
    </row>
    <row r="801" spans="3:36" x14ac:dyDescent="0.25">
      <c r="C801" s="24"/>
      <c r="D801" s="25"/>
      <c r="E801" s="24"/>
      <c r="F801" s="25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D801" s="50"/>
      <c r="AE801" s="50"/>
      <c r="AF801" s="50"/>
      <c r="AG801" s="50"/>
      <c r="AH801" s="50"/>
      <c r="AI801" s="50"/>
      <c r="AJ801" s="50"/>
    </row>
    <row r="802" spans="3:36" x14ac:dyDescent="0.25">
      <c r="C802" s="24"/>
      <c r="D802" s="25"/>
      <c r="E802" s="24"/>
      <c r="F802" s="25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D802" s="50"/>
      <c r="AE802" s="50"/>
      <c r="AF802" s="50"/>
      <c r="AG802" s="50"/>
      <c r="AH802" s="50"/>
      <c r="AI802" s="50"/>
      <c r="AJ802" s="50"/>
    </row>
    <row r="803" spans="3:36" x14ac:dyDescent="0.25">
      <c r="C803" s="24"/>
      <c r="D803" s="25"/>
      <c r="E803" s="24"/>
      <c r="F803" s="25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D803" s="50"/>
      <c r="AE803" s="50"/>
      <c r="AF803" s="50"/>
      <c r="AG803" s="50"/>
      <c r="AH803" s="50"/>
      <c r="AI803" s="50"/>
      <c r="AJ803" s="50"/>
    </row>
    <row r="804" spans="3:36" x14ac:dyDescent="0.25">
      <c r="C804" s="24"/>
      <c r="D804" s="25"/>
      <c r="E804" s="24"/>
      <c r="F804" s="25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D804" s="50"/>
      <c r="AE804" s="50"/>
      <c r="AF804" s="50"/>
      <c r="AG804" s="50"/>
      <c r="AH804" s="50"/>
      <c r="AI804" s="50"/>
      <c r="AJ804" s="50"/>
    </row>
    <row r="805" spans="3:36" x14ac:dyDescent="0.25">
      <c r="C805" s="24"/>
      <c r="D805" s="25"/>
      <c r="E805" s="24"/>
      <c r="F805" s="25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D805" s="50"/>
      <c r="AE805" s="50"/>
      <c r="AF805" s="50"/>
      <c r="AG805" s="50"/>
      <c r="AH805" s="50"/>
      <c r="AI805" s="50"/>
      <c r="AJ805" s="50"/>
    </row>
    <row r="806" spans="3:36" x14ac:dyDescent="0.25">
      <c r="C806" s="24"/>
      <c r="D806" s="25"/>
      <c r="E806" s="24"/>
      <c r="F806" s="25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D806" s="50"/>
      <c r="AE806" s="50"/>
      <c r="AF806" s="50"/>
      <c r="AG806" s="50"/>
      <c r="AH806" s="50"/>
      <c r="AI806" s="50"/>
      <c r="AJ806" s="50"/>
    </row>
    <row r="807" spans="3:36" x14ac:dyDescent="0.25">
      <c r="C807" s="24"/>
      <c r="D807" s="25"/>
      <c r="E807" s="24"/>
      <c r="F807" s="25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D807" s="50"/>
      <c r="AE807" s="50"/>
      <c r="AF807" s="50"/>
      <c r="AG807" s="50"/>
      <c r="AH807" s="50"/>
      <c r="AI807" s="50"/>
      <c r="AJ807" s="50"/>
    </row>
    <row r="808" spans="3:36" x14ac:dyDescent="0.25">
      <c r="C808" s="24"/>
      <c r="D808" s="25"/>
      <c r="E808" s="24"/>
      <c r="F808" s="25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D808" s="50"/>
      <c r="AE808" s="50"/>
      <c r="AF808" s="50"/>
      <c r="AG808" s="50"/>
      <c r="AH808" s="50"/>
      <c r="AI808" s="50"/>
      <c r="AJ808" s="50"/>
    </row>
    <row r="809" spans="3:36" x14ac:dyDescent="0.25">
      <c r="C809" s="24"/>
      <c r="D809" s="25"/>
      <c r="E809" s="24"/>
      <c r="F809" s="25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D809" s="50"/>
      <c r="AE809" s="50"/>
      <c r="AF809" s="50"/>
      <c r="AG809" s="50"/>
      <c r="AH809" s="50"/>
      <c r="AI809" s="50"/>
      <c r="AJ809" s="50"/>
    </row>
    <row r="810" spans="3:36" x14ac:dyDescent="0.25">
      <c r="C810" s="24"/>
      <c r="D810" s="25"/>
      <c r="E810" s="24"/>
      <c r="F810" s="25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D810" s="50"/>
      <c r="AE810" s="50"/>
      <c r="AF810" s="50"/>
      <c r="AG810" s="50"/>
      <c r="AH810" s="50"/>
      <c r="AI810" s="50"/>
      <c r="AJ810" s="50"/>
    </row>
    <row r="811" spans="3:36" x14ac:dyDescent="0.25">
      <c r="C811" s="24"/>
      <c r="D811" s="25"/>
      <c r="E811" s="24"/>
      <c r="F811" s="25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D811" s="50"/>
      <c r="AE811" s="50"/>
      <c r="AF811" s="50"/>
      <c r="AG811" s="50"/>
      <c r="AH811" s="50"/>
      <c r="AI811" s="50"/>
      <c r="AJ811" s="50"/>
    </row>
    <row r="812" spans="3:36" x14ac:dyDescent="0.25">
      <c r="C812" s="24"/>
      <c r="D812" s="25"/>
      <c r="E812" s="24"/>
      <c r="F812" s="25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D812" s="50"/>
      <c r="AE812" s="50"/>
      <c r="AF812" s="50"/>
      <c r="AG812" s="50"/>
      <c r="AH812" s="50"/>
      <c r="AI812" s="50"/>
      <c r="AJ812" s="50"/>
    </row>
    <row r="813" spans="3:36" x14ac:dyDescent="0.25">
      <c r="C813" s="24"/>
      <c r="D813" s="25"/>
      <c r="E813" s="24"/>
      <c r="F813" s="25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D813" s="50"/>
      <c r="AE813" s="50"/>
      <c r="AF813" s="50"/>
      <c r="AG813" s="50"/>
      <c r="AH813" s="50"/>
      <c r="AI813" s="50"/>
      <c r="AJ813" s="50"/>
    </row>
    <row r="814" spans="3:36" x14ac:dyDescent="0.25">
      <c r="C814" s="24"/>
      <c r="D814" s="25"/>
      <c r="E814" s="24"/>
      <c r="F814" s="25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D814" s="50"/>
      <c r="AE814" s="50"/>
      <c r="AF814" s="50"/>
      <c r="AG814" s="50"/>
      <c r="AH814" s="50"/>
      <c r="AI814" s="50"/>
      <c r="AJ814" s="50"/>
    </row>
    <row r="815" spans="3:36" x14ac:dyDescent="0.25">
      <c r="C815" s="24"/>
      <c r="D815" s="25"/>
      <c r="E815" s="24"/>
      <c r="F815" s="25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D815" s="50"/>
      <c r="AE815" s="50"/>
      <c r="AF815" s="50"/>
      <c r="AG815" s="50"/>
      <c r="AH815" s="50"/>
      <c r="AI815" s="50"/>
      <c r="AJ815" s="50"/>
    </row>
    <row r="816" spans="3:36" x14ac:dyDescent="0.25">
      <c r="C816" s="24"/>
      <c r="D816" s="25"/>
      <c r="E816" s="24"/>
      <c r="F816" s="25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D816" s="50"/>
      <c r="AE816" s="50"/>
      <c r="AF816" s="50"/>
      <c r="AG816" s="50"/>
      <c r="AH816" s="50"/>
      <c r="AI816" s="50"/>
      <c r="AJ816" s="50"/>
    </row>
    <row r="817" spans="3:36" x14ac:dyDescent="0.25">
      <c r="C817" s="24"/>
      <c r="D817" s="25"/>
      <c r="E817" s="24"/>
      <c r="F817" s="25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D817" s="50"/>
      <c r="AE817" s="50"/>
      <c r="AF817" s="50"/>
      <c r="AG817" s="50"/>
      <c r="AH817" s="50"/>
      <c r="AI817" s="50"/>
      <c r="AJ817" s="50"/>
    </row>
    <row r="818" spans="3:36" x14ac:dyDescent="0.25">
      <c r="C818" s="24"/>
      <c r="D818" s="25"/>
      <c r="E818" s="24"/>
      <c r="F818" s="25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D818" s="50"/>
      <c r="AE818" s="50"/>
      <c r="AF818" s="50"/>
      <c r="AG818" s="50"/>
      <c r="AH818" s="50"/>
      <c r="AI818" s="50"/>
      <c r="AJ818" s="50"/>
    </row>
    <row r="819" spans="3:36" x14ac:dyDescent="0.25">
      <c r="C819" s="24"/>
      <c r="D819" s="25"/>
      <c r="E819" s="24"/>
      <c r="F819" s="25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D819" s="50"/>
      <c r="AE819" s="50"/>
      <c r="AF819" s="50"/>
      <c r="AG819" s="50"/>
      <c r="AH819" s="50"/>
      <c r="AI819" s="50"/>
      <c r="AJ819" s="50"/>
    </row>
    <row r="820" spans="3:36" x14ac:dyDescent="0.25">
      <c r="C820" s="24"/>
      <c r="D820" s="25"/>
      <c r="E820" s="24"/>
      <c r="F820" s="25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D820" s="50"/>
      <c r="AE820" s="50"/>
      <c r="AF820" s="50"/>
      <c r="AG820" s="50"/>
      <c r="AH820" s="50"/>
      <c r="AI820" s="50"/>
      <c r="AJ820" s="50"/>
    </row>
    <row r="821" spans="3:36" x14ac:dyDescent="0.25">
      <c r="C821" s="24"/>
      <c r="D821" s="25"/>
      <c r="E821" s="24"/>
      <c r="F821" s="25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D821" s="50"/>
      <c r="AE821" s="50"/>
      <c r="AF821" s="50"/>
      <c r="AG821" s="50"/>
      <c r="AH821" s="50"/>
      <c r="AI821" s="50"/>
      <c r="AJ821" s="50"/>
    </row>
    <row r="822" spans="3:36" x14ac:dyDescent="0.25">
      <c r="C822" s="24"/>
      <c r="D822" s="25"/>
      <c r="E822" s="24"/>
      <c r="F822" s="25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D822" s="50"/>
      <c r="AE822" s="50"/>
      <c r="AF822" s="50"/>
      <c r="AG822" s="50"/>
      <c r="AH822" s="50"/>
      <c r="AI822" s="50"/>
      <c r="AJ822" s="50"/>
    </row>
    <row r="823" spans="3:36" x14ac:dyDescent="0.25">
      <c r="C823" s="24"/>
      <c r="D823" s="25"/>
      <c r="E823" s="24"/>
      <c r="F823" s="25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D823" s="50"/>
      <c r="AE823" s="50"/>
      <c r="AF823" s="50"/>
      <c r="AG823" s="50"/>
      <c r="AH823" s="50"/>
      <c r="AI823" s="50"/>
      <c r="AJ823" s="50"/>
    </row>
    <row r="824" spans="3:36" x14ac:dyDescent="0.25">
      <c r="C824" s="24"/>
      <c r="D824" s="25"/>
      <c r="E824" s="24"/>
      <c r="F824" s="25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D824" s="50"/>
      <c r="AE824" s="50"/>
      <c r="AF824" s="50"/>
      <c r="AG824" s="50"/>
      <c r="AH824" s="50"/>
      <c r="AI824" s="50"/>
      <c r="AJ824" s="50"/>
    </row>
    <row r="825" spans="3:36" x14ac:dyDescent="0.25">
      <c r="C825" s="24"/>
      <c r="D825" s="25"/>
      <c r="E825" s="24"/>
      <c r="F825" s="25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D825" s="50"/>
      <c r="AE825" s="50"/>
      <c r="AF825" s="50"/>
      <c r="AG825" s="50"/>
      <c r="AH825" s="50"/>
      <c r="AI825" s="50"/>
      <c r="AJ825" s="50"/>
    </row>
    <row r="826" spans="3:36" x14ac:dyDescent="0.25">
      <c r="C826" s="24"/>
      <c r="D826" s="25"/>
      <c r="E826" s="24"/>
      <c r="F826" s="25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D826" s="50"/>
      <c r="AE826" s="50"/>
      <c r="AF826" s="50"/>
      <c r="AG826" s="50"/>
      <c r="AH826" s="50"/>
      <c r="AI826" s="50"/>
      <c r="AJ826" s="50"/>
    </row>
    <row r="827" spans="3:36" x14ac:dyDescent="0.25">
      <c r="C827" s="24"/>
      <c r="D827" s="25"/>
      <c r="E827" s="24"/>
      <c r="F827" s="25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D827" s="50"/>
      <c r="AE827" s="50"/>
      <c r="AF827" s="50"/>
      <c r="AG827" s="50"/>
      <c r="AH827" s="50"/>
      <c r="AI827" s="50"/>
      <c r="AJ827" s="50"/>
    </row>
    <row r="828" spans="3:36" x14ac:dyDescent="0.25">
      <c r="C828" s="24"/>
      <c r="D828" s="25"/>
      <c r="E828" s="24"/>
      <c r="F828" s="25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D828" s="50"/>
      <c r="AE828" s="50"/>
      <c r="AF828" s="50"/>
      <c r="AG828" s="50"/>
      <c r="AH828" s="50"/>
      <c r="AI828" s="50"/>
      <c r="AJ828" s="50"/>
    </row>
    <row r="829" spans="3:36" x14ac:dyDescent="0.25">
      <c r="C829" s="24"/>
      <c r="D829" s="25"/>
      <c r="E829" s="24"/>
      <c r="F829" s="25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D829" s="50"/>
      <c r="AE829" s="50"/>
      <c r="AF829" s="50"/>
      <c r="AG829" s="50"/>
      <c r="AH829" s="50"/>
      <c r="AI829" s="50"/>
      <c r="AJ829" s="50"/>
    </row>
    <row r="830" spans="3:36" x14ac:dyDescent="0.25">
      <c r="C830" s="24"/>
      <c r="D830" s="25"/>
      <c r="E830" s="24"/>
      <c r="F830" s="25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D830" s="50"/>
      <c r="AE830" s="50"/>
      <c r="AF830" s="50"/>
      <c r="AG830" s="50"/>
      <c r="AH830" s="50"/>
      <c r="AI830" s="50"/>
      <c r="AJ830" s="50"/>
    </row>
    <row r="831" spans="3:36" x14ac:dyDescent="0.25">
      <c r="C831" s="24"/>
      <c r="D831" s="25"/>
      <c r="E831" s="24"/>
      <c r="F831" s="25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D831" s="50"/>
      <c r="AE831" s="50"/>
      <c r="AF831" s="50"/>
      <c r="AG831" s="50"/>
      <c r="AH831" s="50"/>
      <c r="AI831" s="50"/>
      <c r="AJ831" s="50"/>
    </row>
    <row r="832" spans="3:36" x14ac:dyDescent="0.25">
      <c r="C832" s="24"/>
      <c r="D832" s="25"/>
      <c r="E832" s="24"/>
      <c r="F832" s="25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D832" s="50"/>
      <c r="AE832" s="50"/>
      <c r="AF832" s="50"/>
      <c r="AG832" s="50"/>
      <c r="AH832" s="50"/>
      <c r="AI832" s="50"/>
      <c r="AJ832" s="50"/>
    </row>
    <row r="833" spans="3:36" x14ac:dyDescent="0.25">
      <c r="C833" s="24"/>
      <c r="D833" s="25"/>
      <c r="E833" s="24"/>
      <c r="F833" s="25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D833" s="50"/>
      <c r="AE833" s="50"/>
      <c r="AF833" s="50"/>
      <c r="AG833" s="50"/>
      <c r="AH833" s="50"/>
      <c r="AI833" s="50"/>
      <c r="AJ833" s="50"/>
    </row>
    <row r="834" spans="3:36" x14ac:dyDescent="0.25">
      <c r="C834" s="24"/>
      <c r="D834" s="25"/>
      <c r="E834" s="24"/>
      <c r="F834" s="25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D834" s="50"/>
      <c r="AE834" s="50"/>
      <c r="AF834" s="50"/>
      <c r="AG834" s="50"/>
      <c r="AH834" s="50"/>
      <c r="AI834" s="50"/>
      <c r="AJ834" s="50"/>
    </row>
    <row r="835" spans="3:36" x14ac:dyDescent="0.25">
      <c r="C835" s="24"/>
      <c r="D835" s="25"/>
      <c r="E835" s="24"/>
      <c r="F835" s="25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D835" s="50"/>
      <c r="AE835" s="50"/>
      <c r="AF835" s="50"/>
      <c r="AG835" s="50"/>
      <c r="AH835" s="50"/>
      <c r="AI835" s="50"/>
      <c r="AJ835" s="50"/>
    </row>
    <row r="836" spans="3:36" x14ac:dyDescent="0.25">
      <c r="C836" s="24"/>
      <c r="D836" s="25"/>
      <c r="E836" s="24"/>
      <c r="F836" s="25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D836" s="50"/>
      <c r="AE836" s="50"/>
      <c r="AF836" s="50"/>
      <c r="AG836" s="50"/>
      <c r="AH836" s="50"/>
      <c r="AI836" s="50"/>
      <c r="AJ836" s="50"/>
    </row>
    <row r="837" spans="3:36" x14ac:dyDescent="0.25">
      <c r="C837" s="24"/>
      <c r="D837" s="25"/>
      <c r="E837" s="24"/>
      <c r="F837" s="25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D837" s="50"/>
      <c r="AE837" s="50"/>
      <c r="AF837" s="50"/>
      <c r="AG837" s="50"/>
      <c r="AH837" s="50"/>
      <c r="AI837" s="50"/>
      <c r="AJ837" s="50"/>
    </row>
    <row r="838" spans="3:36" x14ac:dyDescent="0.25">
      <c r="C838" s="24"/>
      <c r="D838" s="25"/>
      <c r="E838" s="24"/>
      <c r="F838" s="25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D838" s="50"/>
      <c r="AE838" s="50"/>
      <c r="AF838" s="50"/>
      <c r="AG838" s="50"/>
      <c r="AH838" s="50"/>
      <c r="AI838" s="50"/>
      <c r="AJ838" s="50"/>
    </row>
    <row r="839" spans="3:36" x14ac:dyDescent="0.25">
      <c r="C839" s="24"/>
      <c r="D839" s="25"/>
      <c r="E839" s="24"/>
      <c r="F839" s="25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D839" s="50"/>
      <c r="AE839" s="50"/>
      <c r="AF839" s="50"/>
      <c r="AG839" s="50"/>
      <c r="AH839" s="50"/>
      <c r="AI839" s="50"/>
      <c r="AJ839" s="50"/>
    </row>
    <row r="840" spans="3:36" x14ac:dyDescent="0.25">
      <c r="C840" s="24"/>
      <c r="D840" s="25"/>
      <c r="E840" s="24"/>
      <c r="F840" s="25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  <c r="AA840" s="50"/>
      <c r="AB840" s="50"/>
      <c r="AC840" s="50"/>
      <c r="AD840" s="50"/>
      <c r="AE840" s="50"/>
      <c r="AF840" s="50"/>
      <c r="AG840" s="50"/>
      <c r="AH840" s="50"/>
      <c r="AI840" s="50"/>
      <c r="AJ840" s="50"/>
    </row>
    <row r="841" spans="3:36" x14ac:dyDescent="0.25">
      <c r="C841" s="24"/>
      <c r="D841" s="25"/>
      <c r="E841" s="24"/>
      <c r="F841" s="25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  <c r="AA841" s="50"/>
      <c r="AB841" s="50"/>
      <c r="AC841" s="50"/>
      <c r="AD841" s="50"/>
      <c r="AE841" s="50"/>
      <c r="AF841" s="50"/>
      <c r="AG841" s="50"/>
      <c r="AH841" s="50"/>
      <c r="AI841" s="50"/>
      <c r="AJ841" s="50"/>
    </row>
    <row r="842" spans="3:36" x14ac:dyDescent="0.25">
      <c r="C842" s="24"/>
      <c r="D842" s="25"/>
      <c r="E842" s="24"/>
      <c r="F842" s="25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  <c r="AA842" s="50"/>
      <c r="AB842" s="50"/>
      <c r="AC842" s="50"/>
      <c r="AD842" s="50"/>
      <c r="AE842" s="50"/>
      <c r="AF842" s="50"/>
      <c r="AG842" s="50"/>
      <c r="AH842" s="50"/>
      <c r="AI842" s="50"/>
      <c r="AJ842" s="50"/>
    </row>
    <row r="843" spans="3:36" x14ac:dyDescent="0.25">
      <c r="C843" s="24"/>
      <c r="D843" s="25"/>
      <c r="E843" s="24"/>
      <c r="F843" s="25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  <c r="AA843" s="50"/>
      <c r="AB843" s="50"/>
      <c r="AC843" s="50"/>
      <c r="AD843" s="50"/>
      <c r="AE843" s="50"/>
      <c r="AF843" s="50"/>
      <c r="AG843" s="50"/>
      <c r="AH843" s="50"/>
      <c r="AI843" s="50"/>
      <c r="AJ843" s="50"/>
    </row>
    <row r="844" spans="3:36" x14ac:dyDescent="0.25">
      <c r="C844" s="24"/>
      <c r="D844" s="25"/>
      <c r="E844" s="24"/>
      <c r="F844" s="25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  <c r="AA844" s="50"/>
      <c r="AB844" s="50"/>
      <c r="AC844" s="50"/>
      <c r="AD844" s="50"/>
      <c r="AE844" s="50"/>
      <c r="AF844" s="50"/>
      <c r="AG844" s="50"/>
      <c r="AH844" s="50"/>
      <c r="AI844" s="50"/>
      <c r="AJ844" s="50"/>
    </row>
    <row r="845" spans="3:36" x14ac:dyDescent="0.25">
      <c r="C845" s="24"/>
      <c r="D845" s="25"/>
      <c r="E845" s="24"/>
      <c r="F845" s="25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  <c r="AA845" s="50"/>
      <c r="AB845" s="50"/>
      <c r="AC845" s="50"/>
      <c r="AD845" s="50"/>
      <c r="AE845" s="50"/>
      <c r="AF845" s="50"/>
      <c r="AG845" s="50"/>
      <c r="AH845" s="50"/>
      <c r="AI845" s="50"/>
      <c r="AJ845" s="50"/>
    </row>
    <row r="846" spans="3:36" x14ac:dyDescent="0.25">
      <c r="C846" s="24"/>
      <c r="D846" s="25"/>
      <c r="E846" s="24"/>
      <c r="F846" s="25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  <c r="AA846" s="50"/>
      <c r="AB846" s="50"/>
      <c r="AC846" s="50"/>
      <c r="AD846" s="50"/>
      <c r="AE846" s="50"/>
      <c r="AF846" s="50"/>
      <c r="AG846" s="50"/>
      <c r="AH846" s="50"/>
      <c r="AI846" s="50"/>
      <c r="AJ846" s="50"/>
    </row>
    <row r="847" spans="3:36" x14ac:dyDescent="0.25">
      <c r="C847" s="24"/>
      <c r="D847" s="25"/>
      <c r="E847" s="24"/>
      <c r="F847" s="25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  <c r="AA847" s="50"/>
      <c r="AB847" s="50"/>
      <c r="AC847" s="50"/>
      <c r="AD847" s="50"/>
      <c r="AE847" s="50"/>
      <c r="AF847" s="50"/>
      <c r="AG847" s="50"/>
      <c r="AH847" s="50"/>
      <c r="AI847" s="50"/>
      <c r="AJ847" s="50"/>
    </row>
    <row r="848" spans="3:36" x14ac:dyDescent="0.25">
      <c r="C848" s="24"/>
      <c r="D848" s="25"/>
      <c r="E848" s="24"/>
      <c r="F848" s="25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  <c r="AA848" s="50"/>
      <c r="AB848" s="50"/>
      <c r="AC848" s="50"/>
      <c r="AD848" s="50"/>
      <c r="AE848" s="50"/>
      <c r="AF848" s="50"/>
      <c r="AG848" s="50"/>
      <c r="AH848" s="50"/>
      <c r="AI848" s="50"/>
      <c r="AJ848" s="50"/>
    </row>
    <row r="849" spans="3:36" x14ac:dyDescent="0.25">
      <c r="C849" s="24"/>
      <c r="D849" s="25"/>
      <c r="E849" s="24"/>
      <c r="F849" s="25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  <c r="AA849" s="50"/>
      <c r="AB849" s="50"/>
      <c r="AC849" s="50"/>
      <c r="AD849" s="50"/>
      <c r="AE849" s="50"/>
      <c r="AF849" s="50"/>
      <c r="AG849" s="50"/>
      <c r="AH849" s="50"/>
      <c r="AI849" s="50"/>
      <c r="AJ849" s="50"/>
    </row>
    <row r="850" spans="3:36" x14ac:dyDescent="0.25">
      <c r="C850" s="24"/>
      <c r="D850" s="25"/>
      <c r="E850" s="24"/>
      <c r="F850" s="25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  <c r="AA850" s="50"/>
      <c r="AB850" s="50"/>
      <c r="AC850" s="50"/>
      <c r="AD850" s="50"/>
      <c r="AE850" s="50"/>
      <c r="AF850" s="50"/>
      <c r="AG850" s="50"/>
      <c r="AH850" s="50"/>
      <c r="AI850" s="50"/>
      <c r="AJ850" s="50"/>
    </row>
    <row r="851" spans="3:36" x14ac:dyDescent="0.25">
      <c r="C851" s="24"/>
      <c r="D851" s="25"/>
      <c r="E851" s="24"/>
      <c r="F851" s="25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50"/>
      <c r="AG851" s="50"/>
      <c r="AH851" s="50"/>
      <c r="AI851" s="50"/>
      <c r="AJ851" s="50"/>
    </row>
    <row r="852" spans="3:36" x14ac:dyDescent="0.25">
      <c r="C852" s="24"/>
      <c r="D852" s="25"/>
      <c r="E852" s="24"/>
      <c r="F852" s="25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  <c r="AA852" s="50"/>
      <c r="AB852" s="50"/>
      <c r="AC852" s="50"/>
      <c r="AD852" s="50"/>
      <c r="AE852" s="50"/>
      <c r="AF852" s="50"/>
      <c r="AG852" s="50"/>
      <c r="AH852" s="50"/>
      <c r="AI852" s="50"/>
      <c r="AJ852" s="50"/>
    </row>
    <row r="853" spans="3:36" x14ac:dyDescent="0.25">
      <c r="C853" s="24"/>
      <c r="D853" s="25"/>
      <c r="E853" s="24"/>
      <c r="F853" s="25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  <c r="AA853" s="50"/>
      <c r="AB853" s="50"/>
      <c r="AC853" s="50"/>
      <c r="AD853" s="50"/>
      <c r="AE853" s="50"/>
      <c r="AF853" s="50"/>
      <c r="AG853" s="50"/>
      <c r="AH853" s="50"/>
      <c r="AI853" s="50"/>
      <c r="AJ853" s="50"/>
    </row>
    <row r="854" spans="3:36" x14ac:dyDescent="0.25">
      <c r="C854" s="24"/>
      <c r="D854" s="25"/>
      <c r="E854" s="24"/>
      <c r="F854" s="25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  <c r="AA854" s="50"/>
      <c r="AB854" s="50"/>
      <c r="AC854" s="50"/>
      <c r="AD854" s="50"/>
      <c r="AE854" s="50"/>
      <c r="AF854" s="50"/>
      <c r="AG854" s="50"/>
      <c r="AH854" s="50"/>
      <c r="AI854" s="50"/>
      <c r="AJ854" s="50"/>
    </row>
    <row r="855" spans="3:36" x14ac:dyDescent="0.25">
      <c r="C855" s="24"/>
      <c r="D855" s="25"/>
      <c r="E855" s="24"/>
      <c r="F855" s="25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  <c r="AA855" s="50"/>
      <c r="AB855" s="50"/>
      <c r="AC855" s="50"/>
      <c r="AD855" s="50"/>
      <c r="AE855" s="50"/>
      <c r="AF855" s="50"/>
      <c r="AG855" s="50"/>
      <c r="AH855" s="50"/>
      <c r="AI855" s="50"/>
      <c r="AJ855" s="50"/>
    </row>
    <row r="856" spans="3:36" x14ac:dyDescent="0.25">
      <c r="C856" s="24"/>
      <c r="D856" s="25"/>
      <c r="E856" s="24"/>
      <c r="F856" s="25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  <c r="AA856" s="50"/>
      <c r="AB856" s="50"/>
      <c r="AC856" s="50"/>
      <c r="AD856" s="50"/>
      <c r="AE856" s="50"/>
      <c r="AF856" s="50"/>
      <c r="AG856" s="50"/>
      <c r="AH856" s="50"/>
      <c r="AI856" s="50"/>
      <c r="AJ856" s="50"/>
    </row>
    <row r="857" spans="3:36" x14ac:dyDescent="0.25">
      <c r="C857" s="24"/>
      <c r="D857" s="25"/>
      <c r="E857" s="24"/>
      <c r="F857" s="25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  <c r="AA857" s="50"/>
      <c r="AB857" s="50"/>
      <c r="AC857" s="50"/>
      <c r="AD857" s="50"/>
      <c r="AE857" s="50"/>
      <c r="AF857" s="50"/>
      <c r="AG857" s="50"/>
      <c r="AH857" s="50"/>
      <c r="AI857" s="50"/>
      <c r="AJ857" s="50"/>
    </row>
    <row r="858" spans="3:36" x14ac:dyDescent="0.25">
      <c r="C858" s="24"/>
      <c r="D858" s="25"/>
      <c r="E858" s="24"/>
      <c r="F858" s="25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  <c r="AA858" s="50"/>
      <c r="AB858" s="50"/>
      <c r="AC858" s="50"/>
      <c r="AD858" s="50"/>
      <c r="AE858" s="50"/>
      <c r="AF858" s="50"/>
      <c r="AG858" s="50"/>
      <c r="AH858" s="50"/>
      <c r="AI858" s="50"/>
      <c r="AJ858" s="50"/>
    </row>
    <row r="859" spans="3:36" x14ac:dyDescent="0.25">
      <c r="C859" s="24"/>
      <c r="D859" s="25"/>
      <c r="E859" s="24"/>
      <c r="F859" s="25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  <c r="AA859" s="50"/>
      <c r="AB859" s="50"/>
      <c r="AC859" s="50"/>
      <c r="AD859" s="50"/>
      <c r="AE859" s="50"/>
      <c r="AF859" s="50"/>
      <c r="AG859" s="50"/>
      <c r="AH859" s="50"/>
      <c r="AI859" s="50"/>
      <c r="AJ859" s="50"/>
    </row>
    <row r="860" spans="3:36" x14ac:dyDescent="0.25">
      <c r="C860" s="24"/>
      <c r="D860" s="25"/>
      <c r="E860" s="24"/>
      <c r="F860" s="25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  <c r="AA860" s="50"/>
      <c r="AB860" s="50"/>
      <c r="AC860" s="50"/>
      <c r="AD860" s="50"/>
      <c r="AE860" s="50"/>
      <c r="AF860" s="50"/>
      <c r="AG860" s="50"/>
      <c r="AH860" s="50"/>
      <c r="AI860" s="50"/>
      <c r="AJ860" s="50"/>
    </row>
    <row r="861" spans="3:36" x14ac:dyDescent="0.25">
      <c r="C861" s="24"/>
      <c r="D861" s="25"/>
      <c r="E861" s="24"/>
      <c r="F861" s="25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  <c r="AA861" s="50"/>
      <c r="AB861" s="50"/>
      <c r="AC861" s="50"/>
      <c r="AD861" s="50"/>
      <c r="AE861" s="50"/>
      <c r="AF861" s="50"/>
      <c r="AG861" s="50"/>
      <c r="AH861" s="50"/>
      <c r="AI861" s="50"/>
      <c r="AJ861" s="50"/>
    </row>
    <row r="862" spans="3:36" x14ac:dyDescent="0.25">
      <c r="C862" s="24"/>
      <c r="D862" s="25"/>
      <c r="E862" s="24"/>
      <c r="F862" s="25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  <c r="AA862" s="50"/>
      <c r="AB862" s="50"/>
      <c r="AC862" s="50"/>
      <c r="AD862" s="50"/>
      <c r="AE862" s="50"/>
      <c r="AF862" s="50"/>
      <c r="AG862" s="50"/>
      <c r="AH862" s="50"/>
      <c r="AI862" s="50"/>
      <c r="AJ862" s="50"/>
    </row>
    <row r="863" spans="3:36" x14ac:dyDescent="0.25">
      <c r="C863" s="24"/>
      <c r="D863" s="25"/>
      <c r="E863" s="24"/>
      <c r="F863" s="25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  <c r="AA863" s="50"/>
      <c r="AB863" s="50"/>
      <c r="AC863" s="50"/>
      <c r="AD863" s="50"/>
      <c r="AE863" s="50"/>
      <c r="AF863" s="50"/>
      <c r="AG863" s="50"/>
      <c r="AH863" s="50"/>
      <c r="AI863" s="50"/>
      <c r="AJ863" s="50"/>
    </row>
    <row r="864" spans="3:36" x14ac:dyDescent="0.25">
      <c r="C864" s="24"/>
      <c r="D864" s="25"/>
      <c r="E864" s="24"/>
      <c r="F864" s="25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  <c r="AA864" s="50"/>
      <c r="AB864" s="50"/>
      <c r="AC864" s="50"/>
      <c r="AD864" s="50"/>
      <c r="AE864" s="50"/>
      <c r="AF864" s="50"/>
      <c r="AG864" s="50"/>
      <c r="AH864" s="50"/>
      <c r="AI864" s="50"/>
      <c r="AJ864" s="50"/>
    </row>
    <row r="865" spans="3:36" x14ac:dyDescent="0.25">
      <c r="C865" s="24"/>
      <c r="D865" s="25"/>
      <c r="E865" s="24"/>
      <c r="F865" s="25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  <c r="AA865" s="50"/>
      <c r="AB865" s="50"/>
      <c r="AC865" s="50"/>
      <c r="AD865" s="50"/>
      <c r="AE865" s="50"/>
      <c r="AF865" s="50"/>
      <c r="AG865" s="50"/>
      <c r="AH865" s="50"/>
      <c r="AI865" s="50"/>
      <c r="AJ865" s="50"/>
    </row>
    <row r="866" spans="3:36" x14ac:dyDescent="0.25">
      <c r="C866" s="24"/>
      <c r="D866" s="25"/>
      <c r="E866" s="24"/>
      <c r="F866" s="25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  <c r="AA866" s="50"/>
      <c r="AB866" s="50"/>
      <c r="AC866" s="50"/>
      <c r="AD866" s="50"/>
      <c r="AE866" s="50"/>
      <c r="AF866" s="50"/>
      <c r="AG866" s="50"/>
      <c r="AH866" s="50"/>
      <c r="AI866" s="50"/>
      <c r="AJ866" s="50"/>
    </row>
    <row r="867" spans="3:36" x14ac:dyDescent="0.25">
      <c r="C867" s="24"/>
      <c r="D867" s="25"/>
      <c r="E867" s="24"/>
      <c r="F867" s="25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50"/>
      <c r="AG867" s="50"/>
      <c r="AH867" s="50"/>
      <c r="AI867" s="50"/>
      <c r="AJ867" s="50"/>
    </row>
    <row r="868" spans="3:36" x14ac:dyDescent="0.25">
      <c r="C868" s="24"/>
      <c r="D868" s="25"/>
      <c r="E868" s="24"/>
      <c r="F868" s="25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  <c r="AA868" s="50"/>
      <c r="AB868" s="50"/>
      <c r="AC868" s="50"/>
      <c r="AD868" s="50"/>
      <c r="AE868" s="50"/>
      <c r="AF868" s="50"/>
      <c r="AG868" s="50"/>
      <c r="AH868" s="50"/>
      <c r="AI868" s="50"/>
      <c r="AJ868" s="50"/>
    </row>
    <row r="869" spans="3:36" x14ac:dyDescent="0.25">
      <c r="C869" s="24"/>
      <c r="D869" s="25"/>
      <c r="E869" s="24"/>
      <c r="F869" s="25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  <c r="AA869" s="50"/>
      <c r="AB869" s="50"/>
      <c r="AC869" s="50"/>
      <c r="AD869" s="50"/>
      <c r="AE869" s="50"/>
      <c r="AF869" s="50"/>
      <c r="AG869" s="50"/>
      <c r="AH869" s="50"/>
      <c r="AI869" s="50"/>
      <c r="AJ869" s="50"/>
    </row>
    <row r="870" spans="3:36" x14ac:dyDescent="0.25">
      <c r="C870" s="24"/>
      <c r="D870" s="25"/>
      <c r="E870" s="24"/>
      <c r="F870" s="25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  <c r="AA870" s="50"/>
      <c r="AB870" s="50"/>
      <c r="AC870" s="50"/>
      <c r="AD870" s="50"/>
      <c r="AE870" s="50"/>
      <c r="AF870" s="50"/>
      <c r="AG870" s="50"/>
      <c r="AH870" s="50"/>
      <c r="AI870" s="50"/>
      <c r="AJ870" s="50"/>
    </row>
    <row r="871" spans="3:36" x14ac:dyDescent="0.25">
      <c r="C871" s="24"/>
      <c r="D871" s="25"/>
      <c r="E871" s="24"/>
      <c r="F871" s="25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  <c r="AA871" s="50"/>
      <c r="AB871" s="50"/>
      <c r="AC871" s="50"/>
      <c r="AD871" s="50"/>
      <c r="AE871" s="50"/>
      <c r="AF871" s="50"/>
      <c r="AG871" s="50"/>
      <c r="AH871" s="50"/>
      <c r="AI871" s="50"/>
      <c r="AJ871" s="50"/>
    </row>
    <row r="872" spans="3:36" x14ac:dyDescent="0.25">
      <c r="C872" s="24"/>
      <c r="D872" s="25"/>
      <c r="E872" s="24"/>
      <c r="F872" s="25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  <c r="AA872" s="50"/>
      <c r="AB872" s="50"/>
      <c r="AC872" s="50"/>
      <c r="AD872" s="50"/>
      <c r="AE872" s="50"/>
      <c r="AF872" s="50"/>
      <c r="AG872" s="50"/>
      <c r="AH872" s="50"/>
      <c r="AI872" s="50"/>
      <c r="AJ872" s="50"/>
    </row>
    <row r="873" spans="3:36" x14ac:dyDescent="0.25">
      <c r="C873" s="24"/>
      <c r="D873" s="25"/>
      <c r="E873" s="24"/>
      <c r="F873" s="25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  <c r="AA873" s="50"/>
      <c r="AB873" s="50"/>
      <c r="AC873" s="50"/>
      <c r="AD873" s="50"/>
      <c r="AE873" s="50"/>
      <c r="AF873" s="50"/>
      <c r="AG873" s="50"/>
      <c r="AH873" s="50"/>
      <c r="AI873" s="50"/>
      <c r="AJ873" s="50"/>
    </row>
    <row r="874" spans="3:36" x14ac:dyDescent="0.25">
      <c r="C874" s="24"/>
      <c r="D874" s="25"/>
      <c r="E874" s="24"/>
      <c r="F874" s="25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  <c r="AA874" s="50"/>
      <c r="AB874" s="50"/>
      <c r="AC874" s="50"/>
      <c r="AD874" s="50"/>
      <c r="AE874" s="50"/>
      <c r="AF874" s="50"/>
      <c r="AG874" s="50"/>
      <c r="AH874" s="50"/>
      <c r="AI874" s="50"/>
      <c r="AJ874" s="50"/>
    </row>
    <row r="875" spans="3:36" x14ac:dyDescent="0.25">
      <c r="C875" s="24"/>
      <c r="D875" s="25"/>
      <c r="E875" s="24"/>
      <c r="F875" s="25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  <c r="AA875" s="50"/>
      <c r="AB875" s="50"/>
      <c r="AC875" s="50"/>
      <c r="AD875" s="50"/>
      <c r="AE875" s="50"/>
      <c r="AF875" s="50"/>
      <c r="AG875" s="50"/>
      <c r="AH875" s="50"/>
      <c r="AI875" s="50"/>
      <c r="AJ875" s="50"/>
    </row>
    <row r="876" spans="3:36" x14ac:dyDescent="0.25">
      <c r="C876" s="24"/>
      <c r="D876" s="25"/>
      <c r="E876" s="24"/>
      <c r="F876" s="25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  <c r="AA876" s="50"/>
      <c r="AB876" s="50"/>
      <c r="AC876" s="50"/>
      <c r="AD876" s="50"/>
      <c r="AE876" s="50"/>
      <c r="AF876" s="50"/>
      <c r="AG876" s="50"/>
      <c r="AH876" s="50"/>
      <c r="AI876" s="50"/>
      <c r="AJ876" s="50"/>
    </row>
    <row r="877" spans="3:36" x14ac:dyDescent="0.25">
      <c r="C877" s="24"/>
      <c r="D877" s="25"/>
      <c r="E877" s="24"/>
      <c r="F877" s="25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  <c r="AA877" s="50"/>
      <c r="AB877" s="50"/>
      <c r="AC877" s="50"/>
      <c r="AD877" s="50"/>
      <c r="AE877" s="50"/>
      <c r="AF877" s="50"/>
      <c r="AG877" s="50"/>
      <c r="AH877" s="50"/>
      <c r="AI877" s="50"/>
      <c r="AJ877" s="50"/>
    </row>
    <row r="878" spans="3:36" x14ac:dyDescent="0.25">
      <c r="C878" s="24"/>
      <c r="D878" s="25"/>
      <c r="E878" s="24"/>
      <c r="F878" s="25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  <c r="AA878" s="50"/>
      <c r="AB878" s="50"/>
      <c r="AC878" s="50"/>
      <c r="AD878" s="50"/>
      <c r="AE878" s="50"/>
      <c r="AF878" s="50"/>
      <c r="AG878" s="50"/>
      <c r="AH878" s="50"/>
      <c r="AI878" s="50"/>
      <c r="AJ878" s="50"/>
    </row>
    <row r="879" spans="3:36" x14ac:dyDescent="0.25">
      <c r="C879" s="24"/>
      <c r="D879" s="25"/>
      <c r="E879" s="24"/>
      <c r="F879" s="25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  <c r="AA879" s="50"/>
      <c r="AB879" s="50"/>
      <c r="AC879" s="50"/>
      <c r="AD879" s="50"/>
      <c r="AE879" s="50"/>
      <c r="AF879" s="50"/>
      <c r="AG879" s="50"/>
      <c r="AH879" s="50"/>
      <c r="AI879" s="50"/>
      <c r="AJ879" s="50"/>
    </row>
    <row r="880" spans="3:36" x14ac:dyDescent="0.25">
      <c r="C880" s="24"/>
      <c r="D880" s="25"/>
      <c r="E880" s="24"/>
      <c r="F880" s="25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  <c r="AA880" s="50"/>
      <c r="AB880" s="50"/>
      <c r="AC880" s="50"/>
      <c r="AD880" s="50"/>
      <c r="AE880" s="50"/>
      <c r="AF880" s="50"/>
      <c r="AG880" s="50"/>
      <c r="AH880" s="50"/>
      <c r="AI880" s="50"/>
      <c r="AJ880" s="50"/>
    </row>
    <row r="881" spans="3:36" x14ac:dyDescent="0.25">
      <c r="C881" s="24"/>
      <c r="D881" s="25"/>
      <c r="E881" s="24"/>
      <c r="F881" s="25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  <c r="AA881" s="50"/>
      <c r="AB881" s="50"/>
      <c r="AC881" s="50"/>
      <c r="AD881" s="50"/>
      <c r="AE881" s="50"/>
      <c r="AF881" s="50"/>
      <c r="AG881" s="50"/>
      <c r="AH881" s="50"/>
      <c r="AI881" s="50"/>
      <c r="AJ881" s="50"/>
    </row>
    <row r="882" spans="3:36" x14ac:dyDescent="0.25">
      <c r="C882" s="24"/>
      <c r="D882" s="25"/>
      <c r="E882" s="24"/>
      <c r="F882" s="25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  <c r="AA882" s="50"/>
      <c r="AB882" s="50"/>
      <c r="AC882" s="50"/>
      <c r="AD882" s="50"/>
      <c r="AE882" s="50"/>
      <c r="AF882" s="50"/>
      <c r="AG882" s="50"/>
      <c r="AH882" s="50"/>
      <c r="AI882" s="50"/>
      <c r="AJ882" s="50"/>
    </row>
    <row r="883" spans="3:36" x14ac:dyDescent="0.25">
      <c r="C883" s="24"/>
      <c r="D883" s="25"/>
      <c r="E883" s="24"/>
      <c r="F883" s="25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50"/>
      <c r="AG883" s="50"/>
      <c r="AH883" s="50"/>
      <c r="AI883" s="50"/>
      <c r="AJ883" s="50"/>
    </row>
    <row r="884" spans="3:36" x14ac:dyDescent="0.25">
      <c r="C884" s="24"/>
      <c r="D884" s="25"/>
      <c r="E884" s="24"/>
      <c r="F884" s="25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  <c r="AA884" s="50"/>
      <c r="AB884" s="50"/>
      <c r="AC884" s="50"/>
      <c r="AD884" s="50"/>
      <c r="AE884" s="50"/>
      <c r="AF884" s="50"/>
      <c r="AG884" s="50"/>
      <c r="AH884" s="50"/>
      <c r="AI884" s="50"/>
      <c r="AJ884" s="50"/>
    </row>
    <row r="885" spans="3:36" x14ac:dyDescent="0.25">
      <c r="C885" s="24"/>
      <c r="D885" s="25"/>
      <c r="E885" s="24"/>
      <c r="F885" s="25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  <c r="AA885" s="50"/>
      <c r="AB885" s="50"/>
      <c r="AC885" s="50"/>
      <c r="AD885" s="50"/>
      <c r="AE885" s="50"/>
      <c r="AF885" s="50"/>
      <c r="AG885" s="50"/>
      <c r="AH885" s="50"/>
      <c r="AI885" s="50"/>
      <c r="AJ885" s="50"/>
    </row>
    <row r="886" spans="3:36" x14ac:dyDescent="0.25">
      <c r="C886" s="24"/>
      <c r="D886" s="25"/>
      <c r="E886" s="24"/>
      <c r="F886" s="25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  <c r="AA886" s="50"/>
      <c r="AB886" s="50"/>
      <c r="AC886" s="50"/>
      <c r="AD886" s="50"/>
      <c r="AE886" s="50"/>
      <c r="AF886" s="50"/>
      <c r="AG886" s="50"/>
      <c r="AH886" s="50"/>
      <c r="AI886" s="50"/>
      <c r="AJ886" s="50"/>
    </row>
    <row r="887" spans="3:36" x14ac:dyDescent="0.25">
      <c r="C887" s="24"/>
      <c r="D887" s="25"/>
      <c r="E887" s="24"/>
      <c r="F887" s="25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  <c r="AA887" s="50"/>
      <c r="AB887" s="50"/>
      <c r="AC887" s="50"/>
      <c r="AD887" s="50"/>
      <c r="AE887" s="50"/>
      <c r="AF887" s="50"/>
      <c r="AG887" s="50"/>
      <c r="AH887" s="50"/>
      <c r="AI887" s="50"/>
      <c r="AJ887" s="50"/>
    </row>
    <row r="888" spans="3:36" x14ac:dyDescent="0.25">
      <c r="C888" s="24"/>
      <c r="D888" s="25"/>
      <c r="E888" s="24"/>
      <c r="F888" s="25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  <c r="AA888" s="50"/>
      <c r="AB888" s="50"/>
      <c r="AC888" s="50"/>
      <c r="AD888" s="50"/>
      <c r="AE888" s="50"/>
      <c r="AF888" s="50"/>
      <c r="AG888" s="50"/>
      <c r="AH888" s="50"/>
      <c r="AI888" s="50"/>
      <c r="AJ888" s="50"/>
    </row>
    <row r="889" spans="3:36" x14ac:dyDescent="0.25">
      <c r="C889" s="24"/>
      <c r="D889" s="25"/>
      <c r="E889" s="24"/>
      <c r="F889" s="25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  <c r="AA889" s="50"/>
      <c r="AB889" s="50"/>
      <c r="AC889" s="50"/>
      <c r="AD889" s="50"/>
      <c r="AE889" s="50"/>
      <c r="AF889" s="50"/>
      <c r="AG889" s="50"/>
      <c r="AH889" s="50"/>
      <c r="AI889" s="50"/>
      <c r="AJ889" s="50"/>
    </row>
    <row r="890" spans="3:36" x14ac:dyDescent="0.25">
      <c r="C890" s="24"/>
      <c r="D890" s="25"/>
      <c r="E890" s="24"/>
      <c r="F890" s="25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  <c r="AA890" s="50"/>
      <c r="AB890" s="50"/>
      <c r="AC890" s="50"/>
      <c r="AD890" s="50"/>
      <c r="AE890" s="50"/>
      <c r="AF890" s="50"/>
      <c r="AG890" s="50"/>
      <c r="AH890" s="50"/>
      <c r="AI890" s="50"/>
      <c r="AJ890" s="50"/>
    </row>
    <row r="891" spans="3:36" x14ac:dyDescent="0.25">
      <c r="C891" s="24"/>
      <c r="D891" s="25"/>
      <c r="E891" s="24"/>
      <c r="F891" s="25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  <c r="AA891" s="50"/>
      <c r="AB891" s="50"/>
      <c r="AC891" s="50"/>
      <c r="AD891" s="50"/>
      <c r="AE891" s="50"/>
      <c r="AF891" s="50"/>
      <c r="AG891" s="50"/>
      <c r="AH891" s="50"/>
      <c r="AI891" s="50"/>
      <c r="AJ891" s="50"/>
    </row>
    <row r="892" spans="3:36" x14ac:dyDescent="0.25">
      <c r="C892" s="24"/>
      <c r="D892" s="25"/>
      <c r="E892" s="24"/>
      <c r="F892" s="25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  <c r="AA892" s="50"/>
      <c r="AB892" s="50"/>
      <c r="AC892" s="50"/>
      <c r="AD892" s="50"/>
      <c r="AE892" s="50"/>
      <c r="AF892" s="50"/>
      <c r="AG892" s="50"/>
      <c r="AH892" s="50"/>
      <c r="AI892" s="50"/>
      <c r="AJ892" s="50"/>
    </row>
    <row r="893" spans="3:36" x14ac:dyDescent="0.25">
      <c r="C893" s="24"/>
      <c r="D893" s="25"/>
      <c r="E893" s="24"/>
      <c r="F893" s="25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  <c r="AA893" s="50"/>
      <c r="AB893" s="50"/>
      <c r="AC893" s="50"/>
      <c r="AD893" s="50"/>
      <c r="AE893" s="50"/>
      <c r="AF893" s="50"/>
      <c r="AG893" s="50"/>
      <c r="AH893" s="50"/>
      <c r="AI893" s="50"/>
      <c r="AJ893" s="50"/>
    </row>
    <row r="894" spans="3:36" x14ac:dyDescent="0.25">
      <c r="C894" s="24"/>
      <c r="D894" s="25"/>
      <c r="E894" s="24"/>
      <c r="F894" s="25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  <c r="AA894" s="50"/>
      <c r="AB894" s="50"/>
      <c r="AC894" s="50"/>
      <c r="AD894" s="50"/>
      <c r="AE894" s="50"/>
      <c r="AF894" s="50"/>
      <c r="AG894" s="50"/>
      <c r="AH894" s="50"/>
      <c r="AI894" s="50"/>
      <c r="AJ894" s="50"/>
    </row>
    <row r="895" spans="3:36" x14ac:dyDescent="0.25">
      <c r="C895" s="24"/>
      <c r="D895" s="25"/>
      <c r="E895" s="24"/>
      <c r="F895" s="25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  <c r="AA895" s="50"/>
      <c r="AB895" s="50"/>
      <c r="AC895" s="50"/>
      <c r="AD895" s="50"/>
      <c r="AE895" s="50"/>
      <c r="AF895" s="50"/>
      <c r="AG895" s="50"/>
      <c r="AH895" s="50"/>
      <c r="AI895" s="50"/>
      <c r="AJ895" s="50"/>
    </row>
    <row r="896" spans="3:36" x14ac:dyDescent="0.25">
      <c r="C896" s="24"/>
      <c r="D896" s="25"/>
      <c r="E896" s="24"/>
      <c r="F896" s="25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  <c r="AA896" s="50"/>
      <c r="AB896" s="50"/>
      <c r="AC896" s="50"/>
      <c r="AD896" s="50"/>
      <c r="AE896" s="50"/>
      <c r="AF896" s="50"/>
      <c r="AG896" s="50"/>
      <c r="AH896" s="50"/>
      <c r="AI896" s="50"/>
      <c r="AJ896" s="50"/>
    </row>
    <row r="897" spans="3:36" x14ac:dyDescent="0.25">
      <c r="C897" s="24"/>
      <c r="D897" s="25"/>
      <c r="E897" s="24"/>
      <c r="F897" s="25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  <c r="AA897" s="50"/>
      <c r="AB897" s="50"/>
      <c r="AC897" s="50"/>
      <c r="AD897" s="50"/>
      <c r="AE897" s="50"/>
      <c r="AF897" s="50"/>
      <c r="AG897" s="50"/>
      <c r="AH897" s="50"/>
      <c r="AI897" s="50"/>
      <c r="AJ897" s="50"/>
    </row>
    <row r="898" spans="3:36" x14ac:dyDescent="0.25">
      <c r="C898" s="24"/>
      <c r="D898" s="25"/>
      <c r="E898" s="24"/>
      <c r="F898" s="25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  <c r="AA898" s="50"/>
      <c r="AB898" s="50"/>
      <c r="AC898" s="50"/>
      <c r="AD898" s="50"/>
      <c r="AE898" s="50"/>
      <c r="AF898" s="50"/>
      <c r="AG898" s="50"/>
      <c r="AH898" s="50"/>
      <c r="AI898" s="50"/>
      <c r="AJ898" s="50"/>
    </row>
    <row r="899" spans="3:36" x14ac:dyDescent="0.25">
      <c r="C899" s="24"/>
      <c r="D899" s="25"/>
      <c r="E899" s="24"/>
      <c r="F899" s="25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50"/>
      <c r="AG899" s="50"/>
      <c r="AH899" s="50"/>
      <c r="AI899" s="50"/>
      <c r="AJ899" s="50"/>
    </row>
    <row r="900" spans="3:36" x14ac:dyDescent="0.25">
      <c r="C900" s="24"/>
      <c r="D900" s="25"/>
      <c r="E900" s="24"/>
      <c r="F900" s="25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  <c r="AA900" s="50"/>
      <c r="AB900" s="50"/>
      <c r="AC900" s="50"/>
      <c r="AD900" s="50"/>
      <c r="AE900" s="50"/>
      <c r="AF900" s="50"/>
      <c r="AG900" s="50"/>
      <c r="AH900" s="50"/>
      <c r="AI900" s="50"/>
      <c r="AJ900" s="50"/>
    </row>
    <row r="901" spans="3:36" x14ac:dyDescent="0.25">
      <c r="C901" s="24"/>
      <c r="D901" s="25"/>
      <c r="E901" s="24"/>
      <c r="F901" s="25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  <c r="AA901" s="50"/>
      <c r="AB901" s="50"/>
      <c r="AC901" s="50"/>
      <c r="AD901" s="50"/>
      <c r="AE901" s="50"/>
      <c r="AF901" s="50"/>
      <c r="AG901" s="50"/>
      <c r="AH901" s="50"/>
      <c r="AI901" s="50"/>
      <c r="AJ901" s="50"/>
    </row>
    <row r="902" spans="3:36" x14ac:dyDescent="0.25">
      <c r="C902" s="24"/>
      <c r="D902" s="25"/>
      <c r="E902" s="24"/>
      <c r="F902" s="25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  <c r="AA902" s="50"/>
      <c r="AB902" s="50"/>
      <c r="AC902" s="50"/>
      <c r="AD902" s="50"/>
      <c r="AE902" s="50"/>
      <c r="AF902" s="50"/>
      <c r="AG902" s="50"/>
      <c r="AH902" s="50"/>
      <c r="AI902" s="50"/>
      <c r="AJ902" s="50"/>
    </row>
    <row r="903" spans="3:36" x14ac:dyDescent="0.25">
      <c r="C903" s="24"/>
      <c r="D903" s="25"/>
      <c r="E903" s="24"/>
      <c r="F903" s="25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  <c r="AA903" s="50"/>
      <c r="AB903" s="50"/>
      <c r="AC903" s="50"/>
      <c r="AD903" s="50"/>
      <c r="AE903" s="50"/>
      <c r="AF903" s="50"/>
      <c r="AG903" s="50"/>
      <c r="AH903" s="50"/>
      <c r="AI903" s="50"/>
      <c r="AJ903" s="50"/>
    </row>
    <row r="904" spans="3:36" x14ac:dyDescent="0.25">
      <c r="C904" s="24"/>
      <c r="D904" s="25"/>
      <c r="E904" s="24"/>
      <c r="F904" s="25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  <c r="AA904" s="50"/>
      <c r="AB904" s="50"/>
      <c r="AC904" s="50"/>
      <c r="AD904" s="50"/>
      <c r="AE904" s="50"/>
      <c r="AF904" s="50"/>
      <c r="AG904" s="50"/>
      <c r="AH904" s="50"/>
      <c r="AI904" s="50"/>
      <c r="AJ904" s="50"/>
    </row>
    <row r="905" spans="3:36" x14ac:dyDescent="0.25">
      <c r="C905" s="24"/>
      <c r="D905" s="25"/>
      <c r="E905" s="24"/>
      <c r="F905" s="25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  <c r="AA905" s="50"/>
      <c r="AB905" s="50"/>
      <c r="AC905" s="50"/>
      <c r="AD905" s="50"/>
      <c r="AE905" s="50"/>
      <c r="AF905" s="50"/>
      <c r="AG905" s="50"/>
      <c r="AH905" s="50"/>
      <c r="AI905" s="50"/>
      <c r="AJ905" s="50"/>
    </row>
    <row r="906" spans="3:36" x14ac:dyDescent="0.25">
      <c r="C906" s="24"/>
      <c r="D906" s="25"/>
      <c r="E906" s="24"/>
      <c r="F906" s="25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  <c r="AA906" s="50"/>
      <c r="AB906" s="50"/>
      <c r="AC906" s="50"/>
      <c r="AD906" s="50"/>
      <c r="AE906" s="50"/>
      <c r="AF906" s="50"/>
      <c r="AG906" s="50"/>
      <c r="AH906" s="50"/>
      <c r="AI906" s="50"/>
      <c r="AJ906" s="50"/>
    </row>
    <row r="907" spans="3:36" x14ac:dyDescent="0.25">
      <c r="C907" s="24"/>
      <c r="D907" s="25"/>
      <c r="E907" s="24"/>
      <c r="F907" s="25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  <c r="AA907" s="50"/>
      <c r="AB907" s="50"/>
      <c r="AC907" s="50"/>
      <c r="AD907" s="50"/>
      <c r="AE907" s="50"/>
      <c r="AF907" s="50"/>
      <c r="AG907" s="50"/>
      <c r="AH907" s="50"/>
      <c r="AI907" s="50"/>
      <c r="AJ907" s="50"/>
    </row>
    <row r="908" spans="3:36" x14ac:dyDescent="0.25">
      <c r="C908" s="24"/>
      <c r="D908" s="25"/>
      <c r="E908" s="24"/>
      <c r="F908" s="25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  <c r="AA908" s="50"/>
      <c r="AB908" s="50"/>
      <c r="AC908" s="50"/>
      <c r="AD908" s="50"/>
      <c r="AE908" s="50"/>
      <c r="AF908" s="50"/>
      <c r="AG908" s="50"/>
      <c r="AH908" s="50"/>
      <c r="AI908" s="50"/>
      <c r="AJ908" s="50"/>
    </row>
    <row r="909" spans="3:36" x14ac:dyDescent="0.25">
      <c r="C909" s="24"/>
      <c r="D909" s="25"/>
      <c r="E909" s="24"/>
      <c r="F909" s="25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  <c r="AA909" s="50"/>
      <c r="AB909" s="50"/>
      <c r="AC909" s="50"/>
      <c r="AD909" s="50"/>
      <c r="AE909" s="50"/>
      <c r="AF909" s="50"/>
      <c r="AG909" s="50"/>
      <c r="AH909" s="50"/>
      <c r="AI909" s="50"/>
      <c r="AJ909" s="50"/>
    </row>
    <row r="910" spans="3:36" x14ac:dyDescent="0.25">
      <c r="C910" s="24"/>
      <c r="D910" s="25"/>
      <c r="E910" s="24"/>
      <c r="F910" s="25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  <c r="AA910" s="50"/>
      <c r="AB910" s="50"/>
      <c r="AC910" s="50"/>
      <c r="AD910" s="50"/>
      <c r="AE910" s="50"/>
      <c r="AF910" s="50"/>
      <c r="AG910" s="50"/>
      <c r="AH910" s="50"/>
      <c r="AI910" s="50"/>
      <c r="AJ910" s="50"/>
    </row>
    <row r="911" spans="3:36" x14ac:dyDescent="0.25">
      <c r="C911" s="24"/>
      <c r="D911" s="25"/>
      <c r="E911" s="24"/>
      <c r="F911" s="25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  <c r="AA911" s="50"/>
      <c r="AB911" s="50"/>
      <c r="AC911" s="50"/>
      <c r="AD911" s="50"/>
      <c r="AE911" s="50"/>
      <c r="AF911" s="50"/>
      <c r="AG911" s="50"/>
      <c r="AH911" s="50"/>
      <c r="AI911" s="50"/>
      <c r="AJ911" s="50"/>
    </row>
    <row r="912" spans="3:36" x14ac:dyDescent="0.25">
      <c r="C912" s="24"/>
      <c r="D912" s="25"/>
      <c r="E912" s="24"/>
      <c r="F912" s="25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  <c r="AA912" s="50"/>
      <c r="AB912" s="50"/>
      <c r="AC912" s="50"/>
      <c r="AD912" s="50"/>
      <c r="AE912" s="50"/>
      <c r="AF912" s="50"/>
      <c r="AG912" s="50"/>
      <c r="AH912" s="50"/>
      <c r="AI912" s="50"/>
      <c r="AJ912" s="50"/>
    </row>
    <row r="913" spans="3:36" x14ac:dyDescent="0.25">
      <c r="C913" s="24"/>
      <c r="D913" s="25"/>
      <c r="E913" s="24"/>
      <c r="F913" s="25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  <c r="AA913" s="50"/>
      <c r="AB913" s="50"/>
      <c r="AC913" s="50"/>
      <c r="AD913" s="50"/>
      <c r="AE913" s="50"/>
      <c r="AF913" s="50"/>
      <c r="AG913" s="50"/>
      <c r="AH913" s="50"/>
      <c r="AI913" s="50"/>
      <c r="AJ913" s="50"/>
    </row>
    <row r="914" spans="3:36" x14ac:dyDescent="0.25">
      <c r="C914" s="24"/>
      <c r="D914" s="25"/>
      <c r="E914" s="24"/>
      <c r="F914" s="25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  <c r="AA914" s="50"/>
      <c r="AB914" s="50"/>
      <c r="AC914" s="50"/>
      <c r="AD914" s="50"/>
      <c r="AE914" s="50"/>
      <c r="AF914" s="50"/>
      <c r="AG914" s="50"/>
      <c r="AH914" s="50"/>
      <c r="AI914" s="50"/>
      <c r="AJ914" s="50"/>
    </row>
    <row r="915" spans="3:36" x14ac:dyDescent="0.25">
      <c r="C915" s="24"/>
      <c r="D915" s="25"/>
      <c r="E915" s="24"/>
      <c r="F915" s="25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50"/>
      <c r="AG915" s="50"/>
      <c r="AH915" s="50"/>
      <c r="AI915" s="50"/>
      <c r="AJ915" s="50"/>
    </row>
    <row r="916" spans="3:36" x14ac:dyDescent="0.25">
      <c r="C916" s="24"/>
      <c r="D916" s="25"/>
      <c r="E916" s="24"/>
      <c r="F916" s="25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  <c r="AA916" s="50"/>
      <c r="AB916" s="50"/>
      <c r="AC916" s="50"/>
      <c r="AD916" s="50"/>
      <c r="AE916" s="50"/>
      <c r="AF916" s="50"/>
      <c r="AG916" s="50"/>
      <c r="AH916" s="50"/>
      <c r="AI916" s="50"/>
      <c r="AJ916" s="50"/>
    </row>
    <row r="917" spans="3:36" x14ac:dyDescent="0.25">
      <c r="C917" s="24"/>
      <c r="D917" s="25"/>
      <c r="E917" s="24"/>
      <c r="F917" s="25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  <c r="AA917" s="50"/>
      <c r="AB917" s="50"/>
      <c r="AC917" s="50"/>
      <c r="AD917" s="50"/>
      <c r="AE917" s="50"/>
      <c r="AF917" s="50"/>
      <c r="AG917" s="50"/>
      <c r="AH917" s="50"/>
      <c r="AI917" s="50"/>
      <c r="AJ917" s="50"/>
    </row>
    <row r="918" spans="3:36" x14ac:dyDescent="0.25">
      <c r="C918" s="24"/>
      <c r="D918" s="25"/>
      <c r="E918" s="24"/>
      <c r="F918" s="25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  <c r="AA918" s="50"/>
      <c r="AB918" s="50"/>
      <c r="AC918" s="50"/>
      <c r="AD918" s="50"/>
      <c r="AE918" s="50"/>
      <c r="AF918" s="50"/>
      <c r="AG918" s="50"/>
      <c r="AH918" s="50"/>
      <c r="AI918" s="50"/>
      <c r="AJ918" s="50"/>
    </row>
    <row r="919" spans="3:36" x14ac:dyDescent="0.25">
      <c r="C919" s="24"/>
      <c r="D919" s="25"/>
      <c r="E919" s="24"/>
      <c r="F919" s="25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  <c r="AA919" s="50"/>
      <c r="AB919" s="50"/>
      <c r="AC919" s="50"/>
      <c r="AD919" s="50"/>
      <c r="AE919" s="50"/>
      <c r="AF919" s="50"/>
      <c r="AG919" s="50"/>
      <c r="AH919" s="50"/>
      <c r="AI919" s="50"/>
      <c r="AJ919" s="50"/>
    </row>
    <row r="920" spans="3:36" x14ac:dyDescent="0.25">
      <c r="C920" s="24"/>
      <c r="D920" s="25"/>
      <c r="E920" s="24"/>
      <c r="F920" s="25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  <c r="AA920" s="50"/>
      <c r="AB920" s="50"/>
      <c r="AC920" s="50"/>
      <c r="AD920" s="50"/>
      <c r="AE920" s="50"/>
      <c r="AF920" s="50"/>
      <c r="AG920" s="50"/>
      <c r="AH920" s="50"/>
      <c r="AI920" s="50"/>
      <c r="AJ920" s="50"/>
    </row>
    <row r="921" spans="3:36" x14ac:dyDescent="0.25">
      <c r="C921" s="24"/>
      <c r="D921" s="25"/>
      <c r="E921" s="24"/>
      <c r="F921" s="25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  <c r="AA921" s="50"/>
      <c r="AB921" s="50"/>
      <c r="AC921" s="50"/>
      <c r="AD921" s="50"/>
      <c r="AE921" s="50"/>
      <c r="AF921" s="50"/>
      <c r="AG921" s="50"/>
      <c r="AH921" s="50"/>
      <c r="AI921" s="50"/>
      <c r="AJ921" s="50"/>
    </row>
    <row r="922" spans="3:36" x14ac:dyDescent="0.25">
      <c r="C922" s="24"/>
      <c r="D922" s="25"/>
      <c r="E922" s="24"/>
      <c r="F922" s="25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  <c r="AA922" s="50"/>
      <c r="AB922" s="50"/>
      <c r="AC922" s="50"/>
      <c r="AD922" s="50"/>
      <c r="AE922" s="50"/>
      <c r="AF922" s="50"/>
      <c r="AG922" s="50"/>
      <c r="AH922" s="50"/>
      <c r="AI922" s="50"/>
      <c r="AJ922" s="50"/>
    </row>
    <row r="923" spans="3:36" x14ac:dyDescent="0.25">
      <c r="C923" s="24"/>
      <c r="D923" s="25"/>
      <c r="E923" s="24"/>
      <c r="F923" s="25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  <c r="AA923" s="50"/>
      <c r="AB923" s="50"/>
      <c r="AC923" s="50"/>
      <c r="AD923" s="50"/>
      <c r="AE923" s="50"/>
      <c r="AF923" s="50"/>
      <c r="AG923" s="50"/>
      <c r="AH923" s="50"/>
      <c r="AI923" s="50"/>
      <c r="AJ923" s="50"/>
    </row>
    <row r="924" spans="3:36" x14ac:dyDescent="0.25">
      <c r="C924" s="24"/>
      <c r="D924" s="25"/>
      <c r="E924" s="24"/>
      <c r="F924" s="25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  <c r="AA924" s="50"/>
      <c r="AB924" s="50"/>
      <c r="AC924" s="50"/>
      <c r="AD924" s="50"/>
      <c r="AE924" s="50"/>
      <c r="AF924" s="50"/>
      <c r="AG924" s="50"/>
      <c r="AH924" s="50"/>
      <c r="AI924" s="50"/>
      <c r="AJ924" s="50"/>
    </row>
    <row r="925" spans="3:36" x14ac:dyDescent="0.25">
      <c r="C925" s="24"/>
      <c r="D925" s="25"/>
      <c r="E925" s="24"/>
      <c r="F925" s="25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  <c r="AA925" s="50"/>
      <c r="AB925" s="50"/>
      <c r="AC925" s="50"/>
      <c r="AD925" s="50"/>
      <c r="AE925" s="50"/>
      <c r="AF925" s="50"/>
      <c r="AG925" s="50"/>
      <c r="AH925" s="50"/>
      <c r="AI925" s="50"/>
      <c r="AJ925" s="50"/>
    </row>
    <row r="926" spans="3:36" x14ac:dyDescent="0.25">
      <c r="C926" s="24"/>
      <c r="D926" s="25"/>
      <c r="E926" s="24"/>
      <c r="F926" s="25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  <c r="AA926" s="50"/>
      <c r="AB926" s="50"/>
      <c r="AC926" s="50"/>
      <c r="AD926" s="50"/>
      <c r="AE926" s="50"/>
      <c r="AF926" s="50"/>
      <c r="AG926" s="50"/>
      <c r="AH926" s="50"/>
      <c r="AI926" s="50"/>
      <c r="AJ926" s="50"/>
    </row>
    <row r="927" spans="3:36" x14ac:dyDescent="0.25">
      <c r="C927" s="24"/>
      <c r="D927" s="25"/>
      <c r="E927" s="24"/>
      <c r="F927" s="25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  <c r="AA927" s="50"/>
      <c r="AB927" s="50"/>
      <c r="AC927" s="50"/>
      <c r="AD927" s="50"/>
      <c r="AE927" s="50"/>
      <c r="AF927" s="50"/>
      <c r="AG927" s="50"/>
      <c r="AH927" s="50"/>
      <c r="AI927" s="50"/>
      <c r="AJ927" s="50"/>
    </row>
    <row r="928" spans="3:36" x14ac:dyDescent="0.25">
      <c r="C928" s="24"/>
      <c r="D928" s="25"/>
      <c r="E928" s="24"/>
      <c r="F928" s="25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  <c r="AA928" s="50"/>
      <c r="AB928" s="50"/>
      <c r="AC928" s="50"/>
      <c r="AD928" s="50"/>
      <c r="AE928" s="50"/>
      <c r="AF928" s="50"/>
      <c r="AG928" s="50"/>
      <c r="AH928" s="50"/>
      <c r="AI928" s="50"/>
      <c r="AJ928" s="50"/>
    </row>
    <row r="929" spans="3:36" x14ac:dyDescent="0.25">
      <c r="C929" s="24"/>
      <c r="D929" s="25"/>
      <c r="E929" s="24"/>
      <c r="F929" s="25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  <c r="AA929" s="50"/>
      <c r="AB929" s="50"/>
      <c r="AC929" s="50"/>
      <c r="AD929" s="50"/>
      <c r="AE929" s="50"/>
      <c r="AF929" s="50"/>
      <c r="AG929" s="50"/>
      <c r="AH929" s="50"/>
      <c r="AI929" s="50"/>
      <c r="AJ929" s="50"/>
    </row>
    <row r="930" spans="3:36" x14ac:dyDescent="0.25">
      <c r="C930" s="24"/>
      <c r="D930" s="25"/>
      <c r="E930" s="24"/>
      <c r="F930" s="25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  <c r="AA930" s="50"/>
      <c r="AB930" s="50"/>
      <c r="AC930" s="50"/>
      <c r="AD930" s="50"/>
      <c r="AE930" s="50"/>
      <c r="AF930" s="50"/>
      <c r="AG930" s="50"/>
      <c r="AH930" s="50"/>
      <c r="AI930" s="50"/>
      <c r="AJ930" s="50"/>
    </row>
    <row r="931" spans="3:36" x14ac:dyDescent="0.25">
      <c r="C931" s="24"/>
      <c r="D931" s="25"/>
      <c r="E931" s="24"/>
      <c r="F931" s="25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50"/>
      <c r="AG931" s="50"/>
      <c r="AH931" s="50"/>
      <c r="AI931" s="50"/>
      <c r="AJ931" s="50"/>
    </row>
    <row r="932" spans="3:36" x14ac:dyDescent="0.25">
      <c r="C932" s="24"/>
      <c r="D932" s="25"/>
      <c r="E932" s="24"/>
      <c r="F932" s="25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  <c r="AA932" s="50"/>
      <c r="AB932" s="50"/>
      <c r="AC932" s="50"/>
      <c r="AD932" s="50"/>
      <c r="AE932" s="50"/>
      <c r="AF932" s="50"/>
      <c r="AG932" s="50"/>
      <c r="AH932" s="50"/>
      <c r="AI932" s="50"/>
      <c r="AJ932" s="50"/>
    </row>
    <row r="933" spans="3:36" x14ac:dyDescent="0.25">
      <c r="C933" s="24"/>
      <c r="D933" s="25"/>
      <c r="E933" s="24"/>
      <c r="F933" s="25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  <c r="AA933" s="50"/>
      <c r="AB933" s="50"/>
      <c r="AC933" s="50"/>
      <c r="AD933" s="50"/>
      <c r="AE933" s="50"/>
      <c r="AF933" s="50"/>
      <c r="AG933" s="50"/>
      <c r="AH933" s="50"/>
      <c r="AI933" s="50"/>
      <c r="AJ933" s="50"/>
    </row>
    <row r="934" spans="3:36" x14ac:dyDescent="0.25">
      <c r="C934" s="24"/>
      <c r="D934" s="25"/>
      <c r="E934" s="24"/>
      <c r="F934" s="25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  <c r="AA934" s="50"/>
      <c r="AB934" s="50"/>
      <c r="AC934" s="50"/>
      <c r="AD934" s="50"/>
      <c r="AE934" s="50"/>
      <c r="AF934" s="50"/>
      <c r="AG934" s="50"/>
      <c r="AH934" s="50"/>
      <c r="AI934" s="50"/>
      <c r="AJ934" s="50"/>
    </row>
    <row r="935" spans="3:36" x14ac:dyDescent="0.25">
      <c r="C935" s="24"/>
      <c r="D935" s="25"/>
      <c r="E935" s="24"/>
      <c r="F935" s="25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  <c r="AA935" s="50"/>
      <c r="AB935" s="50"/>
      <c r="AC935" s="50"/>
      <c r="AD935" s="50"/>
      <c r="AE935" s="50"/>
      <c r="AF935" s="50"/>
      <c r="AG935" s="50"/>
      <c r="AH935" s="50"/>
      <c r="AI935" s="50"/>
      <c r="AJ935" s="50"/>
    </row>
    <row r="936" spans="3:36" x14ac:dyDescent="0.25">
      <c r="C936" s="24"/>
      <c r="D936" s="25"/>
      <c r="E936" s="24"/>
      <c r="F936" s="25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  <c r="AA936" s="50"/>
      <c r="AB936" s="50"/>
      <c r="AC936" s="50"/>
      <c r="AD936" s="50"/>
      <c r="AE936" s="50"/>
      <c r="AF936" s="50"/>
      <c r="AG936" s="50"/>
      <c r="AH936" s="50"/>
      <c r="AI936" s="50"/>
      <c r="AJ936" s="50"/>
    </row>
    <row r="937" spans="3:36" x14ac:dyDescent="0.25">
      <c r="C937" s="24"/>
      <c r="D937" s="25"/>
      <c r="E937" s="24"/>
      <c r="F937" s="25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  <c r="AA937" s="50"/>
      <c r="AB937" s="50"/>
      <c r="AC937" s="50"/>
      <c r="AD937" s="50"/>
      <c r="AE937" s="50"/>
      <c r="AF937" s="50"/>
      <c r="AG937" s="50"/>
      <c r="AH937" s="50"/>
      <c r="AI937" s="50"/>
      <c r="AJ937" s="50"/>
    </row>
    <row r="938" spans="3:36" x14ac:dyDescent="0.25">
      <c r="C938" s="24"/>
      <c r="D938" s="25"/>
      <c r="E938" s="24"/>
      <c r="F938" s="25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  <c r="AA938" s="50"/>
      <c r="AB938" s="50"/>
      <c r="AC938" s="50"/>
      <c r="AD938" s="50"/>
      <c r="AE938" s="50"/>
      <c r="AF938" s="50"/>
      <c r="AG938" s="50"/>
      <c r="AH938" s="50"/>
      <c r="AI938" s="50"/>
      <c r="AJ938" s="50"/>
    </row>
    <row r="939" spans="3:36" x14ac:dyDescent="0.25">
      <c r="C939" s="24"/>
      <c r="D939" s="25"/>
      <c r="E939" s="24"/>
      <c r="F939" s="25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  <c r="AA939" s="50"/>
      <c r="AB939" s="50"/>
      <c r="AC939" s="50"/>
      <c r="AD939" s="50"/>
      <c r="AE939" s="50"/>
      <c r="AF939" s="50"/>
      <c r="AG939" s="50"/>
      <c r="AH939" s="50"/>
      <c r="AI939" s="50"/>
      <c r="AJ939" s="50"/>
    </row>
    <row r="940" spans="3:36" x14ac:dyDescent="0.25">
      <c r="C940" s="24"/>
      <c r="D940" s="25"/>
      <c r="E940" s="24"/>
      <c r="F940" s="25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  <c r="AA940" s="50"/>
      <c r="AB940" s="50"/>
      <c r="AC940" s="50"/>
      <c r="AD940" s="50"/>
      <c r="AE940" s="50"/>
      <c r="AF940" s="50"/>
      <c r="AG940" s="50"/>
      <c r="AH940" s="50"/>
      <c r="AI940" s="50"/>
      <c r="AJ940" s="50"/>
    </row>
    <row r="941" spans="3:36" x14ac:dyDescent="0.25">
      <c r="C941" s="24"/>
      <c r="D941" s="25"/>
      <c r="E941" s="24"/>
      <c r="F941" s="25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  <c r="AA941" s="50"/>
      <c r="AB941" s="50"/>
      <c r="AC941" s="50"/>
      <c r="AD941" s="50"/>
      <c r="AE941" s="50"/>
      <c r="AF941" s="50"/>
      <c r="AG941" s="50"/>
      <c r="AH941" s="50"/>
      <c r="AI941" s="50"/>
      <c r="AJ941" s="50"/>
    </row>
    <row r="942" spans="3:36" x14ac:dyDescent="0.25">
      <c r="C942" s="24"/>
      <c r="D942" s="25"/>
      <c r="E942" s="24"/>
      <c r="F942" s="25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  <c r="AA942" s="50"/>
      <c r="AB942" s="50"/>
      <c r="AC942" s="50"/>
      <c r="AD942" s="50"/>
      <c r="AE942" s="50"/>
      <c r="AF942" s="50"/>
      <c r="AG942" s="50"/>
      <c r="AH942" s="50"/>
      <c r="AI942" s="50"/>
      <c r="AJ942" s="50"/>
    </row>
    <row r="943" spans="3:36" x14ac:dyDescent="0.25">
      <c r="C943" s="24"/>
      <c r="D943" s="25"/>
      <c r="E943" s="24"/>
      <c r="F943" s="25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  <c r="AA943" s="50"/>
      <c r="AB943" s="50"/>
      <c r="AC943" s="50"/>
      <c r="AD943" s="50"/>
      <c r="AE943" s="50"/>
      <c r="AF943" s="50"/>
      <c r="AG943" s="50"/>
      <c r="AH943" s="50"/>
      <c r="AI943" s="50"/>
      <c r="AJ943" s="50"/>
    </row>
    <row r="944" spans="3:36" x14ac:dyDescent="0.25">
      <c r="C944" s="24"/>
      <c r="D944" s="25"/>
      <c r="E944" s="24"/>
      <c r="F944" s="25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  <c r="AA944" s="50"/>
      <c r="AB944" s="50"/>
      <c r="AC944" s="50"/>
      <c r="AD944" s="50"/>
      <c r="AE944" s="50"/>
      <c r="AF944" s="50"/>
      <c r="AG944" s="50"/>
      <c r="AH944" s="50"/>
      <c r="AI944" s="50"/>
      <c r="AJ944" s="50"/>
    </row>
    <row r="945" spans="3:36" x14ac:dyDescent="0.25">
      <c r="C945" s="24"/>
      <c r="D945" s="25"/>
      <c r="E945" s="24"/>
      <c r="F945" s="25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  <c r="AA945" s="50"/>
      <c r="AB945" s="50"/>
      <c r="AC945" s="50"/>
      <c r="AD945" s="50"/>
      <c r="AE945" s="50"/>
      <c r="AF945" s="50"/>
      <c r="AG945" s="50"/>
      <c r="AH945" s="50"/>
      <c r="AI945" s="50"/>
      <c r="AJ945" s="50"/>
    </row>
    <row r="946" spans="3:36" x14ac:dyDescent="0.25">
      <c r="C946" s="24"/>
      <c r="D946" s="25"/>
      <c r="E946" s="24"/>
      <c r="F946" s="25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  <c r="AA946" s="50"/>
      <c r="AB946" s="50"/>
      <c r="AC946" s="50"/>
      <c r="AD946" s="50"/>
      <c r="AE946" s="50"/>
      <c r="AF946" s="50"/>
      <c r="AG946" s="50"/>
      <c r="AH946" s="50"/>
      <c r="AI946" s="50"/>
      <c r="AJ946" s="50"/>
    </row>
    <row r="947" spans="3:36" x14ac:dyDescent="0.25">
      <c r="C947" s="24"/>
      <c r="D947" s="25"/>
      <c r="E947" s="24"/>
      <c r="F947" s="25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  <c r="AA947" s="50"/>
      <c r="AB947" s="50"/>
      <c r="AC947" s="50"/>
      <c r="AD947" s="50"/>
      <c r="AE947" s="50"/>
      <c r="AF947" s="50"/>
      <c r="AG947" s="50"/>
      <c r="AH947" s="50"/>
      <c r="AI947" s="50"/>
      <c r="AJ947" s="50"/>
    </row>
    <row r="948" spans="3:36" x14ac:dyDescent="0.25">
      <c r="C948" s="24"/>
      <c r="D948" s="25"/>
      <c r="E948" s="24"/>
      <c r="F948" s="25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  <c r="AA948" s="50"/>
      <c r="AB948" s="50"/>
      <c r="AC948" s="50"/>
      <c r="AD948" s="50"/>
      <c r="AE948" s="50"/>
      <c r="AF948" s="50"/>
      <c r="AG948" s="50"/>
      <c r="AH948" s="50"/>
      <c r="AI948" s="50"/>
      <c r="AJ948" s="50"/>
    </row>
    <row r="949" spans="3:36" x14ac:dyDescent="0.25">
      <c r="C949" s="24"/>
      <c r="D949" s="25"/>
      <c r="E949" s="24"/>
      <c r="F949" s="25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  <c r="AA949" s="50"/>
      <c r="AB949" s="50"/>
      <c r="AC949" s="50"/>
      <c r="AD949" s="50"/>
      <c r="AE949" s="50"/>
      <c r="AF949" s="50"/>
      <c r="AG949" s="50"/>
      <c r="AH949" s="50"/>
      <c r="AI949" s="50"/>
      <c r="AJ949" s="50"/>
    </row>
    <row r="950" spans="3:36" x14ac:dyDescent="0.25">
      <c r="C950" s="24"/>
      <c r="D950" s="25"/>
      <c r="E950" s="24"/>
      <c r="F950" s="25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  <c r="AA950" s="50"/>
      <c r="AB950" s="50"/>
      <c r="AC950" s="50"/>
      <c r="AD950" s="50"/>
      <c r="AE950" s="50"/>
      <c r="AF950" s="50"/>
      <c r="AG950" s="50"/>
      <c r="AH950" s="50"/>
      <c r="AI950" s="50"/>
      <c r="AJ950" s="50"/>
    </row>
    <row r="951" spans="3:36" x14ac:dyDescent="0.25">
      <c r="C951" s="24"/>
      <c r="D951" s="25"/>
      <c r="E951" s="24"/>
      <c r="F951" s="25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  <c r="AA951" s="50"/>
      <c r="AB951" s="50"/>
      <c r="AC951" s="50"/>
      <c r="AD951" s="50"/>
      <c r="AE951" s="50"/>
      <c r="AF951" s="50"/>
      <c r="AG951" s="50"/>
      <c r="AH951" s="50"/>
      <c r="AI951" s="50"/>
      <c r="AJ951" s="50"/>
    </row>
    <row r="952" spans="3:36" x14ac:dyDescent="0.25">
      <c r="C952" s="24"/>
      <c r="D952" s="25"/>
      <c r="E952" s="24"/>
      <c r="F952" s="25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  <c r="AA952" s="50"/>
      <c r="AB952" s="50"/>
      <c r="AC952" s="50"/>
      <c r="AD952" s="50"/>
      <c r="AE952" s="50"/>
      <c r="AF952" s="50"/>
      <c r="AG952" s="50"/>
      <c r="AH952" s="50"/>
      <c r="AI952" s="50"/>
      <c r="AJ952" s="50"/>
    </row>
    <row r="953" spans="3:36" x14ac:dyDescent="0.25">
      <c r="C953" s="24"/>
      <c r="D953" s="25"/>
      <c r="E953" s="24"/>
      <c r="F953" s="25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  <c r="AA953" s="50"/>
      <c r="AB953" s="50"/>
      <c r="AC953" s="50"/>
      <c r="AD953" s="50"/>
      <c r="AE953" s="50"/>
      <c r="AF953" s="50"/>
      <c r="AG953" s="50"/>
      <c r="AH953" s="50"/>
      <c r="AI953" s="50"/>
      <c r="AJ953" s="50"/>
    </row>
    <row r="954" spans="3:36" x14ac:dyDescent="0.25">
      <c r="C954" s="24"/>
      <c r="D954" s="25"/>
      <c r="E954" s="24"/>
      <c r="F954" s="25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  <c r="AA954" s="50"/>
      <c r="AB954" s="50"/>
      <c r="AC954" s="50"/>
      <c r="AD954" s="50"/>
      <c r="AE954" s="50"/>
      <c r="AF954" s="50"/>
      <c r="AG954" s="50"/>
      <c r="AH954" s="50"/>
      <c r="AI954" s="50"/>
      <c r="AJ954" s="50"/>
    </row>
    <row r="955" spans="3:36" x14ac:dyDescent="0.25">
      <c r="C955" s="24"/>
      <c r="D955" s="25"/>
      <c r="E955" s="24"/>
      <c r="F955" s="25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  <c r="AA955" s="50"/>
      <c r="AB955" s="50"/>
      <c r="AC955" s="50"/>
      <c r="AD955" s="50"/>
      <c r="AE955" s="50"/>
      <c r="AF955" s="50"/>
      <c r="AG955" s="50"/>
      <c r="AH955" s="50"/>
      <c r="AI955" s="50"/>
      <c r="AJ955" s="50"/>
    </row>
    <row r="956" spans="3:36" x14ac:dyDescent="0.25">
      <c r="C956" s="24"/>
      <c r="D956" s="25"/>
      <c r="E956" s="24"/>
      <c r="F956" s="25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  <c r="AA956" s="50"/>
      <c r="AB956" s="50"/>
      <c r="AC956" s="50"/>
      <c r="AD956" s="50"/>
      <c r="AE956" s="50"/>
      <c r="AF956" s="50"/>
      <c r="AG956" s="50"/>
      <c r="AH956" s="50"/>
      <c r="AI956" s="50"/>
      <c r="AJ956" s="50"/>
    </row>
    <row r="957" spans="3:36" x14ac:dyDescent="0.25">
      <c r="C957" s="24"/>
      <c r="D957" s="25"/>
      <c r="E957" s="24"/>
      <c r="F957" s="25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  <c r="AA957" s="50"/>
      <c r="AB957" s="50"/>
      <c r="AC957" s="50"/>
      <c r="AD957" s="50"/>
      <c r="AE957" s="50"/>
      <c r="AF957" s="50"/>
      <c r="AG957" s="50"/>
      <c r="AH957" s="50"/>
      <c r="AI957" s="50"/>
      <c r="AJ957" s="50"/>
    </row>
    <row r="958" spans="3:36" x14ac:dyDescent="0.25">
      <c r="C958" s="24"/>
      <c r="D958" s="25"/>
      <c r="E958" s="24"/>
      <c r="F958" s="25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  <c r="AA958" s="50"/>
      <c r="AB958" s="50"/>
      <c r="AC958" s="50"/>
      <c r="AD958" s="50"/>
      <c r="AE958" s="50"/>
      <c r="AF958" s="50"/>
      <c r="AG958" s="50"/>
      <c r="AH958" s="50"/>
      <c r="AI958" s="50"/>
      <c r="AJ958" s="50"/>
    </row>
    <row r="959" spans="3:36" x14ac:dyDescent="0.25">
      <c r="C959" s="24"/>
      <c r="D959" s="25"/>
      <c r="E959" s="24"/>
      <c r="F959" s="25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  <c r="AA959" s="50"/>
      <c r="AB959" s="50"/>
      <c r="AC959" s="50"/>
      <c r="AD959" s="50"/>
      <c r="AE959" s="50"/>
      <c r="AF959" s="50"/>
      <c r="AG959" s="50"/>
      <c r="AH959" s="50"/>
      <c r="AI959" s="50"/>
      <c r="AJ959" s="50"/>
    </row>
    <row r="960" spans="3:36" x14ac:dyDescent="0.25">
      <c r="C960" s="24"/>
      <c r="D960" s="25"/>
      <c r="E960" s="24"/>
      <c r="F960" s="25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  <c r="AA960" s="50"/>
      <c r="AB960" s="50"/>
      <c r="AC960" s="50"/>
      <c r="AD960" s="50"/>
      <c r="AE960" s="50"/>
      <c r="AF960" s="50"/>
      <c r="AG960" s="50"/>
      <c r="AH960" s="50"/>
      <c r="AI960" s="50"/>
      <c r="AJ960" s="50"/>
    </row>
    <row r="961" spans="3:36" x14ac:dyDescent="0.25">
      <c r="C961" s="24"/>
      <c r="D961" s="25"/>
      <c r="E961" s="24"/>
      <c r="F961" s="25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  <c r="AA961" s="50"/>
      <c r="AB961" s="50"/>
      <c r="AC961" s="50"/>
      <c r="AD961" s="50"/>
      <c r="AE961" s="50"/>
      <c r="AF961" s="50"/>
      <c r="AG961" s="50"/>
      <c r="AH961" s="50"/>
      <c r="AI961" s="50"/>
      <c r="AJ961" s="50"/>
    </row>
    <row r="962" spans="3:36" x14ac:dyDescent="0.25">
      <c r="C962" s="24"/>
      <c r="D962" s="25"/>
      <c r="E962" s="24"/>
      <c r="F962" s="25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  <c r="AA962" s="50"/>
      <c r="AB962" s="50"/>
      <c r="AC962" s="50"/>
      <c r="AD962" s="50"/>
      <c r="AE962" s="50"/>
      <c r="AF962" s="50"/>
      <c r="AG962" s="50"/>
      <c r="AH962" s="50"/>
      <c r="AI962" s="50"/>
      <c r="AJ962" s="50"/>
    </row>
    <row r="963" spans="3:36" x14ac:dyDescent="0.25">
      <c r="C963" s="24"/>
      <c r="D963" s="25"/>
      <c r="E963" s="24"/>
      <c r="F963" s="25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  <c r="AA963" s="50"/>
      <c r="AB963" s="50"/>
      <c r="AC963" s="50"/>
      <c r="AD963" s="50"/>
      <c r="AE963" s="50"/>
      <c r="AF963" s="50"/>
      <c r="AG963" s="50"/>
      <c r="AH963" s="50"/>
      <c r="AI963" s="50"/>
      <c r="AJ963" s="50"/>
    </row>
    <row r="964" spans="3:36" x14ac:dyDescent="0.25">
      <c r="C964" s="24"/>
      <c r="D964" s="25"/>
      <c r="E964" s="24"/>
      <c r="F964" s="25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  <c r="AA964" s="50"/>
      <c r="AB964" s="50"/>
      <c r="AC964" s="50"/>
      <c r="AD964" s="50"/>
      <c r="AE964" s="50"/>
      <c r="AF964" s="50"/>
      <c r="AG964" s="50"/>
      <c r="AH964" s="50"/>
      <c r="AI964" s="50"/>
      <c r="AJ964" s="50"/>
    </row>
    <row r="965" spans="3:36" x14ac:dyDescent="0.25">
      <c r="C965" s="24"/>
      <c r="D965" s="25"/>
      <c r="E965" s="24"/>
      <c r="F965" s="25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  <c r="AA965" s="50"/>
      <c r="AB965" s="50"/>
      <c r="AC965" s="50"/>
      <c r="AD965" s="50"/>
      <c r="AE965" s="50"/>
      <c r="AF965" s="50"/>
      <c r="AG965" s="50"/>
      <c r="AH965" s="50"/>
      <c r="AI965" s="50"/>
      <c r="AJ965" s="50"/>
    </row>
    <row r="966" spans="3:36" x14ac:dyDescent="0.25">
      <c r="C966" s="24"/>
      <c r="D966" s="25"/>
      <c r="E966" s="24"/>
      <c r="F966" s="25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  <c r="AA966" s="50"/>
      <c r="AB966" s="50"/>
      <c r="AC966" s="50"/>
      <c r="AD966" s="50"/>
      <c r="AE966" s="50"/>
      <c r="AF966" s="50"/>
      <c r="AG966" s="50"/>
      <c r="AH966" s="50"/>
      <c r="AI966" s="50"/>
      <c r="AJ966" s="50"/>
    </row>
    <row r="967" spans="3:36" x14ac:dyDescent="0.25">
      <c r="C967" s="24"/>
      <c r="D967" s="25"/>
      <c r="E967" s="24"/>
      <c r="F967" s="25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  <c r="AA967" s="50"/>
      <c r="AB967" s="50"/>
      <c r="AC967" s="50"/>
      <c r="AD967" s="50"/>
      <c r="AE967" s="50"/>
      <c r="AF967" s="50"/>
      <c r="AG967" s="50"/>
      <c r="AH967" s="50"/>
      <c r="AI967" s="50"/>
      <c r="AJ967" s="50"/>
    </row>
    <row r="968" spans="3:36" x14ac:dyDescent="0.25">
      <c r="C968" s="24"/>
      <c r="D968" s="25"/>
      <c r="E968" s="24"/>
      <c r="F968" s="25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  <c r="AA968" s="50"/>
      <c r="AB968" s="50"/>
      <c r="AC968" s="50"/>
      <c r="AD968" s="50"/>
      <c r="AE968" s="50"/>
      <c r="AF968" s="50"/>
      <c r="AG968" s="50"/>
      <c r="AH968" s="50"/>
      <c r="AI968" s="50"/>
      <c r="AJ968" s="50"/>
    </row>
    <row r="969" spans="3:36" x14ac:dyDescent="0.25">
      <c r="C969" s="24"/>
      <c r="D969" s="25"/>
      <c r="E969" s="24"/>
      <c r="F969" s="25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  <c r="AA969" s="50"/>
      <c r="AB969" s="50"/>
      <c r="AC969" s="50"/>
      <c r="AD969" s="50"/>
      <c r="AE969" s="50"/>
      <c r="AF969" s="50"/>
      <c r="AG969" s="50"/>
      <c r="AH969" s="50"/>
      <c r="AI969" s="50"/>
      <c r="AJ969" s="50"/>
    </row>
    <row r="970" spans="3:36" x14ac:dyDescent="0.25">
      <c r="C970" s="24"/>
      <c r="D970" s="25"/>
      <c r="E970" s="24"/>
      <c r="F970" s="25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  <c r="AA970" s="50"/>
      <c r="AB970" s="50"/>
      <c r="AC970" s="50"/>
      <c r="AD970" s="50"/>
      <c r="AE970" s="50"/>
      <c r="AF970" s="50"/>
      <c r="AG970" s="50"/>
      <c r="AH970" s="50"/>
      <c r="AI970" s="50"/>
      <c r="AJ970" s="50"/>
    </row>
    <row r="971" spans="3:36" x14ac:dyDescent="0.25">
      <c r="C971" s="24"/>
      <c r="D971" s="25"/>
      <c r="E971" s="24"/>
      <c r="F971" s="25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  <c r="AA971" s="50"/>
      <c r="AB971" s="50"/>
      <c r="AC971" s="50"/>
      <c r="AD971" s="50"/>
      <c r="AE971" s="50"/>
      <c r="AF971" s="50"/>
      <c r="AG971" s="50"/>
      <c r="AH971" s="50"/>
      <c r="AI971" s="50"/>
      <c r="AJ971" s="50"/>
    </row>
    <row r="972" spans="3:36" x14ac:dyDescent="0.25">
      <c r="C972" s="24"/>
      <c r="D972" s="25"/>
      <c r="E972" s="24"/>
      <c r="F972" s="25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  <c r="AA972" s="50"/>
      <c r="AB972" s="50"/>
      <c r="AC972" s="50"/>
      <c r="AD972" s="50"/>
      <c r="AE972" s="50"/>
      <c r="AF972" s="50"/>
      <c r="AG972" s="50"/>
      <c r="AH972" s="50"/>
      <c r="AI972" s="50"/>
      <c r="AJ972" s="50"/>
    </row>
    <row r="973" spans="3:36" x14ac:dyDescent="0.25">
      <c r="C973" s="24"/>
      <c r="D973" s="25"/>
      <c r="E973" s="24"/>
      <c r="F973" s="25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  <c r="AA973" s="50"/>
      <c r="AB973" s="50"/>
      <c r="AC973" s="50"/>
      <c r="AD973" s="50"/>
      <c r="AE973" s="50"/>
      <c r="AF973" s="50"/>
      <c r="AG973" s="50"/>
      <c r="AH973" s="50"/>
      <c r="AI973" s="50"/>
      <c r="AJ973" s="50"/>
    </row>
    <row r="974" spans="3:36" x14ac:dyDescent="0.25">
      <c r="C974" s="24"/>
      <c r="D974" s="25"/>
      <c r="E974" s="24"/>
      <c r="F974" s="25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  <c r="AA974" s="50"/>
      <c r="AB974" s="50"/>
      <c r="AC974" s="50"/>
      <c r="AD974" s="50"/>
      <c r="AE974" s="50"/>
      <c r="AF974" s="50"/>
      <c r="AG974" s="50"/>
      <c r="AH974" s="50"/>
      <c r="AI974" s="50"/>
      <c r="AJ974" s="50"/>
    </row>
    <row r="975" spans="3:36" x14ac:dyDescent="0.25">
      <c r="C975" s="24"/>
      <c r="D975" s="25"/>
      <c r="E975" s="24"/>
      <c r="F975" s="25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  <c r="AA975" s="50"/>
      <c r="AB975" s="50"/>
      <c r="AC975" s="50"/>
      <c r="AD975" s="50"/>
      <c r="AE975" s="50"/>
      <c r="AF975" s="50"/>
      <c r="AG975" s="50"/>
      <c r="AH975" s="50"/>
      <c r="AI975" s="50"/>
      <c r="AJ975" s="50"/>
    </row>
    <row r="976" spans="3:36" x14ac:dyDescent="0.25">
      <c r="C976" s="24"/>
      <c r="D976" s="25"/>
      <c r="E976" s="24"/>
      <c r="F976" s="25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  <c r="AA976" s="50"/>
      <c r="AB976" s="50"/>
      <c r="AC976" s="50"/>
      <c r="AD976" s="50"/>
      <c r="AE976" s="50"/>
      <c r="AF976" s="50"/>
      <c r="AG976" s="50"/>
      <c r="AH976" s="50"/>
      <c r="AI976" s="50"/>
      <c r="AJ976" s="50"/>
    </row>
    <row r="977" spans="3:36" x14ac:dyDescent="0.25">
      <c r="C977" s="24"/>
      <c r="D977" s="25"/>
      <c r="E977" s="24"/>
      <c r="F977" s="25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  <c r="AA977" s="50"/>
      <c r="AB977" s="50"/>
      <c r="AC977" s="50"/>
      <c r="AD977" s="50"/>
      <c r="AE977" s="50"/>
      <c r="AF977" s="50"/>
      <c r="AG977" s="50"/>
      <c r="AH977" s="50"/>
      <c r="AI977" s="50"/>
      <c r="AJ977" s="50"/>
    </row>
    <row r="978" spans="3:36" x14ac:dyDescent="0.25">
      <c r="C978" s="24"/>
      <c r="D978" s="25"/>
      <c r="E978" s="24"/>
      <c r="F978" s="25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  <c r="AA978" s="50"/>
      <c r="AB978" s="50"/>
      <c r="AC978" s="50"/>
      <c r="AD978" s="50"/>
      <c r="AE978" s="50"/>
      <c r="AF978" s="50"/>
      <c r="AG978" s="50"/>
      <c r="AH978" s="50"/>
      <c r="AI978" s="50"/>
      <c r="AJ978" s="50"/>
    </row>
    <row r="979" spans="3:36" x14ac:dyDescent="0.25">
      <c r="C979" s="24"/>
      <c r="D979" s="25"/>
      <c r="E979" s="24"/>
      <c r="F979" s="25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  <c r="AA979" s="50"/>
      <c r="AB979" s="50"/>
      <c r="AC979" s="50"/>
      <c r="AD979" s="50"/>
      <c r="AE979" s="50"/>
      <c r="AF979" s="50"/>
      <c r="AG979" s="50"/>
      <c r="AH979" s="50"/>
      <c r="AI979" s="50"/>
      <c r="AJ979" s="50"/>
    </row>
    <row r="980" spans="3:36" x14ac:dyDescent="0.25">
      <c r="C980" s="24"/>
      <c r="D980" s="25"/>
      <c r="E980" s="24"/>
      <c r="F980" s="25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  <c r="AA980" s="50"/>
      <c r="AB980" s="50"/>
      <c r="AC980" s="50"/>
      <c r="AD980" s="50"/>
      <c r="AE980" s="50"/>
      <c r="AF980" s="50"/>
      <c r="AG980" s="50"/>
      <c r="AH980" s="50"/>
      <c r="AI980" s="50"/>
      <c r="AJ980" s="50"/>
    </row>
    <row r="981" spans="3:36" x14ac:dyDescent="0.25">
      <c r="C981" s="24"/>
      <c r="D981" s="25"/>
      <c r="E981" s="24"/>
      <c r="F981" s="25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  <c r="AA981" s="50"/>
      <c r="AB981" s="50"/>
      <c r="AC981" s="50"/>
      <c r="AD981" s="50"/>
      <c r="AE981" s="50"/>
      <c r="AF981" s="50"/>
      <c r="AG981" s="50"/>
      <c r="AH981" s="50"/>
      <c r="AI981" s="50"/>
      <c r="AJ981" s="50"/>
    </row>
    <row r="982" spans="3:36" x14ac:dyDescent="0.25">
      <c r="C982" s="24"/>
      <c r="D982" s="25"/>
      <c r="E982" s="24"/>
      <c r="F982" s="25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  <c r="AA982" s="50"/>
      <c r="AB982" s="50"/>
      <c r="AC982" s="50"/>
      <c r="AD982" s="50"/>
      <c r="AE982" s="50"/>
      <c r="AF982" s="50"/>
      <c r="AG982" s="50"/>
      <c r="AH982" s="50"/>
      <c r="AI982" s="50"/>
      <c r="AJ982" s="50"/>
    </row>
    <row r="983" spans="3:36" x14ac:dyDescent="0.25">
      <c r="C983" s="24"/>
      <c r="D983" s="25"/>
      <c r="E983" s="24"/>
      <c r="F983" s="25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  <c r="AA983" s="50"/>
      <c r="AB983" s="50"/>
      <c r="AC983" s="50"/>
      <c r="AD983" s="50"/>
      <c r="AE983" s="50"/>
      <c r="AF983" s="50"/>
      <c r="AG983" s="50"/>
      <c r="AH983" s="50"/>
      <c r="AI983" s="50"/>
      <c r="AJ983" s="50"/>
    </row>
    <row r="984" spans="3:36" x14ac:dyDescent="0.25">
      <c r="C984" s="24"/>
      <c r="D984" s="25"/>
      <c r="E984" s="24"/>
      <c r="F984" s="25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  <c r="AA984" s="50"/>
      <c r="AB984" s="50"/>
      <c r="AC984" s="50"/>
      <c r="AD984" s="50"/>
      <c r="AE984" s="50"/>
      <c r="AF984" s="50"/>
      <c r="AG984" s="50"/>
      <c r="AH984" s="50"/>
      <c r="AI984" s="50"/>
      <c r="AJ984" s="50"/>
    </row>
    <row r="985" spans="3:36" x14ac:dyDescent="0.25">
      <c r="C985" s="24"/>
      <c r="D985" s="25"/>
      <c r="E985" s="24"/>
      <c r="F985" s="25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  <c r="AA985" s="50"/>
      <c r="AB985" s="50"/>
      <c r="AC985" s="50"/>
      <c r="AD985" s="50"/>
      <c r="AE985" s="50"/>
      <c r="AF985" s="50"/>
      <c r="AG985" s="50"/>
      <c r="AH985" s="50"/>
      <c r="AI985" s="50"/>
      <c r="AJ985" s="50"/>
    </row>
    <row r="986" spans="3:36" x14ac:dyDescent="0.25">
      <c r="C986" s="24"/>
      <c r="D986" s="25"/>
      <c r="E986" s="24"/>
      <c r="F986" s="25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  <c r="AA986" s="50"/>
      <c r="AB986" s="50"/>
      <c r="AC986" s="50"/>
      <c r="AD986" s="50"/>
      <c r="AE986" s="50"/>
      <c r="AF986" s="50"/>
      <c r="AG986" s="50"/>
      <c r="AH986" s="50"/>
      <c r="AI986" s="50"/>
      <c r="AJ986" s="50"/>
    </row>
    <row r="987" spans="3:36" x14ac:dyDescent="0.25">
      <c r="C987" s="24"/>
      <c r="D987" s="25"/>
      <c r="E987" s="24"/>
      <c r="F987" s="25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  <c r="AA987" s="50"/>
      <c r="AB987" s="50"/>
      <c r="AC987" s="50"/>
      <c r="AD987" s="50"/>
      <c r="AE987" s="50"/>
      <c r="AF987" s="50"/>
      <c r="AG987" s="50"/>
      <c r="AH987" s="50"/>
      <c r="AI987" s="50"/>
      <c r="AJ987" s="50"/>
    </row>
    <row r="988" spans="3:36" x14ac:dyDescent="0.25">
      <c r="C988" s="24"/>
      <c r="D988" s="25"/>
      <c r="E988" s="24"/>
      <c r="F988" s="25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  <c r="AA988" s="50"/>
      <c r="AB988" s="50"/>
      <c r="AC988" s="50"/>
      <c r="AD988" s="50"/>
      <c r="AE988" s="50"/>
      <c r="AF988" s="50"/>
      <c r="AG988" s="50"/>
      <c r="AH988" s="50"/>
      <c r="AI988" s="50"/>
      <c r="AJ988" s="50"/>
    </row>
    <row r="989" spans="3:36" x14ac:dyDescent="0.25">
      <c r="C989" s="24"/>
      <c r="D989" s="25"/>
      <c r="E989" s="24"/>
      <c r="F989" s="25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  <c r="AA989" s="50"/>
      <c r="AB989" s="50"/>
      <c r="AC989" s="50"/>
      <c r="AD989" s="50"/>
      <c r="AE989" s="50"/>
      <c r="AF989" s="50"/>
      <c r="AG989" s="50"/>
      <c r="AH989" s="50"/>
      <c r="AI989" s="50"/>
      <c r="AJ989" s="50"/>
    </row>
    <row r="990" spans="3:36" x14ac:dyDescent="0.25">
      <c r="C990" s="24"/>
      <c r="D990" s="25"/>
      <c r="E990" s="24"/>
      <c r="F990" s="25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  <c r="AA990" s="50"/>
      <c r="AB990" s="50"/>
      <c r="AC990" s="50"/>
      <c r="AD990" s="50"/>
      <c r="AE990" s="50"/>
      <c r="AF990" s="50"/>
      <c r="AG990" s="50"/>
      <c r="AH990" s="50"/>
      <c r="AI990" s="50"/>
      <c r="AJ990" s="50"/>
    </row>
    <row r="991" spans="3:36" x14ac:dyDescent="0.25">
      <c r="C991" s="24"/>
      <c r="D991" s="25"/>
      <c r="E991" s="24"/>
      <c r="F991" s="25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  <c r="AA991" s="50"/>
      <c r="AB991" s="50"/>
      <c r="AC991" s="50"/>
      <c r="AD991" s="50"/>
      <c r="AE991" s="50"/>
      <c r="AF991" s="50"/>
      <c r="AG991" s="50"/>
      <c r="AH991" s="50"/>
      <c r="AI991" s="50"/>
      <c r="AJ991" s="50"/>
    </row>
    <row r="992" spans="3:36" x14ac:dyDescent="0.25">
      <c r="C992" s="24"/>
      <c r="D992" s="25"/>
      <c r="E992" s="24"/>
      <c r="F992" s="25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  <c r="AA992" s="50"/>
      <c r="AB992" s="50"/>
      <c r="AC992" s="50"/>
      <c r="AD992" s="50"/>
      <c r="AE992" s="50"/>
      <c r="AF992" s="50"/>
      <c r="AG992" s="50"/>
      <c r="AH992" s="50"/>
      <c r="AI992" s="50"/>
      <c r="AJ992" s="50"/>
    </row>
    <row r="993" spans="3:36" x14ac:dyDescent="0.25">
      <c r="C993" s="24"/>
      <c r="D993" s="25"/>
      <c r="E993" s="24"/>
      <c r="F993" s="25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  <c r="AA993" s="50"/>
      <c r="AB993" s="50"/>
      <c r="AC993" s="50"/>
      <c r="AD993" s="50"/>
      <c r="AE993" s="50"/>
      <c r="AF993" s="50"/>
      <c r="AG993" s="50"/>
      <c r="AH993" s="50"/>
      <c r="AI993" s="50"/>
      <c r="AJ993" s="50"/>
    </row>
    <row r="994" spans="3:36" x14ac:dyDescent="0.25">
      <c r="C994" s="24"/>
      <c r="D994" s="25"/>
      <c r="E994" s="24"/>
      <c r="F994" s="25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  <c r="AA994" s="50"/>
      <c r="AB994" s="50"/>
      <c r="AC994" s="50"/>
      <c r="AD994" s="50"/>
      <c r="AE994" s="50"/>
      <c r="AF994" s="50"/>
      <c r="AG994" s="50"/>
      <c r="AH994" s="50"/>
      <c r="AI994" s="50"/>
      <c r="AJ994" s="50"/>
    </row>
    <row r="995" spans="3:36" x14ac:dyDescent="0.25">
      <c r="C995" s="24"/>
      <c r="D995" s="25"/>
      <c r="E995" s="24"/>
      <c r="F995" s="25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  <c r="AA995" s="50"/>
      <c r="AB995" s="50"/>
      <c r="AC995" s="50"/>
      <c r="AD995" s="50"/>
      <c r="AE995" s="50"/>
      <c r="AF995" s="50"/>
      <c r="AG995" s="50"/>
      <c r="AH995" s="50"/>
      <c r="AI995" s="50"/>
      <c r="AJ995" s="50"/>
    </row>
    <row r="996" spans="3:36" x14ac:dyDescent="0.25">
      <c r="C996" s="24"/>
      <c r="D996" s="25"/>
      <c r="E996" s="24"/>
      <c r="F996" s="25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  <c r="AA996" s="50"/>
      <c r="AB996" s="50"/>
      <c r="AC996" s="50"/>
      <c r="AD996" s="50"/>
      <c r="AE996" s="50"/>
      <c r="AF996" s="50"/>
      <c r="AG996" s="50"/>
      <c r="AH996" s="50"/>
      <c r="AI996" s="50"/>
      <c r="AJ996" s="50"/>
    </row>
    <row r="997" spans="3:36" x14ac:dyDescent="0.25">
      <c r="C997" s="24"/>
      <c r="D997" s="25"/>
      <c r="E997" s="24"/>
      <c r="F997" s="25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  <c r="AA997" s="50"/>
      <c r="AB997" s="50"/>
      <c r="AC997" s="50"/>
      <c r="AD997" s="50"/>
      <c r="AE997" s="50"/>
      <c r="AF997" s="50"/>
      <c r="AG997" s="50"/>
      <c r="AH997" s="50"/>
      <c r="AI997" s="50"/>
      <c r="AJ997" s="50"/>
    </row>
    <row r="998" spans="3:36" x14ac:dyDescent="0.25">
      <c r="C998" s="24"/>
      <c r="D998" s="25"/>
      <c r="E998" s="24"/>
      <c r="F998" s="25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  <c r="AA998" s="50"/>
      <c r="AB998" s="50"/>
      <c r="AC998" s="50"/>
      <c r="AD998" s="50"/>
      <c r="AE998" s="50"/>
      <c r="AF998" s="50"/>
      <c r="AG998" s="50"/>
      <c r="AH998" s="50"/>
      <c r="AI998" s="50"/>
      <c r="AJ998" s="50"/>
    </row>
    <row r="999" spans="3:36" x14ac:dyDescent="0.25">
      <c r="C999" s="24"/>
      <c r="D999" s="25"/>
      <c r="E999" s="24"/>
      <c r="F999" s="25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  <c r="AA999" s="50"/>
      <c r="AB999" s="50"/>
      <c r="AC999" s="50"/>
      <c r="AD999" s="50"/>
      <c r="AE999" s="50"/>
      <c r="AF999" s="50"/>
      <c r="AG999" s="50"/>
      <c r="AH999" s="50"/>
      <c r="AI999" s="50"/>
      <c r="AJ999" s="50"/>
    </row>
    <row r="1000" spans="3:36" x14ac:dyDescent="0.25">
      <c r="C1000" s="24"/>
      <c r="D1000" s="25"/>
      <c r="E1000" s="24"/>
      <c r="F1000" s="25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  <c r="AA1000" s="50"/>
      <c r="AB1000" s="50"/>
      <c r="AC1000" s="50"/>
      <c r="AD1000" s="50"/>
      <c r="AE1000" s="50"/>
      <c r="AF1000" s="50"/>
      <c r="AG1000" s="50"/>
      <c r="AH1000" s="50"/>
      <c r="AI1000" s="50"/>
      <c r="AJ1000" s="50"/>
    </row>
    <row r="1001" spans="3:36" x14ac:dyDescent="0.25"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  <c r="AA1001" s="50"/>
      <c r="AB1001" s="50"/>
      <c r="AC1001" s="50"/>
      <c r="AD1001" s="50"/>
      <c r="AE1001" s="50"/>
      <c r="AF1001" s="50"/>
      <c r="AG1001" s="50"/>
      <c r="AH1001" s="50"/>
      <c r="AI1001" s="50"/>
      <c r="AJ1001" s="50"/>
    </row>
    <row r="1002" spans="3:36" x14ac:dyDescent="0.25"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  <c r="AA1002" s="50"/>
      <c r="AB1002" s="50"/>
      <c r="AC1002" s="50"/>
      <c r="AD1002" s="50"/>
      <c r="AE1002" s="50"/>
      <c r="AF1002" s="50"/>
      <c r="AG1002" s="50"/>
      <c r="AH1002" s="50"/>
      <c r="AI1002" s="50"/>
      <c r="AJ1002" s="50"/>
    </row>
    <row r="1003" spans="3:36" x14ac:dyDescent="0.25"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  <c r="AA1003" s="50"/>
      <c r="AB1003" s="50"/>
      <c r="AC1003" s="50"/>
      <c r="AD1003" s="50"/>
      <c r="AE1003" s="50"/>
      <c r="AF1003" s="50"/>
      <c r="AG1003" s="50"/>
      <c r="AH1003" s="50"/>
      <c r="AI1003" s="50"/>
      <c r="AJ1003" s="50"/>
    </row>
    <row r="1004" spans="3:36" x14ac:dyDescent="0.25"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  <c r="AA1004" s="50"/>
      <c r="AB1004" s="50"/>
      <c r="AC1004" s="50"/>
      <c r="AD1004" s="50"/>
      <c r="AE1004" s="50"/>
      <c r="AF1004" s="50"/>
      <c r="AG1004" s="50"/>
      <c r="AH1004" s="50"/>
      <c r="AI1004" s="50"/>
      <c r="AJ1004" s="50"/>
    </row>
    <row r="1005" spans="3:36" x14ac:dyDescent="0.25"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  <c r="AA1005" s="50"/>
      <c r="AB1005" s="50"/>
      <c r="AC1005" s="50"/>
      <c r="AD1005" s="50"/>
      <c r="AE1005" s="50"/>
      <c r="AF1005" s="50"/>
      <c r="AG1005" s="50"/>
      <c r="AH1005" s="50"/>
      <c r="AI1005" s="50"/>
      <c r="AJ1005" s="50"/>
    </row>
    <row r="1006" spans="3:36" x14ac:dyDescent="0.25"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  <c r="AA1006" s="50"/>
      <c r="AB1006" s="50"/>
      <c r="AC1006" s="50"/>
      <c r="AD1006" s="50"/>
      <c r="AE1006" s="50"/>
      <c r="AF1006" s="50"/>
      <c r="AG1006" s="50"/>
      <c r="AH1006" s="50"/>
      <c r="AI1006" s="50"/>
      <c r="AJ1006" s="50"/>
    </row>
    <row r="1007" spans="3:36" x14ac:dyDescent="0.25"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  <c r="AA1007" s="50"/>
      <c r="AB1007" s="50"/>
      <c r="AC1007" s="50"/>
      <c r="AD1007" s="50"/>
      <c r="AE1007" s="50"/>
      <c r="AF1007" s="50"/>
      <c r="AG1007" s="50"/>
      <c r="AH1007" s="50"/>
      <c r="AI1007" s="50"/>
      <c r="AJ1007" s="50"/>
    </row>
    <row r="1008" spans="3:36" x14ac:dyDescent="0.25"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  <c r="AA1008" s="50"/>
      <c r="AB1008" s="50"/>
      <c r="AC1008" s="50"/>
      <c r="AD1008" s="50"/>
      <c r="AE1008" s="50"/>
      <c r="AF1008" s="50"/>
      <c r="AG1008" s="50"/>
      <c r="AH1008" s="50"/>
      <c r="AI1008" s="50"/>
      <c r="AJ1008" s="50"/>
    </row>
    <row r="1009" spans="7:36" x14ac:dyDescent="0.25"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  <c r="AA1009" s="50"/>
      <c r="AB1009" s="50"/>
      <c r="AC1009" s="50"/>
      <c r="AD1009" s="50"/>
      <c r="AE1009" s="50"/>
      <c r="AF1009" s="50"/>
      <c r="AG1009" s="50"/>
      <c r="AH1009" s="50"/>
      <c r="AI1009" s="50"/>
      <c r="AJ1009" s="50"/>
    </row>
    <row r="1010" spans="7:36" x14ac:dyDescent="0.25"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  <c r="AA1010" s="50"/>
      <c r="AB1010" s="50"/>
      <c r="AC1010" s="50"/>
      <c r="AD1010" s="50"/>
      <c r="AE1010" s="50"/>
      <c r="AF1010" s="50"/>
      <c r="AG1010" s="50"/>
      <c r="AH1010" s="50"/>
      <c r="AI1010" s="50"/>
      <c r="AJ1010" s="50"/>
    </row>
    <row r="1011" spans="7:36" x14ac:dyDescent="0.25"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  <c r="AA1011" s="50"/>
      <c r="AB1011" s="50"/>
      <c r="AC1011" s="50"/>
      <c r="AD1011" s="50"/>
      <c r="AE1011" s="50"/>
      <c r="AF1011" s="50"/>
      <c r="AG1011" s="50"/>
      <c r="AH1011" s="50"/>
      <c r="AI1011" s="50"/>
      <c r="AJ1011" s="50"/>
    </row>
    <row r="1012" spans="7:36" x14ac:dyDescent="0.25"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  <c r="AA1012" s="50"/>
      <c r="AB1012" s="50"/>
      <c r="AC1012" s="50"/>
      <c r="AD1012" s="50"/>
      <c r="AE1012" s="50"/>
      <c r="AF1012" s="50"/>
      <c r="AG1012" s="50"/>
      <c r="AH1012" s="50"/>
      <c r="AI1012" s="50"/>
      <c r="AJ1012" s="50"/>
    </row>
    <row r="1013" spans="7:36" x14ac:dyDescent="0.25"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  <c r="AA1013" s="50"/>
      <c r="AB1013" s="50"/>
      <c r="AC1013" s="50"/>
      <c r="AD1013" s="50"/>
      <c r="AE1013" s="50"/>
      <c r="AF1013" s="50"/>
      <c r="AG1013" s="50"/>
      <c r="AH1013" s="50"/>
      <c r="AI1013" s="50"/>
      <c r="AJ1013" s="50"/>
    </row>
    <row r="1014" spans="7:36" x14ac:dyDescent="0.25"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  <c r="AA1014" s="50"/>
      <c r="AB1014" s="50"/>
      <c r="AC1014" s="50"/>
      <c r="AD1014" s="50"/>
      <c r="AE1014" s="50"/>
      <c r="AF1014" s="50"/>
      <c r="AG1014" s="50"/>
      <c r="AH1014" s="50"/>
      <c r="AI1014" s="50"/>
      <c r="AJ1014" s="50"/>
    </row>
    <row r="1015" spans="7:36" x14ac:dyDescent="0.25"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  <c r="AA1015" s="50"/>
      <c r="AB1015" s="50"/>
      <c r="AC1015" s="50"/>
      <c r="AD1015" s="50"/>
      <c r="AE1015" s="50"/>
      <c r="AF1015" s="50"/>
      <c r="AG1015" s="50"/>
      <c r="AH1015" s="50"/>
      <c r="AI1015" s="50"/>
      <c r="AJ1015" s="50"/>
    </row>
    <row r="1016" spans="7:36" x14ac:dyDescent="0.25"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  <c r="AA1016" s="50"/>
      <c r="AB1016" s="50"/>
      <c r="AC1016" s="50"/>
      <c r="AD1016" s="50"/>
      <c r="AE1016" s="50"/>
      <c r="AF1016" s="50"/>
      <c r="AG1016" s="50"/>
      <c r="AH1016" s="50"/>
      <c r="AI1016" s="50"/>
      <c r="AJ1016" s="50"/>
    </row>
    <row r="1017" spans="7:36" x14ac:dyDescent="0.25"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  <c r="AA1017" s="50"/>
      <c r="AB1017" s="50"/>
      <c r="AC1017" s="50"/>
      <c r="AD1017" s="50"/>
      <c r="AE1017" s="50"/>
      <c r="AF1017" s="50"/>
      <c r="AG1017" s="50"/>
      <c r="AH1017" s="50"/>
      <c r="AI1017" s="50"/>
      <c r="AJ1017" s="50"/>
    </row>
    <row r="1018" spans="7:36" x14ac:dyDescent="0.25"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  <c r="AA1018" s="50"/>
      <c r="AB1018" s="50"/>
      <c r="AC1018" s="50"/>
      <c r="AD1018" s="50"/>
      <c r="AE1018" s="50"/>
      <c r="AF1018" s="50"/>
      <c r="AG1018" s="50"/>
      <c r="AH1018" s="50"/>
      <c r="AI1018" s="50"/>
      <c r="AJ1018" s="50"/>
    </row>
    <row r="1019" spans="7:36" x14ac:dyDescent="0.25"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  <c r="AA1019" s="50"/>
      <c r="AB1019" s="50"/>
      <c r="AC1019" s="50"/>
      <c r="AD1019" s="50"/>
      <c r="AE1019" s="50"/>
      <c r="AF1019" s="50"/>
      <c r="AG1019" s="50"/>
      <c r="AH1019" s="50"/>
      <c r="AI1019" s="50"/>
      <c r="AJ1019" s="50"/>
    </row>
    <row r="1020" spans="7:36" x14ac:dyDescent="0.25"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  <c r="AA1020" s="50"/>
      <c r="AB1020" s="50"/>
      <c r="AC1020" s="50"/>
      <c r="AD1020" s="50"/>
      <c r="AE1020" s="50"/>
      <c r="AF1020" s="50"/>
      <c r="AG1020" s="50"/>
      <c r="AH1020" s="50"/>
      <c r="AI1020" s="50"/>
      <c r="AJ1020" s="50"/>
    </row>
    <row r="1021" spans="7:36" x14ac:dyDescent="0.25"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  <c r="AA1021" s="50"/>
      <c r="AB1021" s="50"/>
      <c r="AC1021" s="50"/>
      <c r="AD1021" s="50"/>
      <c r="AE1021" s="50"/>
      <c r="AF1021" s="50"/>
      <c r="AG1021" s="50"/>
      <c r="AH1021" s="50"/>
      <c r="AI1021" s="50"/>
      <c r="AJ1021" s="50"/>
    </row>
    <row r="1022" spans="7:36" x14ac:dyDescent="0.25"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  <c r="AA1022" s="50"/>
      <c r="AB1022" s="50"/>
      <c r="AC1022" s="50"/>
      <c r="AD1022" s="50"/>
      <c r="AE1022" s="50"/>
      <c r="AF1022" s="50"/>
      <c r="AG1022" s="50"/>
      <c r="AH1022" s="50"/>
      <c r="AI1022" s="50"/>
      <c r="AJ1022" s="50"/>
    </row>
    <row r="1023" spans="7:36" x14ac:dyDescent="0.25"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  <c r="AA1023" s="50"/>
      <c r="AB1023" s="50"/>
      <c r="AC1023" s="50"/>
      <c r="AD1023" s="50"/>
      <c r="AE1023" s="50"/>
      <c r="AF1023" s="50"/>
      <c r="AG1023" s="50"/>
      <c r="AH1023" s="50"/>
      <c r="AI1023" s="50"/>
      <c r="AJ1023" s="50"/>
    </row>
    <row r="1024" spans="7:36" x14ac:dyDescent="0.25"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  <c r="AA1024" s="50"/>
      <c r="AB1024" s="50"/>
      <c r="AC1024" s="50"/>
      <c r="AD1024" s="50"/>
      <c r="AE1024" s="50"/>
      <c r="AF1024" s="50"/>
      <c r="AG1024" s="50"/>
      <c r="AH1024" s="50"/>
      <c r="AI1024" s="50"/>
      <c r="AJ1024" s="50"/>
    </row>
    <row r="1025" spans="7:36" x14ac:dyDescent="0.25"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  <c r="AA1025" s="50"/>
      <c r="AB1025" s="50"/>
      <c r="AC1025" s="50"/>
      <c r="AD1025" s="50"/>
      <c r="AE1025" s="50"/>
      <c r="AF1025" s="50"/>
      <c r="AG1025" s="50"/>
      <c r="AH1025" s="50"/>
      <c r="AI1025" s="50"/>
      <c r="AJ1025" s="50"/>
    </row>
    <row r="1026" spans="7:36" x14ac:dyDescent="0.25"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  <c r="AA1026" s="50"/>
      <c r="AB1026" s="50"/>
      <c r="AC1026" s="50"/>
      <c r="AD1026" s="50"/>
      <c r="AE1026" s="50"/>
      <c r="AF1026" s="50"/>
      <c r="AG1026" s="50"/>
      <c r="AH1026" s="50"/>
      <c r="AI1026" s="50"/>
      <c r="AJ1026" s="50"/>
    </row>
    <row r="1027" spans="7:36" x14ac:dyDescent="0.25"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  <c r="AA1027" s="50"/>
      <c r="AB1027" s="50"/>
      <c r="AC1027" s="50"/>
      <c r="AD1027" s="50"/>
      <c r="AE1027" s="50"/>
      <c r="AF1027" s="50"/>
      <c r="AG1027" s="50"/>
      <c r="AH1027" s="50"/>
      <c r="AI1027" s="50"/>
      <c r="AJ1027" s="50"/>
    </row>
    <row r="1028" spans="7:36" x14ac:dyDescent="0.25"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  <c r="AA1028" s="50"/>
      <c r="AB1028" s="50"/>
      <c r="AC1028" s="50"/>
      <c r="AD1028" s="50"/>
      <c r="AE1028" s="50"/>
      <c r="AF1028" s="50"/>
      <c r="AG1028" s="50"/>
      <c r="AH1028" s="50"/>
      <c r="AI1028" s="50"/>
      <c r="AJ1028" s="50"/>
    </row>
    <row r="1029" spans="7:36" x14ac:dyDescent="0.25"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  <c r="AA1029" s="50"/>
      <c r="AB1029" s="50"/>
      <c r="AC1029" s="50"/>
      <c r="AD1029" s="50"/>
      <c r="AE1029" s="50"/>
      <c r="AF1029" s="50"/>
      <c r="AG1029" s="50"/>
      <c r="AH1029" s="50"/>
      <c r="AI1029" s="50"/>
      <c r="AJ1029" s="50"/>
    </row>
    <row r="1030" spans="7:36" x14ac:dyDescent="0.25"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  <c r="AA1030" s="50"/>
      <c r="AB1030" s="50"/>
      <c r="AC1030" s="50"/>
      <c r="AD1030" s="50"/>
      <c r="AE1030" s="50"/>
      <c r="AF1030" s="50"/>
      <c r="AG1030" s="50"/>
      <c r="AH1030" s="50"/>
      <c r="AI1030" s="50"/>
      <c r="AJ1030" s="50"/>
    </row>
    <row r="1031" spans="7:36" x14ac:dyDescent="0.25"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  <c r="AA1031" s="50"/>
      <c r="AB1031" s="50"/>
      <c r="AC1031" s="50"/>
      <c r="AD1031" s="50"/>
      <c r="AE1031" s="50"/>
      <c r="AF1031" s="50"/>
      <c r="AG1031" s="50"/>
      <c r="AH1031" s="50"/>
      <c r="AI1031" s="50"/>
      <c r="AJ1031" s="50"/>
    </row>
    <row r="1032" spans="7:36" x14ac:dyDescent="0.25"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  <c r="AA1032" s="50"/>
      <c r="AB1032" s="50"/>
      <c r="AC1032" s="50"/>
      <c r="AD1032" s="50"/>
      <c r="AE1032" s="50"/>
      <c r="AF1032" s="50"/>
      <c r="AG1032" s="50"/>
      <c r="AH1032" s="50"/>
      <c r="AI1032" s="50"/>
      <c r="AJ1032" s="50"/>
    </row>
    <row r="1033" spans="7:36" x14ac:dyDescent="0.25"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  <c r="AA1033" s="50"/>
      <c r="AB1033" s="50"/>
      <c r="AC1033" s="50"/>
      <c r="AD1033" s="50"/>
      <c r="AE1033" s="50"/>
      <c r="AF1033" s="50"/>
      <c r="AG1033" s="50"/>
      <c r="AH1033" s="50"/>
      <c r="AI1033" s="50"/>
      <c r="AJ1033" s="50"/>
    </row>
    <row r="1034" spans="7:36" x14ac:dyDescent="0.25"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  <c r="AA1034" s="50"/>
      <c r="AB1034" s="50"/>
      <c r="AC1034" s="50"/>
      <c r="AD1034" s="50"/>
      <c r="AE1034" s="50"/>
      <c r="AF1034" s="50"/>
      <c r="AG1034" s="50"/>
      <c r="AH1034" s="50"/>
      <c r="AI1034" s="50"/>
      <c r="AJ1034" s="50"/>
    </row>
    <row r="1035" spans="7:36" x14ac:dyDescent="0.25"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  <c r="AA1035" s="50"/>
      <c r="AB1035" s="50"/>
      <c r="AC1035" s="50"/>
      <c r="AD1035" s="50"/>
      <c r="AE1035" s="50"/>
      <c r="AF1035" s="50"/>
      <c r="AG1035" s="50"/>
      <c r="AH1035" s="50"/>
      <c r="AI1035" s="50"/>
      <c r="AJ1035" s="50"/>
    </row>
    <row r="1036" spans="7:36" x14ac:dyDescent="0.25"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  <c r="AA1036" s="50"/>
      <c r="AB1036" s="50"/>
      <c r="AC1036" s="50"/>
      <c r="AD1036" s="50"/>
      <c r="AE1036" s="50"/>
      <c r="AF1036" s="50"/>
      <c r="AG1036" s="50"/>
      <c r="AH1036" s="50"/>
      <c r="AI1036" s="50"/>
      <c r="AJ1036" s="50"/>
    </row>
    <row r="1037" spans="7:36" x14ac:dyDescent="0.25"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  <c r="AA1037" s="50"/>
      <c r="AB1037" s="50"/>
      <c r="AC1037" s="50"/>
      <c r="AD1037" s="50"/>
      <c r="AE1037" s="50"/>
      <c r="AF1037" s="50"/>
      <c r="AG1037" s="50"/>
      <c r="AH1037" s="50"/>
      <c r="AI1037" s="50"/>
      <c r="AJ1037" s="50"/>
    </row>
    <row r="1038" spans="7:36" x14ac:dyDescent="0.25"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  <c r="AA1038" s="50"/>
      <c r="AB1038" s="50"/>
      <c r="AC1038" s="50"/>
      <c r="AD1038" s="50"/>
      <c r="AE1038" s="50"/>
      <c r="AF1038" s="50"/>
      <c r="AG1038" s="50"/>
      <c r="AH1038" s="50"/>
      <c r="AI1038" s="50"/>
      <c r="AJ1038" s="50"/>
    </row>
    <row r="1039" spans="7:36" x14ac:dyDescent="0.25"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  <c r="AA1039" s="50"/>
      <c r="AB1039" s="50"/>
      <c r="AC1039" s="50"/>
      <c r="AD1039" s="50"/>
      <c r="AE1039" s="50"/>
      <c r="AF1039" s="50"/>
      <c r="AG1039" s="50"/>
      <c r="AH1039" s="50"/>
      <c r="AI1039" s="50"/>
      <c r="AJ1039" s="50"/>
    </row>
    <row r="1040" spans="7:36" x14ac:dyDescent="0.25"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  <c r="AA1040" s="50"/>
      <c r="AB1040" s="50"/>
      <c r="AC1040" s="50"/>
      <c r="AD1040" s="50"/>
      <c r="AE1040" s="50"/>
      <c r="AF1040" s="50"/>
      <c r="AG1040" s="50"/>
      <c r="AH1040" s="50"/>
      <c r="AI1040" s="50"/>
      <c r="AJ1040" s="50"/>
    </row>
    <row r="1041" spans="7:36" x14ac:dyDescent="0.25"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  <c r="AA1041" s="50"/>
      <c r="AB1041" s="50"/>
      <c r="AC1041" s="50"/>
      <c r="AD1041" s="50"/>
      <c r="AE1041" s="50"/>
      <c r="AF1041" s="50"/>
      <c r="AG1041" s="50"/>
      <c r="AH1041" s="50"/>
      <c r="AI1041" s="50"/>
      <c r="AJ1041" s="50"/>
    </row>
    <row r="1042" spans="7:36" x14ac:dyDescent="0.25"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  <c r="AA1042" s="50"/>
      <c r="AB1042" s="50"/>
      <c r="AC1042" s="50"/>
      <c r="AD1042" s="50"/>
      <c r="AE1042" s="50"/>
      <c r="AF1042" s="50"/>
      <c r="AG1042" s="50"/>
      <c r="AH1042" s="50"/>
      <c r="AI1042" s="50"/>
      <c r="AJ1042" s="50"/>
    </row>
    <row r="1043" spans="7:36" x14ac:dyDescent="0.25"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  <c r="AA1043" s="50"/>
      <c r="AB1043" s="50"/>
      <c r="AC1043" s="50"/>
      <c r="AD1043" s="50"/>
      <c r="AE1043" s="50"/>
      <c r="AF1043" s="50"/>
      <c r="AG1043" s="50"/>
      <c r="AH1043" s="50"/>
      <c r="AI1043" s="50"/>
      <c r="AJ1043" s="50"/>
    </row>
    <row r="1044" spans="7:36" x14ac:dyDescent="0.25"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  <c r="AA1044" s="50"/>
      <c r="AB1044" s="50"/>
      <c r="AC1044" s="50"/>
      <c r="AD1044" s="50"/>
      <c r="AE1044" s="50"/>
      <c r="AF1044" s="50"/>
      <c r="AG1044" s="50"/>
      <c r="AH1044" s="50"/>
      <c r="AI1044" s="50"/>
      <c r="AJ1044" s="50"/>
    </row>
    <row r="1045" spans="7:36" x14ac:dyDescent="0.25"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  <c r="AA1045" s="50"/>
      <c r="AB1045" s="50"/>
      <c r="AC1045" s="50"/>
      <c r="AD1045" s="50"/>
      <c r="AE1045" s="50"/>
      <c r="AF1045" s="50"/>
      <c r="AG1045" s="50"/>
      <c r="AH1045" s="50"/>
      <c r="AI1045" s="50"/>
      <c r="AJ1045" s="50"/>
    </row>
    <row r="1046" spans="7:36" x14ac:dyDescent="0.25"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  <c r="AA1046" s="50"/>
      <c r="AB1046" s="50"/>
      <c r="AC1046" s="50"/>
      <c r="AD1046" s="50"/>
      <c r="AE1046" s="50"/>
      <c r="AF1046" s="50"/>
      <c r="AG1046" s="50"/>
      <c r="AH1046" s="50"/>
      <c r="AI1046" s="50"/>
      <c r="AJ1046" s="50"/>
    </row>
    <row r="1047" spans="7:36" x14ac:dyDescent="0.25"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  <c r="AA1047" s="50"/>
      <c r="AB1047" s="50"/>
      <c r="AC1047" s="50"/>
      <c r="AD1047" s="50"/>
      <c r="AE1047" s="50"/>
      <c r="AF1047" s="50"/>
      <c r="AG1047" s="50"/>
      <c r="AH1047" s="50"/>
      <c r="AI1047" s="50"/>
      <c r="AJ1047" s="50"/>
    </row>
    <row r="1048" spans="7:36" x14ac:dyDescent="0.25"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  <c r="AA1048" s="50"/>
      <c r="AB1048" s="50"/>
      <c r="AC1048" s="50"/>
      <c r="AD1048" s="50"/>
      <c r="AE1048" s="50"/>
      <c r="AF1048" s="50"/>
      <c r="AG1048" s="50"/>
      <c r="AH1048" s="50"/>
      <c r="AI1048" s="50"/>
      <c r="AJ1048" s="50"/>
    </row>
    <row r="1049" spans="7:36" x14ac:dyDescent="0.25"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  <c r="AA1049" s="50"/>
      <c r="AB1049" s="50"/>
      <c r="AC1049" s="50"/>
      <c r="AD1049" s="50"/>
      <c r="AE1049" s="50"/>
      <c r="AF1049" s="50"/>
      <c r="AG1049" s="50"/>
      <c r="AH1049" s="50"/>
      <c r="AI1049" s="50"/>
      <c r="AJ1049" s="50"/>
    </row>
    <row r="1050" spans="7:36" x14ac:dyDescent="0.25"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  <c r="AA1050" s="50"/>
      <c r="AB1050" s="50"/>
      <c r="AC1050" s="50"/>
      <c r="AD1050" s="50"/>
      <c r="AE1050" s="50"/>
      <c r="AF1050" s="50"/>
      <c r="AG1050" s="50"/>
      <c r="AH1050" s="50"/>
      <c r="AI1050" s="50"/>
      <c r="AJ1050" s="50"/>
    </row>
    <row r="1051" spans="7:36" x14ac:dyDescent="0.25"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  <c r="AA1051" s="50"/>
      <c r="AB1051" s="50"/>
      <c r="AC1051" s="50"/>
      <c r="AD1051" s="50"/>
      <c r="AE1051" s="50"/>
      <c r="AF1051" s="50"/>
      <c r="AG1051" s="50"/>
      <c r="AH1051" s="50"/>
      <c r="AI1051" s="50"/>
      <c r="AJ1051" s="50"/>
    </row>
    <row r="1052" spans="7:36" x14ac:dyDescent="0.25"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  <c r="AA1052" s="50"/>
      <c r="AB1052" s="50"/>
      <c r="AC1052" s="50"/>
      <c r="AD1052" s="50"/>
      <c r="AE1052" s="50"/>
      <c r="AF1052" s="50"/>
      <c r="AG1052" s="50"/>
      <c r="AH1052" s="50"/>
      <c r="AI1052" s="50"/>
      <c r="AJ1052" s="50"/>
    </row>
    <row r="1053" spans="7:36" x14ac:dyDescent="0.25"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  <c r="AA1053" s="50"/>
      <c r="AB1053" s="50"/>
      <c r="AC1053" s="50"/>
      <c r="AD1053" s="50"/>
      <c r="AE1053" s="50"/>
      <c r="AF1053" s="50"/>
      <c r="AG1053" s="50"/>
      <c r="AH1053" s="50"/>
      <c r="AI1053" s="50"/>
      <c r="AJ1053" s="50"/>
    </row>
    <row r="1054" spans="7:36" x14ac:dyDescent="0.25"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  <c r="AA1054" s="50"/>
      <c r="AB1054" s="50"/>
      <c r="AC1054" s="50"/>
      <c r="AD1054" s="50"/>
      <c r="AE1054" s="50"/>
      <c r="AF1054" s="50"/>
      <c r="AG1054" s="50"/>
      <c r="AH1054" s="50"/>
      <c r="AI1054" s="50"/>
      <c r="AJ1054" s="50"/>
    </row>
    <row r="1055" spans="7:36" x14ac:dyDescent="0.25"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  <c r="AA1055" s="50"/>
      <c r="AB1055" s="50"/>
      <c r="AC1055" s="50"/>
      <c r="AD1055" s="50"/>
      <c r="AE1055" s="50"/>
      <c r="AF1055" s="50"/>
      <c r="AG1055" s="50"/>
      <c r="AH1055" s="50"/>
      <c r="AI1055" s="50"/>
      <c r="AJ1055" s="50"/>
    </row>
    <row r="1056" spans="7:36" x14ac:dyDescent="0.25"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  <c r="AA1056" s="50"/>
      <c r="AB1056" s="50"/>
      <c r="AC1056" s="50"/>
      <c r="AD1056" s="50"/>
      <c r="AE1056" s="50"/>
      <c r="AF1056" s="50"/>
      <c r="AG1056" s="50"/>
      <c r="AH1056" s="50"/>
      <c r="AI1056" s="50"/>
      <c r="AJ1056" s="50"/>
    </row>
    <row r="1057" spans="7:36" x14ac:dyDescent="0.25"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  <c r="AA1057" s="50"/>
      <c r="AB1057" s="50"/>
      <c r="AC1057" s="50"/>
      <c r="AD1057" s="50"/>
      <c r="AE1057" s="50"/>
      <c r="AF1057" s="50"/>
      <c r="AG1057" s="50"/>
      <c r="AH1057" s="50"/>
      <c r="AI1057" s="50"/>
      <c r="AJ1057" s="50"/>
    </row>
    <row r="1058" spans="7:36" x14ac:dyDescent="0.25"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  <c r="AA1058" s="50"/>
      <c r="AB1058" s="50"/>
      <c r="AC1058" s="50"/>
      <c r="AD1058" s="50"/>
      <c r="AE1058" s="50"/>
      <c r="AF1058" s="50"/>
      <c r="AG1058" s="50"/>
      <c r="AH1058" s="50"/>
      <c r="AI1058" s="50"/>
      <c r="AJ1058" s="50"/>
    </row>
    <row r="1059" spans="7:36" x14ac:dyDescent="0.25"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  <c r="AA1059" s="50"/>
      <c r="AB1059" s="50"/>
      <c r="AC1059" s="50"/>
      <c r="AD1059" s="50"/>
      <c r="AE1059" s="50"/>
      <c r="AF1059" s="50"/>
      <c r="AG1059" s="50"/>
      <c r="AH1059" s="50"/>
      <c r="AI1059" s="50"/>
      <c r="AJ1059" s="50"/>
    </row>
    <row r="1060" spans="7:36" x14ac:dyDescent="0.25"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  <c r="AA1060" s="50"/>
      <c r="AB1060" s="50"/>
      <c r="AC1060" s="50"/>
      <c r="AD1060" s="50"/>
      <c r="AE1060" s="50"/>
      <c r="AF1060" s="50"/>
      <c r="AG1060" s="50"/>
      <c r="AH1060" s="50"/>
      <c r="AI1060" s="50"/>
      <c r="AJ1060" s="50"/>
    </row>
    <row r="1061" spans="7:36" x14ac:dyDescent="0.25"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  <c r="AA1061" s="50"/>
      <c r="AB1061" s="50"/>
      <c r="AC1061" s="50"/>
      <c r="AD1061" s="50"/>
      <c r="AE1061" s="50"/>
      <c r="AF1061" s="50"/>
      <c r="AG1061" s="50"/>
      <c r="AH1061" s="50"/>
      <c r="AI1061" s="50"/>
      <c r="AJ1061" s="50"/>
    </row>
    <row r="1062" spans="7:36" x14ac:dyDescent="0.25"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  <c r="AA1062" s="50"/>
      <c r="AB1062" s="50"/>
      <c r="AC1062" s="50"/>
      <c r="AD1062" s="50"/>
      <c r="AE1062" s="50"/>
      <c r="AF1062" s="50"/>
      <c r="AG1062" s="50"/>
      <c r="AH1062" s="50"/>
      <c r="AI1062" s="50"/>
      <c r="AJ1062" s="50"/>
    </row>
    <row r="1063" spans="7:36" x14ac:dyDescent="0.25"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  <c r="AA1063" s="50"/>
      <c r="AB1063" s="50"/>
      <c r="AC1063" s="50"/>
      <c r="AD1063" s="50"/>
      <c r="AE1063" s="50"/>
      <c r="AF1063" s="50"/>
      <c r="AG1063" s="50"/>
      <c r="AH1063" s="50"/>
      <c r="AI1063" s="50"/>
      <c r="AJ1063" s="50"/>
    </row>
    <row r="1064" spans="7:36" x14ac:dyDescent="0.25"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  <c r="AA1064" s="50"/>
      <c r="AB1064" s="50"/>
      <c r="AC1064" s="50"/>
      <c r="AD1064" s="50"/>
      <c r="AE1064" s="50"/>
      <c r="AF1064" s="50"/>
      <c r="AG1064" s="50"/>
      <c r="AH1064" s="50"/>
      <c r="AI1064" s="50"/>
      <c r="AJ1064" s="50"/>
    </row>
    <row r="1065" spans="7:36" x14ac:dyDescent="0.25"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  <c r="AA1065" s="50"/>
      <c r="AB1065" s="50"/>
      <c r="AC1065" s="50"/>
      <c r="AD1065" s="50"/>
      <c r="AE1065" s="50"/>
      <c r="AF1065" s="50"/>
      <c r="AG1065" s="50"/>
      <c r="AH1065" s="50"/>
      <c r="AI1065" s="50"/>
      <c r="AJ1065" s="50"/>
    </row>
    <row r="1066" spans="7:36" x14ac:dyDescent="0.25"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  <c r="AA1066" s="50"/>
      <c r="AB1066" s="50"/>
      <c r="AC1066" s="50"/>
      <c r="AD1066" s="50"/>
      <c r="AE1066" s="50"/>
      <c r="AF1066" s="50"/>
      <c r="AG1066" s="50"/>
      <c r="AH1066" s="50"/>
      <c r="AI1066" s="50"/>
      <c r="AJ1066" s="50"/>
    </row>
    <row r="1067" spans="7:36" x14ac:dyDescent="0.25"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  <c r="AA1067" s="50"/>
      <c r="AB1067" s="50"/>
      <c r="AC1067" s="50"/>
      <c r="AD1067" s="50"/>
      <c r="AE1067" s="50"/>
      <c r="AF1067" s="50"/>
      <c r="AG1067" s="50"/>
      <c r="AH1067" s="50"/>
      <c r="AI1067" s="50"/>
      <c r="AJ1067" s="50"/>
    </row>
    <row r="1068" spans="7:36" x14ac:dyDescent="0.25"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  <c r="AA1068" s="50"/>
      <c r="AB1068" s="50"/>
      <c r="AC1068" s="50"/>
      <c r="AD1068" s="50"/>
      <c r="AE1068" s="50"/>
      <c r="AF1068" s="50"/>
      <c r="AG1068" s="50"/>
      <c r="AH1068" s="50"/>
      <c r="AI1068" s="50"/>
      <c r="AJ1068" s="50"/>
    </row>
    <row r="1069" spans="7:36" x14ac:dyDescent="0.25"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  <c r="AA1069" s="50"/>
      <c r="AB1069" s="50"/>
      <c r="AC1069" s="50"/>
      <c r="AD1069" s="50"/>
      <c r="AE1069" s="50"/>
      <c r="AF1069" s="50"/>
      <c r="AG1069" s="50"/>
      <c r="AH1069" s="50"/>
      <c r="AI1069" s="50"/>
      <c r="AJ1069" s="50"/>
    </row>
    <row r="1070" spans="7:36" x14ac:dyDescent="0.25"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  <c r="AA1070" s="50"/>
      <c r="AB1070" s="50"/>
      <c r="AC1070" s="50"/>
      <c r="AD1070" s="50"/>
      <c r="AE1070" s="50"/>
      <c r="AF1070" s="50"/>
      <c r="AG1070" s="50"/>
      <c r="AH1070" s="50"/>
      <c r="AI1070" s="50"/>
      <c r="AJ1070" s="50"/>
    </row>
    <row r="1071" spans="7:36" x14ac:dyDescent="0.25"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  <c r="AA1071" s="50"/>
      <c r="AB1071" s="50"/>
      <c r="AC1071" s="50"/>
      <c r="AD1071" s="50"/>
      <c r="AE1071" s="50"/>
      <c r="AF1071" s="50"/>
      <c r="AG1071" s="50"/>
      <c r="AH1071" s="50"/>
      <c r="AI1071" s="50"/>
      <c r="AJ1071" s="50"/>
    </row>
    <row r="1072" spans="7:36" x14ac:dyDescent="0.25"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  <c r="AA1072" s="50"/>
      <c r="AB1072" s="50"/>
      <c r="AC1072" s="50"/>
      <c r="AD1072" s="50"/>
      <c r="AE1072" s="50"/>
      <c r="AF1072" s="50"/>
      <c r="AG1072" s="50"/>
      <c r="AH1072" s="50"/>
      <c r="AI1072" s="50"/>
      <c r="AJ1072" s="50"/>
    </row>
    <row r="1073" spans="7:36" x14ac:dyDescent="0.25"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  <c r="AA1073" s="50"/>
      <c r="AB1073" s="50"/>
      <c r="AC1073" s="50"/>
      <c r="AD1073" s="50"/>
      <c r="AE1073" s="50"/>
      <c r="AF1073" s="50"/>
      <c r="AG1073" s="50"/>
      <c r="AH1073" s="50"/>
      <c r="AI1073" s="50"/>
      <c r="AJ1073" s="50"/>
    </row>
    <row r="1074" spans="7:36" x14ac:dyDescent="0.25"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  <c r="AA1074" s="50"/>
      <c r="AB1074" s="50"/>
      <c r="AC1074" s="50"/>
      <c r="AD1074" s="50"/>
      <c r="AE1074" s="50"/>
      <c r="AF1074" s="50"/>
      <c r="AG1074" s="50"/>
      <c r="AH1074" s="50"/>
      <c r="AI1074" s="50"/>
      <c r="AJ1074" s="50"/>
    </row>
    <row r="1075" spans="7:36" x14ac:dyDescent="0.25"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  <c r="AA1075" s="50"/>
      <c r="AB1075" s="50"/>
      <c r="AC1075" s="50"/>
      <c r="AD1075" s="50"/>
      <c r="AE1075" s="50"/>
      <c r="AF1075" s="50"/>
      <c r="AG1075" s="50"/>
      <c r="AH1075" s="50"/>
      <c r="AI1075" s="50"/>
      <c r="AJ1075" s="50"/>
    </row>
    <row r="1076" spans="7:36" x14ac:dyDescent="0.25"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  <c r="AA1076" s="50"/>
      <c r="AB1076" s="50"/>
      <c r="AC1076" s="50"/>
      <c r="AD1076" s="50"/>
      <c r="AE1076" s="50"/>
      <c r="AF1076" s="50"/>
      <c r="AG1076" s="50"/>
      <c r="AH1076" s="50"/>
      <c r="AI1076" s="50"/>
      <c r="AJ1076" s="50"/>
    </row>
    <row r="1077" spans="7:36" x14ac:dyDescent="0.25"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  <c r="AA1077" s="50"/>
      <c r="AB1077" s="50"/>
      <c r="AC1077" s="50"/>
      <c r="AD1077" s="50"/>
      <c r="AE1077" s="50"/>
      <c r="AF1077" s="50"/>
      <c r="AG1077" s="50"/>
      <c r="AH1077" s="50"/>
      <c r="AI1077" s="50"/>
      <c r="AJ1077" s="50"/>
    </row>
    <row r="1078" spans="7:36" x14ac:dyDescent="0.25"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  <c r="AA1078" s="50"/>
      <c r="AB1078" s="50"/>
      <c r="AC1078" s="50"/>
      <c r="AD1078" s="50"/>
      <c r="AE1078" s="50"/>
      <c r="AF1078" s="50"/>
      <c r="AG1078" s="50"/>
      <c r="AH1078" s="50"/>
      <c r="AI1078" s="50"/>
      <c r="AJ1078" s="50"/>
    </row>
    <row r="1079" spans="7:36" x14ac:dyDescent="0.25"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  <c r="AA1079" s="50"/>
      <c r="AB1079" s="50"/>
      <c r="AC1079" s="50"/>
      <c r="AD1079" s="50"/>
      <c r="AE1079" s="50"/>
      <c r="AF1079" s="50"/>
      <c r="AG1079" s="50"/>
      <c r="AH1079" s="50"/>
      <c r="AI1079" s="50"/>
      <c r="AJ1079" s="50"/>
    </row>
    <row r="1080" spans="7:36" x14ac:dyDescent="0.25"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  <c r="AA1080" s="50"/>
      <c r="AB1080" s="50"/>
      <c r="AC1080" s="50"/>
      <c r="AD1080" s="50"/>
      <c r="AE1080" s="50"/>
      <c r="AF1080" s="50"/>
      <c r="AG1080" s="50"/>
      <c r="AH1080" s="50"/>
      <c r="AI1080" s="50"/>
      <c r="AJ1080" s="50"/>
    </row>
    <row r="1081" spans="7:36" x14ac:dyDescent="0.25"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  <c r="AA1081" s="50"/>
      <c r="AB1081" s="50"/>
      <c r="AC1081" s="50"/>
      <c r="AD1081" s="50"/>
      <c r="AE1081" s="50"/>
      <c r="AF1081" s="50"/>
      <c r="AG1081" s="50"/>
      <c r="AH1081" s="50"/>
      <c r="AI1081" s="50"/>
      <c r="AJ1081" s="50"/>
    </row>
    <row r="1082" spans="7:36" x14ac:dyDescent="0.25"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  <c r="AA1082" s="50"/>
      <c r="AB1082" s="50"/>
      <c r="AC1082" s="50"/>
      <c r="AD1082" s="50"/>
      <c r="AE1082" s="50"/>
      <c r="AF1082" s="50"/>
      <c r="AG1082" s="50"/>
      <c r="AH1082" s="50"/>
      <c r="AI1082" s="50"/>
      <c r="AJ1082" s="50"/>
    </row>
    <row r="1083" spans="7:36" x14ac:dyDescent="0.25"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  <c r="AA1083" s="50"/>
      <c r="AB1083" s="50"/>
      <c r="AC1083" s="50"/>
      <c r="AD1083" s="50"/>
      <c r="AE1083" s="50"/>
      <c r="AF1083" s="50"/>
      <c r="AG1083" s="50"/>
      <c r="AH1083" s="50"/>
      <c r="AI1083" s="50"/>
      <c r="AJ1083" s="50"/>
    </row>
    <row r="1084" spans="7:36" x14ac:dyDescent="0.25"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  <c r="AA1084" s="50"/>
      <c r="AB1084" s="50"/>
      <c r="AC1084" s="50"/>
      <c r="AD1084" s="50"/>
      <c r="AE1084" s="50"/>
      <c r="AF1084" s="50"/>
      <c r="AG1084" s="50"/>
      <c r="AH1084" s="50"/>
      <c r="AI1084" s="50"/>
      <c r="AJ1084" s="50"/>
    </row>
    <row r="1085" spans="7:36" x14ac:dyDescent="0.25"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  <c r="AA1085" s="50"/>
      <c r="AB1085" s="50"/>
      <c r="AC1085" s="50"/>
      <c r="AD1085" s="50"/>
      <c r="AE1085" s="50"/>
      <c r="AF1085" s="50"/>
      <c r="AG1085" s="50"/>
      <c r="AH1085" s="50"/>
      <c r="AI1085" s="50"/>
      <c r="AJ1085" s="50"/>
    </row>
    <row r="1086" spans="7:36" x14ac:dyDescent="0.25"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  <c r="AA1086" s="50"/>
      <c r="AB1086" s="50"/>
      <c r="AC1086" s="50"/>
      <c r="AD1086" s="50"/>
      <c r="AE1086" s="50"/>
      <c r="AF1086" s="50"/>
      <c r="AG1086" s="50"/>
      <c r="AH1086" s="50"/>
      <c r="AI1086" s="50"/>
      <c r="AJ1086" s="50"/>
    </row>
    <row r="1087" spans="7:36" x14ac:dyDescent="0.25"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  <c r="AA1087" s="50"/>
      <c r="AB1087" s="50"/>
      <c r="AC1087" s="50"/>
      <c r="AD1087" s="50"/>
      <c r="AE1087" s="50"/>
      <c r="AF1087" s="50"/>
      <c r="AG1087" s="50"/>
      <c r="AH1087" s="50"/>
      <c r="AI1087" s="50"/>
      <c r="AJ1087" s="50"/>
    </row>
    <row r="1088" spans="7:36" x14ac:dyDescent="0.25"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  <c r="AA1088" s="50"/>
      <c r="AB1088" s="50"/>
      <c r="AC1088" s="50"/>
      <c r="AD1088" s="50"/>
      <c r="AE1088" s="50"/>
      <c r="AF1088" s="50"/>
      <c r="AG1088" s="50"/>
      <c r="AH1088" s="50"/>
      <c r="AI1088" s="50"/>
      <c r="AJ1088" s="50"/>
    </row>
    <row r="1089" spans="7:36" x14ac:dyDescent="0.25"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  <c r="AA1089" s="50"/>
      <c r="AB1089" s="50"/>
      <c r="AC1089" s="50"/>
      <c r="AD1089" s="50"/>
      <c r="AE1089" s="50"/>
      <c r="AF1089" s="50"/>
      <c r="AG1089" s="50"/>
      <c r="AH1089" s="50"/>
      <c r="AI1089" s="50"/>
      <c r="AJ1089" s="50"/>
    </row>
    <row r="1090" spans="7:36" x14ac:dyDescent="0.25"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  <c r="AA1090" s="50"/>
      <c r="AB1090" s="50"/>
      <c r="AC1090" s="50"/>
      <c r="AD1090" s="50"/>
      <c r="AE1090" s="50"/>
      <c r="AF1090" s="50"/>
      <c r="AG1090" s="50"/>
      <c r="AH1090" s="50"/>
      <c r="AI1090" s="50"/>
      <c r="AJ1090" s="50"/>
    </row>
    <row r="1091" spans="7:36" x14ac:dyDescent="0.25"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  <c r="AA1091" s="50"/>
      <c r="AB1091" s="50"/>
      <c r="AC1091" s="50"/>
      <c r="AD1091" s="50"/>
      <c r="AE1091" s="50"/>
      <c r="AF1091" s="50"/>
      <c r="AG1091" s="50"/>
      <c r="AH1091" s="50"/>
      <c r="AI1091" s="50"/>
      <c r="AJ1091" s="50"/>
    </row>
    <row r="1092" spans="7:36" x14ac:dyDescent="0.25"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  <c r="AA1092" s="50"/>
      <c r="AB1092" s="50"/>
      <c r="AC1092" s="50"/>
      <c r="AD1092" s="50"/>
      <c r="AE1092" s="50"/>
      <c r="AF1092" s="50"/>
      <c r="AG1092" s="50"/>
      <c r="AH1092" s="50"/>
      <c r="AI1092" s="50"/>
      <c r="AJ1092" s="50"/>
    </row>
    <row r="1093" spans="7:36" x14ac:dyDescent="0.25"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  <c r="AA1093" s="50"/>
      <c r="AB1093" s="50"/>
      <c r="AC1093" s="50"/>
      <c r="AD1093" s="50"/>
      <c r="AE1093" s="50"/>
      <c r="AF1093" s="50"/>
      <c r="AG1093" s="50"/>
      <c r="AH1093" s="50"/>
      <c r="AI1093" s="50"/>
      <c r="AJ1093" s="50"/>
    </row>
    <row r="1094" spans="7:36" x14ac:dyDescent="0.25"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  <c r="AA1094" s="50"/>
      <c r="AB1094" s="50"/>
      <c r="AC1094" s="50"/>
      <c r="AD1094" s="50"/>
      <c r="AE1094" s="50"/>
      <c r="AF1094" s="50"/>
      <c r="AG1094" s="50"/>
      <c r="AH1094" s="50"/>
      <c r="AI1094" s="50"/>
      <c r="AJ1094" s="50"/>
    </row>
    <row r="1095" spans="7:36" x14ac:dyDescent="0.25"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  <c r="AA1095" s="50"/>
      <c r="AB1095" s="50"/>
      <c r="AC1095" s="50"/>
      <c r="AD1095" s="50"/>
      <c r="AE1095" s="50"/>
      <c r="AF1095" s="50"/>
      <c r="AG1095" s="50"/>
      <c r="AH1095" s="50"/>
      <c r="AI1095" s="50"/>
      <c r="AJ1095" s="50"/>
    </row>
    <row r="1096" spans="7:36" x14ac:dyDescent="0.25"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  <c r="AA1096" s="50"/>
      <c r="AB1096" s="50"/>
      <c r="AC1096" s="50"/>
      <c r="AD1096" s="50"/>
      <c r="AE1096" s="50"/>
      <c r="AF1096" s="50"/>
      <c r="AG1096" s="50"/>
      <c r="AH1096" s="50"/>
      <c r="AI1096" s="50"/>
      <c r="AJ1096" s="50"/>
    </row>
    <row r="1097" spans="7:36" x14ac:dyDescent="0.25"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  <c r="AA1097" s="50"/>
      <c r="AB1097" s="50"/>
      <c r="AC1097" s="50"/>
      <c r="AD1097" s="50"/>
      <c r="AE1097" s="50"/>
      <c r="AF1097" s="50"/>
      <c r="AG1097" s="50"/>
      <c r="AH1097" s="50"/>
      <c r="AI1097" s="50"/>
      <c r="AJ1097" s="50"/>
    </row>
    <row r="1098" spans="7:36" x14ac:dyDescent="0.25"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  <c r="AA1098" s="50"/>
      <c r="AB1098" s="50"/>
      <c r="AC1098" s="50"/>
      <c r="AD1098" s="50"/>
      <c r="AE1098" s="50"/>
      <c r="AF1098" s="50"/>
      <c r="AG1098" s="50"/>
      <c r="AH1098" s="50"/>
      <c r="AI1098" s="50"/>
      <c r="AJ1098" s="50"/>
    </row>
    <row r="1099" spans="7:36" x14ac:dyDescent="0.25"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  <c r="AA1099" s="50"/>
      <c r="AB1099" s="50"/>
      <c r="AC1099" s="50"/>
      <c r="AD1099" s="50"/>
      <c r="AE1099" s="50"/>
      <c r="AF1099" s="50"/>
      <c r="AG1099" s="50"/>
      <c r="AH1099" s="50"/>
      <c r="AI1099" s="50"/>
      <c r="AJ1099" s="50"/>
    </row>
    <row r="1100" spans="7:36" x14ac:dyDescent="0.25"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  <c r="AA1100" s="50"/>
      <c r="AB1100" s="50"/>
      <c r="AC1100" s="50"/>
      <c r="AD1100" s="50"/>
      <c r="AE1100" s="50"/>
      <c r="AF1100" s="50"/>
      <c r="AG1100" s="50"/>
      <c r="AH1100" s="50"/>
      <c r="AI1100" s="50"/>
      <c r="AJ1100" s="50"/>
    </row>
    <row r="1101" spans="7:36" x14ac:dyDescent="0.25"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  <c r="AA1101" s="50"/>
      <c r="AB1101" s="50"/>
      <c r="AC1101" s="50"/>
      <c r="AD1101" s="50"/>
      <c r="AE1101" s="50"/>
      <c r="AF1101" s="50"/>
      <c r="AG1101" s="50"/>
      <c r="AH1101" s="50"/>
      <c r="AI1101" s="50"/>
      <c r="AJ1101" s="50"/>
    </row>
    <row r="1102" spans="7:36" x14ac:dyDescent="0.25"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  <c r="AA1102" s="50"/>
      <c r="AB1102" s="50"/>
      <c r="AC1102" s="50"/>
      <c r="AD1102" s="50"/>
      <c r="AE1102" s="50"/>
      <c r="AF1102" s="50"/>
      <c r="AG1102" s="50"/>
      <c r="AH1102" s="50"/>
      <c r="AI1102" s="50"/>
      <c r="AJ1102" s="50"/>
    </row>
    <row r="1103" spans="7:36" x14ac:dyDescent="0.25"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  <c r="AA1103" s="50"/>
      <c r="AB1103" s="50"/>
      <c r="AC1103" s="50"/>
      <c r="AD1103" s="50"/>
      <c r="AE1103" s="50"/>
      <c r="AF1103" s="50"/>
      <c r="AG1103" s="50"/>
      <c r="AH1103" s="50"/>
      <c r="AI1103" s="50"/>
      <c r="AJ1103" s="50"/>
    </row>
    <row r="1104" spans="7:36" x14ac:dyDescent="0.25"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  <c r="AA1104" s="50"/>
      <c r="AB1104" s="50"/>
      <c r="AC1104" s="50"/>
      <c r="AD1104" s="50"/>
      <c r="AE1104" s="50"/>
      <c r="AF1104" s="50"/>
      <c r="AG1104" s="50"/>
      <c r="AH1104" s="50"/>
      <c r="AI1104" s="50"/>
      <c r="AJ1104" s="50"/>
    </row>
    <row r="1105" spans="7:36" x14ac:dyDescent="0.25"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  <c r="AA1105" s="50"/>
      <c r="AB1105" s="50"/>
      <c r="AC1105" s="50"/>
      <c r="AD1105" s="50"/>
      <c r="AE1105" s="50"/>
      <c r="AF1105" s="50"/>
      <c r="AG1105" s="50"/>
      <c r="AH1105" s="50"/>
      <c r="AI1105" s="50"/>
      <c r="AJ1105" s="50"/>
    </row>
    <row r="1106" spans="7:36" x14ac:dyDescent="0.25"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  <c r="AA1106" s="50"/>
      <c r="AB1106" s="50"/>
      <c r="AC1106" s="50"/>
      <c r="AD1106" s="50"/>
      <c r="AE1106" s="50"/>
      <c r="AF1106" s="50"/>
      <c r="AG1106" s="50"/>
      <c r="AH1106" s="50"/>
      <c r="AI1106" s="50"/>
      <c r="AJ1106" s="50"/>
    </row>
    <row r="1107" spans="7:36" x14ac:dyDescent="0.25"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  <c r="AA1107" s="50"/>
      <c r="AB1107" s="50"/>
      <c r="AC1107" s="50"/>
      <c r="AD1107" s="50"/>
      <c r="AE1107" s="50"/>
      <c r="AF1107" s="50"/>
      <c r="AG1107" s="50"/>
      <c r="AH1107" s="50"/>
      <c r="AI1107" s="50"/>
      <c r="AJ1107" s="50"/>
    </row>
    <row r="1108" spans="7:36" x14ac:dyDescent="0.25"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  <c r="AA1108" s="50"/>
      <c r="AB1108" s="50"/>
      <c r="AC1108" s="50"/>
      <c r="AD1108" s="50"/>
      <c r="AE1108" s="50"/>
      <c r="AF1108" s="50"/>
      <c r="AG1108" s="50"/>
      <c r="AH1108" s="50"/>
      <c r="AI1108" s="50"/>
      <c r="AJ1108" s="50"/>
    </row>
    <row r="1109" spans="7:36" x14ac:dyDescent="0.25"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  <c r="AA1109" s="50"/>
      <c r="AB1109" s="50"/>
      <c r="AC1109" s="50"/>
      <c r="AD1109" s="50"/>
      <c r="AE1109" s="50"/>
      <c r="AF1109" s="50"/>
      <c r="AG1109" s="50"/>
      <c r="AH1109" s="50"/>
      <c r="AI1109" s="50"/>
      <c r="AJ1109" s="50"/>
    </row>
    <row r="1110" spans="7:36" x14ac:dyDescent="0.25"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  <c r="AA1110" s="50"/>
      <c r="AB1110" s="50"/>
      <c r="AC1110" s="50"/>
      <c r="AD1110" s="50"/>
      <c r="AE1110" s="50"/>
      <c r="AF1110" s="50"/>
      <c r="AG1110" s="50"/>
      <c r="AH1110" s="50"/>
      <c r="AI1110" s="50"/>
      <c r="AJ1110" s="50"/>
    </row>
    <row r="1111" spans="7:36" x14ac:dyDescent="0.25"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  <c r="AA1111" s="50"/>
      <c r="AB1111" s="50"/>
      <c r="AC1111" s="50"/>
      <c r="AD1111" s="50"/>
      <c r="AE1111" s="50"/>
      <c r="AF1111" s="50"/>
      <c r="AG1111" s="50"/>
      <c r="AH1111" s="50"/>
      <c r="AI1111" s="50"/>
      <c r="AJ1111" s="50"/>
    </row>
    <row r="1112" spans="7:36" x14ac:dyDescent="0.25"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  <c r="AA1112" s="50"/>
      <c r="AB1112" s="50"/>
      <c r="AC1112" s="50"/>
      <c r="AD1112" s="50"/>
      <c r="AE1112" s="50"/>
      <c r="AF1112" s="50"/>
      <c r="AG1112" s="50"/>
      <c r="AH1112" s="50"/>
      <c r="AI1112" s="50"/>
      <c r="AJ1112" s="50"/>
    </row>
    <row r="1113" spans="7:36" x14ac:dyDescent="0.25"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  <c r="AA1113" s="50"/>
      <c r="AB1113" s="50"/>
      <c r="AC1113" s="50"/>
      <c r="AD1113" s="50"/>
      <c r="AE1113" s="50"/>
      <c r="AF1113" s="50"/>
      <c r="AG1113" s="50"/>
      <c r="AH1113" s="50"/>
      <c r="AI1113" s="50"/>
      <c r="AJ1113" s="50"/>
    </row>
    <row r="1114" spans="7:36" x14ac:dyDescent="0.25"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  <c r="AA1114" s="50"/>
      <c r="AB1114" s="50"/>
      <c r="AC1114" s="50"/>
      <c r="AD1114" s="50"/>
      <c r="AE1114" s="50"/>
      <c r="AF1114" s="50"/>
      <c r="AG1114" s="50"/>
      <c r="AH1114" s="50"/>
      <c r="AI1114" s="50"/>
      <c r="AJ1114" s="50"/>
    </row>
    <row r="1115" spans="7:36" x14ac:dyDescent="0.25"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  <c r="AA1115" s="50"/>
      <c r="AB1115" s="50"/>
      <c r="AC1115" s="50"/>
      <c r="AD1115" s="50"/>
      <c r="AE1115" s="50"/>
      <c r="AF1115" s="50"/>
      <c r="AG1115" s="50"/>
      <c r="AH1115" s="50"/>
      <c r="AI1115" s="50"/>
      <c r="AJ1115" s="50"/>
    </row>
    <row r="1116" spans="7:36" x14ac:dyDescent="0.25"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  <c r="AA1116" s="50"/>
      <c r="AB1116" s="50"/>
      <c r="AC1116" s="50"/>
      <c r="AD1116" s="50"/>
      <c r="AE1116" s="50"/>
      <c r="AF1116" s="50"/>
      <c r="AG1116" s="50"/>
      <c r="AH1116" s="50"/>
      <c r="AI1116" s="50"/>
      <c r="AJ1116" s="50"/>
    </row>
    <row r="1117" spans="7:36" x14ac:dyDescent="0.25"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  <c r="AA1117" s="50"/>
      <c r="AB1117" s="50"/>
      <c r="AC1117" s="50"/>
      <c r="AD1117" s="50"/>
      <c r="AE1117" s="50"/>
      <c r="AF1117" s="50"/>
      <c r="AG1117" s="50"/>
      <c r="AH1117" s="50"/>
      <c r="AI1117" s="50"/>
      <c r="AJ1117" s="50"/>
    </row>
    <row r="1118" spans="7:36" x14ac:dyDescent="0.25"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  <c r="AA1118" s="50"/>
      <c r="AB1118" s="50"/>
      <c r="AC1118" s="50"/>
      <c r="AD1118" s="50"/>
      <c r="AE1118" s="50"/>
      <c r="AF1118" s="50"/>
      <c r="AG1118" s="50"/>
      <c r="AH1118" s="50"/>
      <c r="AI1118" s="50"/>
      <c r="AJ1118" s="50"/>
    </row>
    <row r="1119" spans="7:36" x14ac:dyDescent="0.25"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  <c r="AA1119" s="50"/>
      <c r="AB1119" s="50"/>
      <c r="AC1119" s="50"/>
      <c r="AD1119" s="50"/>
      <c r="AE1119" s="50"/>
      <c r="AF1119" s="50"/>
      <c r="AG1119" s="50"/>
      <c r="AH1119" s="50"/>
      <c r="AI1119" s="50"/>
      <c r="AJ1119" s="50"/>
    </row>
    <row r="1120" spans="7:36" x14ac:dyDescent="0.25"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  <c r="AA1120" s="50"/>
      <c r="AB1120" s="50"/>
      <c r="AC1120" s="50"/>
      <c r="AD1120" s="50"/>
      <c r="AE1120" s="50"/>
      <c r="AF1120" s="50"/>
      <c r="AG1120" s="50"/>
      <c r="AH1120" s="50"/>
      <c r="AI1120" s="50"/>
      <c r="AJ1120" s="50"/>
    </row>
    <row r="1121" spans="7:36" x14ac:dyDescent="0.25"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  <c r="AA1121" s="50"/>
      <c r="AB1121" s="50"/>
      <c r="AC1121" s="50"/>
      <c r="AD1121" s="50"/>
      <c r="AE1121" s="50"/>
      <c r="AF1121" s="50"/>
      <c r="AG1121" s="50"/>
      <c r="AH1121" s="50"/>
      <c r="AI1121" s="50"/>
      <c r="AJ1121" s="50"/>
    </row>
    <row r="1122" spans="7:36" x14ac:dyDescent="0.25"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  <c r="AA1122" s="50"/>
      <c r="AB1122" s="50"/>
      <c r="AC1122" s="50"/>
      <c r="AD1122" s="50"/>
      <c r="AE1122" s="50"/>
      <c r="AF1122" s="50"/>
      <c r="AG1122" s="50"/>
      <c r="AH1122" s="50"/>
      <c r="AI1122" s="50"/>
      <c r="AJ1122" s="50"/>
    </row>
    <row r="1123" spans="7:36" x14ac:dyDescent="0.25"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  <c r="AA1123" s="50"/>
      <c r="AB1123" s="50"/>
      <c r="AC1123" s="50"/>
      <c r="AD1123" s="50"/>
      <c r="AE1123" s="50"/>
      <c r="AF1123" s="50"/>
      <c r="AG1123" s="50"/>
      <c r="AH1123" s="50"/>
      <c r="AI1123" s="50"/>
      <c r="AJ1123" s="50"/>
    </row>
    <row r="1124" spans="7:36" x14ac:dyDescent="0.25"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  <c r="AA1124" s="50"/>
      <c r="AB1124" s="50"/>
      <c r="AC1124" s="50"/>
      <c r="AD1124" s="50"/>
      <c r="AE1124" s="50"/>
      <c r="AF1124" s="50"/>
      <c r="AG1124" s="50"/>
      <c r="AH1124" s="50"/>
      <c r="AI1124" s="50"/>
      <c r="AJ1124" s="50"/>
    </row>
    <row r="1125" spans="7:36" x14ac:dyDescent="0.25"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  <c r="AA1125" s="50"/>
      <c r="AB1125" s="50"/>
      <c r="AC1125" s="50"/>
      <c r="AD1125" s="50"/>
      <c r="AE1125" s="50"/>
      <c r="AF1125" s="50"/>
      <c r="AG1125" s="50"/>
      <c r="AH1125" s="50"/>
      <c r="AI1125" s="50"/>
      <c r="AJ1125" s="50"/>
    </row>
    <row r="1126" spans="7:36" x14ac:dyDescent="0.25"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  <c r="AA1126" s="50"/>
      <c r="AB1126" s="50"/>
      <c r="AC1126" s="50"/>
      <c r="AD1126" s="50"/>
      <c r="AE1126" s="50"/>
      <c r="AF1126" s="50"/>
      <c r="AG1126" s="50"/>
      <c r="AH1126" s="50"/>
      <c r="AI1126" s="50"/>
      <c r="AJ1126" s="50"/>
    </row>
    <row r="1127" spans="7:36" x14ac:dyDescent="0.25"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  <c r="AA1127" s="50"/>
      <c r="AB1127" s="50"/>
      <c r="AC1127" s="50"/>
      <c r="AD1127" s="50"/>
      <c r="AE1127" s="50"/>
      <c r="AF1127" s="50"/>
      <c r="AG1127" s="50"/>
      <c r="AH1127" s="50"/>
      <c r="AI1127" s="50"/>
      <c r="AJ1127" s="50"/>
    </row>
    <row r="1128" spans="7:36" x14ac:dyDescent="0.25"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  <c r="AA1128" s="50"/>
      <c r="AB1128" s="50"/>
      <c r="AC1128" s="50"/>
      <c r="AD1128" s="50"/>
      <c r="AE1128" s="50"/>
      <c r="AF1128" s="50"/>
      <c r="AG1128" s="50"/>
      <c r="AH1128" s="50"/>
      <c r="AI1128" s="50"/>
      <c r="AJ1128" s="50"/>
    </row>
    <row r="1129" spans="7:36" x14ac:dyDescent="0.25"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  <c r="AA1129" s="50"/>
      <c r="AB1129" s="50"/>
      <c r="AC1129" s="50"/>
      <c r="AD1129" s="50"/>
      <c r="AE1129" s="50"/>
      <c r="AF1129" s="50"/>
      <c r="AG1129" s="50"/>
      <c r="AH1129" s="50"/>
      <c r="AI1129" s="50"/>
      <c r="AJ1129" s="50"/>
    </row>
    <row r="1130" spans="7:36" x14ac:dyDescent="0.25"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  <c r="AA1130" s="50"/>
      <c r="AB1130" s="50"/>
      <c r="AC1130" s="50"/>
      <c r="AD1130" s="50"/>
      <c r="AE1130" s="50"/>
      <c r="AF1130" s="50"/>
      <c r="AG1130" s="50"/>
      <c r="AH1130" s="50"/>
      <c r="AI1130" s="50"/>
      <c r="AJ1130" s="50"/>
    </row>
    <row r="1131" spans="7:36" x14ac:dyDescent="0.25"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  <c r="AA1131" s="50"/>
      <c r="AB1131" s="50"/>
      <c r="AC1131" s="50"/>
      <c r="AD1131" s="50"/>
      <c r="AE1131" s="50"/>
      <c r="AF1131" s="50"/>
      <c r="AG1131" s="50"/>
      <c r="AH1131" s="50"/>
      <c r="AI1131" s="50"/>
      <c r="AJ1131" s="50"/>
    </row>
    <row r="1132" spans="7:36" x14ac:dyDescent="0.25"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  <c r="AA1132" s="50"/>
      <c r="AB1132" s="50"/>
      <c r="AC1132" s="50"/>
      <c r="AD1132" s="50"/>
      <c r="AE1132" s="50"/>
      <c r="AF1132" s="50"/>
      <c r="AG1132" s="50"/>
      <c r="AH1132" s="50"/>
      <c r="AI1132" s="50"/>
      <c r="AJ1132" s="50"/>
    </row>
    <row r="1133" spans="7:36" x14ac:dyDescent="0.25"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  <c r="AA1133" s="50"/>
      <c r="AB1133" s="50"/>
      <c r="AC1133" s="50"/>
      <c r="AD1133" s="50"/>
      <c r="AE1133" s="50"/>
      <c r="AF1133" s="50"/>
      <c r="AG1133" s="50"/>
      <c r="AH1133" s="50"/>
      <c r="AI1133" s="50"/>
      <c r="AJ1133" s="50"/>
    </row>
    <row r="1134" spans="7:36" x14ac:dyDescent="0.25"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  <c r="AA1134" s="50"/>
      <c r="AB1134" s="50"/>
      <c r="AC1134" s="50"/>
      <c r="AD1134" s="50"/>
      <c r="AE1134" s="50"/>
      <c r="AF1134" s="50"/>
      <c r="AG1134" s="50"/>
      <c r="AH1134" s="50"/>
      <c r="AI1134" s="50"/>
      <c r="AJ1134" s="50"/>
    </row>
    <row r="1135" spans="7:36" x14ac:dyDescent="0.25"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  <c r="AA1135" s="50"/>
      <c r="AB1135" s="50"/>
      <c r="AC1135" s="50"/>
      <c r="AD1135" s="50"/>
      <c r="AE1135" s="50"/>
      <c r="AF1135" s="50"/>
      <c r="AG1135" s="50"/>
      <c r="AH1135" s="50"/>
      <c r="AI1135" s="50"/>
      <c r="AJ1135" s="50"/>
    </row>
    <row r="1136" spans="7:36" x14ac:dyDescent="0.25"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  <c r="AA1136" s="50"/>
      <c r="AB1136" s="50"/>
      <c r="AC1136" s="50"/>
      <c r="AD1136" s="50"/>
      <c r="AE1136" s="50"/>
      <c r="AF1136" s="50"/>
      <c r="AG1136" s="50"/>
      <c r="AH1136" s="50"/>
      <c r="AI1136" s="50"/>
      <c r="AJ1136" s="50"/>
    </row>
    <row r="1137" spans="7:36" x14ac:dyDescent="0.25"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  <c r="AA1137" s="50"/>
      <c r="AB1137" s="50"/>
      <c r="AC1137" s="50"/>
      <c r="AD1137" s="50"/>
      <c r="AE1137" s="50"/>
      <c r="AF1137" s="50"/>
      <c r="AG1137" s="50"/>
      <c r="AH1137" s="50"/>
      <c r="AI1137" s="50"/>
      <c r="AJ1137" s="50"/>
    </row>
    <row r="1138" spans="7:36" x14ac:dyDescent="0.25"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  <c r="AA1138" s="50"/>
      <c r="AB1138" s="50"/>
      <c r="AC1138" s="50"/>
      <c r="AD1138" s="50"/>
      <c r="AE1138" s="50"/>
      <c r="AF1138" s="50"/>
      <c r="AG1138" s="50"/>
      <c r="AH1138" s="50"/>
      <c r="AI1138" s="50"/>
      <c r="AJ1138" s="50"/>
    </row>
    <row r="1139" spans="7:36" x14ac:dyDescent="0.25"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  <c r="AA1139" s="50"/>
      <c r="AB1139" s="50"/>
      <c r="AC1139" s="50"/>
      <c r="AD1139" s="50"/>
      <c r="AE1139" s="50"/>
      <c r="AF1139" s="50"/>
      <c r="AG1139" s="50"/>
      <c r="AH1139" s="50"/>
      <c r="AI1139" s="50"/>
      <c r="AJ1139" s="50"/>
    </row>
    <row r="1140" spans="7:36" x14ac:dyDescent="0.25"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  <c r="AA1140" s="50"/>
      <c r="AB1140" s="50"/>
      <c r="AC1140" s="50"/>
      <c r="AD1140" s="50"/>
      <c r="AE1140" s="50"/>
      <c r="AF1140" s="50"/>
      <c r="AG1140" s="50"/>
      <c r="AH1140" s="50"/>
      <c r="AI1140" s="50"/>
      <c r="AJ1140" s="50"/>
    </row>
    <row r="1141" spans="7:36" x14ac:dyDescent="0.25"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  <c r="AA1141" s="50"/>
      <c r="AB1141" s="50"/>
      <c r="AC1141" s="50"/>
      <c r="AD1141" s="50"/>
      <c r="AE1141" s="50"/>
      <c r="AF1141" s="50"/>
      <c r="AG1141" s="50"/>
      <c r="AH1141" s="50"/>
      <c r="AI1141" s="50"/>
      <c r="AJ1141" s="50"/>
    </row>
    <row r="1142" spans="7:36" x14ac:dyDescent="0.25"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  <c r="AA1142" s="50"/>
      <c r="AB1142" s="50"/>
      <c r="AC1142" s="50"/>
      <c r="AD1142" s="50"/>
      <c r="AE1142" s="50"/>
      <c r="AF1142" s="50"/>
      <c r="AG1142" s="50"/>
      <c r="AH1142" s="50"/>
      <c r="AI1142" s="50"/>
      <c r="AJ1142" s="50"/>
    </row>
    <row r="1143" spans="7:36" x14ac:dyDescent="0.25"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  <c r="AA1143" s="50"/>
      <c r="AB1143" s="50"/>
      <c r="AC1143" s="50"/>
      <c r="AD1143" s="50"/>
      <c r="AE1143" s="50"/>
      <c r="AF1143" s="50"/>
      <c r="AG1143" s="50"/>
      <c r="AH1143" s="50"/>
      <c r="AI1143" s="50"/>
      <c r="AJ1143" s="50"/>
    </row>
    <row r="1144" spans="7:36" x14ac:dyDescent="0.25"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  <c r="AA1144" s="50"/>
      <c r="AB1144" s="50"/>
      <c r="AC1144" s="50"/>
      <c r="AD1144" s="50"/>
      <c r="AE1144" s="50"/>
      <c r="AF1144" s="50"/>
      <c r="AG1144" s="50"/>
      <c r="AH1144" s="50"/>
      <c r="AI1144" s="50"/>
      <c r="AJ1144" s="50"/>
    </row>
    <row r="1145" spans="7:36" x14ac:dyDescent="0.25"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  <c r="AA1145" s="50"/>
      <c r="AB1145" s="50"/>
      <c r="AC1145" s="50"/>
      <c r="AD1145" s="50"/>
      <c r="AE1145" s="50"/>
      <c r="AF1145" s="50"/>
      <c r="AG1145" s="50"/>
      <c r="AH1145" s="50"/>
      <c r="AI1145" s="50"/>
      <c r="AJ1145" s="50"/>
    </row>
    <row r="1146" spans="7:36" x14ac:dyDescent="0.25"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  <c r="AA1146" s="50"/>
      <c r="AB1146" s="50"/>
      <c r="AC1146" s="50"/>
      <c r="AD1146" s="50"/>
      <c r="AE1146" s="50"/>
      <c r="AF1146" s="50"/>
      <c r="AG1146" s="50"/>
      <c r="AH1146" s="50"/>
      <c r="AI1146" s="50"/>
      <c r="AJ1146" s="50"/>
    </row>
  </sheetData>
  <sheetProtection deleteRows="0" selectLockedCells="1"/>
  <sortState ref="C7:F1000">
    <sortCondition ref="C6"/>
  </sortState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RegistroND">
    <tabColor theme="8" tint="-0.249977111117893"/>
  </sheetPr>
  <dimension ref="A1:S1001"/>
  <sheetViews>
    <sheetView showGridLines="0" showRowColHeaders="0" topLeftCell="B1" workbookViewId="0">
      <selection activeCell="D19" sqref="D19:E19"/>
    </sheetView>
  </sheetViews>
  <sheetFormatPr defaultColWidth="9.140625" defaultRowHeight="15" x14ac:dyDescent="0.25"/>
  <cols>
    <col min="1" max="1" width="9.140625" style="26" hidden="1" customWidth="1"/>
    <col min="2" max="2" width="2" style="26" customWidth="1"/>
    <col min="3" max="3" width="8.140625" style="25" customWidth="1"/>
    <col min="4" max="4" width="60.5703125" style="23" customWidth="1"/>
    <col min="5" max="5" width="12.28515625" style="25" bestFit="1" customWidth="1"/>
    <col min="6" max="6" width="12.85546875" style="24" customWidth="1"/>
    <col min="7" max="7" width="14.42578125" style="24" customWidth="1"/>
    <col min="8" max="8" width="20.7109375" style="23" customWidth="1"/>
    <col min="9" max="9" width="12.140625" style="26" hidden="1" customWidth="1"/>
    <col min="10" max="10" width="12.140625" style="26" customWidth="1"/>
    <col min="11" max="16384" width="9.140625" style="26"/>
  </cols>
  <sheetData>
    <row r="1" spans="3:19" ht="7.5" customHeight="1" x14ac:dyDescent="0.25">
      <c r="C1" s="34"/>
      <c r="D1" s="26"/>
      <c r="E1" s="26"/>
      <c r="F1" s="26"/>
      <c r="G1" s="26"/>
      <c r="H1" s="26"/>
    </row>
    <row r="2" spans="3:19" x14ac:dyDescent="0.25">
      <c r="C2" s="29" t="s">
        <v>0</v>
      </c>
      <c r="D2" s="29" t="s">
        <v>5</v>
      </c>
      <c r="E2" s="29" t="s">
        <v>1</v>
      </c>
      <c r="F2" s="29" t="s">
        <v>2</v>
      </c>
      <c r="G2" s="29" t="s">
        <v>10</v>
      </c>
      <c r="H2" s="29" t="s">
        <v>4</v>
      </c>
      <c r="I2" s="29" t="s">
        <v>9</v>
      </c>
    </row>
    <row r="3" spans="3:19" ht="20.25" customHeight="1" x14ac:dyDescent="0.25">
      <c r="C3" s="67">
        <v>1</v>
      </c>
      <c r="D3" s="64"/>
      <c r="E3" s="61"/>
      <c r="F3" s="61"/>
      <c r="G3" s="65"/>
      <c r="H3" s="66"/>
      <c r="I3" s="37" t="str">
        <f>IFERROR(VLOOKUP(ND_Tomador,'CAD. TOMADORES'!$C$7:$F$200,4,FALSE),"")</f>
        <v/>
      </c>
    </row>
    <row r="4" spans="3:19" ht="3" customHeight="1" x14ac:dyDescent="0.25">
      <c r="C4" s="34"/>
      <c r="D4" s="26"/>
      <c r="E4" s="26"/>
      <c r="F4" s="26"/>
      <c r="G4" s="26"/>
      <c r="H4" s="26"/>
    </row>
    <row r="5" spans="3:19" x14ac:dyDescent="0.25">
      <c r="C5" s="30" t="s">
        <v>28</v>
      </c>
      <c r="D5" s="31"/>
      <c r="E5" s="31"/>
      <c r="F5" s="31"/>
      <c r="G5" s="31"/>
      <c r="H5" s="32"/>
    </row>
    <row r="6" spans="3:19" x14ac:dyDescent="0.25">
      <c r="C6" s="79"/>
      <c r="D6" s="80"/>
      <c r="E6" s="80"/>
      <c r="F6" s="80"/>
      <c r="G6" s="80"/>
      <c r="H6" s="81"/>
    </row>
    <row r="7" spans="3:19" x14ac:dyDescent="0.25">
      <c r="C7" s="82"/>
      <c r="D7" s="83"/>
      <c r="E7" s="83"/>
      <c r="F7" s="83"/>
      <c r="G7" s="83"/>
      <c r="H7" s="84"/>
    </row>
    <row r="8" spans="3:19" x14ac:dyDescent="0.25">
      <c r="C8" s="85"/>
      <c r="D8" s="86"/>
      <c r="E8" s="86"/>
      <c r="F8" s="86"/>
      <c r="G8" s="86"/>
      <c r="H8" s="87"/>
    </row>
    <row r="9" spans="3:19" ht="3" customHeight="1" thickBot="1" x14ac:dyDescent="0.3">
      <c r="C9" s="35"/>
      <c r="D9" s="36"/>
      <c r="E9" s="36"/>
      <c r="F9" s="36"/>
      <c r="G9" s="36"/>
      <c r="H9" s="36"/>
    </row>
    <row r="10" spans="3:19" ht="15.75" thickTop="1" x14ac:dyDescent="0.25">
      <c r="C10" s="90" t="s">
        <v>37</v>
      </c>
      <c r="D10" s="91"/>
      <c r="E10" s="91"/>
      <c r="F10" s="91"/>
      <c r="G10" s="91"/>
      <c r="H10" s="92"/>
    </row>
    <row r="11" spans="3:19" x14ac:dyDescent="0.25">
      <c r="C11" s="33" t="s">
        <v>12</v>
      </c>
      <c r="D11" s="88" t="s">
        <v>11</v>
      </c>
      <c r="E11" s="88"/>
      <c r="F11" s="33" t="s">
        <v>13</v>
      </c>
      <c r="G11" s="33" t="s">
        <v>36</v>
      </c>
      <c r="H11" s="33" t="s">
        <v>35</v>
      </c>
    </row>
    <row r="12" spans="3:19" x14ac:dyDescent="0.25">
      <c r="C12" s="60"/>
      <c r="D12" s="89"/>
      <c r="E12" s="89"/>
      <c r="F12" s="60"/>
      <c r="G12" s="39"/>
      <c r="H12" s="28" t="str">
        <f t="shared" ref="H12:H43" si="0">IF(C12="","",F12*G12)</f>
        <v/>
      </c>
      <c r="Q12" s="27"/>
      <c r="S12" s="27" t="str">
        <f>IF(B12="","",O12*Q12)</f>
        <v/>
      </c>
    </row>
    <row r="13" spans="3:19" x14ac:dyDescent="0.25">
      <c r="D13" s="78"/>
      <c r="E13" s="78"/>
      <c r="F13" s="25"/>
      <c r="H13" s="27" t="str">
        <f t="shared" si="0"/>
        <v/>
      </c>
      <c r="Q13" s="27"/>
      <c r="S13" s="27" t="str">
        <f>IF(B13="","",O13*Q13)</f>
        <v/>
      </c>
    </row>
    <row r="14" spans="3:19" x14ac:dyDescent="0.25">
      <c r="D14" s="78"/>
      <c r="E14" s="78"/>
      <c r="F14" s="25"/>
      <c r="H14" s="27" t="str">
        <f t="shared" si="0"/>
        <v/>
      </c>
      <c r="Q14" s="27"/>
      <c r="S14" s="27" t="str">
        <f>IF(B14="","",O14*Q14)</f>
        <v/>
      </c>
    </row>
    <row r="15" spans="3:19" x14ac:dyDescent="0.25">
      <c r="D15" s="78"/>
      <c r="E15" s="78"/>
      <c r="F15" s="25"/>
      <c r="H15" s="27" t="str">
        <f t="shared" si="0"/>
        <v/>
      </c>
    </row>
    <row r="16" spans="3:19" x14ac:dyDescent="0.25">
      <c r="D16" s="78"/>
      <c r="E16" s="78"/>
      <c r="F16" s="25"/>
      <c r="H16" s="27" t="str">
        <f t="shared" si="0"/>
        <v/>
      </c>
    </row>
    <row r="17" spans="4:8" x14ac:dyDescent="0.25">
      <c r="D17" s="78"/>
      <c r="E17" s="78"/>
      <c r="H17" s="27" t="str">
        <f t="shared" si="0"/>
        <v/>
      </c>
    </row>
    <row r="18" spans="4:8" x14ac:dyDescent="0.25">
      <c r="D18" s="78"/>
      <c r="E18" s="78"/>
      <c r="F18" s="25"/>
      <c r="H18" s="27" t="str">
        <f t="shared" si="0"/>
        <v/>
      </c>
    </row>
    <row r="19" spans="4:8" x14ac:dyDescent="0.25">
      <c r="D19" s="78"/>
      <c r="E19" s="78"/>
      <c r="F19" s="25"/>
      <c r="H19" s="27" t="str">
        <f t="shared" si="0"/>
        <v/>
      </c>
    </row>
    <row r="20" spans="4:8" x14ac:dyDescent="0.25">
      <c r="D20" s="78"/>
      <c r="E20" s="78"/>
      <c r="F20" s="25"/>
      <c r="H20" s="27" t="str">
        <f t="shared" si="0"/>
        <v/>
      </c>
    </row>
    <row r="21" spans="4:8" x14ac:dyDescent="0.25">
      <c r="D21" s="78"/>
      <c r="E21" s="78"/>
      <c r="F21" s="25"/>
      <c r="H21" s="27" t="str">
        <f t="shared" si="0"/>
        <v/>
      </c>
    </row>
    <row r="22" spans="4:8" x14ac:dyDescent="0.25">
      <c r="D22" s="78"/>
      <c r="E22" s="78"/>
      <c r="H22" s="27" t="str">
        <f t="shared" si="0"/>
        <v/>
      </c>
    </row>
    <row r="23" spans="4:8" x14ac:dyDescent="0.25">
      <c r="D23" s="78"/>
      <c r="E23" s="78"/>
      <c r="H23" s="27" t="str">
        <f t="shared" si="0"/>
        <v/>
      </c>
    </row>
    <row r="24" spans="4:8" x14ac:dyDescent="0.25">
      <c r="D24" s="78"/>
      <c r="E24" s="78"/>
      <c r="H24" s="27" t="str">
        <f t="shared" si="0"/>
        <v/>
      </c>
    </row>
    <row r="25" spans="4:8" x14ac:dyDescent="0.25">
      <c r="D25" s="78"/>
      <c r="E25" s="78"/>
      <c r="H25" s="27" t="str">
        <f t="shared" si="0"/>
        <v/>
      </c>
    </row>
    <row r="26" spans="4:8" x14ac:dyDescent="0.25">
      <c r="D26" s="78"/>
      <c r="E26" s="78"/>
      <c r="H26" s="27" t="str">
        <f t="shared" si="0"/>
        <v/>
      </c>
    </row>
    <row r="27" spans="4:8" x14ac:dyDescent="0.25">
      <c r="D27" s="78"/>
      <c r="E27" s="78"/>
      <c r="H27" s="27" t="str">
        <f t="shared" si="0"/>
        <v/>
      </c>
    </row>
    <row r="28" spans="4:8" x14ac:dyDescent="0.25">
      <c r="D28" s="78"/>
      <c r="E28" s="78"/>
      <c r="H28" s="27" t="str">
        <f t="shared" si="0"/>
        <v/>
      </c>
    </row>
    <row r="29" spans="4:8" x14ac:dyDescent="0.25">
      <c r="D29" s="78"/>
      <c r="E29" s="78"/>
      <c r="H29" s="27" t="str">
        <f t="shared" si="0"/>
        <v/>
      </c>
    </row>
    <row r="30" spans="4:8" x14ac:dyDescent="0.25">
      <c r="D30" s="78"/>
      <c r="E30" s="78"/>
      <c r="H30" s="27" t="str">
        <f t="shared" si="0"/>
        <v/>
      </c>
    </row>
    <row r="31" spans="4:8" x14ac:dyDescent="0.25">
      <c r="D31" s="78"/>
      <c r="E31" s="78"/>
      <c r="H31" s="27" t="str">
        <f t="shared" si="0"/>
        <v/>
      </c>
    </row>
    <row r="32" spans="4:8" x14ac:dyDescent="0.25">
      <c r="D32" s="78"/>
      <c r="E32" s="78"/>
      <c r="H32" s="27" t="str">
        <f t="shared" si="0"/>
        <v/>
      </c>
    </row>
    <row r="33" spans="4:8" x14ac:dyDescent="0.25">
      <c r="D33" s="78"/>
      <c r="E33" s="78"/>
      <c r="H33" s="27" t="str">
        <f t="shared" si="0"/>
        <v/>
      </c>
    </row>
    <row r="34" spans="4:8" x14ac:dyDescent="0.25">
      <c r="D34" s="78"/>
      <c r="E34" s="78"/>
      <c r="H34" s="27" t="str">
        <f t="shared" si="0"/>
        <v/>
      </c>
    </row>
    <row r="35" spans="4:8" x14ac:dyDescent="0.25">
      <c r="D35" s="78"/>
      <c r="E35" s="78"/>
      <c r="H35" s="27" t="str">
        <f t="shared" si="0"/>
        <v/>
      </c>
    </row>
    <row r="36" spans="4:8" x14ac:dyDescent="0.25">
      <c r="D36" s="78"/>
      <c r="E36" s="78"/>
      <c r="H36" s="27" t="str">
        <f t="shared" si="0"/>
        <v/>
      </c>
    </row>
    <row r="37" spans="4:8" x14ac:dyDescent="0.25">
      <c r="D37" s="78"/>
      <c r="E37" s="78"/>
      <c r="H37" s="27" t="str">
        <f t="shared" si="0"/>
        <v/>
      </c>
    </row>
    <row r="38" spans="4:8" x14ac:dyDescent="0.25">
      <c r="D38" s="78"/>
      <c r="E38" s="78"/>
      <c r="H38" s="27" t="str">
        <f t="shared" si="0"/>
        <v/>
      </c>
    </row>
    <row r="39" spans="4:8" x14ac:dyDescent="0.25">
      <c r="D39" s="78"/>
      <c r="E39" s="78"/>
      <c r="H39" s="27" t="str">
        <f t="shared" si="0"/>
        <v/>
      </c>
    </row>
    <row r="40" spans="4:8" x14ac:dyDescent="0.25">
      <c r="D40" s="78"/>
      <c r="E40" s="78"/>
      <c r="H40" s="27" t="str">
        <f t="shared" si="0"/>
        <v/>
      </c>
    </row>
    <row r="41" spans="4:8" x14ac:dyDescent="0.25">
      <c r="D41" s="78"/>
      <c r="E41" s="78"/>
      <c r="H41" s="27" t="str">
        <f t="shared" si="0"/>
        <v/>
      </c>
    </row>
    <row r="42" spans="4:8" x14ac:dyDescent="0.25">
      <c r="D42" s="78"/>
      <c r="E42" s="78"/>
      <c r="H42" s="27" t="str">
        <f t="shared" si="0"/>
        <v/>
      </c>
    </row>
    <row r="43" spans="4:8" x14ac:dyDescent="0.25">
      <c r="D43" s="78"/>
      <c r="E43" s="78"/>
      <c r="H43" s="27" t="str">
        <f t="shared" si="0"/>
        <v/>
      </c>
    </row>
    <row r="44" spans="4:8" x14ac:dyDescent="0.25">
      <c r="D44" s="78"/>
      <c r="E44" s="78"/>
      <c r="H44" s="27" t="str">
        <f t="shared" ref="H44:H75" si="1">IF(C44="","",F44*G44)</f>
        <v/>
      </c>
    </row>
    <row r="45" spans="4:8" x14ac:dyDescent="0.25">
      <c r="D45" s="78"/>
      <c r="E45" s="78"/>
      <c r="H45" s="27" t="str">
        <f t="shared" si="1"/>
        <v/>
      </c>
    </row>
    <row r="46" spans="4:8" x14ac:dyDescent="0.25">
      <c r="D46" s="78"/>
      <c r="E46" s="78"/>
      <c r="H46" s="27" t="str">
        <f t="shared" si="1"/>
        <v/>
      </c>
    </row>
    <row r="47" spans="4:8" x14ac:dyDescent="0.25">
      <c r="D47" s="78"/>
      <c r="E47" s="78"/>
      <c r="H47" s="27" t="str">
        <f t="shared" si="1"/>
        <v/>
      </c>
    </row>
    <row r="48" spans="4:8" x14ac:dyDescent="0.25">
      <c r="D48" s="78"/>
      <c r="E48" s="78"/>
      <c r="H48" s="27" t="str">
        <f t="shared" si="1"/>
        <v/>
      </c>
    </row>
    <row r="49" spans="4:8" x14ac:dyDescent="0.25">
      <c r="D49" s="78"/>
      <c r="E49" s="78"/>
      <c r="H49" s="27" t="str">
        <f t="shared" si="1"/>
        <v/>
      </c>
    </row>
    <row r="50" spans="4:8" x14ac:dyDescent="0.25">
      <c r="D50" s="78"/>
      <c r="E50" s="78"/>
      <c r="H50" s="27" t="str">
        <f t="shared" si="1"/>
        <v/>
      </c>
    </row>
    <row r="51" spans="4:8" x14ac:dyDescent="0.25">
      <c r="D51" s="78"/>
      <c r="E51" s="78"/>
      <c r="H51" s="27" t="str">
        <f t="shared" si="1"/>
        <v/>
      </c>
    </row>
    <row r="52" spans="4:8" x14ac:dyDescent="0.25">
      <c r="D52" s="78"/>
      <c r="E52" s="78"/>
      <c r="H52" s="27" t="str">
        <f t="shared" si="1"/>
        <v/>
      </c>
    </row>
    <row r="53" spans="4:8" x14ac:dyDescent="0.25">
      <c r="D53" s="78"/>
      <c r="E53" s="78"/>
      <c r="H53" s="27" t="str">
        <f t="shared" si="1"/>
        <v/>
      </c>
    </row>
    <row r="54" spans="4:8" x14ac:dyDescent="0.25">
      <c r="D54" s="78"/>
      <c r="E54" s="78"/>
      <c r="H54" s="27" t="str">
        <f t="shared" si="1"/>
        <v/>
      </c>
    </row>
    <row r="55" spans="4:8" x14ac:dyDescent="0.25">
      <c r="D55" s="78"/>
      <c r="E55" s="78"/>
      <c r="H55" s="27" t="str">
        <f t="shared" si="1"/>
        <v/>
      </c>
    </row>
    <row r="56" spans="4:8" x14ac:dyDescent="0.25">
      <c r="D56" s="78"/>
      <c r="E56" s="78"/>
      <c r="H56" s="27" t="str">
        <f t="shared" si="1"/>
        <v/>
      </c>
    </row>
    <row r="57" spans="4:8" x14ac:dyDescent="0.25">
      <c r="D57" s="78"/>
      <c r="E57" s="78"/>
      <c r="H57" s="27" t="str">
        <f t="shared" si="1"/>
        <v/>
      </c>
    </row>
    <row r="58" spans="4:8" x14ac:dyDescent="0.25">
      <c r="D58" s="78"/>
      <c r="E58" s="78"/>
      <c r="H58" s="27" t="str">
        <f t="shared" si="1"/>
        <v/>
      </c>
    </row>
    <row r="59" spans="4:8" x14ac:dyDescent="0.25">
      <c r="D59" s="78"/>
      <c r="E59" s="78"/>
      <c r="H59" s="27" t="str">
        <f t="shared" si="1"/>
        <v/>
      </c>
    </row>
    <row r="60" spans="4:8" x14ac:dyDescent="0.25">
      <c r="D60" s="78"/>
      <c r="E60" s="78"/>
      <c r="H60" s="27" t="str">
        <f t="shared" si="1"/>
        <v/>
      </c>
    </row>
    <row r="61" spans="4:8" x14ac:dyDescent="0.25">
      <c r="D61" s="78"/>
      <c r="E61" s="78"/>
      <c r="H61" s="27" t="str">
        <f t="shared" si="1"/>
        <v/>
      </c>
    </row>
    <row r="62" spans="4:8" x14ac:dyDescent="0.25">
      <c r="D62" s="78"/>
      <c r="E62" s="78"/>
      <c r="H62" s="27" t="str">
        <f t="shared" si="1"/>
        <v/>
      </c>
    </row>
    <row r="63" spans="4:8" x14ac:dyDescent="0.25">
      <c r="D63" s="78"/>
      <c r="E63" s="78"/>
      <c r="H63" s="27" t="str">
        <f t="shared" si="1"/>
        <v/>
      </c>
    </row>
    <row r="64" spans="4:8" x14ac:dyDescent="0.25">
      <c r="D64" s="78"/>
      <c r="E64" s="78"/>
      <c r="H64" s="27" t="str">
        <f t="shared" si="1"/>
        <v/>
      </c>
    </row>
    <row r="65" spans="4:8" x14ac:dyDescent="0.25">
      <c r="D65" s="78"/>
      <c r="E65" s="78"/>
      <c r="H65" s="27" t="str">
        <f t="shared" si="1"/>
        <v/>
      </c>
    </row>
    <row r="66" spans="4:8" x14ac:dyDescent="0.25">
      <c r="D66" s="78"/>
      <c r="E66" s="78"/>
      <c r="H66" s="27" t="str">
        <f t="shared" si="1"/>
        <v/>
      </c>
    </row>
    <row r="67" spans="4:8" x14ac:dyDescent="0.25">
      <c r="D67" s="78"/>
      <c r="E67" s="78"/>
      <c r="H67" s="27" t="str">
        <f t="shared" si="1"/>
        <v/>
      </c>
    </row>
    <row r="68" spans="4:8" x14ac:dyDescent="0.25">
      <c r="D68" s="78"/>
      <c r="E68" s="78"/>
      <c r="H68" s="27" t="str">
        <f t="shared" si="1"/>
        <v/>
      </c>
    </row>
    <row r="69" spans="4:8" x14ac:dyDescent="0.25">
      <c r="D69" s="78"/>
      <c r="E69" s="78"/>
      <c r="H69" s="27" t="str">
        <f t="shared" si="1"/>
        <v/>
      </c>
    </row>
    <row r="70" spans="4:8" x14ac:dyDescent="0.25">
      <c r="D70" s="78"/>
      <c r="E70" s="78"/>
      <c r="H70" s="27" t="str">
        <f t="shared" si="1"/>
        <v/>
      </c>
    </row>
    <row r="71" spans="4:8" x14ac:dyDescent="0.25">
      <c r="D71" s="78"/>
      <c r="E71" s="78"/>
      <c r="H71" s="27" t="str">
        <f t="shared" si="1"/>
        <v/>
      </c>
    </row>
    <row r="72" spans="4:8" x14ac:dyDescent="0.25">
      <c r="D72" s="78"/>
      <c r="E72" s="78"/>
      <c r="H72" s="27" t="str">
        <f t="shared" si="1"/>
        <v/>
      </c>
    </row>
    <row r="73" spans="4:8" x14ac:dyDescent="0.25">
      <c r="D73" s="78"/>
      <c r="E73" s="78"/>
      <c r="H73" s="27" t="str">
        <f t="shared" si="1"/>
        <v/>
      </c>
    </row>
    <row r="74" spans="4:8" x14ac:dyDescent="0.25">
      <c r="D74" s="78"/>
      <c r="E74" s="78"/>
      <c r="H74" s="27" t="str">
        <f t="shared" si="1"/>
        <v/>
      </c>
    </row>
    <row r="75" spans="4:8" x14ac:dyDescent="0.25">
      <c r="D75" s="78"/>
      <c r="E75" s="78"/>
      <c r="H75" s="27" t="str">
        <f t="shared" si="1"/>
        <v/>
      </c>
    </row>
    <row r="76" spans="4:8" x14ac:dyDescent="0.25">
      <c r="D76" s="78"/>
      <c r="E76" s="78"/>
      <c r="H76" s="27" t="str">
        <f t="shared" ref="H76:H107" si="2">IF(C76="","",F76*G76)</f>
        <v/>
      </c>
    </row>
    <row r="77" spans="4:8" x14ac:dyDescent="0.25">
      <c r="D77" s="78"/>
      <c r="E77" s="78"/>
      <c r="H77" s="26" t="str">
        <f t="shared" si="2"/>
        <v/>
      </c>
    </row>
    <row r="78" spans="4:8" x14ac:dyDescent="0.25">
      <c r="D78" s="78"/>
      <c r="E78" s="78"/>
      <c r="H78" s="26" t="str">
        <f t="shared" si="2"/>
        <v/>
      </c>
    </row>
    <row r="79" spans="4:8" x14ac:dyDescent="0.25">
      <c r="D79" s="78"/>
      <c r="E79" s="78"/>
      <c r="H79" s="26" t="str">
        <f t="shared" si="2"/>
        <v/>
      </c>
    </row>
    <row r="80" spans="4:8" x14ac:dyDescent="0.25">
      <c r="D80" s="78"/>
      <c r="E80" s="78"/>
      <c r="H80" s="26" t="str">
        <f t="shared" si="2"/>
        <v/>
      </c>
    </row>
    <row r="81" spans="4:8" x14ac:dyDescent="0.25">
      <c r="D81" s="78"/>
      <c r="E81" s="78"/>
      <c r="H81" s="26" t="str">
        <f t="shared" si="2"/>
        <v/>
      </c>
    </row>
    <row r="82" spans="4:8" x14ac:dyDescent="0.25">
      <c r="D82" s="78"/>
      <c r="E82" s="78"/>
      <c r="H82" s="26" t="str">
        <f t="shared" si="2"/>
        <v/>
      </c>
    </row>
    <row r="83" spans="4:8" x14ac:dyDescent="0.25">
      <c r="D83" s="78"/>
      <c r="E83" s="78"/>
      <c r="H83" s="26" t="str">
        <f t="shared" si="2"/>
        <v/>
      </c>
    </row>
    <row r="84" spans="4:8" x14ac:dyDescent="0.25">
      <c r="D84" s="78"/>
      <c r="E84" s="78"/>
      <c r="H84" s="26" t="str">
        <f t="shared" si="2"/>
        <v/>
      </c>
    </row>
    <row r="85" spans="4:8" x14ac:dyDescent="0.25">
      <c r="D85" s="78"/>
      <c r="E85" s="78"/>
      <c r="H85" s="26" t="str">
        <f t="shared" si="2"/>
        <v/>
      </c>
    </row>
    <row r="86" spans="4:8" x14ac:dyDescent="0.25">
      <c r="D86" s="78"/>
      <c r="E86" s="78"/>
      <c r="H86" s="26" t="str">
        <f t="shared" si="2"/>
        <v/>
      </c>
    </row>
    <row r="87" spans="4:8" x14ac:dyDescent="0.25">
      <c r="D87" s="78"/>
      <c r="E87" s="78"/>
      <c r="H87" s="26" t="str">
        <f t="shared" si="2"/>
        <v/>
      </c>
    </row>
    <row r="88" spans="4:8" x14ac:dyDescent="0.25">
      <c r="D88" s="78"/>
      <c r="E88" s="78"/>
      <c r="H88" s="26" t="str">
        <f t="shared" si="2"/>
        <v/>
      </c>
    </row>
    <row r="89" spans="4:8" x14ac:dyDescent="0.25">
      <c r="D89" s="78"/>
      <c r="E89" s="78"/>
      <c r="H89" s="26" t="str">
        <f t="shared" si="2"/>
        <v/>
      </c>
    </row>
    <row r="90" spans="4:8" x14ac:dyDescent="0.25">
      <c r="D90" s="78"/>
      <c r="E90" s="78"/>
      <c r="H90" s="26" t="str">
        <f t="shared" si="2"/>
        <v/>
      </c>
    </row>
    <row r="91" spans="4:8" x14ac:dyDescent="0.25">
      <c r="D91" s="78"/>
      <c r="E91" s="78"/>
      <c r="H91" s="26" t="str">
        <f t="shared" si="2"/>
        <v/>
      </c>
    </row>
    <row r="92" spans="4:8" x14ac:dyDescent="0.25">
      <c r="D92" s="78"/>
      <c r="E92" s="78"/>
      <c r="H92" s="26" t="str">
        <f t="shared" si="2"/>
        <v/>
      </c>
    </row>
    <row r="93" spans="4:8" x14ac:dyDescent="0.25">
      <c r="D93" s="78"/>
      <c r="E93" s="78"/>
      <c r="H93" s="26" t="str">
        <f t="shared" si="2"/>
        <v/>
      </c>
    </row>
    <row r="94" spans="4:8" x14ac:dyDescent="0.25">
      <c r="D94" s="78"/>
      <c r="E94" s="78"/>
      <c r="H94" s="26" t="str">
        <f t="shared" si="2"/>
        <v/>
      </c>
    </row>
    <row r="95" spans="4:8" x14ac:dyDescent="0.25">
      <c r="D95" s="78"/>
      <c r="E95" s="78"/>
      <c r="H95" s="26" t="str">
        <f t="shared" si="2"/>
        <v/>
      </c>
    </row>
    <row r="96" spans="4:8" x14ac:dyDescent="0.25">
      <c r="D96" s="78"/>
      <c r="E96" s="78"/>
      <c r="H96" s="26" t="str">
        <f t="shared" si="2"/>
        <v/>
      </c>
    </row>
    <row r="97" spans="4:8" x14ac:dyDescent="0.25">
      <c r="D97" s="78"/>
      <c r="E97" s="78"/>
      <c r="H97" s="26" t="str">
        <f t="shared" si="2"/>
        <v/>
      </c>
    </row>
    <row r="98" spans="4:8" x14ac:dyDescent="0.25">
      <c r="D98" s="78"/>
      <c r="E98" s="78"/>
      <c r="H98" s="26" t="str">
        <f t="shared" si="2"/>
        <v/>
      </c>
    </row>
    <row r="99" spans="4:8" x14ac:dyDescent="0.25">
      <c r="D99" s="78"/>
      <c r="E99" s="78"/>
      <c r="H99" s="26" t="str">
        <f t="shared" si="2"/>
        <v/>
      </c>
    </row>
    <row r="100" spans="4:8" x14ac:dyDescent="0.25">
      <c r="D100" s="78"/>
      <c r="E100" s="78"/>
      <c r="H100" s="26" t="str">
        <f t="shared" si="2"/>
        <v/>
      </c>
    </row>
    <row r="101" spans="4:8" x14ac:dyDescent="0.25">
      <c r="D101" s="78"/>
      <c r="E101" s="78"/>
      <c r="H101" s="26" t="str">
        <f t="shared" si="2"/>
        <v/>
      </c>
    </row>
    <row r="102" spans="4:8" x14ac:dyDescent="0.25">
      <c r="D102" s="78"/>
      <c r="E102" s="78"/>
      <c r="H102" s="26" t="str">
        <f t="shared" si="2"/>
        <v/>
      </c>
    </row>
    <row r="103" spans="4:8" x14ac:dyDescent="0.25">
      <c r="D103" s="78"/>
      <c r="E103" s="78"/>
      <c r="H103" s="26" t="str">
        <f t="shared" si="2"/>
        <v/>
      </c>
    </row>
    <row r="104" spans="4:8" x14ac:dyDescent="0.25">
      <c r="D104" s="78"/>
      <c r="E104" s="78"/>
      <c r="H104" s="26" t="str">
        <f t="shared" si="2"/>
        <v/>
      </c>
    </row>
    <row r="105" spans="4:8" x14ac:dyDescent="0.25">
      <c r="D105" s="78"/>
      <c r="E105" s="78"/>
      <c r="H105" s="26" t="str">
        <f t="shared" si="2"/>
        <v/>
      </c>
    </row>
    <row r="106" spans="4:8" x14ac:dyDescent="0.25">
      <c r="D106" s="78"/>
      <c r="E106" s="78"/>
      <c r="H106" s="26" t="str">
        <f t="shared" si="2"/>
        <v/>
      </c>
    </row>
    <row r="107" spans="4:8" x14ac:dyDescent="0.25">
      <c r="D107" s="78"/>
      <c r="E107" s="78"/>
      <c r="H107" s="26" t="str">
        <f t="shared" si="2"/>
        <v/>
      </c>
    </row>
    <row r="108" spans="4:8" x14ac:dyDescent="0.25">
      <c r="D108" s="78"/>
      <c r="E108" s="78"/>
      <c r="H108" s="26" t="str">
        <f t="shared" ref="H108:H139" si="3">IF(C108="","",F108*G108)</f>
        <v/>
      </c>
    </row>
    <row r="109" spans="4:8" x14ac:dyDescent="0.25">
      <c r="D109" s="78"/>
      <c r="E109" s="78"/>
      <c r="H109" s="26" t="str">
        <f t="shared" si="3"/>
        <v/>
      </c>
    </row>
    <row r="110" spans="4:8" x14ac:dyDescent="0.25">
      <c r="D110" s="78"/>
      <c r="E110" s="78"/>
      <c r="H110" s="26" t="str">
        <f t="shared" si="3"/>
        <v/>
      </c>
    </row>
    <row r="111" spans="4:8" x14ac:dyDescent="0.25">
      <c r="D111" s="78"/>
      <c r="E111" s="78"/>
      <c r="H111" s="26" t="str">
        <f t="shared" si="3"/>
        <v/>
      </c>
    </row>
    <row r="112" spans="4:8" x14ac:dyDescent="0.25">
      <c r="D112" s="78"/>
      <c r="E112" s="78"/>
      <c r="H112" s="26" t="str">
        <f t="shared" si="3"/>
        <v/>
      </c>
    </row>
    <row r="113" spans="4:8" x14ac:dyDescent="0.25">
      <c r="D113" s="78"/>
      <c r="E113" s="78"/>
      <c r="H113" s="26" t="str">
        <f t="shared" si="3"/>
        <v/>
      </c>
    </row>
    <row r="114" spans="4:8" x14ac:dyDescent="0.25">
      <c r="D114" s="78"/>
      <c r="E114" s="78"/>
      <c r="H114" s="26" t="str">
        <f t="shared" si="3"/>
        <v/>
      </c>
    </row>
    <row r="115" spans="4:8" x14ac:dyDescent="0.25">
      <c r="D115" s="78"/>
      <c r="E115" s="78"/>
      <c r="H115" s="26" t="str">
        <f t="shared" si="3"/>
        <v/>
      </c>
    </row>
    <row r="116" spans="4:8" x14ac:dyDescent="0.25">
      <c r="D116" s="78"/>
      <c r="E116" s="78"/>
      <c r="H116" s="26" t="str">
        <f t="shared" si="3"/>
        <v/>
      </c>
    </row>
    <row r="117" spans="4:8" x14ac:dyDescent="0.25">
      <c r="D117" s="78"/>
      <c r="E117" s="78"/>
      <c r="H117" s="26" t="str">
        <f t="shared" si="3"/>
        <v/>
      </c>
    </row>
    <row r="118" spans="4:8" x14ac:dyDescent="0.25">
      <c r="D118" s="78"/>
      <c r="E118" s="78"/>
      <c r="H118" s="26" t="str">
        <f t="shared" si="3"/>
        <v/>
      </c>
    </row>
    <row r="119" spans="4:8" x14ac:dyDescent="0.25">
      <c r="D119" s="78"/>
      <c r="E119" s="78"/>
      <c r="H119" s="26" t="str">
        <f t="shared" si="3"/>
        <v/>
      </c>
    </row>
    <row r="120" spans="4:8" x14ac:dyDescent="0.25">
      <c r="D120" s="78"/>
      <c r="E120" s="78"/>
      <c r="H120" s="26" t="str">
        <f t="shared" si="3"/>
        <v/>
      </c>
    </row>
    <row r="121" spans="4:8" x14ac:dyDescent="0.25">
      <c r="D121" s="78"/>
      <c r="E121" s="78"/>
      <c r="H121" s="26" t="str">
        <f t="shared" si="3"/>
        <v/>
      </c>
    </row>
    <row r="122" spans="4:8" x14ac:dyDescent="0.25">
      <c r="D122" s="78"/>
      <c r="E122" s="78"/>
      <c r="H122" s="26" t="str">
        <f t="shared" si="3"/>
        <v/>
      </c>
    </row>
    <row r="123" spans="4:8" x14ac:dyDescent="0.25">
      <c r="D123" s="78"/>
      <c r="E123" s="78"/>
      <c r="H123" s="26" t="str">
        <f t="shared" si="3"/>
        <v/>
      </c>
    </row>
    <row r="124" spans="4:8" x14ac:dyDescent="0.25">
      <c r="D124" s="78"/>
      <c r="E124" s="78"/>
      <c r="H124" s="26" t="str">
        <f t="shared" si="3"/>
        <v/>
      </c>
    </row>
    <row r="125" spans="4:8" x14ac:dyDescent="0.25">
      <c r="D125" s="78"/>
      <c r="E125" s="78"/>
      <c r="H125" s="26" t="str">
        <f t="shared" si="3"/>
        <v/>
      </c>
    </row>
    <row r="126" spans="4:8" x14ac:dyDescent="0.25">
      <c r="D126" s="78"/>
      <c r="E126" s="78"/>
      <c r="H126" s="26" t="str">
        <f t="shared" si="3"/>
        <v/>
      </c>
    </row>
    <row r="127" spans="4:8" x14ac:dyDescent="0.25">
      <c r="D127" s="78"/>
      <c r="E127" s="78"/>
      <c r="H127" s="26" t="str">
        <f t="shared" si="3"/>
        <v/>
      </c>
    </row>
    <row r="128" spans="4:8" x14ac:dyDescent="0.25">
      <c r="D128" s="78"/>
      <c r="E128" s="78"/>
      <c r="H128" s="26" t="str">
        <f t="shared" si="3"/>
        <v/>
      </c>
    </row>
    <row r="129" spans="4:8" x14ac:dyDescent="0.25">
      <c r="D129" s="78"/>
      <c r="E129" s="78"/>
      <c r="H129" s="26" t="str">
        <f t="shared" si="3"/>
        <v/>
      </c>
    </row>
    <row r="130" spans="4:8" x14ac:dyDescent="0.25">
      <c r="D130" s="78"/>
      <c r="E130" s="78"/>
      <c r="H130" s="26" t="str">
        <f t="shared" si="3"/>
        <v/>
      </c>
    </row>
    <row r="131" spans="4:8" x14ac:dyDescent="0.25">
      <c r="D131" s="78"/>
      <c r="E131" s="78"/>
      <c r="H131" s="26" t="str">
        <f t="shared" si="3"/>
        <v/>
      </c>
    </row>
    <row r="132" spans="4:8" x14ac:dyDescent="0.25">
      <c r="D132" s="78"/>
      <c r="E132" s="78"/>
      <c r="H132" s="26" t="str">
        <f t="shared" si="3"/>
        <v/>
      </c>
    </row>
    <row r="133" spans="4:8" x14ac:dyDescent="0.25">
      <c r="D133" s="78"/>
      <c r="E133" s="78"/>
      <c r="H133" s="26" t="str">
        <f t="shared" si="3"/>
        <v/>
      </c>
    </row>
    <row r="134" spans="4:8" x14ac:dyDescent="0.25">
      <c r="D134" s="78"/>
      <c r="E134" s="78"/>
      <c r="H134" s="26" t="str">
        <f t="shared" si="3"/>
        <v/>
      </c>
    </row>
    <row r="135" spans="4:8" x14ac:dyDescent="0.25">
      <c r="D135" s="78"/>
      <c r="E135" s="78"/>
      <c r="H135" s="26" t="str">
        <f t="shared" si="3"/>
        <v/>
      </c>
    </row>
    <row r="136" spans="4:8" x14ac:dyDescent="0.25">
      <c r="D136" s="78"/>
      <c r="E136" s="78"/>
      <c r="H136" s="26" t="str">
        <f t="shared" si="3"/>
        <v/>
      </c>
    </row>
    <row r="137" spans="4:8" x14ac:dyDescent="0.25">
      <c r="D137" s="78"/>
      <c r="E137" s="78"/>
      <c r="H137" s="26" t="str">
        <f t="shared" si="3"/>
        <v/>
      </c>
    </row>
    <row r="138" spans="4:8" x14ac:dyDescent="0.25">
      <c r="D138" s="78"/>
      <c r="E138" s="78"/>
      <c r="H138" s="26" t="str">
        <f t="shared" si="3"/>
        <v/>
      </c>
    </row>
    <row r="139" spans="4:8" x14ac:dyDescent="0.25">
      <c r="D139" s="78"/>
      <c r="E139" s="78"/>
      <c r="H139" s="26" t="str">
        <f t="shared" si="3"/>
        <v/>
      </c>
    </row>
    <row r="140" spans="4:8" x14ac:dyDescent="0.25">
      <c r="D140" s="78"/>
      <c r="E140" s="78"/>
      <c r="H140" s="26" t="str">
        <f t="shared" ref="H140:H171" si="4">IF(C140="","",F140*G140)</f>
        <v/>
      </c>
    </row>
    <row r="141" spans="4:8" x14ac:dyDescent="0.25">
      <c r="D141" s="78"/>
      <c r="E141" s="78"/>
      <c r="H141" s="26" t="str">
        <f t="shared" si="4"/>
        <v/>
      </c>
    </row>
    <row r="142" spans="4:8" x14ac:dyDescent="0.25">
      <c r="D142" s="78"/>
      <c r="E142" s="78"/>
      <c r="H142" s="26" t="str">
        <f t="shared" si="4"/>
        <v/>
      </c>
    </row>
    <row r="143" spans="4:8" x14ac:dyDescent="0.25">
      <c r="D143" s="78"/>
      <c r="E143" s="78"/>
      <c r="H143" s="26" t="str">
        <f t="shared" si="4"/>
        <v/>
      </c>
    </row>
    <row r="144" spans="4:8" x14ac:dyDescent="0.25">
      <c r="D144" s="78"/>
      <c r="E144" s="78"/>
      <c r="H144" s="26" t="str">
        <f t="shared" si="4"/>
        <v/>
      </c>
    </row>
    <row r="145" spans="4:8" x14ac:dyDescent="0.25">
      <c r="D145" s="78"/>
      <c r="E145" s="78"/>
      <c r="H145" s="26" t="str">
        <f t="shared" si="4"/>
        <v/>
      </c>
    </row>
    <row r="146" spans="4:8" x14ac:dyDescent="0.25">
      <c r="D146" s="78"/>
      <c r="E146" s="78"/>
      <c r="H146" s="26" t="str">
        <f t="shared" si="4"/>
        <v/>
      </c>
    </row>
    <row r="147" spans="4:8" x14ac:dyDescent="0.25">
      <c r="D147" s="78"/>
      <c r="E147" s="78"/>
      <c r="H147" s="26" t="str">
        <f t="shared" si="4"/>
        <v/>
      </c>
    </row>
    <row r="148" spans="4:8" x14ac:dyDescent="0.25">
      <c r="D148" s="78"/>
      <c r="E148" s="78"/>
      <c r="H148" s="26" t="str">
        <f t="shared" si="4"/>
        <v/>
      </c>
    </row>
    <row r="149" spans="4:8" x14ac:dyDescent="0.25">
      <c r="D149" s="78"/>
      <c r="E149" s="78"/>
      <c r="H149" s="26" t="str">
        <f t="shared" si="4"/>
        <v/>
      </c>
    </row>
    <row r="150" spans="4:8" x14ac:dyDescent="0.25">
      <c r="D150" s="78"/>
      <c r="E150" s="78"/>
      <c r="H150" s="26" t="str">
        <f t="shared" si="4"/>
        <v/>
      </c>
    </row>
    <row r="151" spans="4:8" x14ac:dyDescent="0.25">
      <c r="D151" s="78"/>
      <c r="E151" s="78"/>
      <c r="H151" s="26" t="str">
        <f t="shared" si="4"/>
        <v/>
      </c>
    </row>
    <row r="152" spans="4:8" x14ac:dyDescent="0.25">
      <c r="D152" s="78"/>
      <c r="E152" s="78"/>
      <c r="H152" s="26" t="str">
        <f t="shared" si="4"/>
        <v/>
      </c>
    </row>
    <row r="153" spans="4:8" x14ac:dyDescent="0.25">
      <c r="D153" s="78"/>
      <c r="E153" s="78"/>
      <c r="H153" s="26" t="str">
        <f t="shared" si="4"/>
        <v/>
      </c>
    </row>
    <row r="154" spans="4:8" x14ac:dyDescent="0.25">
      <c r="D154" s="78"/>
      <c r="E154" s="78"/>
      <c r="H154" s="26" t="str">
        <f t="shared" si="4"/>
        <v/>
      </c>
    </row>
    <row r="155" spans="4:8" x14ac:dyDescent="0.25">
      <c r="D155" s="78"/>
      <c r="E155" s="78"/>
      <c r="H155" s="26" t="str">
        <f t="shared" si="4"/>
        <v/>
      </c>
    </row>
    <row r="156" spans="4:8" x14ac:dyDescent="0.25">
      <c r="D156" s="78"/>
      <c r="E156" s="78"/>
      <c r="H156" s="26" t="str">
        <f t="shared" si="4"/>
        <v/>
      </c>
    </row>
    <row r="157" spans="4:8" x14ac:dyDescent="0.25">
      <c r="D157" s="78"/>
      <c r="E157" s="78"/>
      <c r="H157" s="26" t="str">
        <f t="shared" si="4"/>
        <v/>
      </c>
    </row>
    <row r="158" spans="4:8" x14ac:dyDescent="0.25">
      <c r="D158" s="78"/>
      <c r="E158" s="78"/>
      <c r="H158" s="26" t="str">
        <f t="shared" si="4"/>
        <v/>
      </c>
    </row>
    <row r="159" spans="4:8" x14ac:dyDescent="0.25">
      <c r="D159" s="78"/>
      <c r="E159" s="78"/>
      <c r="H159" s="26" t="str">
        <f t="shared" si="4"/>
        <v/>
      </c>
    </row>
    <row r="160" spans="4:8" x14ac:dyDescent="0.25">
      <c r="D160" s="78"/>
      <c r="E160" s="78"/>
      <c r="H160" s="26" t="str">
        <f t="shared" si="4"/>
        <v/>
      </c>
    </row>
    <row r="161" spans="4:8" x14ac:dyDescent="0.25">
      <c r="D161" s="78"/>
      <c r="E161" s="78"/>
      <c r="H161" s="26" t="str">
        <f t="shared" si="4"/>
        <v/>
      </c>
    </row>
    <row r="162" spans="4:8" x14ac:dyDescent="0.25">
      <c r="D162" s="78"/>
      <c r="E162" s="78"/>
      <c r="H162" s="26" t="str">
        <f t="shared" si="4"/>
        <v/>
      </c>
    </row>
    <row r="163" spans="4:8" x14ac:dyDescent="0.25">
      <c r="D163" s="78"/>
      <c r="E163" s="78"/>
      <c r="H163" s="26" t="str">
        <f t="shared" si="4"/>
        <v/>
      </c>
    </row>
    <row r="164" spans="4:8" x14ac:dyDescent="0.25">
      <c r="D164" s="78"/>
      <c r="E164" s="78"/>
      <c r="H164" s="26" t="str">
        <f t="shared" si="4"/>
        <v/>
      </c>
    </row>
    <row r="165" spans="4:8" x14ac:dyDescent="0.25">
      <c r="D165" s="78"/>
      <c r="E165" s="78"/>
      <c r="H165" s="26" t="str">
        <f t="shared" si="4"/>
        <v/>
      </c>
    </row>
    <row r="166" spans="4:8" x14ac:dyDescent="0.25">
      <c r="D166" s="78"/>
      <c r="E166" s="78"/>
      <c r="H166" s="26" t="str">
        <f t="shared" si="4"/>
        <v/>
      </c>
    </row>
    <row r="167" spans="4:8" x14ac:dyDescent="0.25">
      <c r="D167" s="78"/>
      <c r="E167" s="78"/>
      <c r="H167" s="26" t="str">
        <f t="shared" si="4"/>
        <v/>
      </c>
    </row>
    <row r="168" spans="4:8" x14ac:dyDescent="0.25">
      <c r="D168" s="78"/>
      <c r="E168" s="78"/>
      <c r="H168" s="26" t="str">
        <f t="shared" si="4"/>
        <v/>
      </c>
    </row>
    <row r="169" spans="4:8" x14ac:dyDescent="0.25">
      <c r="D169" s="78"/>
      <c r="E169" s="78"/>
      <c r="H169" s="26" t="str">
        <f t="shared" si="4"/>
        <v/>
      </c>
    </row>
    <row r="170" spans="4:8" x14ac:dyDescent="0.25">
      <c r="D170" s="78"/>
      <c r="E170" s="78"/>
      <c r="H170" s="26" t="str">
        <f t="shared" si="4"/>
        <v/>
      </c>
    </row>
    <row r="171" spans="4:8" x14ac:dyDescent="0.25">
      <c r="D171" s="78"/>
      <c r="E171" s="78"/>
      <c r="H171" s="26" t="str">
        <f t="shared" si="4"/>
        <v/>
      </c>
    </row>
    <row r="172" spans="4:8" x14ac:dyDescent="0.25">
      <c r="D172" s="78"/>
      <c r="E172" s="78"/>
      <c r="H172" s="26" t="str">
        <f t="shared" ref="H172:H200" si="5">IF(C172="","",F172*G172)</f>
        <v/>
      </c>
    </row>
    <row r="173" spans="4:8" x14ac:dyDescent="0.25">
      <c r="D173" s="78"/>
      <c r="E173" s="78"/>
      <c r="H173" s="26" t="str">
        <f t="shared" si="5"/>
        <v/>
      </c>
    </row>
    <row r="174" spans="4:8" x14ac:dyDescent="0.25">
      <c r="D174" s="78"/>
      <c r="E174" s="78"/>
      <c r="H174" s="26" t="str">
        <f t="shared" si="5"/>
        <v/>
      </c>
    </row>
    <row r="175" spans="4:8" x14ac:dyDescent="0.25">
      <c r="D175" s="78"/>
      <c r="E175" s="78"/>
      <c r="H175" s="26" t="str">
        <f t="shared" si="5"/>
        <v/>
      </c>
    </row>
    <row r="176" spans="4:8" x14ac:dyDescent="0.25">
      <c r="D176" s="78"/>
      <c r="E176" s="78"/>
      <c r="H176" s="26" t="str">
        <f t="shared" si="5"/>
        <v/>
      </c>
    </row>
    <row r="177" spans="4:8" x14ac:dyDescent="0.25">
      <c r="D177" s="78"/>
      <c r="E177" s="78"/>
      <c r="H177" s="26" t="str">
        <f t="shared" si="5"/>
        <v/>
      </c>
    </row>
    <row r="178" spans="4:8" x14ac:dyDescent="0.25">
      <c r="D178" s="78"/>
      <c r="E178" s="78"/>
      <c r="H178" s="26" t="str">
        <f t="shared" si="5"/>
        <v/>
      </c>
    </row>
    <row r="179" spans="4:8" x14ac:dyDescent="0.25">
      <c r="D179" s="78"/>
      <c r="E179" s="78"/>
      <c r="H179" s="26" t="str">
        <f t="shared" si="5"/>
        <v/>
      </c>
    </row>
    <row r="180" spans="4:8" x14ac:dyDescent="0.25">
      <c r="D180" s="78"/>
      <c r="E180" s="78"/>
      <c r="H180" s="26" t="str">
        <f t="shared" si="5"/>
        <v/>
      </c>
    </row>
    <row r="181" spans="4:8" x14ac:dyDescent="0.25">
      <c r="D181" s="78"/>
      <c r="E181" s="78"/>
      <c r="H181" s="26" t="str">
        <f t="shared" si="5"/>
        <v/>
      </c>
    </row>
    <row r="182" spans="4:8" x14ac:dyDescent="0.25">
      <c r="D182" s="78"/>
      <c r="E182" s="78"/>
      <c r="H182" s="26" t="str">
        <f t="shared" si="5"/>
        <v/>
      </c>
    </row>
    <row r="183" spans="4:8" x14ac:dyDescent="0.25">
      <c r="D183" s="78"/>
      <c r="E183" s="78"/>
      <c r="H183" s="26" t="str">
        <f t="shared" si="5"/>
        <v/>
      </c>
    </row>
    <row r="184" spans="4:8" x14ac:dyDescent="0.25">
      <c r="D184" s="78"/>
      <c r="E184" s="78"/>
      <c r="H184" s="26" t="str">
        <f t="shared" si="5"/>
        <v/>
      </c>
    </row>
    <row r="185" spans="4:8" x14ac:dyDescent="0.25">
      <c r="D185" s="78"/>
      <c r="E185" s="78"/>
      <c r="H185" s="26" t="str">
        <f t="shared" si="5"/>
        <v/>
      </c>
    </row>
    <row r="186" spans="4:8" x14ac:dyDescent="0.25">
      <c r="D186" s="78"/>
      <c r="E186" s="78"/>
      <c r="H186" s="26" t="str">
        <f t="shared" si="5"/>
        <v/>
      </c>
    </row>
    <row r="187" spans="4:8" x14ac:dyDescent="0.25">
      <c r="D187" s="78"/>
      <c r="E187" s="78"/>
      <c r="H187" s="26" t="str">
        <f t="shared" si="5"/>
        <v/>
      </c>
    </row>
    <row r="188" spans="4:8" x14ac:dyDescent="0.25">
      <c r="D188" s="78"/>
      <c r="E188" s="78"/>
      <c r="H188" s="26" t="str">
        <f t="shared" si="5"/>
        <v/>
      </c>
    </row>
    <row r="189" spans="4:8" x14ac:dyDescent="0.25">
      <c r="D189" s="78"/>
      <c r="E189" s="78"/>
      <c r="H189" s="26" t="str">
        <f t="shared" si="5"/>
        <v/>
      </c>
    </row>
    <row r="190" spans="4:8" x14ac:dyDescent="0.25">
      <c r="D190" s="78"/>
      <c r="E190" s="78"/>
      <c r="H190" s="26" t="str">
        <f t="shared" si="5"/>
        <v/>
      </c>
    </row>
    <row r="191" spans="4:8" x14ac:dyDescent="0.25">
      <c r="D191" s="78"/>
      <c r="E191" s="78"/>
      <c r="H191" s="26" t="str">
        <f t="shared" si="5"/>
        <v/>
      </c>
    </row>
    <row r="192" spans="4:8" x14ac:dyDescent="0.25">
      <c r="D192" s="78"/>
      <c r="E192" s="78"/>
      <c r="H192" s="26" t="str">
        <f t="shared" si="5"/>
        <v/>
      </c>
    </row>
    <row r="193" spans="4:8" x14ac:dyDescent="0.25">
      <c r="D193" s="78"/>
      <c r="E193" s="78"/>
      <c r="H193" s="26" t="str">
        <f t="shared" si="5"/>
        <v/>
      </c>
    </row>
    <row r="194" spans="4:8" x14ac:dyDescent="0.25">
      <c r="D194" s="78"/>
      <c r="E194" s="78"/>
      <c r="H194" s="26" t="str">
        <f t="shared" si="5"/>
        <v/>
      </c>
    </row>
    <row r="195" spans="4:8" x14ac:dyDescent="0.25">
      <c r="D195" s="78"/>
      <c r="E195" s="78"/>
      <c r="H195" s="26" t="str">
        <f t="shared" si="5"/>
        <v/>
      </c>
    </row>
    <row r="196" spans="4:8" x14ac:dyDescent="0.25">
      <c r="D196" s="78"/>
      <c r="E196" s="78"/>
      <c r="H196" s="26" t="str">
        <f t="shared" si="5"/>
        <v/>
      </c>
    </row>
    <row r="197" spans="4:8" x14ac:dyDescent="0.25">
      <c r="D197" s="78"/>
      <c r="E197" s="78"/>
      <c r="H197" s="26" t="str">
        <f t="shared" si="5"/>
        <v/>
      </c>
    </row>
    <row r="198" spans="4:8" x14ac:dyDescent="0.25">
      <c r="D198" s="78"/>
      <c r="E198" s="78"/>
      <c r="H198" s="26" t="str">
        <f t="shared" si="5"/>
        <v/>
      </c>
    </row>
    <row r="199" spans="4:8" x14ac:dyDescent="0.25">
      <c r="D199" s="78"/>
      <c r="E199" s="78"/>
      <c r="H199" s="26" t="str">
        <f t="shared" si="5"/>
        <v/>
      </c>
    </row>
    <row r="200" spans="4:8" x14ac:dyDescent="0.25">
      <c r="D200" s="78"/>
      <c r="E200" s="78"/>
      <c r="H200" s="26" t="str">
        <f t="shared" si="5"/>
        <v/>
      </c>
    </row>
    <row r="201" spans="4:8" x14ac:dyDescent="0.25">
      <c r="D201" s="78"/>
      <c r="E201" s="78"/>
    </row>
    <row r="202" spans="4:8" x14ac:dyDescent="0.25">
      <c r="D202" s="78"/>
      <c r="E202" s="78"/>
    </row>
    <row r="203" spans="4:8" x14ac:dyDescent="0.25">
      <c r="D203" s="78"/>
      <c r="E203" s="78"/>
    </row>
    <row r="204" spans="4:8" x14ac:dyDescent="0.25">
      <c r="D204" s="78"/>
      <c r="E204" s="78"/>
    </row>
    <row r="205" spans="4:8" x14ac:dyDescent="0.25">
      <c r="D205" s="78"/>
      <c r="E205" s="78"/>
    </row>
    <row r="206" spans="4:8" x14ac:dyDescent="0.25">
      <c r="D206" s="78"/>
      <c r="E206" s="78"/>
    </row>
    <row r="207" spans="4:8" x14ac:dyDescent="0.25">
      <c r="D207" s="78"/>
      <c r="E207" s="78"/>
    </row>
    <row r="208" spans="4:8" x14ac:dyDescent="0.25">
      <c r="D208" s="78"/>
      <c r="E208" s="78"/>
    </row>
    <row r="209" spans="4:5" x14ac:dyDescent="0.25">
      <c r="D209" s="78"/>
      <c r="E209" s="78"/>
    </row>
    <row r="210" spans="4:5" x14ac:dyDescent="0.25">
      <c r="D210" s="78"/>
      <c r="E210" s="78"/>
    </row>
    <row r="211" spans="4:5" x14ac:dyDescent="0.25">
      <c r="D211" s="78"/>
      <c r="E211" s="78"/>
    </row>
    <row r="212" spans="4:5" x14ac:dyDescent="0.25">
      <c r="D212" s="78"/>
      <c r="E212" s="78"/>
    </row>
    <row r="213" spans="4:5" x14ac:dyDescent="0.25">
      <c r="D213" s="78"/>
      <c r="E213" s="78"/>
    </row>
    <row r="214" spans="4:5" x14ac:dyDescent="0.25">
      <c r="D214" s="78"/>
      <c r="E214" s="78"/>
    </row>
    <row r="215" spans="4:5" x14ac:dyDescent="0.25">
      <c r="D215" s="78"/>
      <c r="E215" s="78"/>
    </row>
    <row r="216" spans="4:5" x14ac:dyDescent="0.25">
      <c r="D216" s="78"/>
      <c r="E216" s="78"/>
    </row>
    <row r="217" spans="4:5" x14ac:dyDescent="0.25">
      <c r="D217" s="78"/>
      <c r="E217" s="78"/>
    </row>
    <row r="218" spans="4:5" x14ac:dyDescent="0.25">
      <c r="D218" s="78"/>
      <c r="E218" s="78"/>
    </row>
    <row r="219" spans="4:5" x14ac:dyDescent="0.25">
      <c r="D219" s="78"/>
      <c r="E219" s="78"/>
    </row>
    <row r="220" spans="4:5" x14ac:dyDescent="0.25">
      <c r="D220" s="78"/>
      <c r="E220" s="78"/>
    </row>
    <row r="221" spans="4:5" x14ac:dyDescent="0.25">
      <c r="D221" s="78"/>
      <c r="E221" s="78"/>
    </row>
    <row r="222" spans="4:5" x14ac:dyDescent="0.25">
      <c r="D222" s="78"/>
      <c r="E222" s="78"/>
    </row>
    <row r="223" spans="4:5" x14ac:dyDescent="0.25">
      <c r="D223" s="78"/>
      <c r="E223" s="78"/>
    </row>
    <row r="224" spans="4:5" x14ac:dyDescent="0.25">
      <c r="D224" s="78"/>
      <c r="E224" s="78"/>
    </row>
    <row r="225" spans="4:5" x14ac:dyDescent="0.25">
      <c r="D225" s="78"/>
      <c r="E225" s="78"/>
    </row>
    <row r="226" spans="4:5" x14ac:dyDescent="0.25">
      <c r="D226" s="78"/>
      <c r="E226" s="78"/>
    </row>
    <row r="227" spans="4:5" x14ac:dyDescent="0.25">
      <c r="D227" s="78"/>
      <c r="E227" s="78"/>
    </row>
    <row r="228" spans="4:5" x14ac:dyDescent="0.25">
      <c r="D228" s="78"/>
      <c r="E228" s="78"/>
    </row>
    <row r="229" spans="4:5" x14ac:dyDescent="0.25">
      <c r="D229" s="78"/>
      <c r="E229" s="78"/>
    </row>
    <row r="230" spans="4:5" x14ac:dyDescent="0.25">
      <c r="D230" s="78"/>
      <c r="E230" s="78"/>
    </row>
    <row r="231" spans="4:5" x14ac:dyDescent="0.25">
      <c r="D231" s="78"/>
      <c r="E231" s="78"/>
    </row>
    <row r="232" spans="4:5" x14ac:dyDescent="0.25">
      <c r="D232" s="78"/>
      <c r="E232" s="78"/>
    </row>
    <row r="233" spans="4:5" x14ac:dyDescent="0.25">
      <c r="D233" s="78"/>
      <c r="E233" s="78"/>
    </row>
    <row r="234" spans="4:5" x14ac:dyDescent="0.25">
      <c r="D234" s="78"/>
      <c r="E234" s="78"/>
    </row>
    <row r="235" spans="4:5" x14ac:dyDescent="0.25">
      <c r="D235" s="78"/>
      <c r="E235" s="78"/>
    </row>
    <row r="236" spans="4:5" x14ac:dyDescent="0.25">
      <c r="D236" s="78"/>
      <c r="E236" s="78"/>
    </row>
    <row r="237" spans="4:5" x14ac:dyDescent="0.25">
      <c r="D237" s="78"/>
      <c r="E237" s="78"/>
    </row>
    <row r="238" spans="4:5" x14ac:dyDescent="0.25">
      <c r="D238" s="78"/>
      <c r="E238" s="78"/>
    </row>
    <row r="239" spans="4:5" x14ac:dyDescent="0.25">
      <c r="D239" s="78"/>
      <c r="E239" s="78"/>
    </row>
    <row r="240" spans="4:5" x14ac:dyDescent="0.25">
      <c r="D240" s="78"/>
      <c r="E240" s="78"/>
    </row>
    <row r="241" spans="4:5" x14ac:dyDescent="0.25">
      <c r="D241" s="78"/>
      <c r="E241" s="78"/>
    </row>
    <row r="242" spans="4:5" x14ac:dyDescent="0.25">
      <c r="D242" s="78"/>
      <c r="E242" s="78"/>
    </row>
    <row r="243" spans="4:5" x14ac:dyDescent="0.25">
      <c r="D243" s="78"/>
      <c r="E243" s="78"/>
    </row>
    <row r="244" spans="4:5" x14ac:dyDescent="0.25">
      <c r="D244" s="78"/>
      <c r="E244" s="78"/>
    </row>
    <row r="245" spans="4:5" x14ac:dyDescent="0.25">
      <c r="D245" s="78"/>
      <c r="E245" s="78"/>
    </row>
    <row r="246" spans="4:5" x14ac:dyDescent="0.25">
      <c r="D246" s="78"/>
      <c r="E246" s="78"/>
    </row>
    <row r="247" spans="4:5" x14ac:dyDescent="0.25">
      <c r="D247" s="78"/>
      <c r="E247" s="78"/>
    </row>
    <row r="248" spans="4:5" x14ac:dyDescent="0.25">
      <c r="D248" s="78"/>
      <c r="E248" s="78"/>
    </row>
    <row r="249" spans="4:5" x14ac:dyDescent="0.25">
      <c r="D249" s="78"/>
      <c r="E249" s="78"/>
    </row>
    <row r="250" spans="4:5" x14ac:dyDescent="0.25">
      <c r="D250" s="78"/>
      <c r="E250" s="78"/>
    </row>
    <row r="251" spans="4:5" x14ac:dyDescent="0.25">
      <c r="D251" s="78"/>
      <c r="E251" s="78"/>
    </row>
    <row r="252" spans="4:5" x14ac:dyDescent="0.25">
      <c r="D252" s="78"/>
      <c r="E252" s="78"/>
    </row>
    <row r="253" spans="4:5" x14ac:dyDescent="0.25">
      <c r="D253" s="78"/>
      <c r="E253" s="78"/>
    </row>
    <row r="254" spans="4:5" x14ac:dyDescent="0.25">
      <c r="D254" s="78"/>
      <c r="E254" s="78"/>
    </row>
    <row r="255" spans="4:5" x14ac:dyDescent="0.25">
      <c r="D255" s="78"/>
      <c r="E255" s="78"/>
    </row>
    <row r="256" spans="4:5" x14ac:dyDescent="0.25">
      <c r="D256" s="78"/>
      <c r="E256" s="78"/>
    </row>
    <row r="257" spans="4:5" x14ac:dyDescent="0.25">
      <c r="D257" s="78"/>
      <c r="E257" s="78"/>
    </row>
    <row r="258" spans="4:5" x14ac:dyDescent="0.25">
      <c r="D258" s="78"/>
      <c r="E258" s="78"/>
    </row>
    <row r="259" spans="4:5" x14ac:dyDescent="0.25">
      <c r="D259" s="78"/>
      <c r="E259" s="78"/>
    </row>
    <row r="260" spans="4:5" x14ac:dyDescent="0.25">
      <c r="D260" s="78"/>
      <c r="E260" s="78"/>
    </row>
    <row r="261" spans="4:5" x14ac:dyDescent="0.25">
      <c r="D261" s="78"/>
      <c r="E261" s="78"/>
    </row>
    <row r="262" spans="4:5" x14ac:dyDescent="0.25">
      <c r="D262" s="78"/>
      <c r="E262" s="78"/>
    </row>
    <row r="263" spans="4:5" x14ac:dyDescent="0.25">
      <c r="D263" s="78"/>
      <c r="E263" s="78"/>
    </row>
    <row r="264" spans="4:5" x14ac:dyDescent="0.25">
      <c r="D264" s="78"/>
      <c r="E264" s="78"/>
    </row>
    <row r="265" spans="4:5" x14ac:dyDescent="0.25">
      <c r="D265" s="78"/>
      <c r="E265" s="78"/>
    </row>
    <row r="266" spans="4:5" x14ac:dyDescent="0.25">
      <c r="D266" s="78"/>
      <c r="E266" s="78"/>
    </row>
    <row r="267" spans="4:5" x14ac:dyDescent="0.25">
      <c r="D267" s="78"/>
      <c r="E267" s="78"/>
    </row>
    <row r="268" spans="4:5" x14ac:dyDescent="0.25">
      <c r="D268" s="78"/>
      <c r="E268" s="78"/>
    </row>
    <row r="269" spans="4:5" x14ac:dyDescent="0.25">
      <c r="D269" s="78"/>
      <c r="E269" s="78"/>
    </row>
    <row r="270" spans="4:5" x14ac:dyDescent="0.25">
      <c r="D270" s="78"/>
      <c r="E270" s="78"/>
    </row>
    <row r="271" spans="4:5" x14ac:dyDescent="0.25">
      <c r="D271" s="78"/>
      <c r="E271" s="78"/>
    </row>
    <row r="272" spans="4:5" x14ac:dyDescent="0.25">
      <c r="D272" s="78"/>
      <c r="E272" s="78"/>
    </row>
    <row r="273" spans="4:5" x14ac:dyDescent="0.25">
      <c r="D273" s="78"/>
      <c r="E273" s="78"/>
    </row>
    <row r="274" spans="4:5" x14ac:dyDescent="0.25">
      <c r="D274" s="78"/>
      <c r="E274" s="78"/>
    </row>
    <row r="275" spans="4:5" x14ac:dyDescent="0.25">
      <c r="D275" s="78"/>
      <c r="E275" s="78"/>
    </row>
    <row r="276" spans="4:5" x14ac:dyDescent="0.25">
      <c r="D276" s="78"/>
      <c r="E276" s="78"/>
    </row>
    <row r="277" spans="4:5" x14ac:dyDescent="0.25">
      <c r="D277" s="78"/>
      <c r="E277" s="78"/>
    </row>
    <row r="278" spans="4:5" x14ac:dyDescent="0.25">
      <c r="D278" s="78"/>
      <c r="E278" s="78"/>
    </row>
    <row r="279" spans="4:5" x14ac:dyDescent="0.25">
      <c r="D279" s="78"/>
      <c r="E279" s="78"/>
    </row>
    <row r="280" spans="4:5" x14ac:dyDescent="0.25">
      <c r="D280" s="78"/>
      <c r="E280" s="78"/>
    </row>
    <row r="281" spans="4:5" x14ac:dyDescent="0.25">
      <c r="D281" s="78"/>
      <c r="E281" s="78"/>
    </row>
    <row r="282" spans="4:5" x14ac:dyDescent="0.25">
      <c r="D282" s="78"/>
      <c r="E282" s="78"/>
    </row>
    <row r="283" spans="4:5" x14ac:dyDescent="0.25">
      <c r="D283" s="78"/>
      <c r="E283" s="78"/>
    </row>
    <row r="284" spans="4:5" x14ac:dyDescent="0.25">
      <c r="D284" s="78"/>
      <c r="E284" s="78"/>
    </row>
    <row r="285" spans="4:5" x14ac:dyDescent="0.25">
      <c r="D285" s="78"/>
      <c r="E285" s="78"/>
    </row>
    <row r="286" spans="4:5" x14ac:dyDescent="0.25">
      <c r="D286" s="78"/>
      <c r="E286" s="78"/>
    </row>
    <row r="287" spans="4:5" x14ac:dyDescent="0.25">
      <c r="D287" s="78"/>
      <c r="E287" s="78"/>
    </row>
    <row r="288" spans="4:5" x14ac:dyDescent="0.25">
      <c r="D288" s="78"/>
      <c r="E288" s="78"/>
    </row>
    <row r="289" spans="4:5" x14ac:dyDescent="0.25">
      <c r="D289" s="78"/>
      <c r="E289" s="78"/>
    </row>
    <row r="290" spans="4:5" x14ac:dyDescent="0.25">
      <c r="D290" s="78"/>
      <c r="E290" s="78"/>
    </row>
    <row r="291" spans="4:5" x14ac:dyDescent="0.25">
      <c r="D291" s="78"/>
      <c r="E291" s="78"/>
    </row>
    <row r="292" spans="4:5" x14ac:dyDescent="0.25">
      <c r="D292" s="78"/>
      <c r="E292" s="78"/>
    </row>
    <row r="293" spans="4:5" x14ac:dyDescent="0.25">
      <c r="D293" s="78"/>
      <c r="E293" s="78"/>
    </row>
    <row r="294" spans="4:5" x14ac:dyDescent="0.25">
      <c r="D294" s="78"/>
      <c r="E294" s="78"/>
    </row>
    <row r="295" spans="4:5" x14ac:dyDescent="0.25">
      <c r="D295" s="78"/>
      <c r="E295" s="78"/>
    </row>
    <row r="296" spans="4:5" x14ac:dyDescent="0.25">
      <c r="D296" s="78"/>
      <c r="E296" s="78"/>
    </row>
    <row r="297" spans="4:5" x14ac:dyDescent="0.25">
      <c r="D297" s="78"/>
      <c r="E297" s="78"/>
    </row>
    <row r="298" spans="4:5" x14ac:dyDescent="0.25">
      <c r="D298" s="78"/>
      <c r="E298" s="78"/>
    </row>
    <row r="299" spans="4:5" x14ac:dyDescent="0.25">
      <c r="D299" s="78"/>
      <c r="E299" s="78"/>
    </row>
    <row r="300" spans="4:5" x14ac:dyDescent="0.25">
      <c r="D300" s="78"/>
      <c r="E300" s="78"/>
    </row>
    <row r="301" spans="4:5" x14ac:dyDescent="0.25">
      <c r="D301" s="78"/>
      <c r="E301" s="78"/>
    </row>
    <row r="302" spans="4:5" x14ac:dyDescent="0.25">
      <c r="D302" s="78"/>
      <c r="E302" s="78"/>
    </row>
    <row r="303" spans="4:5" x14ac:dyDescent="0.25">
      <c r="D303" s="78"/>
      <c r="E303" s="78"/>
    </row>
    <row r="304" spans="4:5" x14ac:dyDescent="0.25">
      <c r="D304" s="78"/>
      <c r="E304" s="78"/>
    </row>
    <row r="305" spans="4:5" x14ac:dyDescent="0.25">
      <c r="D305" s="78"/>
      <c r="E305" s="78"/>
    </row>
    <row r="306" spans="4:5" x14ac:dyDescent="0.25">
      <c r="D306" s="78"/>
      <c r="E306" s="78"/>
    </row>
    <row r="307" spans="4:5" x14ac:dyDescent="0.25">
      <c r="D307" s="78"/>
      <c r="E307" s="78"/>
    </row>
    <row r="308" spans="4:5" x14ac:dyDescent="0.25">
      <c r="D308" s="78"/>
      <c r="E308" s="78"/>
    </row>
    <row r="309" spans="4:5" x14ac:dyDescent="0.25">
      <c r="D309" s="78"/>
      <c r="E309" s="78"/>
    </row>
    <row r="310" spans="4:5" x14ac:dyDescent="0.25">
      <c r="D310" s="78"/>
      <c r="E310" s="78"/>
    </row>
    <row r="311" spans="4:5" x14ac:dyDescent="0.25">
      <c r="D311" s="78"/>
      <c r="E311" s="78"/>
    </row>
    <row r="312" spans="4:5" x14ac:dyDescent="0.25">
      <c r="D312" s="78"/>
      <c r="E312" s="78"/>
    </row>
    <row r="313" spans="4:5" x14ac:dyDescent="0.25">
      <c r="D313" s="78"/>
      <c r="E313" s="78"/>
    </row>
    <row r="314" spans="4:5" x14ac:dyDescent="0.25">
      <c r="D314" s="78"/>
      <c r="E314" s="78"/>
    </row>
    <row r="315" spans="4:5" x14ac:dyDescent="0.25">
      <c r="D315" s="78"/>
      <c r="E315" s="78"/>
    </row>
    <row r="316" spans="4:5" x14ac:dyDescent="0.25">
      <c r="D316" s="78"/>
      <c r="E316" s="78"/>
    </row>
    <row r="317" spans="4:5" x14ac:dyDescent="0.25">
      <c r="D317" s="78"/>
      <c r="E317" s="78"/>
    </row>
    <row r="318" spans="4:5" x14ac:dyDescent="0.25">
      <c r="D318" s="78"/>
      <c r="E318" s="78"/>
    </row>
    <row r="319" spans="4:5" x14ac:dyDescent="0.25">
      <c r="D319" s="78"/>
      <c r="E319" s="78"/>
    </row>
    <row r="320" spans="4:5" x14ac:dyDescent="0.25">
      <c r="D320" s="78"/>
      <c r="E320" s="78"/>
    </row>
    <row r="321" spans="4:5" x14ac:dyDescent="0.25">
      <c r="D321" s="78"/>
      <c r="E321" s="78"/>
    </row>
    <row r="322" spans="4:5" x14ac:dyDescent="0.25">
      <c r="D322" s="78"/>
      <c r="E322" s="78"/>
    </row>
    <row r="323" spans="4:5" x14ac:dyDescent="0.25">
      <c r="D323" s="78"/>
      <c r="E323" s="78"/>
    </row>
    <row r="324" spans="4:5" x14ac:dyDescent="0.25">
      <c r="D324" s="78"/>
      <c r="E324" s="78"/>
    </row>
    <row r="325" spans="4:5" x14ac:dyDescent="0.25">
      <c r="D325" s="78"/>
      <c r="E325" s="78"/>
    </row>
    <row r="326" spans="4:5" x14ac:dyDescent="0.25">
      <c r="D326" s="78"/>
      <c r="E326" s="78"/>
    </row>
    <row r="327" spans="4:5" x14ac:dyDescent="0.25">
      <c r="D327" s="78"/>
      <c r="E327" s="78"/>
    </row>
    <row r="328" spans="4:5" x14ac:dyDescent="0.25">
      <c r="D328" s="78"/>
      <c r="E328" s="78"/>
    </row>
    <row r="329" spans="4:5" x14ac:dyDescent="0.25">
      <c r="D329" s="78"/>
      <c r="E329" s="78"/>
    </row>
    <row r="330" spans="4:5" x14ac:dyDescent="0.25">
      <c r="D330" s="78"/>
      <c r="E330" s="78"/>
    </row>
    <row r="331" spans="4:5" x14ac:dyDescent="0.25">
      <c r="D331" s="78"/>
      <c r="E331" s="78"/>
    </row>
    <row r="332" spans="4:5" x14ac:dyDescent="0.25">
      <c r="D332" s="78"/>
      <c r="E332" s="78"/>
    </row>
    <row r="333" spans="4:5" x14ac:dyDescent="0.25">
      <c r="D333" s="78"/>
      <c r="E333" s="78"/>
    </row>
    <row r="334" spans="4:5" x14ac:dyDescent="0.25">
      <c r="D334" s="78"/>
      <c r="E334" s="78"/>
    </row>
    <row r="335" spans="4:5" x14ac:dyDescent="0.25">
      <c r="D335" s="78"/>
      <c r="E335" s="78"/>
    </row>
    <row r="336" spans="4:5" x14ac:dyDescent="0.25">
      <c r="D336" s="78"/>
      <c r="E336" s="78"/>
    </row>
    <row r="337" spans="4:5" x14ac:dyDescent="0.25">
      <c r="D337" s="78"/>
      <c r="E337" s="78"/>
    </row>
    <row r="338" spans="4:5" x14ac:dyDescent="0.25">
      <c r="D338" s="78"/>
      <c r="E338" s="78"/>
    </row>
    <row r="339" spans="4:5" x14ac:dyDescent="0.25">
      <c r="D339" s="78"/>
      <c r="E339" s="78"/>
    </row>
    <row r="340" spans="4:5" x14ac:dyDescent="0.25">
      <c r="D340" s="78"/>
      <c r="E340" s="78"/>
    </row>
    <row r="341" spans="4:5" x14ac:dyDescent="0.25">
      <c r="D341" s="78"/>
      <c r="E341" s="78"/>
    </row>
    <row r="342" spans="4:5" x14ac:dyDescent="0.25">
      <c r="D342" s="78"/>
      <c r="E342" s="78"/>
    </row>
    <row r="343" spans="4:5" x14ac:dyDescent="0.25">
      <c r="D343" s="78"/>
      <c r="E343" s="78"/>
    </row>
    <row r="344" spans="4:5" x14ac:dyDescent="0.25">
      <c r="D344" s="78"/>
      <c r="E344" s="78"/>
    </row>
    <row r="345" spans="4:5" x14ac:dyDescent="0.25">
      <c r="D345" s="78"/>
      <c r="E345" s="78"/>
    </row>
    <row r="346" spans="4:5" x14ac:dyDescent="0.25">
      <c r="D346" s="78"/>
      <c r="E346" s="78"/>
    </row>
    <row r="347" spans="4:5" x14ac:dyDescent="0.25">
      <c r="D347" s="78"/>
      <c r="E347" s="78"/>
    </row>
    <row r="348" spans="4:5" x14ac:dyDescent="0.25">
      <c r="D348" s="78"/>
      <c r="E348" s="78"/>
    </row>
    <row r="349" spans="4:5" x14ac:dyDescent="0.25">
      <c r="D349" s="78"/>
      <c r="E349" s="78"/>
    </row>
    <row r="350" spans="4:5" x14ac:dyDescent="0.25">
      <c r="D350" s="78"/>
      <c r="E350" s="78"/>
    </row>
    <row r="351" spans="4:5" x14ac:dyDescent="0.25">
      <c r="D351" s="78"/>
      <c r="E351" s="78"/>
    </row>
    <row r="352" spans="4:5" x14ac:dyDescent="0.25">
      <c r="D352" s="78"/>
      <c r="E352" s="78"/>
    </row>
    <row r="353" spans="4:5" x14ac:dyDescent="0.25">
      <c r="D353" s="78"/>
      <c r="E353" s="78"/>
    </row>
    <row r="354" spans="4:5" x14ac:dyDescent="0.25">
      <c r="D354" s="78"/>
      <c r="E354" s="78"/>
    </row>
    <row r="355" spans="4:5" x14ac:dyDescent="0.25">
      <c r="D355" s="78"/>
      <c r="E355" s="78"/>
    </row>
    <row r="356" spans="4:5" x14ac:dyDescent="0.25">
      <c r="D356" s="78"/>
      <c r="E356" s="78"/>
    </row>
    <row r="357" spans="4:5" x14ac:dyDescent="0.25">
      <c r="D357" s="78"/>
      <c r="E357" s="78"/>
    </row>
    <row r="358" spans="4:5" x14ac:dyDescent="0.25">
      <c r="D358" s="78"/>
      <c r="E358" s="78"/>
    </row>
    <row r="359" spans="4:5" x14ac:dyDescent="0.25">
      <c r="D359" s="78"/>
      <c r="E359" s="78"/>
    </row>
    <row r="360" spans="4:5" x14ac:dyDescent="0.25">
      <c r="D360" s="78"/>
      <c r="E360" s="78"/>
    </row>
    <row r="361" spans="4:5" x14ac:dyDescent="0.25">
      <c r="D361" s="78"/>
      <c r="E361" s="78"/>
    </row>
    <row r="362" spans="4:5" x14ac:dyDescent="0.25">
      <c r="D362" s="78"/>
      <c r="E362" s="78"/>
    </row>
    <row r="363" spans="4:5" x14ac:dyDescent="0.25">
      <c r="D363" s="78"/>
      <c r="E363" s="78"/>
    </row>
    <row r="364" spans="4:5" x14ac:dyDescent="0.25">
      <c r="D364" s="78"/>
      <c r="E364" s="78"/>
    </row>
    <row r="365" spans="4:5" x14ac:dyDescent="0.25">
      <c r="D365" s="78"/>
      <c r="E365" s="78"/>
    </row>
    <row r="366" spans="4:5" x14ac:dyDescent="0.25">
      <c r="D366" s="78"/>
      <c r="E366" s="78"/>
    </row>
    <row r="367" spans="4:5" x14ac:dyDescent="0.25">
      <c r="D367" s="78"/>
      <c r="E367" s="78"/>
    </row>
    <row r="368" spans="4:5" x14ac:dyDescent="0.25">
      <c r="D368" s="78"/>
      <c r="E368" s="78"/>
    </row>
    <row r="369" spans="4:5" x14ac:dyDescent="0.25">
      <c r="D369" s="78"/>
      <c r="E369" s="78"/>
    </row>
    <row r="370" spans="4:5" x14ac:dyDescent="0.25">
      <c r="D370" s="78"/>
      <c r="E370" s="78"/>
    </row>
    <row r="371" spans="4:5" x14ac:dyDescent="0.25">
      <c r="D371" s="78"/>
      <c r="E371" s="78"/>
    </row>
    <row r="372" spans="4:5" x14ac:dyDescent="0.25">
      <c r="D372" s="78"/>
      <c r="E372" s="78"/>
    </row>
    <row r="373" spans="4:5" x14ac:dyDescent="0.25">
      <c r="D373" s="78"/>
      <c r="E373" s="78"/>
    </row>
    <row r="374" spans="4:5" x14ac:dyDescent="0.25">
      <c r="D374" s="78"/>
      <c r="E374" s="78"/>
    </row>
    <row r="375" spans="4:5" x14ac:dyDescent="0.25">
      <c r="D375" s="78"/>
      <c r="E375" s="78"/>
    </row>
    <row r="376" spans="4:5" x14ac:dyDescent="0.25">
      <c r="D376" s="78"/>
      <c r="E376" s="78"/>
    </row>
    <row r="377" spans="4:5" x14ac:dyDescent="0.25">
      <c r="D377" s="78"/>
      <c r="E377" s="78"/>
    </row>
    <row r="378" spans="4:5" x14ac:dyDescent="0.25">
      <c r="D378" s="78"/>
      <c r="E378" s="78"/>
    </row>
    <row r="379" spans="4:5" x14ac:dyDescent="0.25">
      <c r="D379" s="78"/>
      <c r="E379" s="78"/>
    </row>
    <row r="380" spans="4:5" x14ac:dyDescent="0.25">
      <c r="D380" s="78"/>
      <c r="E380" s="78"/>
    </row>
    <row r="381" spans="4:5" x14ac:dyDescent="0.25">
      <c r="D381" s="78"/>
      <c r="E381" s="78"/>
    </row>
    <row r="382" spans="4:5" x14ac:dyDescent="0.25">
      <c r="D382" s="78"/>
      <c r="E382" s="78"/>
    </row>
    <row r="383" spans="4:5" x14ac:dyDescent="0.25">
      <c r="D383" s="78"/>
      <c r="E383" s="78"/>
    </row>
    <row r="384" spans="4:5" x14ac:dyDescent="0.25">
      <c r="D384" s="78"/>
      <c r="E384" s="78"/>
    </row>
    <row r="385" spans="4:5" x14ac:dyDescent="0.25">
      <c r="D385" s="78"/>
      <c r="E385" s="78"/>
    </row>
    <row r="386" spans="4:5" x14ac:dyDescent="0.25">
      <c r="D386" s="78"/>
      <c r="E386" s="78"/>
    </row>
    <row r="387" spans="4:5" x14ac:dyDescent="0.25">
      <c r="D387" s="78"/>
      <c r="E387" s="78"/>
    </row>
    <row r="388" spans="4:5" x14ac:dyDescent="0.25">
      <c r="D388" s="78"/>
      <c r="E388" s="78"/>
    </row>
    <row r="389" spans="4:5" x14ac:dyDescent="0.25">
      <c r="D389" s="78"/>
      <c r="E389" s="78"/>
    </row>
    <row r="390" spans="4:5" x14ac:dyDescent="0.25">
      <c r="D390" s="78"/>
      <c r="E390" s="78"/>
    </row>
    <row r="391" spans="4:5" x14ac:dyDescent="0.25">
      <c r="D391" s="78"/>
      <c r="E391" s="78"/>
    </row>
    <row r="392" spans="4:5" x14ac:dyDescent="0.25">
      <c r="D392" s="78"/>
      <c r="E392" s="78"/>
    </row>
    <row r="393" spans="4:5" x14ac:dyDescent="0.25">
      <c r="D393" s="78"/>
      <c r="E393" s="78"/>
    </row>
    <row r="394" spans="4:5" x14ac:dyDescent="0.25">
      <c r="D394" s="78"/>
      <c r="E394" s="78"/>
    </row>
    <row r="395" spans="4:5" x14ac:dyDescent="0.25">
      <c r="D395" s="78"/>
      <c r="E395" s="78"/>
    </row>
    <row r="396" spans="4:5" x14ac:dyDescent="0.25">
      <c r="D396" s="78"/>
      <c r="E396" s="78"/>
    </row>
    <row r="397" spans="4:5" x14ac:dyDescent="0.25">
      <c r="D397" s="78"/>
      <c r="E397" s="78"/>
    </row>
    <row r="398" spans="4:5" x14ac:dyDescent="0.25">
      <c r="D398" s="78"/>
      <c r="E398" s="78"/>
    </row>
    <row r="399" spans="4:5" x14ac:dyDescent="0.25">
      <c r="D399" s="78"/>
      <c r="E399" s="78"/>
    </row>
    <row r="400" spans="4:5" x14ac:dyDescent="0.25">
      <c r="D400" s="78"/>
      <c r="E400" s="78"/>
    </row>
    <row r="401" spans="4:5" x14ac:dyDescent="0.25">
      <c r="D401" s="78"/>
      <c r="E401" s="78"/>
    </row>
    <row r="402" spans="4:5" x14ac:dyDescent="0.25">
      <c r="D402" s="78"/>
      <c r="E402" s="78"/>
    </row>
    <row r="403" spans="4:5" x14ac:dyDescent="0.25">
      <c r="D403" s="78"/>
      <c r="E403" s="78"/>
    </row>
    <row r="404" spans="4:5" x14ac:dyDescent="0.25">
      <c r="D404" s="78"/>
      <c r="E404" s="78"/>
    </row>
    <row r="405" spans="4:5" x14ac:dyDescent="0.25">
      <c r="D405" s="78"/>
      <c r="E405" s="78"/>
    </row>
    <row r="406" spans="4:5" x14ac:dyDescent="0.25">
      <c r="D406" s="78"/>
      <c r="E406" s="78"/>
    </row>
    <row r="407" spans="4:5" x14ac:dyDescent="0.25">
      <c r="D407" s="78"/>
      <c r="E407" s="78"/>
    </row>
    <row r="408" spans="4:5" x14ac:dyDescent="0.25">
      <c r="D408" s="78"/>
      <c r="E408" s="78"/>
    </row>
    <row r="409" spans="4:5" x14ac:dyDescent="0.25">
      <c r="D409" s="78"/>
      <c r="E409" s="78"/>
    </row>
    <row r="410" spans="4:5" x14ac:dyDescent="0.25">
      <c r="D410" s="78"/>
      <c r="E410" s="78"/>
    </row>
    <row r="411" spans="4:5" x14ac:dyDescent="0.25">
      <c r="D411" s="78"/>
      <c r="E411" s="78"/>
    </row>
    <row r="412" spans="4:5" x14ac:dyDescent="0.25">
      <c r="D412" s="78"/>
      <c r="E412" s="78"/>
    </row>
    <row r="413" spans="4:5" x14ac:dyDescent="0.25">
      <c r="D413" s="78"/>
      <c r="E413" s="78"/>
    </row>
    <row r="414" spans="4:5" x14ac:dyDescent="0.25">
      <c r="D414" s="78"/>
      <c r="E414" s="78"/>
    </row>
    <row r="415" spans="4:5" x14ac:dyDescent="0.25">
      <c r="D415" s="78"/>
      <c r="E415" s="78"/>
    </row>
    <row r="416" spans="4:5" x14ac:dyDescent="0.25">
      <c r="D416" s="78"/>
      <c r="E416" s="78"/>
    </row>
    <row r="417" spans="4:5" x14ac:dyDescent="0.25">
      <c r="D417" s="78"/>
      <c r="E417" s="78"/>
    </row>
    <row r="418" spans="4:5" x14ac:dyDescent="0.25">
      <c r="D418" s="78"/>
      <c r="E418" s="78"/>
    </row>
    <row r="419" spans="4:5" x14ac:dyDescent="0.25">
      <c r="D419" s="78"/>
      <c r="E419" s="78"/>
    </row>
    <row r="420" spans="4:5" x14ac:dyDescent="0.25">
      <c r="D420" s="78"/>
      <c r="E420" s="78"/>
    </row>
    <row r="421" spans="4:5" x14ac:dyDescent="0.25">
      <c r="D421" s="78"/>
      <c r="E421" s="78"/>
    </row>
    <row r="422" spans="4:5" x14ac:dyDescent="0.25">
      <c r="D422" s="78"/>
      <c r="E422" s="78"/>
    </row>
    <row r="423" spans="4:5" x14ac:dyDescent="0.25">
      <c r="D423" s="78"/>
      <c r="E423" s="78"/>
    </row>
    <row r="424" spans="4:5" x14ac:dyDescent="0.25">
      <c r="D424" s="78"/>
      <c r="E424" s="78"/>
    </row>
    <row r="425" spans="4:5" x14ac:dyDescent="0.25">
      <c r="D425" s="78"/>
      <c r="E425" s="78"/>
    </row>
    <row r="426" spans="4:5" x14ac:dyDescent="0.25">
      <c r="D426" s="78"/>
      <c r="E426" s="78"/>
    </row>
    <row r="427" spans="4:5" x14ac:dyDescent="0.25">
      <c r="D427" s="78"/>
      <c r="E427" s="78"/>
    </row>
    <row r="428" spans="4:5" x14ac:dyDescent="0.25">
      <c r="D428" s="78"/>
      <c r="E428" s="78"/>
    </row>
    <row r="429" spans="4:5" x14ac:dyDescent="0.25">
      <c r="D429" s="78"/>
      <c r="E429" s="78"/>
    </row>
    <row r="430" spans="4:5" x14ac:dyDescent="0.25">
      <c r="D430" s="78"/>
      <c r="E430" s="78"/>
    </row>
    <row r="431" spans="4:5" x14ac:dyDescent="0.25">
      <c r="D431" s="78"/>
      <c r="E431" s="78"/>
    </row>
    <row r="432" spans="4:5" x14ac:dyDescent="0.25">
      <c r="D432" s="78"/>
      <c r="E432" s="78"/>
    </row>
    <row r="433" spans="4:5" x14ac:dyDescent="0.25">
      <c r="D433" s="78"/>
      <c r="E433" s="78"/>
    </row>
    <row r="434" spans="4:5" x14ac:dyDescent="0.25">
      <c r="D434" s="78"/>
      <c r="E434" s="78"/>
    </row>
    <row r="435" spans="4:5" x14ac:dyDescent="0.25">
      <c r="D435" s="78"/>
      <c r="E435" s="78"/>
    </row>
    <row r="436" spans="4:5" x14ac:dyDescent="0.25">
      <c r="D436" s="78"/>
      <c r="E436" s="78"/>
    </row>
    <row r="437" spans="4:5" x14ac:dyDescent="0.25">
      <c r="D437" s="78"/>
      <c r="E437" s="78"/>
    </row>
    <row r="438" spans="4:5" x14ac:dyDescent="0.25">
      <c r="D438" s="78"/>
      <c r="E438" s="78"/>
    </row>
    <row r="439" spans="4:5" x14ac:dyDescent="0.25">
      <c r="D439" s="78"/>
      <c r="E439" s="78"/>
    </row>
    <row r="440" spans="4:5" x14ac:dyDescent="0.25">
      <c r="D440" s="78"/>
      <c r="E440" s="78"/>
    </row>
    <row r="441" spans="4:5" x14ac:dyDescent="0.25">
      <c r="D441" s="78"/>
      <c r="E441" s="78"/>
    </row>
    <row r="442" spans="4:5" x14ac:dyDescent="0.25">
      <c r="D442" s="78"/>
      <c r="E442" s="78"/>
    </row>
    <row r="443" spans="4:5" x14ac:dyDescent="0.25">
      <c r="D443" s="78"/>
      <c r="E443" s="78"/>
    </row>
    <row r="444" spans="4:5" x14ac:dyDescent="0.25">
      <c r="D444" s="78"/>
      <c r="E444" s="78"/>
    </row>
    <row r="445" spans="4:5" x14ac:dyDescent="0.25">
      <c r="D445" s="78"/>
      <c r="E445" s="78"/>
    </row>
    <row r="446" spans="4:5" x14ac:dyDescent="0.25">
      <c r="D446" s="78"/>
      <c r="E446" s="78"/>
    </row>
    <row r="447" spans="4:5" x14ac:dyDescent="0.25">
      <c r="D447" s="78"/>
      <c r="E447" s="78"/>
    </row>
    <row r="448" spans="4:5" x14ac:dyDescent="0.25">
      <c r="D448" s="78"/>
      <c r="E448" s="78"/>
    </row>
    <row r="449" spans="4:5" x14ac:dyDescent="0.25">
      <c r="D449" s="78"/>
      <c r="E449" s="78"/>
    </row>
    <row r="450" spans="4:5" x14ac:dyDescent="0.25">
      <c r="D450" s="78"/>
      <c r="E450" s="78"/>
    </row>
    <row r="451" spans="4:5" x14ac:dyDescent="0.25">
      <c r="D451" s="78"/>
      <c r="E451" s="78"/>
    </row>
    <row r="452" spans="4:5" x14ac:dyDescent="0.25">
      <c r="D452" s="78"/>
      <c r="E452" s="78"/>
    </row>
    <row r="453" spans="4:5" x14ac:dyDescent="0.25">
      <c r="D453" s="78"/>
      <c r="E453" s="78"/>
    </row>
    <row r="454" spans="4:5" x14ac:dyDescent="0.25">
      <c r="D454" s="78"/>
      <c r="E454" s="78"/>
    </row>
    <row r="455" spans="4:5" x14ac:dyDescent="0.25">
      <c r="D455" s="78"/>
      <c r="E455" s="78"/>
    </row>
    <row r="456" spans="4:5" x14ac:dyDescent="0.25">
      <c r="D456" s="78"/>
      <c r="E456" s="78"/>
    </row>
    <row r="457" spans="4:5" x14ac:dyDescent="0.25">
      <c r="D457" s="78"/>
      <c r="E457" s="78"/>
    </row>
    <row r="458" spans="4:5" x14ac:dyDescent="0.25">
      <c r="D458" s="78"/>
      <c r="E458" s="78"/>
    </row>
    <row r="459" spans="4:5" x14ac:dyDescent="0.25">
      <c r="D459" s="78"/>
      <c r="E459" s="78"/>
    </row>
    <row r="460" spans="4:5" x14ac:dyDescent="0.25">
      <c r="D460" s="78"/>
      <c r="E460" s="78"/>
    </row>
    <row r="461" spans="4:5" x14ac:dyDescent="0.25">
      <c r="D461" s="78"/>
      <c r="E461" s="78"/>
    </row>
    <row r="462" spans="4:5" x14ac:dyDescent="0.25">
      <c r="D462" s="78"/>
      <c r="E462" s="78"/>
    </row>
    <row r="463" spans="4:5" x14ac:dyDescent="0.25">
      <c r="D463" s="78"/>
      <c r="E463" s="78"/>
    </row>
    <row r="464" spans="4:5" x14ac:dyDescent="0.25">
      <c r="D464" s="78"/>
      <c r="E464" s="78"/>
    </row>
    <row r="465" spans="4:5" x14ac:dyDescent="0.25">
      <c r="D465" s="78"/>
      <c r="E465" s="78"/>
    </row>
    <row r="466" spans="4:5" x14ac:dyDescent="0.25">
      <c r="D466" s="78"/>
      <c r="E466" s="78"/>
    </row>
    <row r="467" spans="4:5" x14ac:dyDescent="0.25">
      <c r="D467" s="78"/>
      <c r="E467" s="78"/>
    </row>
    <row r="468" spans="4:5" x14ac:dyDescent="0.25">
      <c r="D468" s="78"/>
      <c r="E468" s="78"/>
    </row>
    <row r="469" spans="4:5" x14ac:dyDescent="0.25">
      <c r="D469" s="78"/>
      <c r="E469" s="78"/>
    </row>
    <row r="470" spans="4:5" x14ac:dyDescent="0.25">
      <c r="D470" s="78"/>
      <c r="E470" s="78"/>
    </row>
    <row r="471" spans="4:5" x14ac:dyDescent="0.25">
      <c r="D471" s="78"/>
      <c r="E471" s="78"/>
    </row>
    <row r="472" spans="4:5" x14ac:dyDescent="0.25">
      <c r="D472" s="78"/>
      <c r="E472" s="78"/>
    </row>
    <row r="473" spans="4:5" x14ac:dyDescent="0.25">
      <c r="D473" s="78"/>
      <c r="E473" s="78"/>
    </row>
    <row r="474" spans="4:5" x14ac:dyDescent="0.25">
      <c r="D474" s="78"/>
      <c r="E474" s="78"/>
    </row>
    <row r="475" spans="4:5" x14ac:dyDescent="0.25">
      <c r="D475" s="78"/>
      <c r="E475" s="78"/>
    </row>
    <row r="476" spans="4:5" x14ac:dyDescent="0.25">
      <c r="D476" s="78"/>
      <c r="E476" s="78"/>
    </row>
    <row r="477" spans="4:5" x14ac:dyDescent="0.25">
      <c r="D477" s="78"/>
      <c r="E477" s="78"/>
    </row>
    <row r="478" spans="4:5" x14ac:dyDescent="0.25">
      <c r="D478" s="78"/>
      <c r="E478" s="78"/>
    </row>
    <row r="479" spans="4:5" x14ac:dyDescent="0.25">
      <c r="D479" s="78"/>
      <c r="E479" s="78"/>
    </row>
    <row r="480" spans="4:5" x14ac:dyDescent="0.25">
      <c r="D480" s="78"/>
      <c r="E480" s="78"/>
    </row>
    <row r="481" spans="4:5" x14ac:dyDescent="0.25">
      <c r="D481" s="78"/>
      <c r="E481" s="78"/>
    </row>
    <row r="482" spans="4:5" x14ac:dyDescent="0.25">
      <c r="D482" s="78"/>
      <c r="E482" s="78"/>
    </row>
    <row r="483" spans="4:5" x14ac:dyDescent="0.25">
      <c r="D483" s="78"/>
      <c r="E483" s="78"/>
    </row>
    <row r="484" spans="4:5" x14ac:dyDescent="0.25">
      <c r="D484" s="78"/>
      <c r="E484" s="78"/>
    </row>
    <row r="485" spans="4:5" x14ac:dyDescent="0.25">
      <c r="D485" s="78"/>
      <c r="E485" s="78"/>
    </row>
    <row r="486" spans="4:5" x14ac:dyDescent="0.25">
      <c r="D486" s="78"/>
      <c r="E486" s="78"/>
    </row>
    <row r="487" spans="4:5" x14ac:dyDescent="0.25">
      <c r="D487" s="78"/>
      <c r="E487" s="78"/>
    </row>
    <row r="488" spans="4:5" x14ac:dyDescent="0.25">
      <c r="D488" s="78"/>
      <c r="E488" s="78"/>
    </row>
    <row r="489" spans="4:5" x14ac:dyDescent="0.25">
      <c r="D489" s="78"/>
      <c r="E489" s="78"/>
    </row>
    <row r="490" spans="4:5" x14ac:dyDescent="0.25">
      <c r="D490" s="78"/>
      <c r="E490" s="78"/>
    </row>
    <row r="491" spans="4:5" x14ac:dyDescent="0.25">
      <c r="D491" s="78"/>
      <c r="E491" s="78"/>
    </row>
    <row r="492" spans="4:5" x14ac:dyDescent="0.25">
      <c r="D492" s="78"/>
      <c r="E492" s="78"/>
    </row>
    <row r="493" spans="4:5" x14ac:dyDescent="0.25">
      <c r="D493" s="78"/>
      <c r="E493" s="78"/>
    </row>
    <row r="494" spans="4:5" x14ac:dyDescent="0.25">
      <c r="D494" s="78"/>
      <c r="E494" s="78"/>
    </row>
    <row r="495" spans="4:5" x14ac:dyDescent="0.25">
      <c r="D495" s="78"/>
      <c r="E495" s="78"/>
    </row>
    <row r="496" spans="4:5" x14ac:dyDescent="0.25">
      <c r="D496" s="78"/>
      <c r="E496" s="78"/>
    </row>
    <row r="497" spans="4:5" x14ac:dyDescent="0.25">
      <c r="D497" s="78"/>
      <c r="E497" s="78"/>
    </row>
    <row r="498" spans="4:5" x14ac:dyDescent="0.25">
      <c r="D498" s="78"/>
      <c r="E498" s="78"/>
    </row>
    <row r="499" spans="4:5" x14ac:dyDescent="0.25">
      <c r="D499" s="78"/>
      <c r="E499" s="78"/>
    </row>
    <row r="500" spans="4:5" x14ac:dyDescent="0.25">
      <c r="D500" s="78"/>
      <c r="E500" s="78"/>
    </row>
    <row r="501" spans="4:5" x14ac:dyDescent="0.25">
      <c r="D501" s="78"/>
      <c r="E501" s="78"/>
    </row>
    <row r="502" spans="4:5" x14ac:dyDescent="0.25">
      <c r="D502" s="78"/>
      <c r="E502" s="78"/>
    </row>
    <row r="503" spans="4:5" x14ac:dyDescent="0.25">
      <c r="D503" s="78"/>
      <c r="E503" s="78"/>
    </row>
    <row r="504" spans="4:5" x14ac:dyDescent="0.25">
      <c r="D504" s="78"/>
      <c r="E504" s="78"/>
    </row>
    <row r="505" spans="4:5" x14ac:dyDescent="0.25">
      <c r="D505" s="78"/>
      <c r="E505" s="78"/>
    </row>
    <row r="506" spans="4:5" x14ac:dyDescent="0.25">
      <c r="D506" s="78"/>
      <c r="E506" s="78"/>
    </row>
    <row r="507" spans="4:5" x14ac:dyDescent="0.25">
      <c r="D507" s="78"/>
      <c r="E507" s="78"/>
    </row>
    <row r="508" spans="4:5" x14ac:dyDescent="0.25">
      <c r="D508" s="78"/>
      <c r="E508" s="78"/>
    </row>
    <row r="509" spans="4:5" x14ac:dyDescent="0.25">
      <c r="D509" s="78"/>
      <c r="E509" s="78"/>
    </row>
    <row r="510" spans="4:5" x14ac:dyDescent="0.25">
      <c r="D510" s="78"/>
      <c r="E510" s="78"/>
    </row>
    <row r="511" spans="4:5" x14ac:dyDescent="0.25">
      <c r="D511" s="78"/>
      <c r="E511" s="78"/>
    </row>
    <row r="512" spans="4:5" x14ac:dyDescent="0.25">
      <c r="D512" s="78"/>
      <c r="E512" s="78"/>
    </row>
    <row r="513" spans="4:5" x14ac:dyDescent="0.25">
      <c r="D513" s="78"/>
      <c r="E513" s="78"/>
    </row>
    <row r="514" spans="4:5" x14ac:dyDescent="0.25">
      <c r="D514" s="78"/>
      <c r="E514" s="78"/>
    </row>
    <row r="515" spans="4:5" x14ac:dyDescent="0.25">
      <c r="D515" s="78"/>
      <c r="E515" s="78"/>
    </row>
    <row r="516" spans="4:5" x14ac:dyDescent="0.25">
      <c r="D516" s="78"/>
      <c r="E516" s="78"/>
    </row>
    <row r="517" spans="4:5" x14ac:dyDescent="0.25">
      <c r="D517" s="78"/>
      <c r="E517" s="78"/>
    </row>
    <row r="518" spans="4:5" x14ac:dyDescent="0.25">
      <c r="D518" s="78"/>
      <c r="E518" s="78"/>
    </row>
    <row r="519" spans="4:5" x14ac:dyDescent="0.25">
      <c r="D519" s="78"/>
      <c r="E519" s="78"/>
    </row>
    <row r="520" spans="4:5" x14ac:dyDescent="0.25">
      <c r="D520" s="78"/>
      <c r="E520" s="78"/>
    </row>
    <row r="521" spans="4:5" x14ac:dyDescent="0.25">
      <c r="D521" s="78"/>
      <c r="E521" s="78"/>
    </row>
    <row r="522" spans="4:5" x14ac:dyDescent="0.25">
      <c r="D522" s="78"/>
      <c r="E522" s="78"/>
    </row>
    <row r="523" spans="4:5" x14ac:dyDescent="0.25">
      <c r="D523" s="78"/>
      <c r="E523" s="78"/>
    </row>
    <row r="524" spans="4:5" x14ac:dyDescent="0.25">
      <c r="D524" s="78"/>
      <c r="E524" s="78"/>
    </row>
    <row r="525" spans="4:5" x14ac:dyDescent="0.25">
      <c r="D525" s="78"/>
      <c r="E525" s="78"/>
    </row>
    <row r="526" spans="4:5" x14ac:dyDescent="0.25">
      <c r="D526" s="78"/>
      <c r="E526" s="78"/>
    </row>
    <row r="527" spans="4:5" x14ac:dyDescent="0.25">
      <c r="D527" s="78"/>
      <c r="E527" s="78"/>
    </row>
    <row r="528" spans="4:5" x14ac:dyDescent="0.25">
      <c r="D528" s="78"/>
      <c r="E528" s="78"/>
    </row>
    <row r="529" spans="4:5" x14ac:dyDescent="0.25">
      <c r="D529" s="78"/>
      <c r="E529" s="78"/>
    </row>
    <row r="530" spans="4:5" x14ac:dyDescent="0.25">
      <c r="D530" s="78"/>
      <c r="E530" s="78"/>
    </row>
    <row r="531" spans="4:5" x14ac:dyDescent="0.25">
      <c r="D531" s="78"/>
      <c r="E531" s="78"/>
    </row>
    <row r="532" spans="4:5" x14ac:dyDescent="0.25">
      <c r="D532" s="78"/>
      <c r="E532" s="78"/>
    </row>
    <row r="533" spans="4:5" x14ac:dyDescent="0.25">
      <c r="D533" s="78"/>
      <c r="E533" s="78"/>
    </row>
    <row r="534" spans="4:5" x14ac:dyDescent="0.25">
      <c r="D534" s="78"/>
      <c r="E534" s="78"/>
    </row>
    <row r="535" spans="4:5" x14ac:dyDescent="0.25">
      <c r="D535" s="78"/>
      <c r="E535" s="78"/>
    </row>
    <row r="536" spans="4:5" x14ac:dyDescent="0.25">
      <c r="D536" s="78"/>
      <c r="E536" s="78"/>
    </row>
    <row r="537" spans="4:5" x14ac:dyDescent="0.25">
      <c r="D537" s="78"/>
      <c r="E537" s="78"/>
    </row>
    <row r="538" spans="4:5" x14ac:dyDescent="0.25">
      <c r="D538" s="78"/>
      <c r="E538" s="78"/>
    </row>
    <row r="539" spans="4:5" x14ac:dyDescent="0.25">
      <c r="D539" s="78"/>
      <c r="E539" s="78"/>
    </row>
    <row r="540" spans="4:5" x14ac:dyDescent="0.25">
      <c r="D540" s="78"/>
      <c r="E540" s="78"/>
    </row>
    <row r="541" spans="4:5" x14ac:dyDescent="0.25">
      <c r="D541" s="78"/>
      <c r="E541" s="78"/>
    </row>
    <row r="542" spans="4:5" x14ac:dyDescent="0.25">
      <c r="D542" s="78"/>
      <c r="E542" s="78"/>
    </row>
    <row r="543" spans="4:5" x14ac:dyDescent="0.25">
      <c r="D543" s="78"/>
      <c r="E543" s="78"/>
    </row>
    <row r="544" spans="4:5" x14ac:dyDescent="0.25">
      <c r="D544" s="78"/>
      <c r="E544" s="78"/>
    </row>
    <row r="545" spans="4:5" x14ac:dyDescent="0.25">
      <c r="D545" s="78"/>
      <c r="E545" s="78"/>
    </row>
    <row r="546" spans="4:5" x14ac:dyDescent="0.25">
      <c r="D546" s="78"/>
      <c r="E546" s="78"/>
    </row>
    <row r="547" spans="4:5" x14ac:dyDescent="0.25">
      <c r="D547" s="78"/>
      <c r="E547" s="78"/>
    </row>
    <row r="548" spans="4:5" x14ac:dyDescent="0.25">
      <c r="D548" s="78"/>
      <c r="E548" s="78"/>
    </row>
    <row r="549" spans="4:5" x14ac:dyDescent="0.25">
      <c r="D549" s="78"/>
      <c r="E549" s="78"/>
    </row>
    <row r="550" spans="4:5" x14ac:dyDescent="0.25">
      <c r="D550" s="78"/>
      <c r="E550" s="78"/>
    </row>
    <row r="551" spans="4:5" x14ac:dyDescent="0.25">
      <c r="D551" s="78"/>
      <c r="E551" s="78"/>
    </row>
    <row r="552" spans="4:5" x14ac:dyDescent="0.25">
      <c r="D552" s="78"/>
      <c r="E552" s="78"/>
    </row>
    <row r="553" spans="4:5" x14ac:dyDescent="0.25">
      <c r="D553" s="78"/>
      <c r="E553" s="78"/>
    </row>
    <row r="554" spans="4:5" x14ac:dyDescent="0.25">
      <c r="D554" s="78"/>
      <c r="E554" s="78"/>
    </row>
    <row r="555" spans="4:5" x14ac:dyDescent="0.25">
      <c r="D555" s="78"/>
      <c r="E555" s="78"/>
    </row>
    <row r="556" spans="4:5" x14ac:dyDescent="0.25">
      <c r="D556" s="78"/>
      <c r="E556" s="78"/>
    </row>
    <row r="557" spans="4:5" x14ac:dyDescent="0.25">
      <c r="D557" s="78"/>
      <c r="E557" s="78"/>
    </row>
    <row r="558" spans="4:5" x14ac:dyDescent="0.25">
      <c r="D558" s="78"/>
      <c r="E558" s="78"/>
    </row>
    <row r="559" spans="4:5" x14ac:dyDescent="0.25">
      <c r="D559" s="78"/>
      <c r="E559" s="78"/>
    </row>
    <row r="560" spans="4:5" x14ac:dyDescent="0.25">
      <c r="D560" s="78"/>
      <c r="E560" s="78"/>
    </row>
    <row r="561" spans="4:5" x14ac:dyDescent="0.25">
      <c r="D561" s="78"/>
      <c r="E561" s="78"/>
    </row>
    <row r="562" spans="4:5" x14ac:dyDescent="0.25">
      <c r="D562" s="78"/>
      <c r="E562" s="78"/>
    </row>
    <row r="563" spans="4:5" x14ac:dyDescent="0.25">
      <c r="D563" s="78"/>
      <c r="E563" s="78"/>
    </row>
    <row r="564" spans="4:5" x14ac:dyDescent="0.25">
      <c r="D564" s="78"/>
      <c r="E564" s="78"/>
    </row>
    <row r="565" spans="4:5" x14ac:dyDescent="0.25">
      <c r="D565" s="78"/>
      <c r="E565" s="78"/>
    </row>
    <row r="566" spans="4:5" x14ac:dyDescent="0.25">
      <c r="D566" s="78"/>
      <c r="E566" s="78"/>
    </row>
    <row r="567" spans="4:5" x14ac:dyDescent="0.25">
      <c r="D567" s="78"/>
      <c r="E567" s="78"/>
    </row>
    <row r="568" spans="4:5" x14ac:dyDescent="0.25">
      <c r="D568" s="78"/>
      <c r="E568" s="78"/>
    </row>
    <row r="569" spans="4:5" x14ac:dyDescent="0.25">
      <c r="D569" s="78"/>
      <c r="E569" s="78"/>
    </row>
    <row r="570" spans="4:5" x14ac:dyDescent="0.25">
      <c r="D570" s="78"/>
      <c r="E570" s="78"/>
    </row>
    <row r="571" spans="4:5" x14ac:dyDescent="0.25">
      <c r="D571" s="78"/>
      <c r="E571" s="78"/>
    </row>
    <row r="572" spans="4:5" x14ac:dyDescent="0.25">
      <c r="D572" s="78"/>
      <c r="E572" s="78"/>
    </row>
    <row r="573" spans="4:5" x14ac:dyDescent="0.25">
      <c r="D573" s="78"/>
      <c r="E573" s="78"/>
    </row>
    <row r="574" spans="4:5" x14ac:dyDescent="0.25">
      <c r="D574" s="78"/>
      <c r="E574" s="78"/>
    </row>
    <row r="575" spans="4:5" x14ac:dyDescent="0.25">
      <c r="D575" s="78"/>
      <c r="E575" s="78"/>
    </row>
    <row r="576" spans="4:5" x14ac:dyDescent="0.25">
      <c r="D576" s="78"/>
      <c r="E576" s="78"/>
    </row>
    <row r="577" spans="4:5" x14ac:dyDescent="0.25">
      <c r="D577" s="78"/>
      <c r="E577" s="78"/>
    </row>
    <row r="578" spans="4:5" x14ac:dyDescent="0.25">
      <c r="D578" s="78"/>
      <c r="E578" s="78"/>
    </row>
    <row r="579" spans="4:5" x14ac:dyDescent="0.25">
      <c r="D579" s="78"/>
      <c r="E579" s="78"/>
    </row>
    <row r="580" spans="4:5" x14ac:dyDescent="0.25">
      <c r="D580" s="78"/>
      <c r="E580" s="78"/>
    </row>
    <row r="581" spans="4:5" x14ac:dyDescent="0.25">
      <c r="D581" s="78"/>
      <c r="E581" s="78"/>
    </row>
    <row r="582" spans="4:5" x14ac:dyDescent="0.25">
      <c r="D582" s="78"/>
      <c r="E582" s="78"/>
    </row>
    <row r="583" spans="4:5" x14ac:dyDescent="0.25">
      <c r="D583" s="78"/>
      <c r="E583" s="78"/>
    </row>
    <row r="584" spans="4:5" x14ac:dyDescent="0.25">
      <c r="D584" s="78"/>
      <c r="E584" s="78"/>
    </row>
    <row r="585" spans="4:5" x14ac:dyDescent="0.25">
      <c r="D585" s="78"/>
      <c r="E585" s="78"/>
    </row>
    <row r="586" spans="4:5" x14ac:dyDescent="0.25">
      <c r="D586" s="78"/>
      <c r="E586" s="78"/>
    </row>
    <row r="587" spans="4:5" x14ac:dyDescent="0.25">
      <c r="D587" s="78"/>
      <c r="E587" s="78"/>
    </row>
    <row r="588" spans="4:5" x14ac:dyDescent="0.25">
      <c r="D588" s="78"/>
      <c r="E588" s="78"/>
    </row>
    <row r="589" spans="4:5" x14ac:dyDescent="0.25">
      <c r="D589" s="78"/>
      <c r="E589" s="78"/>
    </row>
    <row r="590" spans="4:5" x14ac:dyDescent="0.25">
      <c r="D590" s="78"/>
      <c r="E590" s="78"/>
    </row>
    <row r="591" spans="4:5" x14ac:dyDescent="0.25">
      <c r="D591" s="78"/>
      <c r="E591" s="78"/>
    </row>
    <row r="592" spans="4:5" x14ac:dyDescent="0.25">
      <c r="D592" s="78"/>
      <c r="E592" s="78"/>
    </row>
    <row r="593" spans="4:5" x14ac:dyDescent="0.25">
      <c r="D593" s="78"/>
      <c r="E593" s="78"/>
    </row>
    <row r="594" spans="4:5" x14ac:dyDescent="0.25">
      <c r="D594" s="78"/>
      <c r="E594" s="78"/>
    </row>
    <row r="595" spans="4:5" x14ac:dyDescent="0.25">
      <c r="D595" s="78"/>
      <c r="E595" s="78"/>
    </row>
    <row r="596" spans="4:5" x14ac:dyDescent="0.25">
      <c r="D596" s="78"/>
      <c r="E596" s="78"/>
    </row>
    <row r="597" spans="4:5" x14ac:dyDescent="0.25">
      <c r="D597" s="78"/>
      <c r="E597" s="78"/>
    </row>
    <row r="598" spans="4:5" x14ac:dyDescent="0.25">
      <c r="D598" s="78"/>
      <c r="E598" s="78"/>
    </row>
    <row r="599" spans="4:5" x14ac:dyDescent="0.25">
      <c r="D599" s="78"/>
      <c r="E599" s="78"/>
    </row>
    <row r="600" spans="4:5" x14ac:dyDescent="0.25">
      <c r="D600" s="78"/>
      <c r="E600" s="78"/>
    </row>
    <row r="601" spans="4:5" x14ac:dyDescent="0.25">
      <c r="D601" s="78"/>
      <c r="E601" s="78"/>
    </row>
    <row r="602" spans="4:5" x14ac:dyDescent="0.25">
      <c r="D602" s="78"/>
      <c r="E602" s="78"/>
    </row>
    <row r="603" spans="4:5" x14ac:dyDescent="0.25">
      <c r="D603" s="78"/>
      <c r="E603" s="78"/>
    </row>
    <row r="604" spans="4:5" x14ac:dyDescent="0.25">
      <c r="D604" s="78"/>
      <c r="E604" s="78"/>
    </row>
    <row r="605" spans="4:5" x14ac:dyDescent="0.25">
      <c r="D605" s="78"/>
      <c r="E605" s="78"/>
    </row>
    <row r="606" spans="4:5" x14ac:dyDescent="0.25">
      <c r="D606" s="78"/>
      <c r="E606" s="78"/>
    </row>
    <row r="607" spans="4:5" x14ac:dyDescent="0.25">
      <c r="D607" s="78"/>
      <c r="E607" s="78"/>
    </row>
    <row r="608" spans="4:5" x14ac:dyDescent="0.25">
      <c r="D608" s="78"/>
      <c r="E608" s="78"/>
    </row>
    <row r="609" spans="4:5" x14ac:dyDescent="0.25">
      <c r="D609" s="78"/>
      <c r="E609" s="78"/>
    </row>
    <row r="610" spans="4:5" x14ac:dyDescent="0.25">
      <c r="D610" s="78"/>
      <c r="E610" s="78"/>
    </row>
    <row r="611" spans="4:5" x14ac:dyDescent="0.25">
      <c r="D611" s="78"/>
      <c r="E611" s="78"/>
    </row>
    <row r="612" spans="4:5" x14ac:dyDescent="0.25">
      <c r="D612" s="78"/>
      <c r="E612" s="78"/>
    </row>
    <row r="613" spans="4:5" x14ac:dyDescent="0.25">
      <c r="D613" s="78"/>
      <c r="E613" s="78"/>
    </row>
    <row r="614" spans="4:5" x14ac:dyDescent="0.25">
      <c r="D614" s="78"/>
      <c r="E614" s="78"/>
    </row>
    <row r="615" spans="4:5" x14ac:dyDescent="0.25">
      <c r="D615" s="78"/>
      <c r="E615" s="78"/>
    </row>
    <row r="616" spans="4:5" x14ac:dyDescent="0.25">
      <c r="D616" s="78"/>
      <c r="E616" s="78"/>
    </row>
    <row r="617" spans="4:5" x14ac:dyDescent="0.25">
      <c r="D617" s="78"/>
      <c r="E617" s="78"/>
    </row>
    <row r="618" spans="4:5" x14ac:dyDescent="0.25">
      <c r="D618" s="78"/>
      <c r="E618" s="78"/>
    </row>
    <row r="619" spans="4:5" x14ac:dyDescent="0.25">
      <c r="D619" s="78"/>
      <c r="E619" s="78"/>
    </row>
    <row r="620" spans="4:5" x14ac:dyDescent="0.25">
      <c r="D620" s="78"/>
      <c r="E620" s="78"/>
    </row>
    <row r="621" spans="4:5" x14ac:dyDescent="0.25">
      <c r="D621" s="78"/>
      <c r="E621" s="78"/>
    </row>
    <row r="622" spans="4:5" x14ac:dyDescent="0.25">
      <c r="D622" s="78"/>
      <c r="E622" s="78"/>
    </row>
    <row r="623" spans="4:5" x14ac:dyDescent="0.25">
      <c r="D623" s="78"/>
      <c r="E623" s="78"/>
    </row>
    <row r="624" spans="4:5" x14ac:dyDescent="0.25">
      <c r="D624" s="78"/>
      <c r="E624" s="78"/>
    </row>
    <row r="625" spans="4:5" x14ac:dyDescent="0.25">
      <c r="D625" s="78"/>
      <c r="E625" s="78"/>
    </row>
    <row r="626" spans="4:5" x14ac:dyDescent="0.25">
      <c r="D626" s="78"/>
      <c r="E626" s="78"/>
    </row>
    <row r="627" spans="4:5" x14ac:dyDescent="0.25">
      <c r="D627" s="78"/>
      <c r="E627" s="78"/>
    </row>
    <row r="628" spans="4:5" x14ac:dyDescent="0.25">
      <c r="D628" s="78"/>
      <c r="E628" s="78"/>
    </row>
    <row r="629" spans="4:5" x14ac:dyDescent="0.25">
      <c r="D629" s="78"/>
      <c r="E629" s="78"/>
    </row>
    <row r="630" spans="4:5" x14ac:dyDescent="0.25">
      <c r="D630" s="78"/>
      <c r="E630" s="78"/>
    </row>
    <row r="631" spans="4:5" x14ac:dyDescent="0.25">
      <c r="D631" s="78"/>
      <c r="E631" s="78"/>
    </row>
    <row r="632" spans="4:5" x14ac:dyDescent="0.25">
      <c r="D632" s="78"/>
      <c r="E632" s="78"/>
    </row>
    <row r="633" spans="4:5" x14ac:dyDescent="0.25">
      <c r="D633" s="78"/>
      <c r="E633" s="78"/>
    </row>
    <row r="634" spans="4:5" x14ac:dyDescent="0.25">
      <c r="D634" s="78"/>
      <c r="E634" s="78"/>
    </row>
    <row r="635" spans="4:5" x14ac:dyDescent="0.25">
      <c r="D635" s="78"/>
      <c r="E635" s="78"/>
    </row>
    <row r="636" spans="4:5" x14ac:dyDescent="0.25">
      <c r="D636" s="78"/>
      <c r="E636" s="78"/>
    </row>
    <row r="637" spans="4:5" x14ac:dyDescent="0.25">
      <c r="D637" s="78"/>
      <c r="E637" s="78"/>
    </row>
    <row r="638" spans="4:5" x14ac:dyDescent="0.25">
      <c r="D638" s="78"/>
      <c r="E638" s="78"/>
    </row>
    <row r="639" spans="4:5" x14ac:dyDescent="0.25">
      <c r="D639" s="78"/>
      <c r="E639" s="78"/>
    </row>
    <row r="640" spans="4:5" x14ac:dyDescent="0.25">
      <c r="D640" s="78"/>
      <c r="E640" s="78"/>
    </row>
    <row r="641" spans="4:5" x14ac:dyDescent="0.25">
      <c r="D641" s="78"/>
      <c r="E641" s="78"/>
    </row>
    <row r="642" spans="4:5" x14ac:dyDescent="0.25">
      <c r="D642" s="78"/>
      <c r="E642" s="78"/>
    </row>
    <row r="643" spans="4:5" x14ac:dyDescent="0.25">
      <c r="D643" s="78"/>
      <c r="E643" s="78"/>
    </row>
    <row r="644" spans="4:5" x14ac:dyDescent="0.25">
      <c r="D644" s="78"/>
      <c r="E644" s="78"/>
    </row>
    <row r="645" spans="4:5" x14ac:dyDescent="0.25">
      <c r="D645" s="78"/>
      <c r="E645" s="78"/>
    </row>
    <row r="646" spans="4:5" x14ac:dyDescent="0.25">
      <c r="D646" s="78"/>
      <c r="E646" s="78"/>
    </row>
    <row r="647" spans="4:5" x14ac:dyDescent="0.25">
      <c r="D647" s="78"/>
      <c r="E647" s="78"/>
    </row>
    <row r="648" spans="4:5" x14ac:dyDescent="0.25">
      <c r="D648" s="78"/>
      <c r="E648" s="78"/>
    </row>
    <row r="649" spans="4:5" x14ac:dyDescent="0.25">
      <c r="D649" s="78"/>
      <c r="E649" s="78"/>
    </row>
    <row r="650" spans="4:5" x14ac:dyDescent="0.25">
      <c r="D650" s="78"/>
      <c r="E650" s="78"/>
    </row>
    <row r="651" spans="4:5" x14ac:dyDescent="0.25">
      <c r="D651" s="78"/>
      <c r="E651" s="78"/>
    </row>
    <row r="652" spans="4:5" x14ac:dyDescent="0.25">
      <c r="D652" s="78"/>
      <c r="E652" s="78"/>
    </row>
    <row r="653" spans="4:5" x14ac:dyDescent="0.25">
      <c r="D653" s="78"/>
      <c r="E653" s="78"/>
    </row>
    <row r="654" spans="4:5" x14ac:dyDescent="0.25">
      <c r="D654" s="78"/>
      <c r="E654" s="78"/>
    </row>
    <row r="655" spans="4:5" x14ac:dyDescent="0.25">
      <c r="D655" s="78"/>
      <c r="E655" s="78"/>
    </row>
    <row r="656" spans="4:5" x14ac:dyDescent="0.25">
      <c r="D656" s="78"/>
      <c r="E656" s="78"/>
    </row>
    <row r="657" spans="4:5" x14ac:dyDescent="0.25">
      <c r="D657" s="78"/>
      <c r="E657" s="78"/>
    </row>
    <row r="658" spans="4:5" x14ac:dyDescent="0.25">
      <c r="D658" s="78"/>
      <c r="E658" s="78"/>
    </row>
    <row r="659" spans="4:5" x14ac:dyDescent="0.25">
      <c r="D659" s="78"/>
      <c r="E659" s="78"/>
    </row>
    <row r="660" spans="4:5" x14ac:dyDescent="0.25">
      <c r="D660" s="78"/>
      <c r="E660" s="78"/>
    </row>
    <row r="661" spans="4:5" x14ac:dyDescent="0.25">
      <c r="D661" s="78"/>
      <c r="E661" s="78"/>
    </row>
    <row r="662" spans="4:5" x14ac:dyDescent="0.25">
      <c r="D662" s="78"/>
      <c r="E662" s="78"/>
    </row>
    <row r="663" spans="4:5" x14ac:dyDescent="0.25">
      <c r="D663" s="78"/>
      <c r="E663" s="78"/>
    </row>
    <row r="664" spans="4:5" x14ac:dyDescent="0.25">
      <c r="D664" s="78"/>
      <c r="E664" s="78"/>
    </row>
    <row r="665" spans="4:5" x14ac:dyDescent="0.25">
      <c r="D665" s="78"/>
      <c r="E665" s="78"/>
    </row>
    <row r="666" spans="4:5" x14ac:dyDescent="0.25">
      <c r="D666" s="78"/>
      <c r="E666" s="78"/>
    </row>
    <row r="667" spans="4:5" x14ac:dyDescent="0.25">
      <c r="D667" s="78"/>
      <c r="E667" s="78"/>
    </row>
    <row r="668" spans="4:5" x14ac:dyDescent="0.25">
      <c r="D668" s="78"/>
      <c r="E668" s="78"/>
    </row>
    <row r="669" spans="4:5" x14ac:dyDescent="0.25">
      <c r="D669" s="78"/>
      <c r="E669" s="78"/>
    </row>
    <row r="670" spans="4:5" x14ac:dyDescent="0.25">
      <c r="D670" s="78"/>
      <c r="E670" s="78"/>
    </row>
    <row r="671" spans="4:5" x14ac:dyDescent="0.25">
      <c r="D671" s="78"/>
      <c r="E671" s="78"/>
    </row>
    <row r="672" spans="4:5" x14ac:dyDescent="0.25">
      <c r="D672" s="78"/>
      <c r="E672" s="78"/>
    </row>
    <row r="673" spans="4:5" x14ac:dyDescent="0.25">
      <c r="D673" s="78"/>
      <c r="E673" s="78"/>
    </row>
    <row r="674" spans="4:5" x14ac:dyDescent="0.25">
      <c r="D674" s="78"/>
      <c r="E674" s="78"/>
    </row>
    <row r="675" spans="4:5" x14ac:dyDescent="0.25">
      <c r="D675" s="78"/>
      <c r="E675" s="78"/>
    </row>
    <row r="676" spans="4:5" x14ac:dyDescent="0.25">
      <c r="D676" s="78"/>
      <c r="E676" s="78"/>
    </row>
    <row r="677" spans="4:5" x14ac:dyDescent="0.25">
      <c r="D677" s="78"/>
      <c r="E677" s="78"/>
    </row>
    <row r="678" spans="4:5" x14ac:dyDescent="0.25">
      <c r="D678" s="78"/>
      <c r="E678" s="78"/>
    </row>
    <row r="679" spans="4:5" x14ac:dyDescent="0.25">
      <c r="D679" s="78"/>
      <c r="E679" s="78"/>
    </row>
    <row r="680" spans="4:5" x14ac:dyDescent="0.25">
      <c r="D680" s="78"/>
      <c r="E680" s="78"/>
    </row>
    <row r="681" spans="4:5" x14ac:dyDescent="0.25">
      <c r="D681" s="78"/>
      <c r="E681" s="78"/>
    </row>
    <row r="682" spans="4:5" x14ac:dyDescent="0.25">
      <c r="D682" s="78"/>
      <c r="E682" s="78"/>
    </row>
    <row r="683" spans="4:5" x14ac:dyDescent="0.25">
      <c r="D683" s="78"/>
      <c r="E683" s="78"/>
    </row>
    <row r="684" spans="4:5" x14ac:dyDescent="0.25">
      <c r="D684" s="78"/>
      <c r="E684" s="78"/>
    </row>
    <row r="685" spans="4:5" x14ac:dyDescent="0.25">
      <c r="D685" s="78"/>
      <c r="E685" s="78"/>
    </row>
    <row r="686" spans="4:5" x14ac:dyDescent="0.25">
      <c r="D686" s="78"/>
      <c r="E686" s="78"/>
    </row>
    <row r="687" spans="4:5" x14ac:dyDescent="0.25">
      <c r="D687" s="78"/>
      <c r="E687" s="78"/>
    </row>
    <row r="688" spans="4:5" x14ac:dyDescent="0.25">
      <c r="D688" s="78"/>
      <c r="E688" s="78"/>
    </row>
    <row r="689" spans="4:5" x14ac:dyDescent="0.25">
      <c r="D689" s="78"/>
      <c r="E689" s="78"/>
    </row>
    <row r="690" spans="4:5" x14ac:dyDescent="0.25">
      <c r="D690" s="78"/>
      <c r="E690" s="78"/>
    </row>
    <row r="691" spans="4:5" x14ac:dyDescent="0.25">
      <c r="D691" s="78"/>
      <c r="E691" s="78"/>
    </row>
    <row r="692" spans="4:5" x14ac:dyDescent="0.25">
      <c r="D692" s="78"/>
      <c r="E692" s="78"/>
    </row>
    <row r="693" spans="4:5" x14ac:dyDescent="0.25">
      <c r="D693" s="78"/>
      <c r="E693" s="78"/>
    </row>
    <row r="694" spans="4:5" x14ac:dyDescent="0.25">
      <c r="D694" s="78"/>
      <c r="E694" s="78"/>
    </row>
    <row r="695" spans="4:5" x14ac:dyDescent="0.25">
      <c r="D695" s="78"/>
      <c r="E695" s="78"/>
    </row>
    <row r="696" spans="4:5" x14ac:dyDescent="0.25">
      <c r="D696" s="78"/>
      <c r="E696" s="78"/>
    </row>
    <row r="697" spans="4:5" x14ac:dyDescent="0.25">
      <c r="D697" s="78"/>
      <c r="E697" s="78"/>
    </row>
    <row r="698" spans="4:5" x14ac:dyDescent="0.25">
      <c r="D698" s="78"/>
      <c r="E698" s="78"/>
    </row>
    <row r="699" spans="4:5" x14ac:dyDescent="0.25">
      <c r="D699" s="78"/>
      <c r="E699" s="78"/>
    </row>
    <row r="700" spans="4:5" x14ac:dyDescent="0.25">
      <c r="D700" s="78"/>
      <c r="E700" s="78"/>
    </row>
    <row r="701" spans="4:5" x14ac:dyDescent="0.25">
      <c r="D701" s="78"/>
      <c r="E701" s="78"/>
    </row>
    <row r="702" spans="4:5" x14ac:dyDescent="0.25">
      <c r="D702" s="78"/>
      <c r="E702" s="78"/>
    </row>
    <row r="703" spans="4:5" x14ac:dyDescent="0.25">
      <c r="D703" s="78"/>
      <c r="E703" s="78"/>
    </row>
    <row r="704" spans="4:5" x14ac:dyDescent="0.25">
      <c r="D704" s="78"/>
      <c r="E704" s="78"/>
    </row>
    <row r="705" spans="4:5" x14ac:dyDescent="0.25">
      <c r="D705" s="78"/>
      <c r="E705" s="78"/>
    </row>
    <row r="706" spans="4:5" x14ac:dyDescent="0.25">
      <c r="D706" s="78"/>
      <c r="E706" s="78"/>
    </row>
    <row r="707" spans="4:5" x14ac:dyDescent="0.25">
      <c r="D707" s="78"/>
      <c r="E707" s="78"/>
    </row>
    <row r="708" spans="4:5" x14ac:dyDescent="0.25">
      <c r="D708" s="78"/>
      <c r="E708" s="78"/>
    </row>
    <row r="709" spans="4:5" x14ac:dyDescent="0.25">
      <c r="D709" s="78"/>
      <c r="E709" s="78"/>
    </row>
    <row r="710" spans="4:5" x14ac:dyDescent="0.25">
      <c r="D710" s="78"/>
      <c r="E710" s="78"/>
    </row>
    <row r="711" spans="4:5" x14ac:dyDescent="0.25">
      <c r="D711" s="78"/>
      <c r="E711" s="78"/>
    </row>
    <row r="712" spans="4:5" x14ac:dyDescent="0.25">
      <c r="D712" s="78"/>
      <c r="E712" s="78"/>
    </row>
    <row r="713" spans="4:5" x14ac:dyDescent="0.25">
      <c r="D713" s="78"/>
      <c r="E713" s="78"/>
    </row>
    <row r="714" spans="4:5" x14ac:dyDescent="0.25">
      <c r="D714" s="78"/>
      <c r="E714" s="78"/>
    </row>
    <row r="715" spans="4:5" x14ac:dyDescent="0.25">
      <c r="D715" s="78"/>
      <c r="E715" s="78"/>
    </row>
    <row r="716" spans="4:5" x14ac:dyDescent="0.25">
      <c r="D716" s="78"/>
      <c r="E716" s="78"/>
    </row>
    <row r="717" spans="4:5" x14ac:dyDescent="0.25">
      <c r="D717" s="78"/>
      <c r="E717" s="78"/>
    </row>
    <row r="718" spans="4:5" x14ac:dyDescent="0.25">
      <c r="D718" s="78"/>
      <c r="E718" s="78"/>
    </row>
    <row r="719" spans="4:5" x14ac:dyDescent="0.25">
      <c r="D719" s="78"/>
      <c r="E719" s="78"/>
    </row>
    <row r="720" spans="4:5" x14ac:dyDescent="0.25">
      <c r="D720" s="78"/>
      <c r="E720" s="78"/>
    </row>
    <row r="721" spans="4:5" x14ac:dyDescent="0.25">
      <c r="D721" s="78"/>
      <c r="E721" s="78"/>
    </row>
    <row r="722" spans="4:5" x14ac:dyDescent="0.25">
      <c r="D722" s="78"/>
      <c r="E722" s="78"/>
    </row>
    <row r="723" spans="4:5" x14ac:dyDescent="0.25">
      <c r="D723" s="78"/>
      <c r="E723" s="78"/>
    </row>
    <row r="724" spans="4:5" x14ac:dyDescent="0.25">
      <c r="D724" s="78"/>
      <c r="E724" s="78"/>
    </row>
    <row r="725" spans="4:5" x14ac:dyDescent="0.25">
      <c r="D725" s="78"/>
      <c r="E725" s="78"/>
    </row>
    <row r="726" spans="4:5" x14ac:dyDescent="0.25">
      <c r="D726" s="78"/>
      <c r="E726" s="78"/>
    </row>
    <row r="727" spans="4:5" x14ac:dyDescent="0.25">
      <c r="D727" s="78"/>
      <c r="E727" s="78"/>
    </row>
    <row r="728" spans="4:5" x14ac:dyDescent="0.25">
      <c r="D728" s="78"/>
      <c r="E728" s="78"/>
    </row>
    <row r="729" spans="4:5" x14ac:dyDescent="0.25">
      <c r="D729" s="78"/>
      <c r="E729" s="78"/>
    </row>
    <row r="730" spans="4:5" x14ac:dyDescent="0.25">
      <c r="D730" s="78"/>
      <c r="E730" s="78"/>
    </row>
    <row r="731" spans="4:5" x14ac:dyDescent="0.25">
      <c r="D731" s="78"/>
      <c r="E731" s="78"/>
    </row>
    <row r="732" spans="4:5" x14ac:dyDescent="0.25">
      <c r="D732" s="78"/>
      <c r="E732" s="78"/>
    </row>
    <row r="733" spans="4:5" x14ac:dyDescent="0.25">
      <c r="D733" s="78"/>
      <c r="E733" s="78"/>
    </row>
    <row r="734" spans="4:5" x14ac:dyDescent="0.25">
      <c r="D734" s="78"/>
      <c r="E734" s="78"/>
    </row>
    <row r="735" spans="4:5" x14ac:dyDescent="0.25">
      <c r="D735" s="78"/>
      <c r="E735" s="78"/>
    </row>
    <row r="736" spans="4:5" x14ac:dyDescent="0.25">
      <c r="D736" s="78"/>
      <c r="E736" s="78"/>
    </row>
    <row r="737" spans="4:5" x14ac:dyDescent="0.25">
      <c r="D737" s="78"/>
      <c r="E737" s="78"/>
    </row>
    <row r="738" spans="4:5" x14ac:dyDescent="0.25">
      <c r="D738" s="78"/>
      <c r="E738" s="78"/>
    </row>
    <row r="739" spans="4:5" x14ac:dyDescent="0.25">
      <c r="D739" s="78"/>
      <c r="E739" s="78"/>
    </row>
    <row r="740" spans="4:5" x14ac:dyDescent="0.25">
      <c r="D740" s="78"/>
      <c r="E740" s="78"/>
    </row>
    <row r="741" spans="4:5" x14ac:dyDescent="0.25">
      <c r="D741" s="78"/>
      <c r="E741" s="78"/>
    </row>
    <row r="742" spans="4:5" x14ac:dyDescent="0.25">
      <c r="D742" s="78"/>
      <c r="E742" s="78"/>
    </row>
    <row r="743" spans="4:5" x14ac:dyDescent="0.25">
      <c r="D743" s="78"/>
      <c r="E743" s="78"/>
    </row>
    <row r="744" spans="4:5" x14ac:dyDescent="0.25">
      <c r="D744" s="78"/>
      <c r="E744" s="78"/>
    </row>
    <row r="745" spans="4:5" x14ac:dyDescent="0.25">
      <c r="D745" s="78"/>
      <c r="E745" s="78"/>
    </row>
    <row r="746" spans="4:5" x14ac:dyDescent="0.25">
      <c r="D746" s="78"/>
      <c r="E746" s="78"/>
    </row>
    <row r="747" spans="4:5" x14ac:dyDescent="0.25">
      <c r="D747" s="78"/>
      <c r="E747" s="78"/>
    </row>
    <row r="748" spans="4:5" x14ac:dyDescent="0.25">
      <c r="D748" s="78"/>
      <c r="E748" s="78"/>
    </row>
    <row r="749" spans="4:5" x14ac:dyDescent="0.25">
      <c r="D749" s="78"/>
      <c r="E749" s="78"/>
    </row>
    <row r="750" spans="4:5" x14ac:dyDescent="0.25">
      <c r="D750" s="78"/>
      <c r="E750" s="78"/>
    </row>
    <row r="751" spans="4:5" x14ac:dyDescent="0.25">
      <c r="D751" s="78"/>
      <c r="E751" s="78"/>
    </row>
    <row r="752" spans="4:5" x14ac:dyDescent="0.25">
      <c r="D752" s="78"/>
      <c r="E752" s="78"/>
    </row>
    <row r="753" spans="4:5" x14ac:dyDescent="0.25">
      <c r="D753" s="78"/>
      <c r="E753" s="78"/>
    </row>
    <row r="754" spans="4:5" x14ac:dyDescent="0.25">
      <c r="D754" s="78"/>
      <c r="E754" s="78"/>
    </row>
    <row r="755" spans="4:5" x14ac:dyDescent="0.25">
      <c r="D755" s="78"/>
      <c r="E755" s="78"/>
    </row>
    <row r="756" spans="4:5" x14ac:dyDescent="0.25">
      <c r="D756" s="78"/>
      <c r="E756" s="78"/>
    </row>
    <row r="757" spans="4:5" x14ac:dyDescent="0.25">
      <c r="D757" s="78"/>
      <c r="E757" s="78"/>
    </row>
    <row r="758" spans="4:5" x14ac:dyDescent="0.25">
      <c r="D758" s="78"/>
      <c r="E758" s="78"/>
    </row>
    <row r="759" spans="4:5" x14ac:dyDescent="0.25">
      <c r="D759" s="78"/>
      <c r="E759" s="78"/>
    </row>
    <row r="760" spans="4:5" x14ac:dyDescent="0.25">
      <c r="D760" s="78"/>
      <c r="E760" s="78"/>
    </row>
    <row r="761" spans="4:5" x14ac:dyDescent="0.25">
      <c r="D761" s="78"/>
      <c r="E761" s="78"/>
    </row>
    <row r="762" spans="4:5" x14ac:dyDescent="0.25">
      <c r="D762" s="78"/>
      <c r="E762" s="78"/>
    </row>
    <row r="763" spans="4:5" x14ac:dyDescent="0.25">
      <c r="D763" s="78"/>
      <c r="E763" s="78"/>
    </row>
    <row r="764" spans="4:5" x14ac:dyDescent="0.25">
      <c r="D764" s="78"/>
      <c r="E764" s="78"/>
    </row>
    <row r="765" spans="4:5" x14ac:dyDescent="0.25">
      <c r="D765" s="78"/>
      <c r="E765" s="78"/>
    </row>
    <row r="766" spans="4:5" x14ac:dyDescent="0.25">
      <c r="D766" s="78"/>
      <c r="E766" s="78"/>
    </row>
    <row r="767" spans="4:5" x14ac:dyDescent="0.25">
      <c r="D767" s="78"/>
      <c r="E767" s="78"/>
    </row>
    <row r="768" spans="4:5" x14ac:dyDescent="0.25">
      <c r="D768" s="78"/>
      <c r="E768" s="78"/>
    </row>
    <row r="769" spans="4:5" x14ac:dyDescent="0.25">
      <c r="D769" s="78"/>
      <c r="E769" s="78"/>
    </row>
    <row r="770" spans="4:5" x14ac:dyDescent="0.25">
      <c r="D770" s="78"/>
      <c r="E770" s="78"/>
    </row>
    <row r="771" spans="4:5" x14ac:dyDescent="0.25">
      <c r="D771" s="78"/>
      <c r="E771" s="78"/>
    </row>
    <row r="772" spans="4:5" x14ac:dyDescent="0.25">
      <c r="D772" s="78"/>
      <c r="E772" s="78"/>
    </row>
    <row r="773" spans="4:5" x14ac:dyDescent="0.25">
      <c r="D773" s="78"/>
      <c r="E773" s="78"/>
    </row>
    <row r="774" spans="4:5" x14ac:dyDescent="0.25">
      <c r="D774" s="78"/>
      <c r="E774" s="78"/>
    </row>
    <row r="775" spans="4:5" x14ac:dyDescent="0.25">
      <c r="D775" s="78"/>
      <c r="E775" s="78"/>
    </row>
    <row r="776" spans="4:5" x14ac:dyDescent="0.25">
      <c r="D776" s="78"/>
      <c r="E776" s="78"/>
    </row>
    <row r="777" spans="4:5" x14ac:dyDescent="0.25">
      <c r="D777" s="78"/>
      <c r="E777" s="78"/>
    </row>
    <row r="778" spans="4:5" x14ac:dyDescent="0.25">
      <c r="D778" s="78"/>
      <c r="E778" s="78"/>
    </row>
    <row r="779" spans="4:5" x14ac:dyDescent="0.25">
      <c r="D779" s="78"/>
      <c r="E779" s="78"/>
    </row>
    <row r="780" spans="4:5" x14ac:dyDescent="0.25">
      <c r="D780" s="78"/>
      <c r="E780" s="78"/>
    </row>
    <row r="781" spans="4:5" x14ac:dyDescent="0.25">
      <c r="D781" s="78"/>
      <c r="E781" s="78"/>
    </row>
    <row r="782" spans="4:5" x14ac:dyDescent="0.25">
      <c r="D782" s="78"/>
      <c r="E782" s="78"/>
    </row>
    <row r="783" spans="4:5" x14ac:dyDescent="0.25">
      <c r="D783" s="78"/>
      <c r="E783" s="78"/>
    </row>
    <row r="784" spans="4:5" x14ac:dyDescent="0.25">
      <c r="D784" s="78"/>
      <c r="E784" s="78"/>
    </row>
    <row r="785" spans="4:5" x14ac:dyDescent="0.25">
      <c r="D785" s="78"/>
      <c r="E785" s="78"/>
    </row>
    <row r="786" spans="4:5" x14ac:dyDescent="0.25">
      <c r="D786" s="78"/>
      <c r="E786" s="78"/>
    </row>
    <row r="787" spans="4:5" x14ac:dyDescent="0.25">
      <c r="D787" s="78"/>
      <c r="E787" s="78"/>
    </row>
    <row r="788" spans="4:5" x14ac:dyDescent="0.25">
      <c r="D788" s="78"/>
      <c r="E788" s="78"/>
    </row>
    <row r="789" spans="4:5" x14ac:dyDescent="0.25">
      <c r="D789" s="78"/>
      <c r="E789" s="78"/>
    </row>
    <row r="790" spans="4:5" x14ac:dyDescent="0.25">
      <c r="D790" s="78"/>
      <c r="E790" s="78"/>
    </row>
    <row r="791" spans="4:5" x14ac:dyDescent="0.25">
      <c r="D791" s="78"/>
      <c r="E791" s="78"/>
    </row>
    <row r="792" spans="4:5" x14ac:dyDescent="0.25">
      <c r="D792" s="78"/>
      <c r="E792" s="78"/>
    </row>
    <row r="793" spans="4:5" x14ac:dyDescent="0.25">
      <c r="D793" s="78"/>
      <c r="E793" s="78"/>
    </row>
    <row r="794" spans="4:5" x14ac:dyDescent="0.25">
      <c r="D794" s="78"/>
      <c r="E794" s="78"/>
    </row>
    <row r="795" spans="4:5" x14ac:dyDescent="0.25">
      <c r="D795" s="78"/>
      <c r="E795" s="78"/>
    </row>
    <row r="796" spans="4:5" x14ac:dyDescent="0.25">
      <c r="D796" s="78"/>
      <c r="E796" s="78"/>
    </row>
    <row r="797" spans="4:5" x14ac:dyDescent="0.25">
      <c r="D797" s="78"/>
      <c r="E797" s="78"/>
    </row>
    <row r="798" spans="4:5" x14ac:dyDescent="0.25">
      <c r="D798" s="78"/>
      <c r="E798" s="78"/>
    </row>
    <row r="799" spans="4:5" x14ac:dyDescent="0.25">
      <c r="D799" s="78"/>
      <c r="E799" s="78"/>
    </row>
    <row r="800" spans="4:5" x14ac:dyDescent="0.25">
      <c r="D800" s="78"/>
      <c r="E800" s="78"/>
    </row>
    <row r="801" spans="4:5" x14ac:dyDescent="0.25">
      <c r="D801" s="78"/>
      <c r="E801" s="78"/>
    </row>
    <row r="802" spans="4:5" x14ac:dyDescent="0.25">
      <c r="D802" s="78"/>
      <c r="E802" s="78"/>
    </row>
    <row r="803" spans="4:5" x14ac:dyDescent="0.25">
      <c r="D803" s="78"/>
      <c r="E803" s="78"/>
    </row>
    <row r="804" spans="4:5" x14ac:dyDescent="0.25">
      <c r="D804" s="78"/>
      <c r="E804" s="78"/>
    </row>
    <row r="805" spans="4:5" x14ac:dyDescent="0.25">
      <c r="D805" s="78"/>
      <c r="E805" s="78"/>
    </row>
    <row r="806" spans="4:5" x14ac:dyDescent="0.25">
      <c r="D806" s="78"/>
      <c r="E806" s="78"/>
    </row>
    <row r="807" spans="4:5" x14ac:dyDescent="0.25">
      <c r="D807" s="78"/>
      <c r="E807" s="78"/>
    </row>
    <row r="808" spans="4:5" x14ac:dyDescent="0.25">
      <c r="D808" s="78"/>
      <c r="E808" s="78"/>
    </row>
    <row r="809" spans="4:5" x14ac:dyDescent="0.25">
      <c r="D809" s="78"/>
      <c r="E809" s="78"/>
    </row>
    <row r="810" spans="4:5" x14ac:dyDescent="0.25">
      <c r="D810" s="78"/>
      <c r="E810" s="78"/>
    </row>
    <row r="811" spans="4:5" x14ac:dyDescent="0.25">
      <c r="D811" s="78"/>
      <c r="E811" s="78"/>
    </row>
    <row r="812" spans="4:5" x14ac:dyDescent="0.25">
      <c r="D812" s="78"/>
      <c r="E812" s="78"/>
    </row>
    <row r="813" spans="4:5" x14ac:dyDescent="0.25">
      <c r="D813" s="78"/>
      <c r="E813" s="78"/>
    </row>
    <row r="814" spans="4:5" x14ac:dyDescent="0.25">
      <c r="D814" s="78"/>
      <c r="E814" s="78"/>
    </row>
    <row r="815" spans="4:5" x14ac:dyDescent="0.25">
      <c r="D815" s="78"/>
      <c r="E815" s="78"/>
    </row>
    <row r="816" spans="4:5" x14ac:dyDescent="0.25">
      <c r="D816" s="78"/>
      <c r="E816" s="78"/>
    </row>
    <row r="817" spans="4:5" x14ac:dyDescent="0.25">
      <c r="D817" s="78"/>
      <c r="E817" s="78"/>
    </row>
    <row r="818" spans="4:5" x14ac:dyDescent="0.25">
      <c r="D818" s="78"/>
      <c r="E818" s="78"/>
    </row>
    <row r="819" spans="4:5" x14ac:dyDescent="0.25">
      <c r="D819" s="78"/>
      <c r="E819" s="78"/>
    </row>
    <row r="820" spans="4:5" x14ac:dyDescent="0.25">
      <c r="D820" s="78"/>
      <c r="E820" s="78"/>
    </row>
    <row r="821" spans="4:5" x14ac:dyDescent="0.25">
      <c r="D821" s="78"/>
      <c r="E821" s="78"/>
    </row>
    <row r="822" spans="4:5" x14ac:dyDescent="0.25">
      <c r="D822" s="78"/>
      <c r="E822" s="78"/>
    </row>
    <row r="823" spans="4:5" x14ac:dyDescent="0.25">
      <c r="D823" s="78"/>
      <c r="E823" s="78"/>
    </row>
    <row r="824" spans="4:5" x14ac:dyDescent="0.25">
      <c r="D824" s="78"/>
      <c r="E824" s="78"/>
    </row>
    <row r="825" spans="4:5" x14ac:dyDescent="0.25">
      <c r="D825" s="78"/>
      <c r="E825" s="78"/>
    </row>
    <row r="826" spans="4:5" x14ac:dyDescent="0.25">
      <c r="D826" s="78"/>
      <c r="E826" s="78"/>
    </row>
    <row r="827" spans="4:5" x14ac:dyDescent="0.25">
      <c r="D827" s="78"/>
      <c r="E827" s="78"/>
    </row>
    <row r="828" spans="4:5" x14ac:dyDescent="0.25">
      <c r="D828" s="78"/>
      <c r="E828" s="78"/>
    </row>
    <row r="829" spans="4:5" x14ac:dyDescent="0.25">
      <c r="D829" s="78"/>
      <c r="E829" s="78"/>
    </row>
    <row r="830" spans="4:5" x14ac:dyDescent="0.25">
      <c r="D830" s="78"/>
      <c r="E830" s="78"/>
    </row>
    <row r="831" spans="4:5" x14ac:dyDescent="0.25">
      <c r="D831" s="78"/>
      <c r="E831" s="78"/>
    </row>
    <row r="832" spans="4:5" x14ac:dyDescent="0.25">
      <c r="D832" s="78"/>
      <c r="E832" s="78"/>
    </row>
    <row r="833" spans="4:5" x14ac:dyDescent="0.25">
      <c r="D833" s="78"/>
      <c r="E833" s="78"/>
    </row>
    <row r="834" spans="4:5" x14ac:dyDescent="0.25">
      <c r="D834" s="78"/>
      <c r="E834" s="78"/>
    </row>
    <row r="835" spans="4:5" x14ac:dyDescent="0.25">
      <c r="D835" s="78"/>
      <c r="E835" s="78"/>
    </row>
    <row r="836" spans="4:5" x14ac:dyDescent="0.25">
      <c r="D836" s="78"/>
      <c r="E836" s="78"/>
    </row>
    <row r="837" spans="4:5" x14ac:dyDescent="0.25">
      <c r="D837" s="78"/>
      <c r="E837" s="78"/>
    </row>
    <row r="838" spans="4:5" x14ac:dyDescent="0.25">
      <c r="D838" s="78"/>
      <c r="E838" s="78"/>
    </row>
    <row r="839" spans="4:5" x14ac:dyDescent="0.25">
      <c r="D839" s="78"/>
      <c r="E839" s="78"/>
    </row>
    <row r="840" spans="4:5" x14ac:dyDescent="0.25">
      <c r="D840" s="78"/>
      <c r="E840" s="78"/>
    </row>
    <row r="841" spans="4:5" x14ac:dyDescent="0.25">
      <c r="D841" s="78"/>
      <c r="E841" s="78"/>
    </row>
    <row r="842" spans="4:5" x14ac:dyDescent="0.25">
      <c r="D842" s="78"/>
      <c r="E842" s="78"/>
    </row>
    <row r="843" spans="4:5" x14ac:dyDescent="0.25">
      <c r="D843" s="78"/>
      <c r="E843" s="78"/>
    </row>
    <row r="844" spans="4:5" x14ac:dyDescent="0.25">
      <c r="D844" s="78"/>
      <c r="E844" s="78"/>
    </row>
    <row r="845" spans="4:5" x14ac:dyDescent="0.25">
      <c r="D845" s="78"/>
      <c r="E845" s="78"/>
    </row>
    <row r="846" spans="4:5" x14ac:dyDescent="0.25">
      <c r="D846" s="78"/>
      <c r="E846" s="78"/>
    </row>
    <row r="847" spans="4:5" x14ac:dyDescent="0.25">
      <c r="D847" s="78"/>
      <c r="E847" s="78"/>
    </row>
    <row r="848" spans="4:5" x14ac:dyDescent="0.25">
      <c r="D848" s="78"/>
      <c r="E848" s="78"/>
    </row>
    <row r="849" spans="4:5" x14ac:dyDescent="0.25">
      <c r="D849" s="78"/>
      <c r="E849" s="78"/>
    </row>
    <row r="850" spans="4:5" x14ac:dyDescent="0.25">
      <c r="D850" s="78"/>
      <c r="E850" s="78"/>
    </row>
    <row r="851" spans="4:5" x14ac:dyDescent="0.25">
      <c r="D851" s="78"/>
      <c r="E851" s="78"/>
    </row>
    <row r="852" spans="4:5" x14ac:dyDescent="0.25">
      <c r="D852" s="78"/>
      <c r="E852" s="78"/>
    </row>
    <row r="853" spans="4:5" x14ac:dyDescent="0.25">
      <c r="D853" s="78"/>
      <c r="E853" s="78"/>
    </row>
    <row r="854" spans="4:5" x14ac:dyDescent="0.25">
      <c r="D854" s="78"/>
      <c r="E854" s="78"/>
    </row>
    <row r="855" spans="4:5" x14ac:dyDescent="0.25">
      <c r="D855" s="78"/>
      <c r="E855" s="78"/>
    </row>
    <row r="856" spans="4:5" x14ac:dyDescent="0.25">
      <c r="D856" s="78"/>
      <c r="E856" s="78"/>
    </row>
    <row r="857" spans="4:5" x14ac:dyDescent="0.25">
      <c r="D857" s="78"/>
      <c r="E857" s="78"/>
    </row>
    <row r="858" spans="4:5" x14ac:dyDescent="0.25">
      <c r="D858" s="78"/>
      <c r="E858" s="78"/>
    </row>
    <row r="859" spans="4:5" x14ac:dyDescent="0.25">
      <c r="D859" s="78"/>
      <c r="E859" s="78"/>
    </row>
    <row r="860" spans="4:5" x14ac:dyDescent="0.25">
      <c r="D860" s="78"/>
      <c r="E860" s="78"/>
    </row>
    <row r="861" spans="4:5" x14ac:dyDescent="0.25">
      <c r="D861" s="78"/>
      <c r="E861" s="78"/>
    </row>
    <row r="862" spans="4:5" x14ac:dyDescent="0.25">
      <c r="D862" s="78"/>
      <c r="E862" s="78"/>
    </row>
    <row r="863" spans="4:5" x14ac:dyDescent="0.25">
      <c r="D863" s="78"/>
      <c r="E863" s="78"/>
    </row>
    <row r="864" spans="4:5" x14ac:dyDescent="0.25">
      <c r="D864" s="78"/>
      <c r="E864" s="78"/>
    </row>
    <row r="865" spans="4:5" x14ac:dyDescent="0.25">
      <c r="D865" s="78"/>
      <c r="E865" s="78"/>
    </row>
    <row r="866" spans="4:5" x14ac:dyDescent="0.25">
      <c r="D866" s="78"/>
      <c r="E866" s="78"/>
    </row>
    <row r="867" spans="4:5" x14ac:dyDescent="0.25">
      <c r="D867" s="78"/>
      <c r="E867" s="78"/>
    </row>
    <row r="868" spans="4:5" x14ac:dyDescent="0.25">
      <c r="D868" s="78"/>
      <c r="E868" s="78"/>
    </row>
    <row r="869" spans="4:5" x14ac:dyDescent="0.25">
      <c r="D869" s="78"/>
      <c r="E869" s="78"/>
    </row>
    <row r="870" spans="4:5" x14ac:dyDescent="0.25">
      <c r="D870" s="78"/>
      <c r="E870" s="78"/>
    </row>
    <row r="871" spans="4:5" x14ac:dyDescent="0.25">
      <c r="D871" s="78"/>
      <c r="E871" s="78"/>
    </row>
    <row r="872" spans="4:5" x14ac:dyDescent="0.25">
      <c r="D872" s="78"/>
      <c r="E872" s="78"/>
    </row>
    <row r="873" spans="4:5" x14ac:dyDescent="0.25">
      <c r="D873" s="78"/>
      <c r="E873" s="78"/>
    </row>
    <row r="874" spans="4:5" x14ac:dyDescent="0.25">
      <c r="D874" s="78"/>
      <c r="E874" s="78"/>
    </row>
    <row r="875" spans="4:5" x14ac:dyDescent="0.25">
      <c r="D875" s="78"/>
      <c r="E875" s="78"/>
    </row>
    <row r="876" spans="4:5" x14ac:dyDescent="0.25">
      <c r="D876" s="78"/>
      <c r="E876" s="78"/>
    </row>
    <row r="877" spans="4:5" x14ac:dyDescent="0.25">
      <c r="D877" s="78"/>
      <c r="E877" s="78"/>
    </row>
    <row r="878" spans="4:5" x14ac:dyDescent="0.25">
      <c r="D878" s="78"/>
      <c r="E878" s="78"/>
    </row>
    <row r="879" spans="4:5" x14ac:dyDescent="0.25">
      <c r="D879" s="78"/>
      <c r="E879" s="78"/>
    </row>
    <row r="880" spans="4:5" x14ac:dyDescent="0.25">
      <c r="D880" s="78"/>
      <c r="E880" s="78"/>
    </row>
    <row r="881" spans="4:5" x14ac:dyDescent="0.25">
      <c r="D881" s="78"/>
      <c r="E881" s="78"/>
    </row>
    <row r="882" spans="4:5" x14ac:dyDescent="0.25">
      <c r="D882" s="78"/>
      <c r="E882" s="78"/>
    </row>
    <row r="883" spans="4:5" x14ac:dyDescent="0.25">
      <c r="D883" s="78"/>
      <c r="E883" s="78"/>
    </row>
    <row r="884" spans="4:5" x14ac:dyDescent="0.25">
      <c r="D884" s="78"/>
      <c r="E884" s="78"/>
    </row>
    <row r="885" spans="4:5" x14ac:dyDescent="0.25">
      <c r="D885" s="78"/>
      <c r="E885" s="78"/>
    </row>
    <row r="886" spans="4:5" x14ac:dyDescent="0.25">
      <c r="D886" s="78"/>
      <c r="E886" s="78"/>
    </row>
    <row r="887" spans="4:5" x14ac:dyDescent="0.25">
      <c r="D887" s="78"/>
      <c r="E887" s="78"/>
    </row>
    <row r="888" spans="4:5" x14ac:dyDescent="0.25">
      <c r="D888" s="78"/>
      <c r="E888" s="78"/>
    </row>
    <row r="889" spans="4:5" x14ac:dyDescent="0.25">
      <c r="D889" s="78"/>
      <c r="E889" s="78"/>
    </row>
    <row r="890" spans="4:5" x14ac:dyDescent="0.25">
      <c r="D890" s="78"/>
      <c r="E890" s="78"/>
    </row>
    <row r="891" spans="4:5" x14ac:dyDescent="0.25">
      <c r="D891" s="78"/>
      <c r="E891" s="78"/>
    </row>
    <row r="892" spans="4:5" x14ac:dyDescent="0.25">
      <c r="D892" s="78"/>
      <c r="E892" s="78"/>
    </row>
    <row r="893" spans="4:5" x14ac:dyDescent="0.25">
      <c r="D893" s="78"/>
      <c r="E893" s="78"/>
    </row>
    <row r="894" spans="4:5" x14ac:dyDescent="0.25">
      <c r="D894" s="78"/>
      <c r="E894" s="78"/>
    </row>
    <row r="895" spans="4:5" x14ac:dyDescent="0.25">
      <c r="D895" s="78"/>
      <c r="E895" s="78"/>
    </row>
    <row r="896" spans="4:5" x14ac:dyDescent="0.25">
      <c r="D896" s="78"/>
      <c r="E896" s="78"/>
    </row>
    <row r="897" spans="4:5" x14ac:dyDescent="0.25">
      <c r="D897" s="78"/>
      <c r="E897" s="78"/>
    </row>
    <row r="898" spans="4:5" x14ac:dyDescent="0.25">
      <c r="D898" s="78"/>
      <c r="E898" s="78"/>
    </row>
    <row r="899" spans="4:5" x14ac:dyDescent="0.25">
      <c r="D899" s="78"/>
      <c r="E899" s="78"/>
    </row>
    <row r="900" spans="4:5" x14ac:dyDescent="0.25">
      <c r="D900" s="78"/>
      <c r="E900" s="78"/>
    </row>
    <row r="901" spans="4:5" x14ac:dyDescent="0.25">
      <c r="D901" s="78"/>
      <c r="E901" s="78"/>
    </row>
    <row r="902" spans="4:5" x14ac:dyDescent="0.25">
      <c r="D902" s="78"/>
      <c r="E902" s="78"/>
    </row>
    <row r="903" spans="4:5" x14ac:dyDescent="0.25">
      <c r="D903" s="78"/>
      <c r="E903" s="78"/>
    </row>
    <row r="904" spans="4:5" x14ac:dyDescent="0.25">
      <c r="D904" s="78"/>
      <c r="E904" s="78"/>
    </row>
    <row r="905" spans="4:5" x14ac:dyDescent="0.25">
      <c r="D905" s="78"/>
      <c r="E905" s="78"/>
    </row>
    <row r="906" spans="4:5" x14ac:dyDescent="0.25">
      <c r="D906" s="78"/>
      <c r="E906" s="78"/>
    </row>
    <row r="907" spans="4:5" x14ac:dyDescent="0.25">
      <c r="D907" s="78"/>
      <c r="E907" s="78"/>
    </row>
    <row r="908" spans="4:5" x14ac:dyDescent="0.25">
      <c r="D908" s="78"/>
      <c r="E908" s="78"/>
    </row>
    <row r="909" spans="4:5" x14ac:dyDescent="0.25">
      <c r="D909" s="78"/>
      <c r="E909" s="78"/>
    </row>
    <row r="910" spans="4:5" x14ac:dyDescent="0.25">
      <c r="D910" s="78"/>
      <c r="E910" s="78"/>
    </row>
    <row r="911" spans="4:5" x14ac:dyDescent="0.25">
      <c r="D911" s="78"/>
      <c r="E911" s="78"/>
    </row>
    <row r="912" spans="4:5" x14ac:dyDescent="0.25">
      <c r="D912" s="78"/>
      <c r="E912" s="78"/>
    </row>
    <row r="913" spans="4:5" x14ac:dyDescent="0.25">
      <c r="D913" s="78"/>
      <c r="E913" s="78"/>
    </row>
    <row r="914" spans="4:5" x14ac:dyDescent="0.25">
      <c r="D914" s="78"/>
      <c r="E914" s="78"/>
    </row>
    <row r="915" spans="4:5" x14ac:dyDescent="0.25">
      <c r="D915" s="78"/>
      <c r="E915" s="78"/>
    </row>
    <row r="916" spans="4:5" x14ac:dyDescent="0.25">
      <c r="D916" s="78"/>
      <c r="E916" s="78"/>
    </row>
    <row r="917" spans="4:5" x14ac:dyDescent="0.25">
      <c r="D917" s="78"/>
      <c r="E917" s="78"/>
    </row>
    <row r="918" spans="4:5" x14ac:dyDescent="0.25">
      <c r="D918" s="78"/>
      <c r="E918" s="78"/>
    </row>
    <row r="919" spans="4:5" x14ac:dyDescent="0.25">
      <c r="D919" s="78"/>
      <c r="E919" s="78"/>
    </row>
    <row r="920" spans="4:5" x14ac:dyDescent="0.25">
      <c r="D920" s="78"/>
      <c r="E920" s="78"/>
    </row>
    <row r="921" spans="4:5" x14ac:dyDescent="0.25">
      <c r="D921" s="78"/>
      <c r="E921" s="78"/>
    </row>
    <row r="922" spans="4:5" x14ac:dyDescent="0.25">
      <c r="D922" s="78"/>
      <c r="E922" s="78"/>
    </row>
    <row r="923" spans="4:5" x14ac:dyDescent="0.25">
      <c r="D923" s="78"/>
      <c r="E923" s="78"/>
    </row>
    <row r="924" spans="4:5" x14ac:dyDescent="0.25">
      <c r="D924" s="78"/>
      <c r="E924" s="78"/>
    </row>
    <row r="925" spans="4:5" x14ac:dyDescent="0.25">
      <c r="D925" s="78"/>
      <c r="E925" s="78"/>
    </row>
    <row r="926" spans="4:5" x14ac:dyDescent="0.25">
      <c r="D926" s="78"/>
      <c r="E926" s="78"/>
    </row>
    <row r="927" spans="4:5" x14ac:dyDescent="0.25">
      <c r="D927" s="78"/>
      <c r="E927" s="78"/>
    </row>
    <row r="928" spans="4:5" x14ac:dyDescent="0.25">
      <c r="D928" s="78"/>
      <c r="E928" s="78"/>
    </row>
    <row r="929" spans="4:5" x14ac:dyDescent="0.25">
      <c r="D929" s="78"/>
      <c r="E929" s="78"/>
    </row>
    <row r="930" spans="4:5" x14ac:dyDescent="0.25">
      <c r="D930" s="78"/>
      <c r="E930" s="78"/>
    </row>
    <row r="931" spans="4:5" x14ac:dyDescent="0.25">
      <c r="D931" s="78"/>
      <c r="E931" s="78"/>
    </row>
    <row r="932" spans="4:5" x14ac:dyDescent="0.25">
      <c r="D932" s="78"/>
      <c r="E932" s="78"/>
    </row>
    <row r="933" spans="4:5" x14ac:dyDescent="0.25">
      <c r="D933" s="78"/>
      <c r="E933" s="78"/>
    </row>
    <row r="934" spans="4:5" x14ac:dyDescent="0.25">
      <c r="D934" s="78"/>
      <c r="E934" s="78"/>
    </row>
    <row r="935" spans="4:5" x14ac:dyDescent="0.25">
      <c r="D935" s="78"/>
      <c r="E935" s="78"/>
    </row>
    <row r="936" spans="4:5" x14ac:dyDescent="0.25">
      <c r="D936" s="78"/>
      <c r="E936" s="78"/>
    </row>
    <row r="937" spans="4:5" x14ac:dyDescent="0.25">
      <c r="D937" s="78"/>
      <c r="E937" s="78"/>
    </row>
    <row r="938" spans="4:5" x14ac:dyDescent="0.25">
      <c r="D938" s="78"/>
      <c r="E938" s="78"/>
    </row>
    <row r="939" spans="4:5" x14ac:dyDescent="0.25">
      <c r="D939" s="78"/>
      <c r="E939" s="78"/>
    </row>
    <row r="940" spans="4:5" x14ac:dyDescent="0.25">
      <c r="D940" s="78"/>
      <c r="E940" s="78"/>
    </row>
    <row r="941" spans="4:5" x14ac:dyDescent="0.25">
      <c r="D941" s="78"/>
      <c r="E941" s="78"/>
    </row>
    <row r="942" spans="4:5" x14ac:dyDescent="0.25">
      <c r="D942" s="78"/>
      <c r="E942" s="78"/>
    </row>
    <row r="943" spans="4:5" x14ac:dyDescent="0.25">
      <c r="D943" s="78"/>
      <c r="E943" s="78"/>
    </row>
    <row r="944" spans="4:5" x14ac:dyDescent="0.25">
      <c r="D944" s="78"/>
      <c r="E944" s="78"/>
    </row>
    <row r="945" spans="4:5" x14ac:dyDescent="0.25">
      <c r="D945" s="78"/>
      <c r="E945" s="78"/>
    </row>
    <row r="946" spans="4:5" x14ac:dyDescent="0.25">
      <c r="D946" s="78"/>
      <c r="E946" s="78"/>
    </row>
    <row r="947" spans="4:5" x14ac:dyDescent="0.25">
      <c r="D947" s="78"/>
      <c r="E947" s="78"/>
    </row>
    <row r="948" spans="4:5" x14ac:dyDescent="0.25">
      <c r="D948" s="78"/>
      <c r="E948" s="78"/>
    </row>
    <row r="949" spans="4:5" x14ac:dyDescent="0.25">
      <c r="D949" s="78"/>
      <c r="E949" s="78"/>
    </row>
    <row r="950" spans="4:5" x14ac:dyDescent="0.25">
      <c r="D950" s="78"/>
      <c r="E950" s="78"/>
    </row>
    <row r="951" spans="4:5" x14ac:dyDescent="0.25">
      <c r="D951" s="78"/>
      <c r="E951" s="78"/>
    </row>
    <row r="952" spans="4:5" x14ac:dyDescent="0.25">
      <c r="D952" s="78"/>
      <c r="E952" s="78"/>
    </row>
    <row r="953" spans="4:5" x14ac:dyDescent="0.25">
      <c r="D953" s="78"/>
      <c r="E953" s="78"/>
    </row>
    <row r="954" spans="4:5" x14ac:dyDescent="0.25">
      <c r="D954" s="78"/>
      <c r="E954" s="78"/>
    </row>
    <row r="955" spans="4:5" x14ac:dyDescent="0.25">
      <c r="D955" s="78"/>
      <c r="E955" s="78"/>
    </row>
    <row r="956" spans="4:5" x14ac:dyDescent="0.25">
      <c r="D956" s="78"/>
      <c r="E956" s="78"/>
    </row>
    <row r="957" spans="4:5" x14ac:dyDescent="0.25">
      <c r="D957" s="78"/>
      <c r="E957" s="78"/>
    </row>
    <row r="958" spans="4:5" x14ac:dyDescent="0.25">
      <c r="D958" s="78"/>
      <c r="E958" s="78"/>
    </row>
    <row r="959" spans="4:5" x14ac:dyDescent="0.25">
      <c r="D959" s="78"/>
      <c r="E959" s="78"/>
    </row>
    <row r="960" spans="4:5" x14ac:dyDescent="0.25">
      <c r="D960" s="78"/>
      <c r="E960" s="78"/>
    </row>
    <row r="961" spans="4:5" x14ac:dyDescent="0.25">
      <c r="D961" s="78"/>
      <c r="E961" s="78"/>
    </row>
    <row r="962" spans="4:5" x14ac:dyDescent="0.25">
      <c r="D962" s="78"/>
      <c r="E962" s="78"/>
    </row>
    <row r="963" spans="4:5" x14ac:dyDescent="0.25">
      <c r="D963" s="78"/>
      <c r="E963" s="78"/>
    </row>
    <row r="964" spans="4:5" x14ac:dyDescent="0.25">
      <c r="D964" s="78"/>
      <c r="E964" s="78"/>
    </row>
    <row r="965" spans="4:5" x14ac:dyDescent="0.25">
      <c r="D965" s="78"/>
      <c r="E965" s="78"/>
    </row>
    <row r="966" spans="4:5" x14ac:dyDescent="0.25">
      <c r="D966" s="78"/>
      <c r="E966" s="78"/>
    </row>
    <row r="967" spans="4:5" x14ac:dyDescent="0.25">
      <c r="D967" s="78"/>
      <c r="E967" s="78"/>
    </row>
    <row r="968" spans="4:5" x14ac:dyDescent="0.25">
      <c r="D968" s="78"/>
      <c r="E968" s="78"/>
    </row>
    <row r="969" spans="4:5" x14ac:dyDescent="0.25">
      <c r="D969" s="78"/>
      <c r="E969" s="78"/>
    </row>
    <row r="970" spans="4:5" x14ac:dyDescent="0.25">
      <c r="D970" s="78"/>
      <c r="E970" s="78"/>
    </row>
    <row r="971" spans="4:5" x14ac:dyDescent="0.25">
      <c r="D971" s="78"/>
      <c r="E971" s="78"/>
    </row>
    <row r="972" spans="4:5" x14ac:dyDescent="0.25">
      <c r="D972" s="78"/>
      <c r="E972" s="78"/>
    </row>
    <row r="973" spans="4:5" x14ac:dyDescent="0.25">
      <c r="D973" s="78"/>
      <c r="E973" s="78"/>
    </row>
    <row r="974" spans="4:5" x14ac:dyDescent="0.25">
      <c r="D974" s="78"/>
      <c r="E974" s="78"/>
    </row>
    <row r="975" spans="4:5" x14ac:dyDescent="0.25">
      <c r="D975" s="78"/>
      <c r="E975" s="78"/>
    </row>
    <row r="976" spans="4:5" x14ac:dyDescent="0.25">
      <c r="D976" s="78"/>
      <c r="E976" s="78"/>
    </row>
    <row r="977" spans="4:5" x14ac:dyDescent="0.25">
      <c r="D977" s="78"/>
      <c r="E977" s="78"/>
    </row>
    <row r="978" spans="4:5" x14ac:dyDescent="0.25">
      <c r="D978" s="78"/>
      <c r="E978" s="78"/>
    </row>
    <row r="979" spans="4:5" x14ac:dyDescent="0.25">
      <c r="D979" s="78"/>
      <c r="E979" s="78"/>
    </row>
    <row r="980" spans="4:5" x14ac:dyDescent="0.25">
      <c r="D980" s="78"/>
      <c r="E980" s="78"/>
    </row>
    <row r="981" spans="4:5" x14ac:dyDescent="0.25">
      <c r="D981" s="78"/>
      <c r="E981" s="78"/>
    </row>
    <row r="982" spans="4:5" x14ac:dyDescent="0.25">
      <c r="D982" s="78"/>
      <c r="E982" s="78"/>
    </row>
    <row r="983" spans="4:5" x14ac:dyDescent="0.25">
      <c r="D983" s="78"/>
      <c r="E983" s="78"/>
    </row>
    <row r="984" spans="4:5" x14ac:dyDescent="0.25">
      <c r="D984" s="78"/>
      <c r="E984" s="78"/>
    </row>
    <row r="985" spans="4:5" x14ac:dyDescent="0.25">
      <c r="D985" s="78"/>
      <c r="E985" s="78"/>
    </row>
    <row r="986" spans="4:5" x14ac:dyDescent="0.25">
      <c r="D986" s="78"/>
      <c r="E986" s="78"/>
    </row>
    <row r="987" spans="4:5" x14ac:dyDescent="0.25">
      <c r="D987" s="78"/>
      <c r="E987" s="78"/>
    </row>
    <row r="988" spans="4:5" x14ac:dyDescent="0.25">
      <c r="D988" s="78"/>
      <c r="E988" s="78"/>
    </row>
    <row r="989" spans="4:5" x14ac:dyDescent="0.25">
      <c r="D989" s="78"/>
      <c r="E989" s="78"/>
    </row>
    <row r="990" spans="4:5" x14ac:dyDescent="0.25">
      <c r="D990" s="78"/>
      <c r="E990" s="78"/>
    </row>
    <row r="991" spans="4:5" x14ac:dyDescent="0.25">
      <c r="D991" s="78"/>
      <c r="E991" s="78"/>
    </row>
    <row r="992" spans="4:5" x14ac:dyDescent="0.25">
      <c r="D992" s="78"/>
      <c r="E992" s="78"/>
    </row>
    <row r="993" spans="4:5" x14ac:dyDescent="0.25">
      <c r="D993" s="78"/>
      <c r="E993" s="78"/>
    </row>
    <row r="994" spans="4:5" x14ac:dyDescent="0.25">
      <c r="D994" s="78"/>
      <c r="E994" s="78"/>
    </row>
    <row r="995" spans="4:5" x14ac:dyDescent="0.25">
      <c r="D995" s="78"/>
      <c r="E995" s="78"/>
    </row>
    <row r="996" spans="4:5" x14ac:dyDescent="0.25">
      <c r="D996" s="78"/>
      <c r="E996" s="78"/>
    </row>
    <row r="997" spans="4:5" x14ac:dyDescent="0.25">
      <c r="D997" s="78"/>
      <c r="E997" s="78"/>
    </row>
    <row r="998" spans="4:5" x14ac:dyDescent="0.25">
      <c r="D998" s="78"/>
      <c r="E998" s="78"/>
    </row>
    <row r="999" spans="4:5" x14ac:dyDescent="0.25">
      <c r="D999" s="78"/>
      <c r="E999" s="78"/>
    </row>
    <row r="1000" spans="4:5" x14ac:dyDescent="0.25">
      <c r="D1000" s="78"/>
      <c r="E1000" s="78"/>
    </row>
    <row r="1001" spans="4:5" x14ac:dyDescent="0.25">
      <c r="D1001" s="78"/>
      <c r="E1001" s="78"/>
    </row>
  </sheetData>
  <sheetProtection selectLockedCells="1"/>
  <mergeCells count="993">
    <mergeCell ref="D15:E15"/>
    <mergeCell ref="D16:E16"/>
    <mergeCell ref="D17:E17"/>
    <mergeCell ref="D18:E18"/>
    <mergeCell ref="D19:E19"/>
    <mergeCell ref="C6:H8"/>
    <mergeCell ref="D11:E11"/>
    <mergeCell ref="D14:E14"/>
    <mergeCell ref="D13:E13"/>
    <mergeCell ref="D12:E12"/>
    <mergeCell ref="C10:H10"/>
    <mergeCell ref="D25:E25"/>
    <mergeCell ref="D26:E26"/>
    <mergeCell ref="D27:E27"/>
    <mergeCell ref="D28:E28"/>
    <mergeCell ref="D29:E29"/>
    <mergeCell ref="D20:E20"/>
    <mergeCell ref="D21:E21"/>
    <mergeCell ref="D22:E22"/>
    <mergeCell ref="D23:E23"/>
    <mergeCell ref="D24:E24"/>
    <mergeCell ref="D35:E35"/>
    <mergeCell ref="D36:E36"/>
    <mergeCell ref="D37:E37"/>
    <mergeCell ref="D38:E38"/>
    <mergeCell ref="D39:E39"/>
    <mergeCell ref="D30:E30"/>
    <mergeCell ref="D31:E31"/>
    <mergeCell ref="D32:E32"/>
    <mergeCell ref="D33:E33"/>
    <mergeCell ref="D34:E34"/>
    <mergeCell ref="D45:E45"/>
    <mergeCell ref="D46:E46"/>
    <mergeCell ref="D47:E47"/>
    <mergeCell ref="D48:E48"/>
    <mergeCell ref="D49:E49"/>
    <mergeCell ref="D40:E40"/>
    <mergeCell ref="D41:E41"/>
    <mergeCell ref="D42:E42"/>
    <mergeCell ref="D43:E43"/>
    <mergeCell ref="D44:E44"/>
    <mergeCell ref="D55:E55"/>
    <mergeCell ref="D56:E56"/>
    <mergeCell ref="D57:E57"/>
    <mergeCell ref="D58:E58"/>
    <mergeCell ref="D59:E59"/>
    <mergeCell ref="D50:E50"/>
    <mergeCell ref="D51:E51"/>
    <mergeCell ref="D52:E52"/>
    <mergeCell ref="D53:E53"/>
    <mergeCell ref="D54:E54"/>
    <mergeCell ref="D65:E65"/>
    <mergeCell ref="D66:E66"/>
    <mergeCell ref="D67:E67"/>
    <mergeCell ref="D68:E68"/>
    <mergeCell ref="D69:E69"/>
    <mergeCell ref="D60:E60"/>
    <mergeCell ref="D61:E61"/>
    <mergeCell ref="D62:E62"/>
    <mergeCell ref="D63:E63"/>
    <mergeCell ref="D64:E64"/>
    <mergeCell ref="D75:E75"/>
    <mergeCell ref="D76:E76"/>
    <mergeCell ref="D77:E77"/>
    <mergeCell ref="D78:E78"/>
    <mergeCell ref="D79:E79"/>
    <mergeCell ref="D70:E70"/>
    <mergeCell ref="D71:E71"/>
    <mergeCell ref="D72:E72"/>
    <mergeCell ref="D73:E73"/>
    <mergeCell ref="D74:E74"/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  <mergeCell ref="D95:E95"/>
    <mergeCell ref="D96:E96"/>
    <mergeCell ref="D97:E97"/>
    <mergeCell ref="D98:E98"/>
    <mergeCell ref="D99:E99"/>
    <mergeCell ref="D90:E90"/>
    <mergeCell ref="D91:E91"/>
    <mergeCell ref="D92:E92"/>
    <mergeCell ref="D93:E93"/>
    <mergeCell ref="D94:E94"/>
    <mergeCell ref="D105:E105"/>
    <mergeCell ref="D106:E106"/>
    <mergeCell ref="D107:E107"/>
    <mergeCell ref="D108:E108"/>
    <mergeCell ref="D109:E109"/>
    <mergeCell ref="D100:E100"/>
    <mergeCell ref="D101:E101"/>
    <mergeCell ref="D102:E102"/>
    <mergeCell ref="D103:E103"/>
    <mergeCell ref="D104:E104"/>
    <mergeCell ref="D115:E115"/>
    <mergeCell ref="D116:E116"/>
    <mergeCell ref="D117:E117"/>
    <mergeCell ref="D118:E118"/>
    <mergeCell ref="D119:E119"/>
    <mergeCell ref="D110:E110"/>
    <mergeCell ref="D111:E111"/>
    <mergeCell ref="D112:E112"/>
    <mergeCell ref="D113:E113"/>
    <mergeCell ref="D114:E114"/>
    <mergeCell ref="D125:E125"/>
    <mergeCell ref="D126:E126"/>
    <mergeCell ref="D127:E127"/>
    <mergeCell ref="D128:E128"/>
    <mergeCell ref="D129:E129"/>
    <mergeCell ref="D120:E120"/>
    <mergeCell ref="D121:E121"/>
    <mergeCell ref="D122:E122"/>
    <mergeCell ref="D123:E123"/>
    <mergeCell ref="D124:E124"/>
    <mergeCell ref="D135:E135"/>
    <mergeCell ref="D136:E136"/>
    <mergeCell ref="D137:E137"/>
    <mergeCell ref="D138:E138"/>
    <mergeCell ref="D139:E139"/>
    <mergeCell ref="D130:E130"/>
    <mergeCell ref="D131:E131"/>
    <mergeCell ref="D132:E132"/>
    <mergeCell ref="D133:E133"/>
    <mergeCell ref="D134:E134"/>
    <mergeCell ref="D145:E145"/>
    <mergeCell ref="D146:E146"/>
    <mergeCell ref="D147:E147"/>
    <mergeCell ref="D148:E148"/>
    <mergeCell ref="D149:E149"/>
    <mergeCell ref="D140:E140"/>
    <mergeCell ref="D141:E141"/>
    <mergeCell ref="D142:E142"/>
    <mergeCell ref="D143:E143"/>
    <mergeCell ref="D144:E144"/>
    <mergeCell ref="D155:E155"/>
    <mergeCell ref="D156:E156"/>
    <mergeCell ref="D157:E157"/>
    <mergeCell ref="D158:E158"/>
    <mergeCell ref="D159:E159"/>
    <mergeCell ref="D150:E150"/>
    <mergeCell ref="D151:E151"/>
    <mergeCell ref="D152:E152"/>
    <mergeCell ref="D153:E153"/>
    <mergeCell ref="D154:E154"/>
    <mergeCell ref="D165:E165"/>
    <mergeCell ref="D166:E166"/>
    <mergeCell ref="D167:E167"/>
    <mergeCell ref="D168:E168"/>
    <mergeCell ref="D169:E169"/>
    <mergeCell ref="D160:E160"/>
    <mergeCell ref="D161:E161"/>
    <mergeCell ref="D162:E162"/>
    <mergeCell ref="D163:E163"/>
    <mergeCell ref="D164:E164"/>
    <mergeCell ref="D175:E175"/>
    <mergeCell ref="D176:E176"/>
    <mergeCell ref="D177:E177"/>
    <mergeCell ref="D178:E178"/>
    <mergeCell ref="D179:E179"/>
    <mergeCell ref="D170:E170"/>
    <mergeCell ref="D171:E171"/>
    <mergeCell ref="D172:E172"/>
    <mergeCell ref="D173:E173"/>
    <mergeCell ref="D174:E174"/>
    <mergeCell ref="D185:E185"/>
    <mergeCell ref="D186:E186"/>
    <mergeCell ref="D187:E187"/>
    <mergeCell ref="D188:E188"/>
    <mergeCell ref="D189:E189"/>
    <mergeCell ref="D180:E180"/>
    <mergeCell ref="D181:E181"/>
    <mergeCell ref="D182:E182"/>
    <mergeCell ref="D183:E183"/>
    <mergeCell ref="D184:E184"/>
    <mergeCell ref="D195:E195"/>
    <mergeCell ref="D196:E196"/>
    <mergeCell ref="D197:E197"/>
    <mergeCell ref="D198:E198"/>
    <mergeCell ref="D199:E199"/>
    <mergeCell ref="D190:E190"/>
    <mergeCell ref="D191:E191"/>
    <mergeCell ref="D192:E192"/>
    <mergeCell ref="D193:E193"/>
    <mergeCell ref="D194:E194"/>
    <mergeCell ref="D205:E205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215:E215"/>
    <mergeCell ref="D216:E216"/>
    <mergeCell ref="D217:E217"/>
    <mergeCell ref="D218:E218"/>
    <mergeCell ref="D219:E219"/>
    <mergeCell ref="D210:E210"/>
    <mergeCell ref="D211:E211"/>
    <mergeCell ref="D212:E212"/>
    <mergeCell ref="D213:E213"/>
    <mergeCell ref="D214:E214"/>
    <mergeCell ref="D225:E225"/>
    <mergeCell ref="D226:E226"/>
    <mergeCell ref="D227:E227"/>
    <mergeCell ref="D228:E228"/>
    <mergeCell ref="D229:E229"/>
    <mergeCell ref="D220:E220"/>
    <mergeCell ref="D221:E221"/>
    <mergeCell ref="D222:E222"/>
    <mergeCell ref="D223:E223"/>
    <mergeCell ref="D224:E224"/>
    <mergeCell ref="D235:E235"/>
    <mergeCell ref="D236:E236"/>
    <mergeCell ref="D237:E237"/>
    <mergeCell ref="D238:E238"/>
    <mergeCell ref="D239:E239"/>
    <mergeCell ref="D230:E230"/>
    <mergeCell ref="D231:E231"/>
    <mergeCell ref="D232:E232"/>
    <mergeCell ref="D233:E233"/>
    <mergeCell ref="D234:E234"/>
    <mergeCell ref="D245:E245"/>
    <mergeCell ref="D246:E246"/>
    <mergeCell ref="D247:E247"/>
    <mergeCell ref="D248:E248"/>
    <mergeCell ref="D249:E249"/>
    <mergeCell ref="D240:E240"/>
    <mergeCell ref="D241:E241"/>
    <mergeCell ref="D242:E242"/>
    <mergeCell ref="D243:E243"/>
    <mergeCell ref="D244:E244"/>
    <mergeCell ref="D255:E255"/>
    <mergeCell ref="D256:E256"/>
    <mergeCell ref="D257:E257"/>
    <mergeCell ref="D258:E258"/>
    <mergeCell ref="D259:E259"/>
    <mergeCell ref="D250:E250"/>
    <mergeCell ref="D251:E251"/>
    <mergeCell ref="D252:E252"/>
    <mergeCell ref="D253:E253"/>
    <mergeCell ref="D254:E254"/>
    <mergeCell ref="D265:E265"/>
    <mergeCell ref="D266:E266"/>
    <mergeCell ref="D267:E267"/>
    <mergeCell ref="D268:E268"/>
    <mergeCell ref="D269:E269"/>
    <mergeCell ref="D260:E260"/>
    <mergeCell ref="D261:E261"/>
    <mergeCell ref="D262:E262"/>
    <mergeCell ref="D263:E263"/>
    <mergeCell ref="D264:E264"/>
    <mergeCell ref="D275:E275"/>
    <mergeCell ref="D276:E276"/>
    <mergeCell ref="D277:E277"/>
    <mergeCell ref="D278:E278"/>
    <mergeCell ref="D279:E279"/>
    <mergeCell ref="D270:E270"/>
    <mergeCell ref="D271:E271"/>
    <mergeCell ref="D272:E272"/>
    <mergeCell ref="D273:E273"/>
    <mergeCell ref="D274:E274"/>
    <mergeCell ref="D285:E285"/>
    <mergeCell ref="D286:E286"/>
    <mergeCell ref="D287:E287"/>
    <mergeCell ref="D288:E288"/>
    <mergeCell ref="D289:E289"/>
    <mergeCell ref="D280:E280"/>
    <mergeCell ref="D281:E281"/>
    <mergeCell ref="D282:E282"/>
    <mergeCell ref="D283:E283"/>
    <mergeCell ref="D284:E284"/>
    <mergeCell ref="D295:E295"/>
    <mergeCell ref="D296:E296"/>
    <mergeCell ref="D297:E297"/>
    <mergeCell ref="D298:E298"/>
    <mergeCell ref="D299:E299"/>
    <mergeCell ref="D290:E290"/>
    <mergeCell ref="D291:E291"/>
    <mergeCell ref="D292:E292"/>
    <mergeCell ref="D293:E293"/>
    <mergeCell ref="D294:E294"/>
    <mergeCell ref="D305:E305"/>
    <mergeCell ref="D306:E306"/>
    <mergeCell ref="D307:E307"/>
    <mergeCell ref="D308:E308"/>
    <mergeCell ref="D309:E309"/>
    <mergeCell ref="D300:E300"/>
    <mergeCell ref="D301:E301"/>
    <mergeCell ref="D302:E302"/>
    <mergeCell ref="D303:E303"/>
    <mergeCell ref="D304:E304"/>
    <mergeCell ref="D315:E315"/>
    <mergeCell ref="D316:E316"/>
    <mergeCell ref="D317:E317"/>
    <mergeCell ref="D318:E318"/>
    <mergeCell ref="D319:E319"/>
    <mergeCell ref="D310:E310"/>
    <mergeCell ref="D311:E311"/>
    <mergeCell ref="D312:E312"/>
    <mergeCell ref="D313:E313"/>
    <mergeCell ref="D314:E314"/>
    <mergeCell ref="D325:E325"/>
    <mergeCell ref="D326:E326"/>
    <mergeCell ref="D327:E327"/>
    <mergeCell ref="D328:E328"/>
    <mergeCell ref="D329:E329"/>
    <mergeCell ref="D320:E320"/>
    <mergeCell ref="D321:E321"/>
    <mergeCell ref="D322:E322"/>
    <mergeCell ref="D323:E323"/>
    <mergeCell ref="D324:E324"/>
    <mergeCell ref="D335:E335"/>
    <mergeCell ref="D336:E336"/>
    <mergeCell ref="D337:E337"/>
    <mergeCell ref="D338:E338"/>
    <mergeCell ref="D339:E339"/>
    <mergeCell ref="D330:E330"/>
    <mergeCell ref="D331:E331"/>
    <mergeCell ref="D332:E332"/>
    <mergeCell ref="D333:E333"/>
    <mergeCell ref="D334:E334"/>
    <mergeCell ref="D345:E345"/>
    <mergeCell ref="D346:E346"/>
    <mergeCell ref="D347:E347"/>
    <mergeCell ref="D348:E348"/>
    <mergeCell ref="D349:E349"/>
    <mergeCell ref="D340:E340"/>
    <mergeCell ref="D341:E341"/>
    <mergeCell ref="D342:E342"/>
    <mergeCell ref="D343:E343"/>
    <mergeCell ref="D344:E344"/>
    <mergeCell ref="D355:E355"/>
    <mergeCell ref="D356:E356"/>
    <mergeCell ref="D357:E357"/>
    <mergeCell ref="D358:E358"/>
    <mergeCell ref="D359:E359"/>
    <mergeCell ref="D350:E350"/>
    <mergeCell ref="D351:E351"/>
    <mergeCell ref="D352:E352"/>
    <mergeCell ref="D353:E353"/>
    <mergeCell ref="D354:E354"/>
    <mergeCell ref="D365:E365"/>
    <mergeCell ref="D366:E366"/>
    <mergeCell ref="D367:E367"/>
    <mergeCell ref="D368:E368"/>
    <mergeCell ref="D369:E369"/>
    <mergeCell ref="D360:E360"/>
    <mergeCell ref="D361:E361"/>
    <mergeCell ref="D362:E362"/>
    <mergeCell ref="D363:E363"/>
    <mergeCell ref="D364:E364"/>
    <mergeCell ref="D375:E375"/>
    <mergeCell ref="D376:E376"/>
    <mergeCell ref="D377:E377"/>
    <mergeCell ref="D378:E378"/>
    <mergeCell ref="D379:E379"/>
    <mergeCell ref="D370:E370"/>
    <mergeCell ref="D371:E371"/>
    <mergeCell ref="D372:E372"/>
    <mergeCell ref="D373:E373"/>
    <mergeCell ref="D374:E374"/>
    <mergeCell ref="D385:E385"/>
    <mergeCell ref="D386:E386"/>
    <mergeCell ref="D387:E387"/>
    <mergeCell ref="D388:E388"/>
    <mergeCell ref="D389:E389"/>
    <mergeCell ref="D380:E380"/>
    <mergeCell ref="D381:E381"/>
    <mergeCell ref="D382:E382"/>
    <mergeCell ref="D383:E383"/>
    <mergeCell ref="D384:E384"/>
    <mergeCell ref="D395:E395"/>
    <mergeCell ref="D396:E396"/>
    <mergeCell ref="D397:E397"/>
    <mergeCell ref="D398:E398"/>
    <mergeCell ref="D399:E399"/>
    <mergeCell ref="D390:E390"/>
    <mergeCell ref="D391:E391"/>
    <mergeCell ref="D392:E392"/>
    <mergeCell ref="D393:E393"/>
    <mergeCell ref="D394:E394"/>
    <mergeCell ref="D405:E405"/>
    <mergeCell ref="D406:E406"/>
    <mergeCell ref="D407:E407"/>
    <mergeCell ref="D408:E408"/>
    <mergeCell ref="D409:E409"/>
    <mergeCell ref="D400:E400"/>
    <mergeCell ref="D401:E401"/>
    <mergeCell ref="D402:E402"/>
    <mergeCell ref="D403:E403"/>
    <mergeCell ref="D404:E404"/>
    <mergeCell ref="D415:E415"/>
    <mergeCell ref="D416:E416"/>
    <mergeCell ref="D417:E417"/>
    <mergeCell ref="D418:E418"/>
    <mergeCell ref="D419:E419"/>
    <mergeCell ref="D410:E410"/>
    <mergeCell ref="D411:E411"/>
    <mergeCell ref="D412:E412"/>
    <mergeCell ref="D413:E413"/>
    <mergeCell ref="D414:E414"/>
    <mergeCell ref="D425:E425"/>
    <mergeCell ref="D426:E426"/>
    <mergeCell ref="D427:E427"/>
    <mergeCell ref="D428:E428"/>
    <mergeCell ref="D429:E429"/>
    <mergeCell ref="D420:E420"/>
    <mergeCell ref="D421:E421"/>
    <mergeCell ref="D422:E422"/>
    <mergeCell ref="D423:E423"/>
    <mergeCell ref="D424:E424"/>
    <mergeCell ref="D435:E435"/>
    <mergeCell ref="D436:E436"/>
    <mergeCell ref="D437:E437"/>
    <mergeCell ref="D438:E438"/>
    <mergeCell ref="D439:E439"/>
    <mergeCell ref="D430:E430"/>
    <mergeCell ref="D431:E431"/>
    <mergeCell ref="D432:E432"/>
    <mergeCell ref="D433:E433"/>
    <mergeCell ref="D434:E434"/>
    <mergeCell ref="D445:E445"/>
    <mergeCell ref="D446:E446"/>
    <mergeCell ref="D447:E447"/>
    <mergeCell ref="D448:E448"/>
    <mergeCell ref="D449:E449"/>
    <mergeCell ref="D440:E440"/>
    <mergeCell ref="D441:E441"/>
    <mergeCell ref="D442:E442"/>
    <mergeCell ref="D443:E443"/>
    <mergeCell ref="D444:E444"/>
    <mergeCell ref="D455:E455"/>
    <mergeCell ref="D456:E456"/>
    <mergeCell ref="D457:E457"/>
    <mergeCell ref="D458:E458"/>
    <mergeCell ref="D459:E459"/>
    <mergeCell ref="D450:E450"/>
    <mergeCell ref="D451:E451"/>
    <mergeCell ref="D452:E452"/>
    <mergeCell ref="D453:E453"/>
    <mergeCell ref="D454:E454"/>
    <mergeCell ref="D465:E465"/>
    <mergeCell ref="D466:E466"/>
    <mergeCell ref="D467:E467"/>
    <mergeCell ref="D468:E468"/>
    <mergeCell ref="D469:E469"/>
    <mergeCell ref="D460:E460"/>
    <mergeCell ref="D461:E461"/>
    <mergeCell ref="D462:E462"/>
    <mergeCell ref="D463:E463"/>
    <mergeCell ref="D464:E464"/>
    <mergeCell ref="D475:E475"/>
    <mergeCell ref="D476:E476"/>
    <mergeCell ref="D477:E477"/>
    <mergeCell ref="D478:E478"/>
    <mergeCell ref="D479:E479"/>
    <mergeCell ref="D470:E470"/>
    <mergeCell ref="D471:E471"/>
    <mergeCell ref="D472:E472"/>
    <mergeCell ref="D473:E473"/>
    <mergeCell ref="D474:E474"/>
    <mergeCell ref="D485:E485"/>
    <mergeCell ref="D486:E486"/>
    <mergeCell ref="D487:E487"/>
    <mergeCell ref="D488:E488"/>
    <mergeCell ref="D489:E489"/>
    <mergeCell ref="D480:E480"/>
    <mergeCell ref="D481:E481"/>
    <mergeCell ref="D482:E482"/>
    <mergeCell ref="D483:E483"/>
    <mergeCell ref="D484:E484"/>
    <mergeCell ref="D495:E495"/>
    <mergeCell ref="D496:E496"/>
    <mergeCell ref="D497:E497"/>
    <mergeCell ref="D498:E498"/>
    <mergeCell ref="D499:E499"/>
    <mergeCell ref="D490:E490"/>
    <mergeCell ref="D491:E491"/>
    <mergeCell ref="D492:E492"/>
    <mergeCell ref="D493:E493"/>
    <mergeCell ref="D494:E494"/>
    <mergeCell ref="D505:E505"/>
    <mergeCell ref="D506:E506"/>
    <mergeCell ref="D507:E507"/>
    <mergeCell ref="D508:E508"/>
    <mergeCell ref="D509:E509"/>
    <mergeCell ref="D500:E500"/>
    <mergeCell ref="D501:E501"/>
    <mergeCell ref="D502:E502"/>
    <mergeCell ref="D503:E503"/>
    <mergeCell ref="D504:E504"/>
    <mergeCell ref="D515:E515"/>
    <mergeCell ref="D516:E516"/>
    <mergeCell ref="D517:E517"/>
    <mergeCell ref="D518:E518"/>
    <mergeCell ref="D519:E519"/>
    <mergeCell ref="D510:E510"/>
    <mergeCell ref="D511:E511"/>
    <mergeCell ref="D512:E512"/>
    <mergeCell ref="D513:E513"/>
    <mergeCell ref="D514:E514"/>
    <mergeCell ref="D525:E525"/>
    <mergeCell ref="D526:E526"/>
    <mergeCell ref="D527:E527"/>
    <mergeCell ref="D528:E528"/>
    <mergeCell ref="D529:E529"/>
    <mergeCell ref="D520:E520"/>
    <mergeCell ref="D521:E521"/>
    <mergeCell ref="D522:E522"/>
    <mergeCell ref="D523:E523"/>
    <mergeCell ref="D524:E524"/>
    <mergeCell ref="D535:E535"/>
    <mergeCell ref="D536:E536"/>
    <mergeCell ref="D537:E537"/>
    <mergeCell ref="D538:E538"/>
    <mergeCell ref="D539:E539"/>
    <mergeCell ref="D530:E530"/>
    <mergeCell ref="D531:E531"/>
    <mergeCell ref="D532:E532"/>
    <mergeCell ref="D533:E533"/>
    <mergeCell ref="D534:E534"/>
    <mergeCell ref="D545:E545"/>
    <mergeCell ref="D546:E546"/>
    <mergeCell ref="D547:E547"/>
    <mergeCell ref="D548:E548"/>
    <mergeCell ref="D549:E549"/>
    <mergeCell ref="D540:E540"/>
    <mergeCell ref="D541:E541"/>
    <mergeCell ref="D542:E542"/>
    <mergeCell ref="D543:E543"/>
    <mergeCell ref="D544:E544"/>
    <mergeCell ref="D555:E555"/>
    <mergeCell ref="D556:E556"/>
    <mergeCell ref="D557:E557"/>
    <mergeCell ref="D558:E558"/>
    <mergeCell ref="D559:E559"/>
    <mergeCell ref="D550:E550"/>
    <mergeCell ref="D551:E551"/>
    <mergeCell ref="D552:E552"/>
    <mergeCell ref="D553:E553"/>
    <mergeCell ref="D554:E554"/>
    <mergeCell ref="D565:E565"/>
    <mergeCell ref="D566:E566"/>
    <mergeCell ref="D567:E567"/>
    <mergeCell ref="D568:E568"/>
    <mergeCell ref="D569:E569"/>
    <mergeCell ref="D560:E560"/>
    <mergeCell ref="D561:E561"/>
    <mergeCell ref="D562:E562"/>
    <mergeCell ref="D563:E563"/>
    <mergeCell ref="D564:E564"/>
    <mergeCell ref="D575:E575"/>
    <mergeCell ref="D576:E576"/>
    <mergeCell ref="D577:E577"/>
    <mergeCell ref="D578:E578"/>
    <mergeCell ref="D579:E579"/>
    <mergeCell ref="D570:E570"/>
    <mergeCell ref="D571:E571"/>
    <mergeCell ref="D572:E572"/>
    <mergeCell ref="D573:E573"/>
    <mergeCell ref="D574:E574"/>
    <mergeCell ref="D585:E585"/>
    <mergeCell ref="D586:E586"/>
    <mergeCell ref="D587:E587"/>
    <mergeCell ref="D588:E588"/>
    <mergeCell ref="D589:E589"/>
    <mergeCell ref="D580:E580"/>
    <mergeCell ref="D581:E581"/>
    <mergeCell ref="D582:E582"/>
    <mergeCell ref="D583:E583"/>
    <mergeCell ref="D584:E584"/>
    <mergeCell ref="D595:E595"/>
    <mergeCell ref="D596:E596"/>
    <mergeCell ref="D597:E597"/>
    <mergeCell ref="D598:E598"/>
    <mergeCell ref="D599:E599"/>
    <mergeCell ref="D590:E590"/>
    <mergeCell ref="D591:E591"/>
    <mergeCell ref="D592:E592"/>
    <mergeCell ref="D593:E593"/>
    <mergeCell ref="D594:E594"/>
    <mergeCell ref="D605:E605"/>
    <mergeCell ref="D606:E606"/>
    <mergeCell ref="D607:E607"/>
    <mergeCell ref="D608:E608"/>
    <mergeCell ref="D609:E609"/>
    <mergeCell ref="D600:E600"/>
    <mergeCell ref="D601:E601"/>
    <mergeCell ref="D602:E602"/>
    <mergeCell ref="D603:E603"/>
    <mergeCell ref="D604:E604"/>
    <mergeCell ref="D615:E615"/>
    <mergeCell ref="D616:E616"/>
    <mergeCell ref="D617:E617"/>
    <mergeCell ref="D618:E618"/>
    <mergeCell ref="D619:E619"/>
    <mergeCell ref="D610:E610"/>
    <mergeCell ref="D611:E611"/>
    <mergeCell ref="D612:E612"/>
    <mergeCell ref="D613:E613"/>
    <mergeCell ref="D614:E614"/>
    <mergeCell ref="D625:E625"/>
    <mergeCell ref="D626:E626"/>
    <mergeCell ref="D627:E627"/>
    <mergeCell ref="D628:E628"/>
    <mergeCell ref="D629:E629"/>
    <mergeCell ref="D620:E620"/>
    <mergeCell ref="D621:E621"/>
    <mergeCell ref="D622:E622"/>
    <mergeCell ref="D623:E623"/>
    <mergeCell ref="D624:E624"/>
    <mergeCell ref="D635:E635"/>
    <mergeCell ref="D636:E636"/>
    <mergeCell ref="D637:E637"/>
    <mergeCell ref="D638:E638"/>
    <mergeCell ref="D639:E639"/>
    <mergeCell ref="D630:E630"/>
    <mergeCell ref="D631:E631"/>
    <mergeCell ref="D632:E632"/>
    <mergeCell ref="D633:E633"/>
    <mergeCell ref="D634:E634"/>
    <mergeCell ref="D645:E645"/>
    <mergeCell ref="D646:E646"/>
    <mergeCell ref="D647:E647"/>
    <mergeCell ref="D648:E648"/>
    <mergeCell ref="D649:E649"/>
    <mergeCell ref="D640:E640"/>
    <mergeCell ref="D641:E641"/>
    <mergeCell ref="D642:E642"/>
    <mergeCell ref="D643:E643"/>
    <mergeCell ref="D644:E644"/>
    <mergeCell ref="D655:E655"/>
    <mergeCell ref="D656:E656"/>
    <mergeCell ref="D657:E657"/>
    <mergeCell ref="D658:E658"/>
    <mergeCell ref="D659:E659"/>
    <mergeCell ref="D650:E650"/>
    <mergeCell ref="D651:E651"/>
    <mergeCell ref="D652:E652"/>
    <mergeCell ref="D653:E653"/>
    <mergeCell ref="D654:E654"/>
    <mergeCell ref="D665:E665"/>
    <mergeCell ref="D666:E666"/>
    <mergeCell ref="D667:E667"/>
    <mergeCell ref="D668:E668"/>
    <mergeCell ref="D669:E669"/>
    <mergeCell ref="D660:E660"/>
    <mergeCell ref="D661:E661"/>
    <mergeCell ref="D662:E662"/>
    <mergeCell ref="D663:E663"/>
    <mergeCell ref="D664:E664"/>
    <mergeCell ref="D675:E675"/>
    <mergeCell ref="D676:E676"/>
    <mergeCell ref="D677:E677"/>
    <mergeCell ref="D678:E678"/>
    <mergeCell ref="D679:E679"/>
    <mergeCell ref="D670:E670"/>
    <mergeCell ref="D671:E671"/>
    <mergeCell ref="D672:E672"/>
    <mergeCell ref="D673:E673"/>
    <mergeCell ref="D674:E674"/>
    <mergeCell ref="D685:E685"/>
    <mergeCell ref="D686:E686"/>
    <mergeCell ref="D687:E687"/>
    <mergeCell ref="D688:E688"/>
    <mergeCell ref="D689:E689"/>
    <mergeCell ref="D680:E680"/>
    <mergeCell ref="D681:E681"/>
    <mergeCell ref="D682:E682"/>
    <mergeCell ref="D683:E683"/>
    <mergeCell ref="D684:E684"/>
    <mergeCell ref="D695:E695"/>
    <mergeCell ref="D696:E696"/>
    <mergeCell ref="D697:E697"/>
    <mergeCell ref="D698:E698"/>
    <mergeCell ref="D699:E699"/>
    <mergeCell ref="D690:E690"/>
    <mergeCell ref="D691:E691"/>
    <mergeCell ref="D692:E692"/>
    <mergeCell ref="D693:E693"/>
    <mergeCell ref="D694:E694"/>
    <mergeCell ref="D705:E705"/>
    <mergeCell ref="D706:E706"/>
    <mergeCell ref="D707:E707"/>
    <mergeCell ref="D708:E708"/>
    <mergeCell ref="D709:E709"/>
    <mergeCell ref="D700:E700"/>
    <mergeCell ref="D701:E701"/>
    <mergeCell ref="D702:E702"/>
    <mergeCell ref="D703:E703"/>
    <mergeCell ref="D704:E704"/>
    <mergeCell ref="D715:E715"/>
    <mergeCell ref="D716:E716"/>
    <mergeCell ref="D717:E717"/>
    <mergeCell ref="D718:E718"/>
    <mergeCell ref="D719:E719"/>
    <mergeCell ref="D710:E710"/>
    <mergeCell ref="D711:E711"/>
    <mergeCell ref="D712:E712"/>
    <mergeCell ref="D713:E713"/>
    <mergeCell ref="D714:E714"/>
    <mergeCell ref="D725:E725"/>
    <mergeCell ref="D726:E726"/>
    <mergeCell ref="D727:E727"/>
    <mergeCell ref="D728:E728"/>
    <mergeCell ref="D729:E729"/>
    <mergeCell ref="D720:E720"/>
    <mergeCell ref="D721:E721"/>
    <mergeCell ref="D722:E722"/>
    <mergeCell ref="D723:E723"/>
    <mergeCell ref="D724:E724"/>
    <mergeCell ref="D735:E735"/>
    <mergeCell ref="D736:E736"/>
    <mergeCell ref="D737:E737"/>
    <mergeCell ref="D738:E738"/>
    <mergeCell ref="D739:E739"/>
    <mergeCell ref="D730:E730"/>
    <mergeCell ref="D731:E731"/>
    <mergeCell ref="D732:E732"/>
    <mergeCell ref="D733:E733"/>
    <mergeCell ref="D734:E734"/>
    <mergeCell ref="D745:E745"/>
    <mergeCell ref="D746:E746"/>
    <mergeCell ref="D747:E747"/>
    <mergeCell ref="D748:E748"/>
    <mergeCell ref="D749:E749"/>
    <mergeCell ref="D740:E740"/>
    <mergeCell ref="D741:E741"/>
    <mergeCell ref="D742:E742"/>
    <mergeCell ref="D743:E743"/>
    <mergeCell ref="D744:E744"/>
    <mergeCell ref="D755:E755"/>
    <mergeCell ref="D756:E756"/>
    <mergeCell ref="D757:E757"/>
    <mergeCell ref="D758:E758"/>
    <mergeCell ref="D759:E759"/>
    <mergeCell ref="D750:E750"/>
    <mergeCell ref="D751:E751"/>
    <mergeCell ref="D752:E752"/>
    <mergeCell ref="D753:E753"/>
    <mergeCell ref="D754:E754"/>
    <mergeCell ref="D765:E765"/>
    <mergeCell ref="D766:E766"/>
    <mergeCell ref="D767:E767"/>
    <mergeCell ref="D768:E768"/>
    <mergeCell ref="D769:E769"/>
    <mergeCell ref="D760:E760"/>
    <mergeCell ref="D761:E761"/>
    <mergeCell ref="D762:E762"/>
    <mergeCell ref="D763:E763"/>
    <mergeCell ref="D764:E764"/>
    <mergeCell ref="D775:E775"/>
    <mergeCell ref="D776:E776"/>
    <mergeCell ref="D777:E777"/>
    <mergeCell ref="D778:E778"/>
    <mergeCell ref="D779:E779"/>
    <mergeCell ref="D770:E770"/>
    <mergeCell ref="D771:E771"/>
    <mergeCell ref="D772:E772"/>
    <mergeCell ref="D773:E773"/>
    <mergeCell ref="D774:E774"/>
    <mergeCell ref="D785:E785"/>
    <mergeCell ref="D786:E786"/>
    <mergeCell ref="D787:E787"/>
    <mergeCell ref="D788:E788"/>
    <mergeCell ref="D789:E789"/>
    <mergeCell ref="D780:E780"/>
    <mergeCell ref="D781:E781"/>
    <mergeCell ref="D782:E782"/>
    <mergeCell ref="D783:E783"/>
    <mergeCell ref="D784:E784"/>
    <mergeCell ref="D795:E795"/>
    <mergeCell ref="D796:E796"/>
    <mergeCell ref="D797:E797"/>
    <mergeCell ref="D798:E798"/>
    <mergeCell ref="D799:E799"/>
    <mergeCell ref="D790:E790"/>
    <mergeCell ref="D791:E791"/>
    <mergeCell ref="D792:E792"/>
    <mergeCell ref="D793:E793"/>
    <mergeCell ref="D794:E794"/>
    <mergeCell ref="D805:E805"/>
    <mergeCell ref="D806:E806"/>
    <mergeCell ref="D807:E807"/>
    <mergeCell ref="D808:E808"/>
    <mergeCell ref="D809:E809"/>
    <mergeCell ref="D800:E800"/>
    <mergeCell ref="D801:E801"/>
    <mergeCell ref="D802:E802"/>
    <mergeCell ref="D803:E803"/>
    <mergeCell ref="D804:E804"/>
    <mergeCell ref="D815:E815"/>
    <mergeCell ref="D816:E816"/>
    <mergeCell ref="D817:E817"/>
    <mergeCell ref="D818:E818"/>
    <mergeCell ref="D819:E819"/>
    <mergeCell ref="D810:E810"/>
    <mergeCell ref="D811:E811"/>
    <mergeCell ref="D812:E812"/>
    <mergeCell ref="D813:E813"/>
    <mergeCell ref="D814:E814"/>
    <mergeCell ref="D825:E825"/>
    <mergeCell ref="D826:E826"/>
    <mergeCell ref="D827:E827"/>
    <mergeCell ref="D828:E828"/>
    <mergeCell ref="D829:E829"/>
    <mergeCell ref="D820:E820"/>
    <mergeCell ref="D821:E821"/>
    <mergeCell ref="D822:E822"/>
    <mergeCell ref="D823:E823"/>
    <mergeCell ref="D824:E824"/>
    <mergeCell ref="D835:E835"/>
    <mergeCell ref="D836:E836"/>
    <mergeCell ref="D837:E837"/>
    <mergeCell ref="D838:E838"/>
    <mergeCell ref="D839:E839"/>
    <mergeCell ref="D830:E830"/>
    <mergeCell ref="D831:E831"/>
    <mergeCell ref="D832:E832"/>
    <mergeCell ref="D833:E833"/>
    <mergeCell ref="D834:E834"/>
    <mergeCell ref="D845:E845"/>
    <mergeCell ref="D846:E846"/>
    <mergeCell ref="D847:E847"/>
    <mergeCell ref="D848:E848"/>
    <mergeCell ref="D849:E849"/>
    <mergeCell ref="D840:E840"/>
    <mergeCell ref="D841:E841"/>
    <mergeCell ref="D842:E842"/>
    <mergeCell ref="D843:E843"/>
    <mergeCell ref="D844:E844"/>
    <mergeCell ref="D855:E855"/>
    <mergeCell ref="D856:E856"/>
    <mergeCell ref="D857:E857"/>
    <mergeCell ref="D858:E858"/>
    <mergeCell ref="D859:E859"/>
    <mergeCell ref="D850:E850"/>
    <mergeCell ref="D851:E851"/>
    <mergeCell ref="D852:E852"/>
    <mergeCell ref="D853:E853"/>
    <mergeCell ref="D854:E854"/>
    <mergeCell ref="D865:E865"/>
    <mergeCell ref="D866:E866"/>
    <mergeCell ref="D867:E867"/>
    <mergeCell ref="D868:E868"/>
    <mergeCell ref="D869:E869"/>
    <mergeCell ref="D860:E860"/>
    <mergeCell ref="D861:E861"/>
    <mergeCell ref="D862:E862"/>
    <mergeCell ref="D863:E863"/>
    <mergeCell ref="D864:E864"/>
    <mergeCell ref="D875:E875"/>
    <mergeCell ref="D876:E876"/>
    <mergeCell ref="D877:E877"/>
    <mergeCell ref="D878:E878"/>
    <mergeCell ref="D879:E879"/>
    <mergeCell ref="D870:E870"/>
    <mergeCell ref="D871:E871"/>
    <mergeCell ref="D872:E872"/>
    <mergeCell ref="D873:E873"/>
    <mergeCell ref="D874:E874"/>
    <mergeCell ref="D885:E885"/>
    <mergeCell ref="D886:E886"/>
    <mergeCell ref="D887:E887"/>
    <mergeCell ref="D888:E888"/>
    <mergeCell ref="D889:E889"/>
    <mergeCell ref="D880:E880"/>
    <mergeCell ref="D881:E881"/>
    <mergeCell ref="D882:E882"/>
    <mergeCell ref="D883:E883"/>
    <mergeCell ref="D884:E884"/>
    <mergeCell ref="D895:E895"/>
    <mergeCell ref="D896:E896"/>
    <mergeCell ref="D897:E897"/>
    <mergeCell ref="D898:E898"/>
    <mergeCell ref="D899:E899"/>
    <mergeCell ref="D890:E890"/>
    <mergeCell ref="D891:E891"/>
    <mergeCell ref="D892:E892"/>
    <mergeCell ref="D893:E893"/>
    <mergeCell ref="D894:E894"/>
    <mergeCell ref="D905:E905"/>
    <mergeCell ref="D906:E906"/>
    <mergeCell ref="D907:E907"/>
    <mergeCell ref="D908:E908"/>
    <mergeCell ref="D909:E909"/>
    <mergeCell ref="D900:E900"/>
    <mergeCell ref="D901:E901"/>
    <mergeCell ref="D902:E902"/>
    <mergeCell ref="D903:E903"/>
    <mergeCell ref="D904:E904"/>
    <mergeCell ref="D915:E915"/>
    <mergeCell ref="D916:E916"/>
    <mergeCell ref="D917:E917"/>
    <mergeCell ref="D918:E918"/>
    <mergeCell ref="D919:E919"/>
    <mergeCell ref="D910:E910"/>
    <mergeCell ref="D911:E911"/>
    <mergeCell ref="D912:E912"/>
    <mergeCell ref="D913:E913"/>
    <mergeCell ref="D914:E914"/>
    <mergeCell ref="D925:E925"/>
    <mergeCell ref="D926:E926"/>
    <mergeCell ref="D927:E927"/>
    <mergeCell ref="D928:E928"/>
    <mergeCell ref="D929:E929"/>
    <mergeCell ref="D920:E920"/>
    <mergeCell ref="D921:E921"/>
    <mergeCell ref="D922:E922"/>
    <mergeCell ref="D923:E923"/>
    <mergeCell ref="D924:E924"/>
    <mergeCell ref="D935:E935"/>
    <mergeCell ref="D936:E936"/>
    <mergeCell ref="D937:E937"/>
    <mergeCell ref="D938:E938"/>
    <mergeCell ref="D939:E939"/>
    <mergeCell ref="D930:E930"/>
    <mergeCell ref="D931:E931"/>
    <mergeCell ref="D932:E932"/>
    <mergeCell ref="D933:E933"/>
    <mergeCell ref="D934:E934"/>
    <mergeCell ref="D945:E945"/>
    <mergeCell ref="D946:E946"/>
    <mergeCell ref="D947:E947"/>
    <mergeCell ref="D948:E948"/>
    <mergeCell ref="D949:E949"/>
    <mergeCell ref="D940:E940"/>
    <mergeCell ref="D941:E941"/>
    <mergeCell ref="D942:E942"/>
    <mergeCell ref="D943:E943"/>
    <mergeCell ref="D944:E944"/>
    <mergeCell ref="D955:E955"/>
    <mergeCell ref="D956:E956"/>
    <mergeCell ref="D957:E957"/>
    <mergeCell ref="D958:E958"/>
    <mergeCell ref="D959:E959"/>
    <mergeCell ref="D950:E950"/>
    <mergeCell ref="D951:E951"/>
    <mergeCell ref="D952:E952"/>
    <mergeCell ref="D953:E953"/>
    <mergeCell ref="D954:E954"/>
    <mergeCell ref="D965:E965"/>
    <mergeCell ref="D966:E966"/>
    <mergeCell ref="D967:E967"/>
    <mergeCell ref="D968:E968"/>
    <mergeCell ref="D969:E969"/>
    <mergeCell ref="D960:E960"/>
    <mergeCell ref="D961:E961"/>
    <mergeCell ref="D962:E962"/>
    <mergeCell ref="D963:E963"/>
    <mergeCell ref="D964:E964"/>
    <mergeCell ref="D975:E975"/>
    <mergeCell ref="D976:E976"/>
    <mergeCell ref="D977:E977"/>
    <mergeCell ref="D978:E978"/>
    <mergeCell ref="D979:E979"/>
    <mergeCell ref="D970:E970"/>
    <mergeCell ref="D971:E971"/>
    <mergeCell ref="D972:E972"/>
    <mergeCell ref="D973:E973"/>
    <mergeCell ref="D974:E974"/>
    <mergeCell ref="D985:E985"/>
    <mergeCell ref="D986:E986"/>
    <mergeCell ref="D987:E987"/>
    <mergeCell ref="D988:E988"/>
    <mergeCell ref="D989:E989"/>
    <mergeCell ref="D980:E980"/>
    <mergeCell ref="D981:E981"/>
    <mergeCell ref="D982:E982"/>
    <mergeCell ref="D983:E983"/>
    <mergeCell ref="D984:E984"/>
    <mergeCell ref="D1000:E1000"/>
    <mergeCell ref="D1001:E1001"/>
    <mergeCell ref="D995:E995"/>
    <mergeCell ref="D996:E996"/>
    <mergeCell ref="D997:E997"/>
    <mergeCell ref="D998:E998"/>
    <mergeCell ref="D999:E999"/>
    <mergeCell ref="D990:E990"/>
    <mergeCell ref="D991:E991"/>
    <mergeCell ref="D992:E992"/>
    <mergeCell ref="D993:E993"/>
    <mergeCell ref="D994:E994"/>
  </mergeCells>
  <conditionalFormatting sqref="H13:H24">
    <cfRule type="expression" dxfId="250" priority="495">
      <formula>$C12&lt;&gt;""</formula>
    </cfRule>
  </conditionalFormatting>
  <conditionalFormatting sqref="H13:H200">
    <cfRule type="expression" dxfId="249" priority="9">
      <formula>$C12&lt;&gt;""</formula>
    </cfRule>
    <cfRule type="expression" dxfId="248" priority="11">
      <formula>$C12&lt;&gt;""</formula>
    </cfRule>
    <cfRule type="expression" dxfId="247" priority="13">
      <formula>$C12&lt;&gt;""</formula>
    </cfRule>
    <cfRule type="expression" dxfId="246" priority="15">
      <formula>$C12&lt;&gt;""</formula>
    </cfRule>
    <cfRule type="expression" dxfId="245" priority="17">
      <formula>$C12&lt;&gt;""</formula>
    </cfRule>
    <cfRule type="expression" dxfId="244" priority="19">
      <formula>$C12&lt;&gt;""</formula>
    </cfRule>
    <cfRule type="expression" dxfId="243" priority="21">
      <formula>$C12&lt;&gt;""</formula>
    </cfRule>
    <cfRule type="expression" dxfId="242" priority="23">
      <formula>$C12&lt;&gt;""</formula>
    </cfRule>
    <cfRule type="expression" dxfId="241" priority="25">
      <formula>$C12&lt;&gt;""</formula>
    </cfRule>
    <cfRule type="expression" dxfId="240" priority="27">
      <formula>$C12&lt;&gt;""</formula>
    </cfRule>
    <cfRule type="expression" dxfId="239" priority="29">
      <formula>$C12&lt;&gt;""</formula>
    </cfRule>
    <cfRule type="expression" dxfId="238" priority="31">
      <formula>$C12&lt;&gt;""</formula>
    </cfRule>
    <cfRule type="expression" dxfId="237" priority="33">
      <formula>$C12&lt;&gt;""</formula>
    </cfRule>
    <cfRule type="expression" dxfId="236" priority="35">
      <formula>$C12&lt;&gt;""</formula>
    </cfRule>
    <cfRule type="expression" dxfId="235" priority="37">
      <formula>$C12&lt;&gt;""</formula>
    </cfRule>
    <cfRule type="expression" dxfId="234" priority="39">
      <formula>$C12&lt;&gt;""</formula>
    </cfRule>
    <cfRule type="expression" dxfId="233" priority="41">
      <formula>$C12&lt;&gt;""</formula>
    </cfRule>
    <cfRule type="expression" dxfId="232" priority="43">
      <formula>$C12&lt;&gt;""</formula>
    </cfRule>
    <cfRule type="expression" dxfId="231" priority="45">
      <formula>$C12&lt;&gt;""</formula>
    </cfRule>
    <cfRule type="expression" dxfId="230" priority="47">
      <formula>$C12&lt;&gt;""</formula>
    </cfRule>
    <cfRule type="expression" dxfId="229" priority="49">
      <formula>$C12&lt;&gt;""</formula>
    </cfRule>
    <cfRule type="expression" dxfId="228" priority="51">
      <formula>$C12&lt;&gt;""</formula>
    </cfRule>
    <cfRule type="expression" dxfId="227" priority="53">
      <formula>$C12&lt;&gt;""</formula>
    </cfRule>
    <cfRule type="expression" dxfId="226" priority="55">
      <formula>$C12&lt;&gt;""</formula>
    </cfRule>
    <cfRule type="expression" dxfId="225" priority="57">
      <formula>$C12&lt;&gt;""</formula>
    </cfRule>
    <cfRule type="expression" dxfId="224" priority="59">
      <formula>$C12&lt;&gt;""</formula>
    </cfRule>
    <cfRule type="expression" dxfId="223" priority="61">
      <formula>$C12&lt;&gt;""</formula>
    </cfRule>
    <cfRule type="expression" dxfId="222" priority="63">
      <formula>$C12&lt;&gt;""</formula>
    </cfRule>
    <cfRule type="expression" dxfId="221" priority="65">
      <formula>$C12&lt;&gt;""</formula>
    </cfRule>
    <cfRule type="expression" dxfId="220" priority="67">
      <formula>$C12&lt;&gt;""</formula>
    </cfRule>
    <cfRule type="expression" dxfId="219" priority="69">
      <formula>$C12&lt;&gt;""</formula>
    </cfRule>
    <cfRule type="expression" dxfId="218" priority="71">
      <formula>$C12&lt;&gt;""</formula>
    </cfRule>
    <cfRule type="expression" dxfId="217" priority="73">
      <formula>$C12&lt;&gt;""</formula>
    </cfRule>
    <cfRule type="expression" dxfId="216" priority="75">
      <formula>$C12&lt;&gt;""</formula>
    </cfRule>
    <cfRule type="expression" dxfId="215" priority="77">
      <formula>$C12&lt;&gt;""</formula>
    </cfRule>
    <cfRule type="expression" dxfId="214" priority="79">
      <formula>$C12&lt;&gt;""</formula>
    </cfRule>
    <cfRule type="expression" dxfId="213" priority="81">
      <formula>$C12&lt;&gt;""</formula>
    </cfRule>
    <cfRule type="expression" dxfId="212" priority="83">
      <formula>$C12&lt;&gt;""</formula>
    </cfRule>
    <cfRule type="expression" dxfId="211" priority="85">
      <formula>$C12&lt;&gt;""</formula>
    </cfRule>
    <cfRule type="expression" dxfId="210" priority="87">
      <formula>$C12&lt;&gt;""</formula>
    </cfRule>
    <cfRule type="expression" dxfId="209" priority="89">
      <formula>$C12&lt;&gt;""</formula>
    </cfRule>
    <cfRule type="expression" dxfId="208" priority="91">
      <formula>$C12&lt;&gt;""</formula>
    </cfRule>
    <cfRule type="expression" dxfId="207" priority="93">
      <formula>$C12&lt;&gt;""</formula>
    </cfRule>
    <cfRule type="expression" dxfId="206" priority="95">
      <formula>$C12&lt;&gt;""</formula>
    </cfRule>
    <cfRule type="expression" dxfId="205" priority="97">
      <formula>$C12&lt;&gt;""</formula>
    </cfRule>
    <cfRule type="expression" dxfId="204" priority="99">
      <formula>$C12&lt;&gt;""</formula>
    </cfRule>
    <cfRule type="expression" dxfId="203" priority="101">
      <formula>$C12&lt;&gt;""</formula>
    </cfRule>
    <cfRule type="expression" dxfId="202" priority="103">
      <formula>$C12&lt;&gt;""</formula>
    </cfRule>
    <cfRule type="expression" dxfId="201" priority="105">
      <formula>$C12&lt;&gt;""</formula>
    </cfRule>
    <cfRule type="expression" dxfId="200" priority="107">
      <formula>$C12&lt;&gt;""</formula>
    </cfRule>
    <cfRule type="expression" dxfId="199" priority="109">
      <formula>$C12&lt;&gt;""</formula>
    </cfRule>
    <cfRule type="expression" dxfId="198" priority="111">
      <formula>$C12&lt;&gt;""</formula>
    </cfRule>
    <cfRule type="expression" dxfId="197" priority="113">
      <formula>$C12&lt;&gt;""</formula>
    </cfRule>
    <cfRule type="expression" dxfId="196" priority="115">
      <formula>$C12&lt;&gt;""</formula>
    </cfRule>
    <cfRule type="expression" dxfId="195" priority="117">
      <formula>$C12&lt;&gt;""</formula>
    </cfRule>
    <cfRule type="expression" dxfId="194" priority="119">
      <formula>$C12&lt;&gt;""</formula>
    </cfRule>
    <cfRule type="expression" dxfId="193" priority="121">
      <formula>$C12&lt;&gt;""</formula>
    </cfRule>
    <cfRule type="expression" dxfId="192" priority="123">
      <formula>$C12&lt;&gt;""</formula>
    </cfRule>
    <cfRule type="expression" dxfId="191" priority="125">
      <formula>$C12&lt;&gt;""</formula>
    </cfRule>
    <cfRule type="expression" dxfId="190" priority="127">
      <formula>$C12&lt;&gt;""</formula>
    </cfRule>
    <cfRule type="expression" dxfId="189" priority="129">
      <formula>$C12&lt;&gt;""</formula>
    </cfRule>
    <cfRule type="expression" dxfId="188" priority="131">
      <formula>$C12&lt;&gt;""</formula>
    </cfRule>
    <cfRule type="expression" dxfId="187" priority="133">
      <formula>$C12&lt;&gt;""</formula>
    </cfRule>
    <cfRule type="expression" dxfId="186" priority="135">
      <formula>$C12&lt;&gt;""</formula>
    </cfRule>
    <cfRule type="expression" dxfId="185" priority="137">
      <formula>$C12&lt;&gt;""</formula>
    </cfRule>
    <cfRule type="expression" dxfId="184" priority="139">
      <formula>$C12&lt;&gt;""</formula>
    </cfRule>
    <cfRule type="expression" dxfId="183" priority="141">
      <formula>$C12&lt;&gt;""</formula>
    </cfRule>
    <cfRule type="expression" dxfId="182" priority="143">
      <formula>$C12&lt;&gt;""</formula>
    </cfRule>
    <cfRule type="expression" dxfId="181" priority="145">
      <formula>$C12&lt;&gt;""</formula>
    </cfRule>
    <cfRule type="expression" dxfId="180" priority="147">
      <formula>$C12&lt;&gt;""</formula>
    </cfRule>
    <cfRule type="expression" dxfId="179" priority="149">
      <formula>$C12&lt;&gt;""</formula>
    </cfRule>
    <cfRule type="expression" dxfId="178" priority="151">
      <formula>$C12&lt;&gt;""</formula>
    </cfRule>
    <cfRule type="expression" dxfId="177" priority="153">
      <formula>$C12&lt;&gt;""</formula>
    </cfRule>
    <cfRule type="expression" dxfId="176" priority="155">
      <formula>$C12&lt;&gt;""</formula>
    </cfRule>
    <cfRule type="expression" dxfId="175" priority="157">
      <formula>$C12&lt;&gt;""</formula>
    </cfRule>
    <cfRule type="expression" dxfId="174" priority="159">
      <formula>$C12&lt;&gt;""</formula>
    </cfRule>
    <cfRule type="expression" dxfId="173" priority="161">
      <formula>$C12&lt;&gt;""</formula>
    </cfRule>
    <cfRule type="expression" dxfId="172" priority="163">
      <formula>$C12&lt;&gt;""</formula>
    </cfRule>
    <cfRule type="expression" dxfId="171" priority="165">
      <formula>$C12&lt;&gt;""</formula>
    </cfRule>
    <cfRule type="expression" dxfId="170" priority="167">
      <formula>$C12&lt;&gt;""</formula>
    </cfRule>
    <cfRule type="expression" dxfId="169" priority="169">
      <formula>$C12&lt;&gt;""</formula>
    </cfRule>
    <cfRule type="expression" dxfId="168" priority="171">
      <formula>$C12&lt;&gt;""</formula>
    </cfRule>
    <cfRule type="expression" dxfId="167" priority="173">
      <formula>$C12&lt;&gt;""</formula>
    </cfRule>
    <cfRule type="expression" dxfId="166" priority="175">
      <formula>$C12&lt;&gt;""</formula>
    </cfRule>
    <cfRule type="expression" dxfId="165" priority="177">
      <formula>$C12&lt;&gt;""</formula>
    </cfRule>
    <cfRule type="expression" dxfId="164" priority="179">
      <formula>$C12&lt;&gt;""</formula>
    </cfRule>
    <cfRule type="expression" dxfId="163" priority="181">
      <formula>$C12&lt;&gt;""</formula>
    </cfRule>
    <cfRule type="expression" dxfId="162" priority="183">
      <formula>$C12&lt;&gt;""</formula>
    </cfRule>
    <cfRule type="expression" dxfId="161" priority="185">
      <formula>$C12&lt;&gt;""</formula>
    </cfRule>
    <cfRule type="expression" dxfId="160" priority="187">
      <formula>$C12&lt;&gt;""</formula>
    </cfRule>
    <cfRule type="expression" dxfId="159" priority="189">
      <formula>$C12&lt;&gt;""</formula>
    </cfRule>
    <cfRule type="expression" dxfId="158" priority="191">
      <formula>$C12&lt;&gt;""</formula>
    </cfRule>
    <cfRule type="expression" dxfId="157" priority="193">
      <formula>$C12&lt;&gt;""</formula>
    </cfRule>
    <cfRule type="expression" dxfId="156" priority="195">
      <formula>$C12&lt;&gt;""</formula>
    </cfRule>
    <cfRule type="expression" dxfId="155" priority="197">
      <formula>$C12&lt;&gt;""</formula>
    </cfRule>
    <cfRule type="expression" dxfId="154" priority="199">
      <formula>$C12&lt;&gt;""</formula>
    </cfRule>
    <cfRule type="expression" dxfId="153" priority="201">
      <formula>$C12&lt;&gt;""</formula>
    </cfRule>
    <cfRule type="expression" dxfId="152" priority="203">
      <formula>$C12&lt;&gt;""</formula>
    </cfRule>
    <cfRule type="expression" dxfId="151" priority="205">
      <formula>$C12&lt;&gt;""</formula>
    </cfRule>
    <cfRule type="expression" dxfId="150" priority="207">
      <formula>$C12&lt;&gt;""</formula>
    </cfRule>
    <cfRule type="expression" dxfId="149" priority="209">
      <formula>$C12&lt;&gt;""</formula>
    </cfRule>
    <cfRule type="expression" dxfId="148" priority="211">
      <formula>$C12&lt;&gt;""</formula>
    </cfRule>
    <cfRule type="expression" dxfId="147" priority="213">
      <formula>$C12&lt;&gt;""</formula>
    </cfRule>
    <cfRule type="expression" dxfId="146" priority="215">
      <formula>$C12&lt;&gt;""</formula>
    </cfRule>
    <cfRule type="expression" dxfId="145" priority="217">
      <formula>$C12&lt;&gt;""</formula>
    </cfRule>
    <cfRule type="expression" dxfId="144" priority="219">
      <formula>$C12&lt;&gt;""</formula>
    </cfRule>
    <cfRule type="expression" dxfId="143" priority="221">
      <formula>$C12&lt;&gt;""</formula>
    </cfRule>
    <cfRule type="expression" dxfId="142" priority="223">
      <formula>$C12&lt;&gt;""</formula>
    </cfRule>
    <cfRule type="expression" dxfId="141" priority="225">
      <formula>$C12&lt;&gt;""</formula>
    </cfRule>
    <cfRule type="expression" dxfId="140" priority="227">
      <formula>$C12&lt;&gt;""</formula>
    </cfRule>
    <cfRule type="expression" dxfId="139" priority="229">
      <formula>$C12&lt;&gt;""</formula>
    </cfRule>
    <cfRule type="expression" dxfId="138" priority="231">
      <formula>$C12&lt;&gt;""</formula>
    </cfRule>
    <cfRule type="expression" dxfId="137" priority="233">
      <formula>$C12&lt;&gt;""</formula>
    </cfRule>
    <cfRule type="expression" dxfId="136" priority="235">
      <formula>$C12&lt;&gt;""</formula>
    </cfRule>
    <cfRule type="expression" dxfId="135" priority="237">
      <formula>$C12&lt;&gt;""</formula>
    </cfRule>
    <cfRule type="expression" dxfId="134" priority="239">
      <formula>$C12&lt;&gt;""</formula>
    </cfRule>
    <cfRule type="expression" dxfId="133" priority="241">
      <formula>$C12&lt;&gt;""</formula>
    </cfRule>
    <cfRule type="expression" dxfId="132" priority="243">
      <formula>$C12&lt;&gt;""</formula>
    </cfRule>
    <cfRule type="expression" dxfId="131" priority="245">
      <formula>$C12&lt;&gt;""</formula>
    </cfRule>
    <cfRule type="expression" dxfId="130" priority="247">
      <formula>$C12&lt;&gt;""</formula>
    </cfRule>
    <cfRule type="expression" dxfId="129" priority="249">
      <formula>$C12&lt;&gt;""</formula>
    </cfRule>
    <cfRule type="expression" dxfId="128" priority="251">
      <formula>$C12&lt;&gt;""</formula>
    </cfRule>
    <cfRule type="expression" dxfId="127" priority="253">
      <formula>$C12&lt;&gt;""</formula>
    </cfRule>
    <cfRule type="expression" dxfId="126" priority="255">
      <formula>$C12&lt;&gt;""</formula>
    </cfRule>
    <cfRule type="expression" dxfId="125" priority="257">
      <formula>$C12&lt;&gt;""</formula>
    </cfRule>
    <cfRule type="expression" dxfId="124" priority="259">
      <formula>$C12&lt;&gt;""</formula>
    </cfRule>
    <cfRule type="expression" dxfId="123" priority="261">
      <formula>$C12&lt;&gt;""</formula>
    </cfRule>
    <cfRule type="expression" dxfId="122" priority="263">
      <formula>$C12&lt;&gt;""</formula>
    </cfRule>
    <cfRule type="expression" dxfId="121" priority="265">
      <formula>$C12&lt;&gt;""</formula>
    </cfRule>
    <cfRule type="expression" dxfId="120" priority="267">
      <formula>$C12&lt;&gt;""</formula>
    </cfRule>
    <cfRule type="expression" dxfId="119" priority="269">
      <formula>$C12&lt;&gt;""</formula>
    </cfRule>
    <cfRule type="expression" dxfId="118" priority="271">
      <formula>$C12&lt;&gt;""</formula>
    </cfRule>
    <cfRule type="expression" dxfId="117" priority="273">
      <formula>$C12&lt;&gt;""</formula>
    </cfRule>
    <cfRule type="expression" dxfId="116" priority="275">
      <formula>$C12&lt;&gt;""</formula>
    </cfRule>
    <cfRule type="expression" dxfId="115" priority="277">
      <formula>$C12&lt;&gt;""</formula>
    </cfRule>
    <cfRule type="expression" dxfId="114" priority="279">
      <formula>$C12&lt;&gt;""</formula>
    </cfRule>
    <cfRule type="expression" dxfId="113" priority="281">
      <formula>$C12&lt;&gt;""</formula>
    </cfRule>
    <cfRule type="expression" dxfId="112" priority="283">
      <formula>$C12&lt;&gt;""</formula>
    </cfRule>
    <cfRule type="expression" dxfId="111" priority="285">
      <formula>$C12&lt;&gt;""</formula>
    </cfRule>
    <cfRule type="expression" dxfId="110" priority="287">
      <formula>$C12&lt;&gt;""</formula>
    </cfRule>
    <cfRule type="expression" dxfId="109" priority="289">
      <formula>$C12&lt;&gt;""</formula>
    </cfRule>
    <cfRule type="expression" dxfId="108" priority="291">
      <formula>$C12&lt;&gt;""</formula>
    </cfRule>
    <cfRule type="expression" dxfId="107" priority="293">
      <formula>$C12&lt;&gt;""</formula>
    </cfRule>
    <cfRule type="expression" dxfId="106" priority="295">
      <formula>$C12&lt;&gt;""</formula>
    </cfRule>
    <cfRule type="expression" dxfId="105" priority="297">
      <formula>$C12&lt;&gt;""</formula>
    </cfRule>
    <cfRule type="expression" dxfId="104" priority="299">
      <formula>$C12&lt;&gt;""</formula>
    </cfRule>
    <cfRule type="expression" dxfId="103" priority="301">
      <formula>$C12&lt;&gt;""</formula>
    </cfRule>
    <cfRule type="expression" dxfId="102" priority="303">
      <formula>$C12&lt;&gt;""</formula>
    </cfRule>
    <cfRule type="expression" dxfId="101" priority="305">
      <formula>$C12&lt;&gt;""</formula>
    </cfRule>
    <cfRule type="expression" dxfId="100" priority="307">
      <formula>$C12&lt;&gt;""</formula>
    </cfRule>
    <cfRule type="expression" dxfId="99" priority="309">
      <formula>$C12&lt;&gt;""</formula>
    </cfRule>
    <cfRule type="expression" dxfId="98" priority="311">
      <formula>$C12&lt;&gt;""</formula>
    </cfRule>
    <cfRule type="expression" dxfId="97" priority="313">
      <formula>$C12&lt;&gt;""</formula>
    </cfRule>
    <cfRule type="expression" dxfId="96" priority="315">
      <formula>$C12&lt;&gt;""</formula>
    </cfRule>
    <cfRule type="expression" dxfId="95" priority="317">
      <formula>$C12&lt;&gt;""</formula>
    </cfRule>
    <cfRule type="expression" dxfId="94" priority="319">
      <formula>$C12&lt;&gt;""</formula>
    </cfRule>
    <cfRule type="expression" dxfId="93" priority="321">
      <formula>$C12&lt;&gt;""</formula>
    </cfRule>
    <cfRule type="expression" dxfId="92" priority="323">
      <formula>$C12&lt;&gt;""</formula>
    </cfRule>
    <cfRule type="expression" dxfId="91" priority="325">
      <formula>$C12&lt;&gt;""</formula>
    </cfRule>
    <cfRule type="expression" dxfId="90" priority="327">
      <formula>$C12&lt;&gt;""</formula>
    </cfRule>
    <cfRule type="expression" dxfId="89" priority="329">
      <formula>$C12&lt;&gt;""</formula>
    </cfRule>
    <cfRule type="expression" dxfId="88" priority="331">
      <formula>$C12&lt;&gt;""</formula>
    </cfRule>
    <cfRule type="expression" dxfId="87" priority="333">
      <formula>$C12&lt;&gt;""</formula>
    </cfRule>
    <cfRule type="expression" dxfId="86" priority="335">
      <formula>$C12&lt;&gt;""</formula>
    </cfRule>
    <cfRule type="expression" dxfId="85" priority="337">
      <formula>$C12&lt;&gt;""</formula>
    </cfRule>
    <cfRule type="expression" dxfId="84" priority="339">
      <formula>$C12&lt;&gt;""</formula>
    </cfRule>
    <cfRule type="expression" dxfId="83" priority="341">
      <formula>$C12&lt;&gt;""</formula>
    </cfRule>
    <cfRule type="expression" dxfId="82" priority="343">
      <formula>$C12&lt;&gt;""</formula>
    </cfRule>
    <cfRule type="expression" dxfId="81" priority="345">
      <formula>$C12&lt;&gt;""</formula>
    </cfRule>
    <cfRule type="expression" dxfId="80" priority="347">
      <formula>$C12&lt;&gt;""</formula>
    </cfRule>
    <cfRule type="expression" dxfId="79" priority="349">
      <formula>$C12&lt;&gt;""</formula>
    </cfRule>
    <cfRule type="expression" dxfId="78" priority="351">
      <formula>$C12&lt;&gt;""</formula>
    </cfRule>
    <cfRule type="expression" dxfId="77" priority="353">
      <formula>$C12&lt;&gt;""</formula>
    </cfRule>
    <cfRule type="expression" dxfId="76" priority="355">
      <formula>$C12&lt;&gt;""</formula>
    </cfRule>
    <cfRule type="expression" dxfId="75" priority="357">
      <formula>$C12&lt;&gt;""</formula>
    </cfRule>
    <cfRule type="expression" dxfId="74" priority="359">
      <formula>$C12&lt;&gt;""</formula>
    </cfRule>
    <cfRule type="expression" dxfId="73" priority="361">
      <formula>$C12&lt;&gt;""</formula>
    </cfRule>
    <cfRule type="expression" dxfId="72" priority="363">
      <formula>$C12&lt;&gt;""</formula>
    </cfRule>
    <cfRule type="expression" dxfId="71" priority="365">
      <formula>$C12&lt;&gt;""</formula>
    </cfRule>
    <cfRule type="expression" dxfId="70" priority="367">
      <formula>$C12&lt;&gt;""</formula>
    </cfRule>
    <cfRule type="expression" dxfId="69" priority="369">
      <formula>$C12&lt;&gt;""</formula>
    </cfRule>
    <cfRule type="expression" dxfId="68" priority="371">
      <formula>$C12&lt;&gt;""</formula>
    </cfRule>
    <cfRule type="expression" dxfId="67" priority="373">
      <formula>$C12&lt;&gt;""</formula>
    </cfRule>
    <cfRule type="expression" dxfId="66" priority="375">
      <formula>$C12&lt;&gt;""</formula>
    </cfRule>
    <cfRule type="expression" dxfId="65" priority="377">
      <formula>$C12&lt;&gt;""</formula>
    </cfRule>
    <cfRule type="expression" dxfId="64" priority="379">
      <formula>$C12&lt;&gt;""</formula>
    </cfRule>
    <cfRule type="expression" dxfId="63" priority="381">
      <formula>$C12&lt;&gt;""</formula>
    </cfRule>
    <cfRule type="expression" dxfId="62" priority="383">
      <formula>$C12&lt;&gt;""</formula>
    </cfRule>
    <cfRule type="expression" dxfId="61" priority="385">
      <formula>$C12&lt;&gt;""</formula>
    </cfRule>
    <cfRule type="expression" dxfId="60" priority="387">
      <formula>$C12&lt;&gt;""</formula>
    </cfRule>
    <cfRule type="expression" dxfId="59" priority="389">
      <formula>$C12&lt;&gt;""</formula>
    </cfRule>
    <cfRule type="expression" dxfId="58" priority="391">
      <formula>$C12&lt;&gt;""</formula>
    </cfRule>
    <cfRule type="expression" dxfId="57" priority="393">
      <formula>$C12&lt;&gt;""</formula>
    </cfRule>
    <cfRule type="expression" dxfId="56" priority="395">
      <formula>$C12&lt;&gt;""</formula>
    </cfRule>
    <cfRule type="expression" dxfId="55" priority="397">
      <formula>$C12&lt;&gt;""</formula>
    </cfRule>
    <cfRule type="expression" dxfId="54" priority="399">
      <formula>$C12&lt;&gt;""</formula>
    </cfRule>
    <cfRule type="expression" dxfId="53" priority="401">
      <formula>$C12&lt;&gt;""</formula>
    </cfRule>
    <cfRule type="expression" dxfId="52" priority="403">
      <formula>$C12&lt;&gt;""</formula>
    </cfRule>
    <cfRule type="expression" dxfId="51" priority="405">
      <formula>$C12&lt;&gt;""</formula>
    </cfRule>
    <cfRule type="expression" dxfId="50" priority="407">
      <formula>$C12&lt;&gt;""</formula>
    </cfRule>
    <cfRule type="expression" dxfId="49" priority="409">
      <formula>$C12&lt;&gt;""</formula>
    </cfRule>
    <cfRule type="expression" dxfId="48" priority="411">
      <formula>$C12&lt;&gt;""</formula>
    </cfRule>
    <cfRule type="expression" dxfId="47" priority="413">
      <formula>$C12&lt;&gt;""</formula>
    </cfRule>
    <cfRule type="expression" dxfId="46" priority="415">
      <formula>$C12&lt;&gt;""</formula>
    </cfRule>
    <cfRule type="expression" dxfId="45" priority="417">
      <formula>$C12&lt;&gt;""</formula>
    </cfRule>
    <cfRule type="expression" dxfId="44" priority="419">
      <formula>$C12&lt;&gt;""</formula>
    </cfRule>
    <cfRule type="expression" dxfId="43" priority="421">
      <formula>$C12&lt;&gt;""</formula>
    </cfRule>
    <cfRule type="expression" dxfId="42" priority="423">
      <formula>$C12&lt;&gt;""</formula>
    </cfRule>
    <cfRule type="expression" dxfId="41" priority="425">
      <formula>$C12&lt;&gt;""</formula>
    </cfRule>
    <cfRule type="expression" dxfId="40" priority="427">
      <formula>$C12&lt;&gt;""</formula>
    </cfRule>
    <cfRule type="expression" dxfId="39" priority="429">
      <formula>$C12&lt;&gt;""</formula>
    </cfRule>
    <cfRule type="expression" dxfId="38" priority="431">
      <formula>$C12&lt;&gt;""</formula>
    </cfRule>
    <cfRule type="expression" dxfId="37" priority="433">
      <formula>$C12&lt;&gt;""</formula>
    </cfRule>
    <cfRule type="expression" dxfId="36" priority="435">
      <formula>$C12&lt;&gt;""</formula>
    </cfRule>
    <cfRule type="expression" dxfId="35" priority="437">
      <formula>$C12&lt;&gt;""</formula>
    </cfRule>
    <cfRule type="expression" dxfId="34" priority="439">
      <formula>$C12&lt;&gt;""</formula>
    </cfRule>
    <cfRule type="expression" dxfId="33" priority="441">
      <formula>$C12&lt;&gt;""</formula>
    </cfRule>
    <cfRule type="expression" dxfId="32" priority="443">
      <formula>$C12&lt;&gt;""</formula>
    </cfRule>
    <cfRule type="expression" dxfId="31" priority="445">
      <formula>$C12&lt;&gt;""</formula>
    </cfRule>
    <cfRule type="expression" dxfId="30" priority="447">
      <formula>$C12&lt;&gt;""</formula>
    </cfRule>
    <cfRule type="expression" dxfId="29" priority="449">
      <formula>$C12&lt;&gt;""</formula>
    </cfRule>
    <cfRule type="expression" dxfId="28" priority="451">
      <formula>$C12&lt;&gt;""</formula>
    </cfRule>
    <cfRule type="expression" dxfId="27" priority="453">
      <formula>$C12&lt;&gt;""</formula>
    </cfRule>
    <cfRule type="expression" dxfId="26" priority="455">
      <formula>$C12&lt;&gt;""</formula>
    </cfRule>
    <cfRule type="expression" dxfId="25" priority="457">
      <formula>$C12&lt;&gt;""</formula>
    </cfRule>
    <cfRule type="expression" dxfId="24" priority="459">
      <formula>$C12&lt;&gt;""</formula>
    </cfRule>
    <cfRule type="expression" dxfId="23" priority="461">
      <formula>$C12&lt;&gt;""</formula>
    </cfRule>
    <cfRule type="expression" dxfId="22" priority="463">
      <formula>$C12&lt;&gt;""</formula>
    </cfRule>
    <cfRule type="expression" dxfId="21" priority="465">
      <formula>$C12&lt;&gt;""</formula>
    </cfRule>
    <cfRule type="expression" dxfId="20" priority="467">
      <formula>$C12&lt;&gt;""</formula>
    </cfRule>
    <cfRule type="expression" dxfId="19" priority="469">
      <formula>$C12&lt;&gt;""</formula>
    </cfRule>
    <cfRule type="expression" dxfId="18" priority="471">
      <formula>$C12&lt;&gt;""</formula>
    </cfRule>
    <cfRule type="expression" dxfId="17" priority="473">
      <formula>$C12&lt;&gt;""</formula>
    </cfRule>
    <cfRule type="expression" dxfId="16" priority="475">
      <formula>$C12&lt;&gt;""</formula>
    </cfRule>
    <cfRule type="expression" dxfId="15" priority="477">
      <formula>$C12&lt;&gt;""</formula>
    </cfRule>
    <cfRule type="expression" dxfId="14" priority="479">
      <formula>$C12&lt;&gt;""</formula>
    </cfRule>
    <cfRule type="expression" dxfId="13" priority="481">
      <formula>$C12&lt;&gt;""</formula>
    </cfRule>
    <cfRule type="expression" dxfId="12" priority="483">
      <formula>$C12&lt;&gt;""</formula>
    </cfRule>
    <cfRule type="expression" dxfId="11" priority="485">
      <formula>$C12&lt;&gt;""</formula>
    </cfRule>
    <cfRule type="expression" dxfId="10" priority="487">
      <formula>$C12&lt;&gt;""</formula>
    </cfRule>
    <cfRule type="expression" dxfId="9" priority="489">
      <formula>$C12&lt;&gt;""</formula>
    </cfRule>
    <cfRule type="expression" dxfId="8" priority="491">
      <formula>$C12&lt;&gt;""</formula>
    </cfRule>
    <cfRule type="expression" dxfId="7" priority="493">
      <formula>$C12&lt;&gt;""</formula>
    </cfRule>
    <cfRule type="expression" dxfId="6" priority="7">
      <formula>$C12&lt;&gt;""</formula>
    </cfRule>
    <cfRule type="expression" dxfId="5" priority="5">
      <formula>$C12&lt;&gt;""</formula>
    </cfRule>
    <cfRule type="expression" dxfId="4" priority="3">
      <formula>$C12&lt;&gt;""</formula>
    </cfRule>
    <cfRule type="expression" dxfId="3" priority="1">
      <formula>$C12&lt;&gt;""</formula>
    </cfRule>
  </conditionalFormatting>
  <conditionalFormatting sqref="C13:G200">
    <cfRule type="expression" dxfId="2" priority="2" stopIfTrue="1">
      <formula>$C12&lt;&gt;""</formula>
    </cfRule>
  </conditionalFormatting>
  <dataValidations count="2">
    <dataValidation type="list" allowBlank="1" showInputMessage="1" showErrorMessage="1" sqref="D3" xr:uid="{688F9A6B-9A75-4BD4-A058-548722ACE042}">
      <formula1>Tomador_V</formula1>
    </dataValidation>
    <dataValidation type="list" allowBlank="1" showInputMessage="1" showErrorMessage="1" sqref="C3" xr:uid="{F09208CD-0EA2-4767-A308-C2B71B8CE5D2}">
      <formula1>NDRegistradas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Dados"/>
  <dimension ref="C1:O6"/>
  <sheetViews>
    <sheetView topLeftCell="B5" workbookViewId="0">
      <selection activeCell="F17" sqref="F17"/>
    </sheetView>
  </sheetViews>
  <sheetFormatPr defaultRowHeight="15" x14ac:dyDescent="0.25"/>
  <cols>
    <col min="1" max="1" width="0" hidden="1" customWidth="1"/>
    <col min="2" max="2" width="0.85546875" customWidth="1"/>
    <col min="3" max="3" width="7.7109375" style="1" customWidth="1"/>
    <col min="4" max="4" width="32.28515625" customWidth="1"/>
    <col min="5" max="5" width="12.5703125" style="5" customWidth="1"/>
    <col min="6" max="6" width="10.7109375" style="5" bestFit="1" customWidth="1"/>
    <col min="7" max="7" width="10.7109375" style="6" bestFit="1" customWidth="1"/>
    <col min="8" max="8" width="13.85546875" bestFit="1" customWidth="1"/>
    <col min="9" max="9" width="5.42578125" style="1" bestFit="1" customWidth="1"/>
    <col min="10" max="10" width="50.42578125" customWidth="1"/>
    <col min="11" max="11" width="9.140625" style="1"/>
    <col min="12" max="12" width="11" style="4" bestFit="1" customWidth="1"/>
    <col min="13" max="13" width="11.5703125" style="4" bestFit="1" customWidth="1"/>
    <col min="14" max="14" width="23.42578125" customWidth="1"/>
    <col min="15" max="15" width="12.42578125" customWidth="1"/>
  </cols>
  <sheetData>
    <row r="1" spans="3:15" hidden="1" x14ac:dyDescent="0.25"/>
    <row r="2" spans="3:15" hidden="1" x14ac:dyDescent="0.25">
      <c r="C2" s="1">
        <f>IFERROR(LARGE(C7:C1000,1),0)</f>
        <v>0</v>
      </c>
    </row>
    <row r="3" spans="3:15" hidden="1" x14ac:dyDescent="0.25">
      <c r="C3" s="1">
        <f ca="1">IFERROR(COUNTIF(Dados_Nro,ND_Nro),0)</f>
        <v>0</v>
      </c>
    </row>
    <row r="4" spans="3:15" hidden="1" x14ac:dyDescent="0.25"/>
    <row r="5" spans="3:15" ht="5.25" customHeight="1" x14ac:dyDescent="0.25"/>
    <row r="6" spans="3:15" s="8" customFormat="1" ht="27" customHeight="1" x14ac:dyDescent="0.25">
      <c r="C6" s="18" t="s">
        <v>0</v>
      </c>
      <c r="D6" s="18" t="s">
        <v>5</v>
      </c>
      <c r="E6" s="19" t="s">
        <v>1</v>
      </c>
      <c r="F6" s="19" t="s">
        <v>2</v>
      </c>
      <c r="G6" s="20" t="s">
        <v>3</v>
      </c>
      <c r="H6" s="18" t="s">
        <v>4</v>
      </c>
      <c r="I6" s="18" t="s">
        <v>12</v>
      </c>
      <c r="J6" s="18" t="s">
        <v>11</v>
      </c>
      <c r="K6" s="18" t="s">
        <v>13</v>
      </c>
      <c r="L6" s="21" t="s">
        <v>14</v>
      </c>
      <c r="M6" s="21" t="s">
        <v>15</v>
      </c>
      <c r="N6" s="21" t="s">
        <v>28</v>
      </c>
      <c r="O6" s="7" t="s">
        <v>9</v>
      </c>
    </row>
  </sheetData>
  <autoFilter ref="C6:N26" xr:uid="{00000000-0009-0000-0000-000004000000}"/>
  <sortState ref="C7:O26">
    <sortCondition ref="C7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Formulario">
    <tabColor rgb="FFC00000"/>
    <pageSetUpPr fitToPage="1"/>
  </sheetPr>
  <dimension ref="A1:AH205"/>
  <sheetViews>
    <sheetView showGridLines="0" showRowColHeaders="0" topLeftCell="B1" zoomScaleNormal="100" workbookViewId="0">
      <selection activeCell="AH15" sqref="AH15"/>
    </sheetView>
  </sheetViews>
  <sheetFormatPr defaultRowHeight="15" x14ac:dyDescent="0.25"/>
  <cols>
    <col min="1" max="1" width="2" hidden="1" customWidth="1"/>
    <col min="2" max="2" width="3.140625" customWidth="1"/>
    <col min="3" max="23" width="4.42578125" customWidth="1"/>
    <col min="24" max="25" width="4.42578125" style="22" customWidth="1"/>
    <col min="26" max="28" width="4.42578125" customWidth="1"/>
    <col min="29" max="29" width="0.85546875" customWidth="1"/>
    <col min="34" max="34" width="5.28515625" customWidth="1"/>
  </cols>
  <sheetData>
    <row r="1" spans="1:34" ht="15" customHeight="1" x14ac:dyDescent="0.25">
      <c r="X1"/>
      <c r="Y1"/>
    </row>
    <row r="2" spans="1:34" x14ac:dyDescent="0.25">
      <c r="C2" s="125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7"/>
      <c r="V2" s="144" t="s">
        <v>27</v>
      </c>
      <c r="W2" s="144"/>
      <c r="X2" s="144"/>
      <c r="Y2" s="144"/>
      <c r="Z2" s="143" t="s">
        <v>8</v>
      </c>
      <c r="AA2" s="143"/>
      <c r="AB2" s="143"/>
      <c r="AF2" s="131" t="s">
        <v>56</v>
      </c>
      <c r="AG2" s="132"/>
      <c r="AH2" s="68">
        <f>ND_Maior</f>
        <v>0</v>
      </c>
    </row>
    <row r="3" spans="1:34" ht="15" customHeight="1" x14ac:dyDescent="0.25">
      <c r="A3">
        <f>COUNTIF('NDs REGISTRADAS'!C7:C10000,Form_NroND)</f>
        <v>0</v>
      </c>
      <c r="C3" s="116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/>
      <c r="V3" s="144"/>
      <c r="W3" s="144"/>
      <c r="X3" s="144"/>
      <c r="Y3" s="144"/>
      <c r="Z3" s="142">
        <v>0</v>
      </c>
      <c r="AA3" s="142"/>
      <c r="AB3" s="142"/>
    </row>
    <row r="4" spans="1:34" ht="15" customHeight="1" x14ac:dyDescent="0.25">
      <c r="C4" s="116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8"/>
      <c r="V4" s="144"/>
      <c r="W4" s="144"/>
      <c r="X4" s="144"/>
      <c r="Y4" s="144"/>
      <c r="Z4" s="142"/>
      <c r="AA4" s="142"/>
      <c r="AB4" s="142"/>
    </row>
    <row r="5" spans="1:34" x14ac:dyDescent="0.25">
      <c r="C5" s="116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8"/>
      <c r="V5" s="109" t="s">
        <v>23</v>
      </c>
      <c r="W5" s="109"/>
      <c r="X5" s="109"/>
      <c r="Y5" s="109"/>
      <c r="Z5" s="110" t="str">
        <f>IFERROR(VLOOKUP(Form_NroND,'NDs REGISTRADAS'!$C$7:$N$1000,3,FALSE),"")</f>
        <v/>
      </c>
      <c r="AA5" s="110"/>
      <c r="AB5" s="110"/>
    </row>
    <row r="6" spans="1:34" x14ac:dyDescent="0.25">
      <c r="C6" s="128" t="str">
        <f>IF('CAD. EMITENTE'!E3="","",'CAD. EMITENTE'!E3)</f>
        <v/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30"/>
      <c r="V6" s="109"/>
      <c r="W6" s="109"/>
      <c r="X6" s="109"/>
      <c r="Y6" s="109"/>
      <c r="Z6" s="110"/>
      <c r="AA6" s="110"/>
      <c r="AB6" s="110"/>
    </row>
    <row r="7" spans="1:34" x14ac:dyDescent="0.25">
      <c r="C7" s="128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30"/>
      <c r="V7" s="109" t="s">
        <v>25</v>
      </c>
      <c r="W7" s="109"/>
      <c r="X7" s="109"/>
      <c r="Y7" s="109"/>
      <c r="Z7" s="110" t="str">
        <f>IFERROR(VLOOKUP(Form_NroND,'NDs REGISTRADAS'!$C$7:$N$1000,4,FALSE),"")</f>
        <v/>
      </c>
      <c r="AA7" s="110"/>
      <c r="AB7" s="110"/>
    </row>
    <row r="8" spans="1:34" ht="15.75" x14ac:dyDescent="0.25">
      <c r="C8" s="119" t="str">
        <f>IF('CAD. EMITENTE'!E5="","","CNPJ: "&amp;'CAD. EMITENTE'!E5)</f>
        <v/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1"/>
      <c r="V8" s="109"/>
      <c r="W8" s="109"/>
      <c r="X8" s="109"/>
      <c r="Y8" s="109"/>
      <c r="Z8" s="110"/>
      <c r="AA8" s="110"/>
      <c r="AB8" s="110"/>
    </row>
    <row r="9" spans="1:34" x14ac:dyDescent="0.25">
      <c r="C9" s="116" t="str">
        <f>IF('CAD. EMITENTE'!E7="","",'CAD. EMITENTE'!E7)</f>
        <v/>
      </c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8"/>
      <c r="V9" s="109" t="s">
        <v>24</v>
      </c>
      <c r="W9" s="109"/>
      <c r="X9" s="109"/>
      <c r="Y9" s="109"/>
      <c r="Z9" s="112" t="str">
        <f>IFERROR(IF(VLOOKUP(Form_NroND,'NDs REGISTRADAS'!$C$7:$N$1000,5,FALSE)="","",VLOOKUP(Form_NroND,'NDs REGISTRADAS'!$C$7:$N$1000,5,FALSE)),"")</f>
        <v/>
      </c>
      <c r="AA9" s="112"/>
      <c r="AB9" s="112"/>
    </row>
    <row r="10" spans="1:34" x14ac:dyDescent="0.25">
      <c r="C10" s="116" t="str">
        <f>IF('CAD. EMITENTE'!E8="","",'CAD. EMITENTE'!E8)</f>
        <v/>
      </c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8"/>
      <c r="V10" s="109"/>
      <c r="W10" s="109"/>
      <c r="X10" s="109"/>
      <c r="Y10" s="109"/>
      <c r="Z10" s="112"/>
      <c r="AA10" s="112"/>
      <c r="AB10" s="112"/>
    </row>
    <row r="11" spans="1:34" x14ac:dyDescent="0.25">
      <c r="C11" s="116" t="str">
        <f>IF('CAD. EMITENTE'!E10="","","FONE: "&amp;'CAD. EMITENTE'!E10)</f>
        <v/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8"/>
      <c r="V11" s="111" t="s">
        <v>26</v>
      </c>
      <c r="W11" s="111"/>
      <c r="X11" s="111"/>
      <c r="Y11" s="111"/>
      <c r="Z11" s="111"/>
      <c r="AA11" s="111"/>
      <c r="AB11" s="111"/>
    </row>
    <row r="12" spans="1:34" x14ac:dyDescent="0.25">
      <c r="C12" s="113" t="str">
        <f>IF('CAD. EMITENTE'!E12="","",'CAD. EMITENTE'!E12)</f>
        <v/>
      </c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5"/>
      <c r="V12" s="110" t="str">
        <f>IFERROR(IF(VLOOKUP(Form_NroND,'NDs REGISTRADAS'!$C$7:$N$1000,6,FALSE)="","",VLOOKUP(Form_NroND,'NDs REGISTRADAS'!$C$7:$N$1000,6,FALSE)),"")</f>
        <v/>
      </c>
      <c r="W12" s="110"/>
      <c r="X12" s="110"/>
      <c r="Y12" s="110"/>
      <c r="Z12" s="110"/>
      <c r="AA12" s="110"/>
      <c r="AB12" s="110"/>
    </row>
    <row r="13" spans="1:34" x14ac:dyDescent="0.25">
      <c r="X13"/>
      <c r="Y13"/>
    </row>
    <row r="14" spans="1:34" s="2" customFormat="1" ht="18" customHeight="1" x14ac:dyDescent="0.25">
      <c r="C14" s="93" t="s">
        <v>5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5"/>
      <c r="AE14" s="25"/>
    </row>
    <row r="15" spans="1:34" x14ac:dyDescent="0.25">
      <c r="A15" t="e">
        <f ca="1">VLOOKUP(Form_NroND,Dados_Area,13,FALSE)</f>
        <v>#REF!</v>
      </c>
      <c r="C15" s="122" t="str">
        <f ca="1">IFERROR(OFFSET('CAD. TOMADORES'!$C$6,FORMULÁRIO!$A$16,0,1,1),"")</f>
        <v/>
      </c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4"/>
    </row>
    <row r="16" spans="1:34" x14ac:dyDescent="0.25">
      <c r="A16" t="e">
        <f ca="1">MATCH(Form_Nro,'CAD. TOMADORES'!$F$7:$F$1000,0)</f>
        <v>#REF!</v>
      </c>
      <c r="C16" s="139" t="str">
        <f ca="1">IFERROR("CNPJ: "&amp;OFFSET('CAD. TOMADORES'!$C$6,FORMULÁRIO!$A$16,1,1,1),"")</f>
        <v/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1"/>
    </row>
    <row r="17" spans="3:28" x14ac:dyDescent="0.25">
      <c r="C17" s="136" t="str">
        <f ca="1">IFERROR(OFFSET('CAD. TOMADORES'!$C$6,FORMULÁRIO!$A$16,2,1,1),"")</f>
        <v/>
      </c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8"/>
    </row>
    <row r="18" spans="3:28" x14ac:dyDescent="0.25">
      <c r="X18"/>
      <c r="Y18"/>
    </row>
    <row r="19" spans="3:28" x14ac:dyDescent="0.25">
      <c r="C19" s="111" t="s">
        <v>12</v>
      </c>
      <c r="D19" s="111"/>
      <c r="E19" s="111" t="s">
        <v>11</v>
      </c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 t="s">
        <v>29</v>
      </c>
      <c r="W19" s="111"/>
      <c r="X19" s="111"/>
      <c r="Y19" s="111"/>
      <c r="Z19" s="111"/>
      <c r="AA19" s="111"/>
      <c r="AB19" s="111"/>
    </row>
    <row r="20" spans="3:28" ht="15.75" customHeight="1" x14ac:dyDescent="0.25"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33" t="s">
        <v>16</v>
      </c>
      <c r="W20" s="135"/>
      <c r="X20" s="133" t="s">
        <v>14</v>
      </c>
      <c r="Y20" s="135"/>
      <c r="Z20" s="133" t="s">
        <v>15</v>
      </c>
      <c r="AA20" s="134"/>
      <c r="AB20" s="135"/>
    </row>
    <row r="21" spans="3:28" x14ac:dyDescent="0.25">
      <c r="C21" s="97"/>
      <c r="D21" s="97"/>
      <c r="E21" s="102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4"/>
      <c r="V21" s="105"/>
      <c r="W21" s="106"/>
      <c r="X21" s="108" t="s">
        <v>15</v>
      </c>
      <c r="Y21" s="100"/>
      <c r="Z21" s="107">
        <f>IF(X21="TOTAL",SUM($Z$20:Z20),IF(C21="","",V21*X21))</f>
        <v>0</v>
      </c>
      <c r="AA21" s="101"/>
      <c r="AB21" s="101"/>
    </row>
    <row r="22" spans="3:28" s="10" customFormat="1" hidden="1" x14ac:dyDescent="0.25">
      <c r="C22" s="97"/>
      <c r="D22" s="97"/>
      <c r="E22" s="102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4"/>
      <c r="V22" s="105"/>
      <c r="W22" s="106"/>
      <c r="X22" s="101"/>
      <c r="Y22" s="101"/>
      <c r="Z22" s="101"/>
      <c r="AA22" s="101"/>
      <c r="AB22" s="101"/>
    </row>
    <row r="23" spans="3:28" s="10" customFormat="1" hidden="1" x14ac:dyDescent="0.25">
      <c r="C23" s="97"/>
      <c r="D23" s="97"/>
      <c r="E23" s="102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4"/>
      <c r="V23" s="105"/>
      <c r="W23" s="106"/>
      <c r="X23" s="101"/>
      <c r="Y23" s="101"/>
      <c r="Z23" s="101"/>
      <c r="AA23" s="101"/>
      <c r="AB23" s="101"/>
    </row>
    <row r="24" spans="3:28" s="10" customFormat="1" hidden="1" x14ac:dyDescent="0.25">
      <c r="C24" s="97"/>
      <c r="D24" s="97"/>
      <c r="E24" s="102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4"/>
      <c r="V24" s="105"/>
      <c r="W24" s="106"/>
      <c r="X24" s="101"/>
      <c r="Y24" s="97"/>
      <c r="Z24" s="101"/>
      <c r="AA24" s="101"/>
      <c r="AB24" s="101"/>
    </row>
    <row r="25" spans="3:28" s="10" customFormat="1" hidden="1" x14ac:dyDescent="0.25">
      <c r="C25" s="97"/>
      <c r="D25" s="97"/>
      <c r="E25" s="102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4"/>
      <c r="V25" s="105"/>
      <c r="W25" s="106"/>
      <c r="X25" s="101"/>
      <c r="Y25" s="97"/>
      <c r="Z25" s="101"/>
      <c r="AA25" s="101"/>
      <c r="AB25" s="101"/>
    </row>
    <row r="26" spans="3:28" s="10" customFormat="1" hidden="1" x14ac:dyDescent="0.25">
      <c r="C26" s="97"/>
      <c r="D26" s="97"/>
      <c r="E26" s="102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4"/>
      <c r="V26" s="105"/>
      <c r="W26" s="106"/>
      <c r="X26" s="101"/>
      <c r="Y26" s="97"/>
      <c r="Z26" s="101"/>
      <c r="AA26" s="101"/>
      <c r="AB26" s="101"/>
    </row>
    <row r="27" spans="3:28" s="10" customFormat="1" hidden="1" x14ac:dyDescent="0.25"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101"/>
      <c r="AA27" s="101"/>
      <c r="AB27" s="101"/>
    </row>
    <row r="28" spans="3:28" s="10" customFormat="1" hidden="1" x14ac:dyDescent="0.25"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101"/>
      <c r="AA28" s="101"/>
      <c r="AB28" s="101"/>
    </row>
    <row r="29" spans="3:28" s="10" customFormat="1" hidden="1" x14ac:dyDescent="0.25"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8"/>
      <c r="AA29" s="99"/>
      <c r="AB29" s="100"/>
    </row>
    <row r="30" spans="3:28" s="10" customFormat="1" hidden="1" x14ac:dyDescent="0.25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</row>
    <row r="31" spans="3:28" s="10" customFormat="1" hidden="1" x14ac:dyDescent="0.25"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</row>
    <row r="32" spans="3:28" s="10" customFormat="1" hidden="1" x14ac:dyDescent="0.25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</row>
    <row r="33" spans="3:28" s="10" customFormat="1" hidden="1" x14ac:dyDescent="0.25"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</row>
    <row r="34" spans="3:28" s="10" customFormat="1" hidden="1" x14ac:dyDescent="0.25"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</row>
    <row r="35" spans="3:28" s="10" customFormat="1" hidden="1" x14ac:dyDescent="0.25"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</row>
    <row r="36" spans="3:28" s="10" customFormat="1" hidden="1" x14ac:dyDescent="0.25"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</row>
    <row r="37" spans="3:28" s="10" customFormat="1" hidden="1" x14ac:dyDescent="0.25"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</row>
    <row r="38" spans="3:28" s="10" customFormat="1" hidden="1" x14ac:dyDescent="0.25"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</row>
    <row r="39" spans="3:28" s="10" customFormat="1" hidden="1" x14ac:dyDescent="0.25"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</row>
    <row r="40" spans="3:28" s="10" customFormat="1" hidden="1" x14ac:dyDescent="0.25"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</row>
    <row r="41" spans="3:28" s="10" customFormat="1" hidden="1" x14ac:dyDescent="0.25"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</row>
    <row r="42" spans="3:28" s="10" customFormat="1" hidden="1" x14ac:dyDescent="0.25"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</row>
    <row r="43" spans="3:28" s="10" customFormat="1" hidden="1" x14ac:dyDescent="0.25"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</row>
    <row r="44" spans="3:28" s="10" customFormat="1" hidden="1" x14ac:dyDescent="0.25"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</row>
    <row r="45" spans="3:28" s="10" customFormat="1" hidden="1" x14ac:dyDescent="0.25"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</row>
    <row r="46" spans="3:28" s="10" customFormat="1" hidden="1" x14ac:dyDescent="0.25"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</row>
    <row r="47" spans="3:28" s="10" customFormat="1" hidden="1" x14ac:dyDescent="0.25"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</row>
    <row r="48" spans="3:28" s="10" customFormat="1" hidden="1" x14ac:dyDescent="0.25"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</row>
    <row r="49" spans="3:28" s="10" customFormat="1" hidden="1" x14ac:dyDescent="0.25"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</row>
    <row r="50" spans="3:28" s="10" customFormat="1" hidden="1" x14ac:dyDescent="0.25"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</row>
    <row r="51" spans="3:28" s="10" customFormat="1" hidden="1" x14ac:dyDescent="0.25"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</row>
    <row r="52" spans="3:28" s="10" customFormat="1" hidden="1" x14ac:dyDescent="0.25"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</row>
    <row r="53" spans="3:28" s="10" customFormat="1" hidden="1" x14ac:dyDescent="0.25"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</row>
    <row r="54" spans="3:28" s="10" customFormat="1" hidden="1" x14ac:dyDescent="0.25"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</row>
    <row r="55" spans="3:28" s="10" customFormat="1" hidden="1" x14ac:dyDescent="0.25"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</row>
    <row r="56" spans="3:28" s="10" customFormat="1" hidden="1" x14ac:dyDescent="0.25"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</row>
    <row r="57" spans="3:28" s="10" customFormat="1" hidden="1" x14ac:dyDescent="0.25"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</row>
    <row r="58" spans="3:28" s="10" customFormat="1" hidden="1" x14ac:dyDescent="0.25"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</row>
    <row r="59" spans="3:28" s="10" customFormat="1" hidden="1" x14ac:dyDescent="0.25"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</row>
    <row r="60" spans="3:28" s="10" customFormat="1" hidden="1" x14ac:dyDescent="0.25"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</row>
    <row r="61" spans="3:28" s="10" customFormat="1" hidden="1" x14ac:dyDescent="0.25"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</row>
    <row r="62" spans="3:28" s="10" customFormat="1" hidden="1" x14ac:dyDescent="0.25"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</row>
    <row r="63" spans="3:28" s="10" customFormat="1" hidden="1" x14ac:dyDescent="0.25"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</row>
    <row r="64" spans="3:28" s="10" customFormat="1" hidden="1" x14ac:dyDescent="0.25"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</row>
    <row r="65" spans="3:28" s="10" customFormat="1" hidden="1" x14ac:dyDescent="0.25"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</row>
    <row r="66" spans="3:28" s="10" customFormat="1" hidden="1" x14ac:dyDescent="0.25"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</row>
    <row r="67" spans="3:28" s="10" customFormat="1" hidden="1" x14ac:dyDescent="0.25"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</row>
    <row r="68" spans="3:28" s="10" customFormat="1" hidden="1" x14ac:dyDescent="0.25"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</row>
    <row r="69" spans="3:28" s="10" customFormat="1" hidden="1" x14ac:dyDescent="0.25"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</row>
    <row r="70" spans="3:28" s="10" customFormat="1" hidden="1" x14ac:dyDescent="0.25"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</row>
    <row r="71" spans="3:28" s="10" customFormat="1" hidden="1" x14ac:dyDescent="0.25"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</row>
    <row r="72" spans="3:28" s="10" customFormat="1" hidden="1" x14ac:dyDescent="0.25"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</row>
    <row r="73" spans="3:28" s="10" customFormat="1" hidden="1" x14ac:dyDescent="0.25"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</row>
    <row r="74" spans="3:28" s="10" customFormat="1" hidden="1" x14ac:dyDescent="0.25"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</row>
    <row r="75" spans="3:28" s="10" customFormat="1" hidden="1" x14ac:dyDescent="0.25"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</row>
    <row r="76" spans="3:28" s="10" customFormat="1" hidden="1" x14ac:dyDescent="0.25"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</row>
    <row r="77" spans="3:28" s="10" customFormat="1" hidden="1" x14ac:dyDescent="0.25"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</row>
    <row r="78" spans="3:28" s="10" customFormat="1" hidden="1" x14ac:dyDescent="0.25"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</row>
    <row r="79" spans="3:28" s="10" customFormat="1" hidden="1" x14ac:dyDescent="0.25"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</row>
    <row r="80" spans="3:28" s="10" customFormat="1" hidden="1" x14ac:dyDescent="0.25"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</row>
    <row r="81" spans="3:28" s="10" customFormat="1" hidden="1" x14ac:dyDescent="0.25"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</row>
    <row r="82" spans="3:28" s="10" customFormat="1" hidden="1" x14ac:dyDescent="0.25"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</row>
    <row r="83" spans="3:28" s="10" customFormat="1" hidden="1" x14ac:dyDescent="0.25"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</row>
    <row r="84" spans="3:28" s="10" customFormat="1" hidden="1" x14ac:dyDescent="0.25"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</row>
    <row r="85" spans="3:28" s="10" customFormat="1" hidden="1" x14ac:dyDescent="0.25"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</row>
    <row r="86" spans="3:28" s="10" customFormat="1" hidden="1" x14ac:dyDescent="0.25"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</row>
    <row r="87" spans="3:28" s="10" customFormat="1" hidden="1" x14ac:dyDescent="0.25"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</row>
    <row r="88" spans="3:28" s="10" customFormat="1" hidden="1" x14ac:dyDescent="0.25"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</row>
    <row r="89" spans="3:28" s="10" customFormat="1" hidden="1" x14ac:dyDescent="0.25"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</row>
    <row r="90" spans="3:28" s="10" customFormat="1" hidden="1" x14ac:dyDescent="0.25"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</row>
    <row r="91" spans="3:28" s="10" customFormat="1" hidden="1" x14ac:dyDescent="0.25"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</row>
    <row r="92" spans="3:28" s="10" customFormat="1" hidden="1" x14ac:dyDescent="0.25"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</row>
    <row r="93" spans="3:28" s="10" customFormat="1" hidden="1" x14ac:dyDescent="0.25"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</row>
    <row r="94" spans="3:28" s="10" customFormat="1" hidden="1" x14ac:dyDescent="0.25"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</row>
    <row r="95" spans="3:28" s="10" customFormat="1" hidden="1" x14ac:dyDescent="0.25"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</row>
    <row r="96" spans="3:28" hidden="1" x14ac:dyDescent="0.25"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</row>
    <row r="97" spans="3:28" hidden="1" x14ac:dyDescent="0.25"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</row>
    <row r="98" spans="3:28" hidden="1" x14ac:dyDescent="0.25"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</row>
    <row r="99" spans="3:28" hidden="1" x14ac:dyDescent="0.25"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</row>
    <row r="100" spans="3:28" hidden="1" x14ac:dyDescent="0.25"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</row>
    <row r="101" spans="3:28" hidden="1" x14ac:dyDescent="0.25"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</row>
    <row r="102" spans="3:28" hidden="1" x14ac:dyDescent="0.25"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</row>
    <row r="103" spans="3:28" hidden="1" x14ac:dyDescent="0.25"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</row>
    <row r="104" spans="3:28" hidden="1" x14ac:dyDescent="0.25"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</row>
    <row r="105" spans="3:28" hidden="1" x14ac:dyDescent="0.25"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</row>
    <row r="106" spans="3:28" hidden="1" x14ac:dyDescent="0.25"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</row>
    <row r="107" spans="3:28" hidden="1" x14ac:dyDescent="0.25"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</row>
    <row r="108" spans="3:28" hidden="1" x14ac:dyDescent="0.25"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</row>
    <row r="109" spans="3:28" hidden="1" x14ac:dyDescent="0.25"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</row>
    <row r="110" spans="3:28" hidden="1" x14ac:dyDescent="0.25"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</row>
    <row r="111" spans="3:28" hidden="1" x14ac:dyDescent="0.25"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</row>
    <row r="112" spans="3:28" hidden="1" x14ac:dyDescent="0.25"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</row>
    <row r="113" spans="3:28" hidden="1" x14ac:dyDescent="0.25"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</row>
    <row r="114" spans="3:28" hidden="1" x14ac:dyDescent="0.25"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</row>
    <row r="115" spans="3:28" hidden="1" x14ac:dyDescent="0.25"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</row>
    <row r="116" spans="3:28" hidden="1" x14ac:dyDescent="0.25"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</row>
    <row r="117" spans="3:28" hidden="1" x14ac:dyDescent="0.25"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</row>
    <row r="118" spans="3:28" hidden="1" x14ac:dyDescent="0.25"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</row>
    <row r="119" spans="3:28" hidden="1" x14ac:dyDescent="0.25"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</row>
    <row r="120" spans="3:28" hidden="1" x14ac:dyDescent="0.25"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</row>
    <row r="121" spans="3:28" hidden="1" x14ac:dyDescent="0.25"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</row>
    <row r="122" spans="3:28" hidden="1" x14ac:dyDescent="0.25"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</row>
    <row r="123" spans="3:28" hidden="1" x14ac:dyDescent="0.25"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</row>
    <row r="124" spans="3:28" hidden="1" x14ac:dyDescent="0.25"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</row>
    <row r="125" spans="3:28" hidden="1" x14ac:dyDescent="0.25"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</row>
    <row r="126" spans="3:28" hidden="1" x14ac:dyDescent="0.25"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</row>
    <row r="127" spans="3:28" hidden="1" x14ac:dyDescent="0.25"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</row>
    <row r="128" spans="3:28" hidden="1" x14ac:dyDescent="0.25"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</row>
    <row r="129" spans="3:28" hidden="1" x14ac:dyDescent="0.25"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</row>
    <row r="130" spans="3:28" hidden="1" x14ac:dyDescent="0.25"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</row>
    <row r="131" spans="3:28" hidden="1" x14ac:dyDescent="0.25"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</row>
    <row r="132" spans="3:28" hidden="1" x14ac:dyDescent="0.25"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</row>
    <row r="133" spans="3:28" hidden="1" x14ac:dyDescent="0.25"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</row>
    <row r="134" spans="3:28" hidden="1" x14ac:dyDescent="0.25"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</row>
    <row r="135" spans="3:28" hidden="1" x14ac:dyDescent="0.25"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</row>
    <row r="136" spans="3:28" hidden="1" x14ac:dyDescent="0.25"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</row>
    <row r="137" spans="3:28" hidden="1" x14ac:dyDescent="0.25"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</row>
    <row r="138" spans="3:28" hidden="1" x14ac:dyDescent="0.25"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</row>
    <row r="139" spans="3:28" hidden="1" x14ac:dyDescent="0.25"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</row>
    <row r="140" spans="3:28" hidden="1" x14ac:dyDescent="0.25"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</row>
    <row r="141" spans="3:28" hidden="1" x14ac:dyDescent="0.25"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</row>
    <row r="142" spans="3:28" hidden="1" x14ac:dyDescent="0.25"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</row>
    <row r="143" spans="3:28" hidden="1" x14ac:dyDescent="0.25"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</row>
    <row r="144" spans="3:28" hidden="1" x14ac:dyDescent="0.25"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</row>
    <row r="145" spans="3:28" hidden="1" x14ac:dyDescent="0.25"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</row>
    <row r="146" spans="3:28" hidden="1" x14ac:dyDescent="0.25"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</row>
    <row r="147" spans="3:28" hidden="1" x14ac:dyDescent="0.25"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</row>
    <row r="148" spans="3:28" hidden="1" x14ac:dyDescent="0.25"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</row>
    <row r="149" spans="3:28" hidden="1" x14ac:dyDescent="0.25"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</row>
    <row r="150" spans="3:28" hidden="1" x14ac:dyDescent="0.25"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</row>
    <row r="151" spans="3:28" hidden="1" x14ac:dyDescent="0.25"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</row>
    <row r="152" spans="3:28" hidden="1" x14ac:dyDescent="0.25"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</row>
    <row r="153" spans="3:28" hidden="1" x14ac:dyDescent="0.25"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</row>
    <row r="154" spans="3:28" hidden="1" x14ac:dyDescent="0.25"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</row>
    <row r="155" spans="3:28" hidden="1" x14ac:dyDescent="0.25"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</row>
    <row r="156" spans="3:28" hidden="1" x14ac:dyDescent="0.25"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</row>
    <row r="157" spans="3:28" hidden="1" x14ac:dyDescent="0.25"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</row>
    <row r="158" spans="3:28" hidden="1" x14ac:dyDescent="0.25"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</row>
    <row r="159" spans="3:28" hidden="1" x14ac:dyDescent="0.25"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</row>
    <row r="160" spans="3:28" hidden="1" x14ac:dyDescent="0.25"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</row>
    <row r="161" spans="3:28" hidden="1" x14ac:dyDescent="0.25"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</row>
    <row r="162" spans="3:28" hidden="1" x14ac:dyDescent="0.25"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</row>
    <row r="163" spans="3:28" hidden="1" x14ac:dyDescent="0.25"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</row>
    <row r="164" spans="3:28" hidden="1" x14ac:dyDescent="0.25"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</row>
    <row r="165" spans="3:28" hidden="1" x14ac:dyDescent="0.25"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</row>
    <row r="166" spans="3:28" hidden="1" x14ac:dyDescent="0.25"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</row>
    <row r="167" spans="3:28" hidden="1" x14ac:dyDescent="0.25"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</row>
    <row r="168" spans="3:28" hidden="1" x14ac:dyDescent="0.25"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</row>
    <row r="169" spans="3:28" hidden="1" x14ac:dyDescent="0.25"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</row>
    <row r="170" spans="3:28" hidden="1" x14ac:dyDescent="0.25"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</row>
    <row r="171" spans="3:28" hidden="1" x14ac:dyDescent="0.25"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</row>
    <row r="172" spans="3:28" hidden="1" x14ac:dyDescent="0.25"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</row>
    <row r="173" spans="3:28" hidden="1" x14ac:dyDescent="0.25"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</row>
    <row r="174" spans="3:28" hidden="1" x14ac:dyDescent="0.25"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</row>
    <row r="175" spans="3:28" hidden="1" x14ac:dyDescent="0.25"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</row>
    <row r="176" spans="3:28" hidden="1" x14ac:dyDescent="0.25"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</row>
    <row r="177" spans="3:28" hidden="1" x14ac:dyDescent="0.25"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</row>
    <row r="178" spans="3:28" hidden="1" x14ac:dyDescent="0.25"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</row>
    <row r="179" spans="3:28" hidden="1" x14ac:dyDescent="0.25"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</row>
    <row r="180" spans="3:28" hidden="1" x14ac:dyDescent="0.25"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</row>
    <row r="181" spans="3:28" hidden="1" x14ac:dyDescent="0.25"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</row>
    <row r="182" spans="3:28" hidden="1" x14ac:dyDescent="0.25"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</row>
    <row r="183" spans="3:28" hidden="1" x14ac:dyDescent="0.25"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</row>
    <row r="184" spans="3:28" hidden="1" x14ac:dyDescent="0.25"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</row>
    <row r="185" spans="3:28" hidden="1" x14ac:dyDescent="0.25"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</row>
    <row r="186" spans="3:28" hidden="1" x14ac:dyDescent="0.25"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</row>
    <row r="187" spans="3:28" hidden="1" x14ac:dyDescent="0.25"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</row>
    <row r="188" spans="3:28" hidden="1" x14ac:dyDescent="0.25"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</row>
    <row r="189" spans="3:28" hidden="1" x14ac:dyDescent="0.25"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</row>
    <row r="190" spans="3:28" hidden="1" x14ac:dyDescent="0.25"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</row>
    <row r="191" spans="3:28" hidden="1" x14ac:dyDescent="0.25"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</row>
    <row r="192" spans="3:28" hidden="1" x14ac:dyDescent="0.25"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</row>
    <row r="193" spans="3:28" hidden="1" x14ac:dyDescent="0.25"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</row>
    <row r="194" spans="3:28" hidden="1" x14ac:dyDescent="0.25"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</row>
    <row r="195" spans="3:28" hidden="1" x14ac:dyDescent="0.25"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</row>
    <row r="196" spans="3:28" hidden="1" x14ac:dyDescent="0.25"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</row>
    <row r="197" spans="3:28" hidden="1" x14ac:dyDescent="0.25"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</row>
    <row r="198" spans="3:28" hidden="1" x14ac:dyDescent="0.25"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</row>
    <row r="199" spans="3:28" hidden="1" x14ac:dyDescent="0.25"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</row>
    <row r="200" spans="3:28" hidden="1" x14ac:dyDescent="0.25"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</row>
    <row r="202" spans="3:28" x14ac:dyDescent="0.25">
      <c r="C202" s="93" t="s">
        <v>48</v>
      </c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5"/>
    </row>
    <row r="203" spans="3:28" x14ac:dyDescent="0.25">
      <c r="C203" s="96" t="str">
        <f>IFERROR(VLOOKUP(Form_NroND,'NDs REGISTRADAS'!$C$7:$N$1000,12,FALSE),"")</f>
        <v/>
      </c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</row>
    <row r="204" spans="3:28" x14ac:dyDescent="0.25">
      <c r="C204" s="96"/>
      <c r="D204" s="96"/>
      <c r="E204" s="96"/>
      <c r="F204" s="96"/>
      <c r="G204" s="96"/>
      <c r="H204" s="96"/>
      <c r="I204" s="96"/>
      <c r="J204" s="96"/>
      <c r="K204" s="96"/>
      <c r="L204" s="96"/>
      <c r="M204" s="96"/>
      <c r="N204" s="96"/>
      <c r="O204" s="96"/>
      <c r="P204" s="96"/>
      <c r="Q204" s="96"/>
      <c r="R204" s="96"/>
      <c r="S204" s="96"/>
      <c r="T204" s="96"/>
      <c r="U204" s="96"/>
      <c r="V204" s="96"/>
      <c r="W204" s="96"/>
      <c r="X204" s="96"/>
      <c r="Y204" s="96"/>
      <c r="Z204" s="96"/>
      <c r="AA204" s="96"/>
      <c r="AB204" s="96"/>
    </row>
    <row r="205" spans="3:28" x14ac:dyDescent="0.25">
      <c r="C205" s="96"/>
      <c r="D205" s="96"/>
      <c r="E205" s="96"/>
      <c r="F205" s="96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  <c r="T205" s="96"/>
      <c r="U205" s="96"/>
      <c r="V205" s="96"/>
      <c r="W205" s="96"/>
      <c r="X205" s="96"/>
      <c r="Y205" s="96"/>
      <c r="Z205" s="96"/>
      <c r="AA205" s="96"/>
      <c r="AB205" s="96"/>
    </row>
  </sheetData>
  <mergeCells count="931">
    <mergeCell ref="C2:U5"/>
    <mergeCell ref="C6:U7"/>
    <mergeCell ref="AF2:AG2"/>
    <mergeCell ref="C19:D20"/>
    <mergeCell ref="E19:U20"/>
    <mergeCell ref="V19:AB19"/>
    <mergeCell ref="Z20:AB20"/>
    <mergeCell ref="X20:Y20"/>
    <mergeCell ref="V20:W20"/>
    <mergeCell ref="C17:AB17"/>
    <mergeCell ref="C16:AB16"/>
    <mergeCell ref="Z3:AB4"/>
    <mergeCell ref="Z2:AB2"/>
    <mergeCell ref="V2:Y4"/>
    <mergeCell ref="Z21:AB21"/>
    <mergeCell ref="X21:Y21"/>
    <mergeCell ref="V21:W21"/>
    <mergeCell ref="E21:U21"/>
    <mergeCell ref="C21:D21"/>
    <mergeCell ref="V9:Y10"/>
    <mergeCell ref="V5:Y6"/>
    <mergeCell ref="C22:D22"/>
    <mergeCell ref="E22:U22"/>
    <mergeCell ref="V22:W22"/>
    <mergeCell ref="X22:Y22"/>
    <mergeCell ref="V12:AB12"/>
    <mergeCell ref="V11:AB11"/>
    <mergeCell ref="Z9:AB10"/>
    <mergeCell ref="Z7:AB8"/>
    <mergeCell ref="Z5:AB6"/>
    <mergeCell ref="C12:U12"/>
    <mergeCell ref="C11:U11"/>
    <mergeCell ref="C10:U10"/>
    <mergeCell ref="C9:U9"/>
    <mergeCell ref="C8:U8"/>
    <mergeCell ref="V7:Y8"/>
    <mergeCell ref="C15:AB15"/>
    <mergeCell ref="C14:AB14"/>
    <mergeCell ref="C24:D24"/>
    <mergeCell ref="E24:U24"/>
    <mergeCell ref="V24:W24"/>
    <mergeCell ref="X24:Y24"/>
    <mergeCell ref="Z24:AB24"/>
    <mergeCell ref="Z22:AB22"/>
    <mergeCell ref="C23:D23"/>
    <mergeCell ref="E23:U23"/>
    <mergeCell ref="V23:W23"/>
    <mergeCell ref="X23:Y23"/>
    <mergeCell ref="Z23:AB23"/>
    <mergeCell ref="C26:D26"/>
    <mergeCell ref="E26:U26"/>
    <mergeCell ref="V26:W26"/>
    <mergeCell ref="X26:Y26"/>
    <mergeCell ref="Z26:AB26"/>
    <mergeCell ref="C25:D25"/>
    <mergeCell ref="E25:U25"/>
    <mergeCell ref="V25:W25"/>
    <mergeCell ref="X25:Y25"/>
    <mergeCell ref="Z25:AB25"/>
    <mergeCell ref="C28:D28"/>
    <mergeCell ref="E28:U28"/>
    <mergeCell ref="V28:W28"/>
    <mergeCell ref="X28:Y28"/>
    <mergeCell ref="Z28:AB28"/>
    <mergeCell ref="C27:D27"/>
    <mergeCell ref="E27:U27"/>
    <mergeCell ref="V27:W27"/>
    <mergeCell ref="X27:Y27"/>
    <mergeCell ref="Z27:AB27"/>
    <mergeCell ref="C30:D30"/>
    <mergeCell ref="E30:U30"/>
    <mergeCell ref="V30:W30"/>
    <mergeCell ref="X30:Y30"/>
    <mergeCell ref="Z30:AB30"/>
    <mergeCell ref="C29:D29"/>
    <mergeCell ref="E29:U29"/>
    <mergeCell ref="V29:W29"/>
    <mergeCell ref="X29:Y29"/>
    <mergeCell ref="Z29:AB29"/>
    <mergeCell ref="C32:D32"/>
    <mergeCell ref="E32:U32"/>
    <mergeCell ref="V32:W32"/>
    <mergeCell ref="X32:Y32"/>
    <mergeCell ref="Z32:AB32"/>
    <mergeCell ref="C31:D31"/>
    <mergeCell ref="E31:U31"/>
    <mergeCell ref="V31:W31"/>
    <mergeCell ref="X31:Y31"/>
    <mergeCell ref="Z31:AB31"/>
    <mergeCell ref="C34:D34"/>
    <mergeCell ref="E34:U34"/>
    <mergeCell ref="V34:W34"/>
    <mergeCell ref="X34:Y34"/>
    <mergeCell ref="Z34:AB34"/>
    <mergeCell ref="C33:D33"/>
    <mergeCell ref="E33:U33"/>
    <mergeCell ref="V33:W33"/>
    <mergeCell ref="X33:Y33"/>
    <mergeCell ref="Z33:AB33"/>
    <mergeCell ref="C36:D36"/>
    <mergeCell ref="E36:U36"/>
    <mergeCell ref="V36:W36"/>
    <mergeCell ref="X36:Y36"/>
    <mergeCell ref="Z36:AB36"/>
    <mergeCell ref="C35:D35"/>
    <mergeCell ref="E35:U35"/>
    <mergeCell ref="V35:W35"/>
    <mergeCell ref="X35:Y35"/>
    <mergeCell ref="Z35:AB35"/>
    <mergeCell ref="C38:D38"/>
    <mergeCell ref="E38:U38"/>
    <mergeCell ref="V38:W38"/>
    <mergeCell ref="X38:Y38"/>
    <mergeCell ref="Z38:AB38"/>
    <mergeCell ref="C37:D37"/>
    <mergeCell ref="E37:U37"/>
    <mergeCell ref="V37:W37"/>
    <mergeCell ref="X37:Y37"/>
    <mergeCell ref="Z37:AB37"/>
    <mergeCell ref="C40:D40"/>
    <mergeCell ref="E40:U40"/>
    <mergeCell ref="V40:W40"/>
    <mergeCell ref="X40:Y40"/>
    <mergeCell ref="Z40:AB40"/>
    <mergeCell ref="C39:D39"/>
    <mergeCell ref="E39:U39"/>
    <mergeCell ref="V39:W39"/>
    <mergeCell ref="X39:Y39"/>
    <mergeCell ref="Z39:AB39"/>
    <mergeCell ref="C42:D42"/>
    <mergeCell ref="E42:U42"/>
    <mergeCell ref="V42:W42"/>
    <mergeCell ref="X42:Y42"/>
    <mergeCell ref="Z42:AB42"/>
    <mergeCell ref="C41:D41"/>
    <mergeCell ref="E41:U41"/>
    <mergeCell ref="V41:W41"/>
    <mergeCell ref="X41:Y41"/>
    <mergeCell ref="Z41:AB41"/>
    <mergeCell ref="C44:D44"/>
    <mergeCell ref="E44:U44"/>
    <mergeCell ref="V44:W44"/>
    <mergeCell ref="X44:Y44"/>
    <mergeCell ref="Z44:AB44"/>
    <mergeCell ref="C43:D43"/>
    <mergeCell ref="E43:U43"/>
    <mergeCell ref="V43:W43"/>
    <mergeCell ref="X43:Y43"/>
    <mergeCell ref="Z43:AB43"/>
    <mergeCell ref="C46:D46"/>
    <mergeCell ref="E46:U46"/>
    <mergeCell ref="V46:W46"/>
    <mergeCell ref="X46:Y46"/>
    <mergeCell ref="Z46:AB46"/>
    <mergeCell ref="C45:D45"/>
    <mergeCell ref="E45:U45"/>
    <mergeCell ref="V45:W45"/>
    <mergeCell ref="X45:Y45"/>
    <mergeCell ref="Z45:AB45"/>
    <mergeCell ref="C48:D48"/>
    <mergeCell ref="E48:U48"/>
    <mergeCell ref="V48:W48"/>
    <mergeCell ref="X48:Y48"/>
    <mergeCell ref="Z48:AB48"/>
    <mergeCell ref="C47:D47"/>
    <mergeCell ref="E47:U47"/>
    <mergeCell ref="V47:W47"/>
    <mergeCell ref="X47:Y47"/>
    <mergeCell ref="Z47:AB47"/>
    <mergeCell ref="C50:D50"/>
    <mergeCell ref="E50:U50"/>
    <mergeCell ref="V50:W50"/>
    <mergeCell ref="X50:Y50"/>
    <mergeCell ref="Z50:AB50"/>
    <mergeCell ref="C49:D49"/>
    <mergeCell ref="E49:U49"/>
    <mergeCell ref="V49:W49"/>
    <mergeCell ref="X49:Y49"/>
    <mergeCell ref="Z49:AB49"/>
    <mergeCell ref="C52:D52"/>
    <mergeCell ref="E52:U52"/>
    <mergeCell ref="V52:W52"/>
    <mergeCell ref="X52:Y52"/>
    <mergeCell ref="Z52:AB52"/>
    <mergeCell ref="C51:D51"/>
    <mergeCell ref="E51:U51"/>
    <mergeCell ref="V51:W51"/>
    <mergeCell ref="X51:Y51"/>
    <mergeCell ref="Z51:AB51"/>
    <mergeCell ref="C54:D54"/>
    <mergeCell ref="E54:U54"/>
    <mergeCell ref="V54:W54"/>
    <mergeCell ref="X54:Y54"/>
    <mergeCell ref="Z54:AB54"/>
    <mergeCell ref="C53:D53"/>
    <mergeCell ref="E53:U53"/>
    <mergeCell ref="V53:W53"/>
    <mergeCell ref="X53:Y53"/>
    <mergeCell ref="Z53:AB53"/>
    <mergeCell ref="C56:D56"/>
    <mergeCell ref="E56:U56"/>
    <mergeCell ref="V56:W56"/>
    <mergeCell ref="X56:Y56"/>
    <mergeCell ref="Z56:AB56"/>
    <mergeCell ref="C55:D55"/>
    <mergeCell ref="E55:U55"/>
    <mergeCell ref="V55:W55"/>
    <mergeCell ref="X55:Y55"/>
    <mergeCell ref="Z55:AB55"/>
    <mergeCell ref="C58:D58"/>
    <mergeCell ref="E58:U58"/>
    <mergeCell ref="V58:W58"/>
    <mergeCell ref="X58:Y58"/>
    <mergeCell ref="Z58:AB58"/>
    <mergeCell ref="C57:D57"/>
    <mergeCell ref="E57:U57"/>
    <mergeCell ref="V57:W57"/>
    <mergeCell ref="X57:Y57"/>
    <mergeCell ref="Z57:AB57"/>
    <mergeCell ref="C60:D60"/>
    <mergeCell ref="E60:U60"/>
    <mergeCell ref="V60:W60"/>
    <mergeCell ref="X60:Y60"/>
    <mergeCell ref="Z60:AB60"/>
    <mergeCell ref="C59:D59"/>
    <mergeCell ref="E59:U59"/>
    <mergeCell ref="V59:W59"/>
    <mergeCell ref="X59:Y59"/>
    <mergeCell ref="Z59:AB59"/>
    <mergeCell ref="C62:D62"/>
    <mergeCell ref="E62:U62"/>
    <mergeCell ref="V62:W62"/>
    <mergeCell ref="X62:Y62"/>
    <mergeCell ref="Z62:AB62"/>
    <mergeCell ref="C61:D61"/>
    <mergeCell ref="E61:U61"/>
    <mergeCell ref="V61:W61"/>
    <mergeCell ref="X61:Y61"/>
    <mergeCell ref="Z61:AB61"/>
    <mergeCell ref="C64:D64"/>
    <mergeCell ref="E64:U64"/>
    <mergeCell ref="V64:W64"/>
    <mergeCell ref="X64:Y64"/>
    <mergeCell ref="Z64:AB64"/>
    <mergeCell ref="C63:D63"/>
    <mergeCell ref="E63:U63"/>
    <mergeCell ref="V63:W63"/>
    <mergeCell ref="X63:Y63"/>
    <mergeCell ref="Z63:AB63"/>
    <mergeCell ref="C66:D66"/>
    <mergeCell ref="E66:U66"/>
    <mergeCell ref="V66:W66"/>
    <mergeCell ref="X66:Y66"/>
    <mergeCell ref="Z66:AB66"/>
    <mergeCell ref="C65:D65"/>
    <mergeCell ref="E65:U65"/>
    <mergeCell ref="V65:W65"/>
    <mergeCell ref="X65:Y65"/>
    <mergeCell ref="Z65:AB65"/>
    <mergeCell ref="C68:D68"/>
    <mergeCell ref="E68:U68"/>
    <mergeCell ref="V68:W68"/>
    <mergeCell ref="X68:Y68"/>
    <mergeCell ref="Z68:AB68"/>
    <mergeCell ref="C67:D67"/>
    <mergeCell ref="E67:U67"/>
    <mergeCell ref="V67:W67"/>
    <mergeCell ref="X67:Y67"/>
    <mergeCell ref="Z67:AB67"/>
    <mergeCell ref="C70:D70"/>
    <mergeCell ref="E70:U70"/>
    <mergeCell ref="V70:W70"/>
    <mergeCell ref="X70:Y70"/>
    <mergeCell ref="Z70:AB70"/>
    <mergeCell ref="C69:D69"/>
    <mergeCell ref="E69:U69"/>
    <mergeCell ref="V69:W69"/>
    <mergeCell ref="X69:Y69"/>
    <mergeCell ref="Z69:AB69"/>
    <mergeCell ref="C72:D72"/>
    <mergeCell ref="E72:U72"/>
    <mergeCell ref="V72:W72"/>
    <mergeCell ref="X72:Y72"/>
    <mergeCell ref="Z72:AB72"/>
    <mergeCell ref="C71:D71"/>
    <mergeCell ref="E71:U71"/>
    <mergeCell ref="V71:W71"/>
    <mergeCell ref="X71:Y71"/>
    <mergeCell ref="Z71:AB71"/>
    <mergeCell ref="C74:D74"/>
    <mergeCell ref="E74:U74"/>
    <mergeCell ref="V74:W74"/>
    <mergeCell ref="X74:Y74"/>
    <mergeCell ref="Z74:AB74"/>
    <mergeCell ref="C73:D73"/>
    <mergeCell ref="E73:U73"/>
    <mergeCell ref="V73:W73"/>
    <mergeCell ref="X73:Y73"/>
    <mergeCell ref="Z73:AB73"/>
    <mergeCell ref="C76:D76"/>
    <mergeCell ref="E76:U76"/>
    <mergeCell ref="V76:W76"/>
    <mergeCell ref="X76:Y76"/>
    <mergeCell ref="Z76:AB76"/>
    <mergeCell ref="C75:D75"/>
    <mergeCell ref="E75:U75"/>
    <mergeCell ref="V75:W75"/>
    <mergeCell ref="X75:Y75"/>
    <mergeCell ref="Z75:AB75"/>
    <mergeCell ref="C78:D78"/>
    <mergeCell ref="E78:U78"/>
    <mergeCell ref="V78:W78"/>
    <mergeCell ref="X78:Y78"/>
    <mergeCell ref="Z78:AB78"/>
    <mergeCell ref="C77:D77"/>
    <mergeCell ref="E77:U77"/>
    <mergeCell ref="V77:W77"/>
    <mergeCell ref="X77:Y77"/>
    <mergeCell ref="Z77:AB77"/>
    <mergeCell ref="C80:D80"/>
    <mergeCell ref="E80:U80"/>
    <mergeCell ref="V80:W80"/>
    <mergeCell ref="X80:Y80"/>
    <mergeCell ref="Z80:AB80"/>
    <mergeCell ref="C79:D79"/>
    <mergeCell ref="E79:U79"/>
    <mergeCell ref="V79:W79"/>
    <mergeCell ref="X79:Y79"/>
    <mergeCell ref="Z79:AB79"/>
    <mergeCell ref="C82:D82"/>
    <mergeCell ref="E82:U82"/>
    <mergeCell ref="V82:W82"/>
    <mergeCell ref="X82:Y82"/>
    <mergeCell ref="Z82:AB82"/>
    <mergeCell ref="C81:D81"/>
    <mergeCell ref="E81:U81"/>
    <mergeCell ref="V81:W81"/>
    <mergeCell ref="X81:Y81"/>
    <mergeCell ref="Z81:AB81"/>
    <mergeCell ref="C84:D84"/>
    <mergeCell ref="E84:U84"/>
    <mergeCell ref="V84:W84"/>
    <mergeCell ref="X84:Y84"/>
    <mergeCell ref="Z84:AB84"/>
    <mergeCell ref="C83:D83"/>
    <mergeCell ref="E83:U83"/>
    <mergeCell ref="V83:W83"/>
    <mergeCell ref="X83:Y83"/>
    <mergeCell ref="Z83:AB83"/>
    <mergeCell ref="C86:D86"/>
    <mergeCell ref="E86:U86"/>
    <mergeCell ref="V86:W86"/>
    <mergeCell ref="X86:Y86"/>
    <mergeCell ref="Z86:AB86"/>
    <mergeCell ref="C85:D85"/>
    <mergeCell ref="E85:U85"/>
    <mergeCell ref="V85:W85"/>
    <mergeCell ref="X85:Y85"/>
    <mergeCell ref="Z85:AB85"/>
    <mergeCell ref="C88:D88"/>
    <mergeCell ref="E88:U88"/>
    <mergeCell ref="V88:W88"/>
    <mergeCell ref="X88:Y88"/>
    <mergeCell ref="Z88:AB88"/>
    <mergeCell ref="C87:D87"/>
    <mergeCell ref="E87:U87"/>
    <mergeCell ref="V87:W87"/>
    <mergeCell ref="X87:Y87"/>
    <mergeCell ref="Z87:AB87"/>
    <mergeCell ref="C90:D90"/>
    <mergeCell ref="E90:U90"/>
    <mergeCell ref="V90:W90"/>
    <mergeCell ref="X90:Y90"/>
    <mergeCell ref="Z90:AB90"/>
    <mergeCell ref="C89:D89"/>
    <mergeCell ref="E89:U89"/>
    <mergeCell ref="V89:W89"/>
    <mergeCell ref="X89:Y89"/>
    <mergeCell ref="Z89:AB89"/>
    <mergeCell ref="C92:D92"/>
    <mergeCell ref="E92:U92"/>
    <mergeCell ref="V92:W92"/>
    <mergeCell ref="X92:Y92"/>
    <mergeCell ref="Z92:AB92"/>
    <mergeCell ref="C91:D91"/>
    <mergeCell ref="E91:U91"/>
    <mergeCell ref="V91:W91"/>
    <mergeCell ref="X91:Y91"/>
    <mergeCell ref="Z91:AB91"/>
    <mergeCell ref="C94:D94"/>
    <mergeCell ref="E94:U94"/>
    <mergeCell ref="V94:W94"/>
    <mergeCell ref="X94:Y94"/>
    <mergeCell ref="Z94:AB94"/>
    <mergeCell ref="C93:D93"/>
    <mergeCell ref="E93:U93"/>
    <mergeCell ref="V93:W93"/>
    <mergeCell ref="X93:Y93"/>
    <mergeCell ref="Z93:AB93"/>
    <mergeCell ref="C96:D96"/>
    <mergeCell ref="E96:U96"/>
    <mergeCell ref="V96:W96"/>
    <mergeCell ref="X96:Y96"/>
    <mergeCell ref="Z96:AB96"/>
    <mergeCell ref="C95:D95"/>
    <mergeCell ref="E95:U95"/>
    <mergeCell ref="V95:W95"/>
    <mergeCell ref="X95:Y95"/>
    <mergeCell ref="Z95:AB95"/>
    <mergeCell ref="C98:D98"/>
    <mergeCell ref="E98:U98"/>
    <mergeCell ref="V98:W98"/>
    <mergeCell ref="X98:Y98"/>
    <mergeCell ref="Z98:AB98"/>
    <mergeCell ref="C97:D97"/>
    <mergeCell ref="E97:U97"/>
    <mergeCell ref="V97:W97"/>
    <mergeCell ref="X97:Y97"/>
    <mergeCell ref="Z97:AB97"/>
    <mergeCell ref="C100:D100"/>
    <mergeCell ref="E100:U100"/>
    <mergeCell ref="V100:W100"/>
    <mergeCell ref="X100:Y100"/>
    <mergeCell ref="Z100:AB100"/>
    <mergeCell ref="C99:D99"/>
    <mergeCell ref="E99:U99"/>
    <mergeCell ref="V99:W99"/>
    <mergeCell ref="X99:Y99"/>
    <mergeCell ref="Z99:AB99"/>
    <mergeCell ref="C102:D102"/>
    <mergeCell ref="E102:U102"/>
    <mergeCell ref="V102:W102"/>
    <mergeCell ref="X102:Y102"/>
    <mergeCell ref="Z102:AB102"/>
    <mergeCell ref="C101:D101"/>
    <mergeCell ref="E101:U101"/>
    <mergeCell ref="V101:W101"/>
    <mergeCell ref="X101:Y101"/>
    <mergeCell ref="Z101:AB101"/>
    <mergeCell ref="C104:D104"/>
    <mergeCell ref="E104:U104"/>
    <mergeCell ref="V104:W104"/>
    <mergeCell ref="X104:Y104"/>
    <mergeCell ref="Z104:AB104"/>
    <mergeCell ref="C103:D103"/>
    <mergeCell ref="E103:U103"/>
    <mergeCell ref="V103:W103"/>
    <mergeCell ref="X103:Y103"/>
    <mergeCell ref="Z103:AB103"/>
    <mergeCell ref="C106:D106"/>
    <mergeCell ref="E106:U106"/>
    <mergeCell ref="V106:W106"/>
    <mergeCell ref="X106:Y106"/>
    <mergeCell ref="Z106:AB106"/>
    <mergeCell ref="C105:D105"/>
    <mergeCell ref="E105:U105"/>
    <mergeCell ref="V105:W105"/>
    <mergeCell ref="X105:Y105"/>
    <mergeCell ref="Z105:AB105"/>
    <mergeCell ref="C108:D108"/>
    <mergeCell ref="E108:U108"/>
    <mergeCell ref="V108:W108"/>
    <mergeCell ref="X108:Y108"/>
    <mergeCell ref="Z108:AB108"/>
    <mergeCell ref="C107:D107"/>
    <mergeCell ref="E107:U107"/>
    <mergeCell ref="V107:W107"/>
    <mergeCell ref="X107:Y107"/>
    <mergeCell ref="Z107:AB107"/>
    <mergeCell ref="C110:D110"/>
    <mergeCell ref="E110:U110"/>
    <mergeCell ref="V110:W110"/>
    <mergeCell ref="X110:Y110"/>
    <mergeCell ref="Z110:AB110"/>
    <mergeCell ref="C109:D109"/>
    <mergeCell ref="E109:U109"/>
    <mergeCell ref="V109:W109"/>
    <mergeCell ref="X109:Y109"/>
    <mergeCell ref="Z109:AB109"/>
    <mergeCell ref="C112:D112"/>
    <mergeCell ref="E112:U112"/>
    <mergeCell ref="V112:W112"/>
    <mergeCell ref="X112:Y112"/>
    <mergeCell ref="Z112:AB112"/>
    <mergeCell ref="C111:D111"/>
    <mergeCell ref="E111:U111"/>
    <mergeCell ref="V111:W111"/>
    <mergeCell ref="X111:Y111"/>
    <mergeCell ref="Z111:AB111"/>
    <mergeCell ref="C114:D114"/>
    <mergeCell ref="E114:U114"/>
    <mergeCell ref="V114:W114"/>
    <mergeCell ref="X114:Y114"/>
    <mergeCell ref="Z114:AB114"/>
    <mergeCell ref="C113:D113"/>
    <mergeCell ref="E113:U113"/>
    <mergeCell ref="V113:W113"/>
    <mergeCell ref="X113:Y113"/>
    <mergeCell ref="Z113:AB113"/>
    <mergeCell ref="C116:D116"/>
    <mergeCell ref="E116:U116"/>
    <mergeCell ref="V116:W116"/>
    <mergeCell ref="X116:Y116"/>
    <mergeCell ref="Z116:AB116"/>
    <mergeCell ref="C115:D115"/>
    <mergeCell ref="E115:U115"/>
    <mergeCell ref="V115:W115"/>
    <mergeCell ref="X115:Y115"/>
    <mergeCell ref="Z115:AB115"/>
    <mergeCell ref="C118:D118"/>
    <mergeCell ref="E118:U118"/>
    <mergeCell ref="V118:W118"/>
    <mergeCell ref="X118:Y118"/>
    <mergeCell ref="Z118:AB118"/>
    <mergeCell ref="C117:D117"/>
    <mergeCell ref="E117:U117"/>
    <mergeCell ref="V117:W117"/>
    <mergeCell ref="X117:Y117"/>
    <mergeCell ref="Z117:AB117"/>
    <mergeCell ref="C120:D120"/>
    <mergeCell ref="E120:U120"/>
    <mergeCell ref="V120:W120"/>
    <mergeCell ref="X120:Y120"/>
    <mergeCell ref="Z120:AB120"/>
    <mergeCell ref="C119:D119"/>
    <mergeCell ref="E119:U119"/>
    <mergeCell ref="V119:W119"/>
    <mergeCell ref="X119:Y119"/>
    <mergeCell ref="Z119:AB119"/>
    <mergeCell ref="C122:D122"/>
    <mergeCell ref="E122:U122"/>
    <mergeCell ref="V122:W122"/>
    <mergeCell ref="X122:Y122"/>
    <mergeCell ref="Z122:AB122"/>
    <mergeCell ref="C121:D121"/>
    <mergeCell ref="E121:U121"/>
    <mergeCell ref="V121:W121"/>
    <mergeCell ref="X121:Y121"/>
    <mergeCell ref="Z121:AB121"/>
    <mergeCell ref="C124:D124"/>
    <mergeCell ref="E124:U124"/>
    <mergeCell ref="V124:W124"/>
    <mergeCell ref="X124:Y124"/>
    <mergeCell ref="Z124:AB124"/>
    <mergeCell ref="C123:D123"/>
    <mergeCell ref="E123:U123"/>
    <mergeCell ref="V123:W123"/>
    <mergeCell ref="X123:Y123"/>
    <mergeCell ref="Z123:AB123"/>
    <mergeCell ref="C126:D126"/>
    <mergeCell ref="E126:U126"/>
    <mergeCell ref="V126:W126"/>
    <mergeCell ref="X126:Y126"/>
    <mergeCell ref="Z126:AB126"/>
    <mergeCell ref="C125:D125"/>
    <mergeCell ref="E125:U125"/>
    <mergeCell ref="V125:W125"/>
    <mergeCell ref="X125:Y125"/>
    <mergeCell ref="Z125:AB125"/>
    <mergeCell ref="C128:D128"/>
    <mergeCell ref="E128:U128"/>
    <mergeCell ref="V128:W128"/>
    <mergeCell ref="X128:Y128"/>
    <mergeCell ref="Z128:AB128"/>
    <mergeCell ref="C127:D127"/>
    <mergeCell ref="E127:U127"/>
    <mergeCell ref="V127:W127"/>
    <mergeCell ref="X127:Y127"/>
    <mergeCell ref="Z127:AB127"/>
    <mergeCell ref="C130:D130"/>
    <mergeCell ref="E130:U130"/>
    <mergeCell ref="V130:W130"/>
    <mergeCell ref="X130:Y130"/>
    <mergeCell ref="Z130:AB130"/>
    <mergeCell ref="C129:D129"/>
    <mergeCell ref="E129:U129"/>
    <mergeCell ref="V129:W129"/>
    <mergeCell ref="X129:Y129"/>
    <mergeCell ref="Z129:AB129"/>
    <mergeCell ref="C132:D132"/>
    <mergeCell ref="E132:U132"/>
    <mergeCell ref="V132:W132"/>
    <mergeCell ref="X132:Y132"/>
    <mergeCell ref="Z132:AB132"/>
    <mergeCell ref="C131:D131"/>
    <mergeCell ref="E131:U131"/>
    <mergeCell ref="V131:W131"/>
    <mergeCell ref="X131:Y131"/>
    <mergeCell ref="Z131:AB131"/>
    <mergeCell ref="C134:D134"/>
    <mergeCell ref="E134:U134"/>
    <mergeCell ref="V134:W134"/>
    <mergeCell ref="X134:Y134"/>
    <mergeCell ref="Z134:AB134"/>
    <mergeCell ref="C133:D133"/>
    <mergeCell ref="E133:U133"/>
    <mergeCell ref="V133:W133"/>
    <mergeCell ref="X133:Y133"/>
    <mergeCell ref="Z133:AB133"/>
    <mergeCell ref="C136:D136"/>
    <mergeCell ref="E136:U136"/>
    <mergeCell ref="V136:W136"/>
    <mergeCell ref="X136:Y136"/>
    <mergeCell ref="Z136:AB136"/>
    <mergeCell ref="C135:D135"/>
    <mergeCell ref="E135:U135"/>
    <mergeCell ref="V135:W135"/>
    <mergeCell ref="X135:Y135"/>
    <mergeCell ref="Z135:AB135"/>
    <mergeCell ref="C138:D138"/>
    <mergeCell ref="E138:U138"/>
    <mergeCell ref="V138:W138"/>
    <mergeCell ref="X138:Y138"/>
    <mergeCell ref="Z138:AB138"/>
    <mergeCell ref="C137:D137"/>
    <mergeCell ref="E137:U137"/>
    <mergeCell ref="V137:W137"/>
    <mergeCell ref="X137:Y137"/>
    <mergeCell ref="Z137:AB137"/>
    <mergeCell ref="C140:D140"/>
    <mergeCell ref="E140:U140"/>
    <mergeCell ref="V140:W140"/>
    <mergeCell ref="X140:Y140"/>
    <mergeCell ref="Z140:AB140"/>
    <mergeCell ref="C139:D139"/>
    <mergeCell ref="E139:U139"/>
    <mergeCell ref="V139:W139"/>
    <mergeCell ref="X139:Y139"/>
    <mergeCell ref="Z139:AB139"/>
    <mergeCell ref="C142:D142"/>
    <mergeCell ref="E142:U142"/>
    <mergeCell ref="V142:W142"/>
    <mergeCell ref="X142:Y142"/>
    <mergeCell ref="Z142:AB142"/>
    <mergeCell ref="C141:D141"/>
    <mergeCell ref="E141:U141"/>
    <mergeCell ref="V141:W141"/>
    <mergeCell ref="X141:Y141"/>
    <mergeCell ref="Z141:AB141"/>
    <mergeCell ref="C144:D144"/>
    <mergeCell ref="E144:U144"/>
    <mergeCell ref="V144:W144"/>
    <mergeCell ref="X144:Y144"/>
    <mergeCell ref="Z144:AB144"/>
    <mergeCell ref="C143:D143"/>
    <mergeCell ref="E143:U143"/>
    <mergeCell ref="V143:W143"/>
    <mergeCell ref="X143:Y143"/>
    <mergeCell ref="Z143:AB143"/>
    <mergeCell ref="C146:D146"/>
    <mergeCell ref="E146:U146"/>
    <mergeCell ref="V146:W146"/>
    <mergeCell ref="X146:Y146"/>
    <mergeCell ref="Z146:AB146"/>
    <mergeCell ref="C145:D145"/>
    <mergeCell ref="E145:U145"/>
    <mergeCell ref="V145:W145"/>
    <mergeCell ref="X145:Y145"/>
    <mergeCell ref="Z145:AB145"/>
    <mergeCell ref="C148:D148"/>
    <mergeCell ref="E148:U148"/>
    <mergeCell ref="V148:W148"/>
    <mergeCell ref="X148:Y148"/>
    <mergeCell ref="Z148:AB148"/>
    <mergeCell ref="C147:D147"/>
    <mergeCell ref="E147:U147"/>
    <mergeCell ref="V147:W147"/>
    <mergeCell ref="X147:Y147"/>
    <mergeCell ref="Z147:AB147"/>
    <mergeCell ref="C150:D150"/>
    <mergeCell ref="E150:U150"/>
    <mergeCell ref="V150:W150"/>
    <mergeCell ref="X150:Y150"/>
    <mergeCell ref="Z150:AB150"/>
    <mergeCell ref="C149:D149"/>
    <mergeCell ref="E149:U149"/>
    <mergeCell ref="V149:W149"/>
    <mergeCell ref="X149:Y149"/>
    <mergeCell ref="Z149:AB149"/>
    <mergeCell ref="C152:D152"/>
    <mergeCell ref="E152:U152"/>
    <mergeCell ref="V152:W152"/>
    <mergeCell ref="X152:Y152"/>
    <mergeCell ref="Z152:AB152"/>
    <mergeCell ref="C151:D151"/>
    <mergeCell ref="E151:U151"/>
    <mergeCell ref="V151:W151"/>
    <mergeCell ref="X151:Y151"/>
    <mergeCell ref="Z151:AB151"/>
    <mergeCell ref="C154:D154"/>
    <mergeCell ref="E154:U154"/>
    <mergeCell ref="V154:W154"/>
    <mergeCell ref="X154:Y154"/>
    <mergeCell ref="Z154:AB154"/>
    <mergeCell ref="C153:D153"/>
    <mergeCell ref="E153:U153"/>
    <mergeCell ref="V153:W153"/>
    <mergeCell ref="X153:Y153"/>
    <mergeCell ref="Z153:AB153"/>
    <mergeCell ref="C156:D156"/>
    <mergeCell ref="E156:U156"/>
    <mergeCell ref="V156:W156"/>
    <mergeCell ref="X156:Y156"/>
    <mergeCell ref="Z156:AB156"/>
    <mergeCell ref="C155:D155"/>
    <mergeCell ref="E155:U155"/>
    <mergeCell ref="V155:W155"/>
    <mergeCell ref="X155:Y155"/>
    <mergeCell ref="Z155:AB155"/>
    <mergeCell ref="C158:D158"/>
    <mergeCell ref="E158:U158"/>
    <mergeCell ref="V158:W158"/>
    <mergeCell ref="X158:Y158"/>
    <mergeCell ref="Z158:AB158"/>
    <mergeCell ref="C157:D157"/>
    <mergeCell ref="E157:U157"/>
    <mergeCell ref="V157:W157"/>
    <mergeCell ref="X157:Y157"/>
    <mergeCell ref="Z157:AB157"/>
    <mergeCell ref="C160:D160"/>
    <mergeCell ref="E160:U160"/>
    <mergeCell ref="V160:W160"/>
    <mergeCell ref="X160:Y160"/>
    <mergeCell ref="Z160:AB160"/>
    <mergeCell ref="C159:D159"/>
    <mergeCell ref="E159:U159"/>
    <mergeCell ref="V159:W159"/>
    <mergeCell ref="X159:Y159"/>
    <mergeCell ref="Z159:AB159"/>
    <mergeCell ref="C162:D162"/>
    <mergeCell ref="E162:U162"/>
    <mergeCell ref="V162:W162"/>
    <mergeCell ref="X162:Y162"/>
    <mergeCell ref="Z162:AB162"/>
    <mergeCell ref="C161:D161"/>
    <mergeCell ref="E161:U161"/>
    <mergeCell ref="V161:W161"/>
    <mergeCell ref="X161:Y161"/>
    <mergeCell ref="Z161:AB161"/>
    <mergeCell ref="C164:D164"/>
    <mergeCell ref="E164:U164"/>
    <mergeCell ref="V164:W164"/>
    <mergeCell ref="X164:Y164"/>
    <mergeCell ref="Z164:AB164"/>
    <mergeCell ref="C163:D163"/>
    <mergeCell ref="E163:U163"/>
    <mergeCell ref="V163:W163"/>
    <mergeCell ref="X163:Y163"/>
    <mergeCell ref="Z163:AB163"/>
    <mergeCell ref="C166:D166"/>
    <mergeCell ref="E166:U166"/>
    <mergeCell ref="V166:W166"/>
    <mergeCell ref="X166:Y166"/>
    <mergeCell ref="Z166:AB166"/>
    <mergeCell ref="C165:D165"/>
    <mergeCell ref="E165:U165"/>
    <mergeCell ref="V165:W165"/>
    <mergeCell ref="X165:Y165"/>
    <mergeCell ref="Z165:AB165"/>
    <mergeCell ref="C168:D168"/>
    <mergeCell ref="E168:U168"/>
    <mergeCell ref="V168:W168"/>
    <mergeCell ref="X168:Y168"/>
    <mergeCell ref="Z168:AB168"/>
    <mergeCell ref="C167:D167"/>
    <mergeCell ref="E167:U167"/>
    <mergeCell ref="V167:W167"/>
    <mergeCell ref="X167:Y167"/>
    <mergeCell ref="Z167:AB167"/>
    <mergeCell ref="C170:D170"/>
    <mergeCell ref="E170:U170"/>
    <mergeCell ref="V170:W170"/>
    <mergeCell ref="X170:Y170"/>
    <mergeCell ref="Z170:AB170"/>
    <mergeCell ref="C169:D169"/>
    <mergeCell ref="E169:U169"/>
    <mergeCell ref="V169:W169"/>
    <mergeCell ref="X169:Y169"/>
    <mergeCell ref="Z169:AB169"/>
    <mergeCell ref="C172:D172"/>
    <mergeCell ref="E172:U172"/>
    <mergeCell ref="V172:W172"/>
    <mergeCell ref="X172:Y172"/>
    <mergeCell ref="Z172:AB172"/>
    <mergeCell ref="C171:D171"/>
    <mergeCell ref="E171:U171"/>
    <mergeCell ref="V171:W171"/>
    <mergeCell ref="X171:Y171"/>
    <mergeCell ref="Z171:AB171"/>
    <mergeCell ref="C174:D174"/>
    <mergeCell ref="E174:U174"/>
    <mergeCell ref="V174:W174"/>
    <mergeCell ref="X174:Y174"/>
    <mergeCell ref="Z174:AB174"/>
    <mergeCell ref="C173:D173"/>
    <mergeCell ref="E173:U173"/>
    <mergeCell ref="V173:W173"/>
    <mergeCell ref="X173:Y173"/>
    <mergeCell ref="Z173:AB173"/>
    <mergeCell ref="C176:D176"/>
    <mergeCell ref="E176:U176"/>
    <mergeCell ref="V176:W176"/>
    <mergeCell ref="X176:Y176"/>
    <mergeCell ref="Z176:AB176"/>
    <mergeCell ref="C175:D175"/>
    <mergeCell ref="E175:U175"/>
    <mergeCell ref="V175:W175"/>
    <mergeCell ref="X175:Y175"/>
    <mergeCell ref="Z175:AB175"/>
    <mergeCell ref="C178:D178"/>
    <mergeCell ref="E178:U178"/>
    <mergeCell ref="V178:W178"/>
    <mergeCell ref="X178:Y178"/>
    <mergeCell ref="Z178:AB178"/>
    <mergeCell ref="C177:D177"/>
    <mergeCell ref="E177:U177"/>
    <mergeCell ref="V177:W177"/>
    <mergeCell ref="X177:Y177"/>
    <mergeCell ref="Z177:AB177"/>
    <mergeCell ref="C180:D180"/>
    <mergeCell ref="E180:U180"/>
    <mergeCell ref="V180:W180"/>
    <mergeCell ref="X180:Y180"/>
    <mergeCell ref="Z180:AB180"/>
    <mergeCell ref="C179:D179"/>
    <mergeCell ref="E179:U179"/>
    <mergeCell ref="V179:W179"/>
    <mergeCell ref="X179:Y179"/>
    <mergeCell ref="Z179:AB179"/>
    <mergeCell ref="C182:D182"/>
    <mergeCell ref="E182:U182"/>
    <mergeCell ref="V182:W182"/>
    <mergeCell ref="X182:Y182"/>
    <mergeCell ref="Z182:AB182"/>
    <mergeCell ref="C181:D181"/>
    <mergeCell ref="E181:U181"/>
    <mergeCell ref="V181:W181"/>
    <mergeCell ref="X181:Y181"/>
    <mergeCell ref="Z181:AB181"/>
    <mergeCell ref="C184:D184"/>
    <mergeCell ref="E184:U184"/>
    <mergeCell ref="V184:W184"/>
    <mergeCell ref="X184:Y184"/>
    <mergeCell ref="Z184:AB184"/>
    <mergeCell ref="C183:D183"/>
    <mergeCell ref="E183:U183"/>
    <mergeCell ref="V183:W183"/>
    <mergeCell ref="X183:Y183"/>
    <mergeCell ref="Z183:AB183"/>
    <mergeCell ref="C186:D186"/>
    <mergeCell ref="E186:U186"/>
    <mergeCell ref="V186:W186"/>
    <mergeCell ref="X186:Y186"/>
    <mergeCell ref="Z186:AB186"/>
    <mergeCell ref="C185:D185"/>
    <mergeCell ref="E185:U185"/>
    <mergeCell ref="V185:W185"/>
    <mergeCell ref="X185:Y185"/>
    <mergeCell ref="Z185:AB185"/>
    <mergeCell ref="C188:D188"/>
    <mergeCell ref="E188:U188"/>
    <mergeCell ref="V188:W188"/>
    <mergeCell ref="X188:Y188"/>
    <mergeCell ref="Z188:AB188"/>
    <mergeCell ref="C187:D187"/>
    <mergeCell ref="E187:U187"/>
    <mergeCell ref="V187:W187"/>
    <mergeCell ref="X187:Y187"/>
    <mergeCell ref="Z187:AB187"/>
    <mergeCell ref="C190:D190"/>
    <mergeCell ref="E190:U190"/>
    <mergeCell ref="V190:W190"/>
    <mergeCell ref="X190:Y190"/>
    <mergeCell ref="Z190:AB190"/>
    <mergeCell ref="C189:D189"/>
    <mergeCell ref="E189:U189"/>
    <mergeCell ref="V189:W189"/>
    <mergeCell ref="X189:Y189"/>
    <mergeCell ref="Z189:AB189"/>
    <mergeCell ref="C192:D192"/>
    <mergeCell ref="E192:U192"/>
    <mergeCell ref="V192:W192"/>
    <mergeCell ref="X192:Y192"/>
    <mergeCell ref="Z192:AB192"/>
    <mergeCell ref="C191:D191"/>
    <mergeCell ref="E191:U191"/>
    <mergeCell ref="V191:W191"/>
    <mergeCell ref="X191:Y191"/>
    <mergeCell ref="Z191:AB191"/>
    <mergeCell ref="C194:D194"/>
    <mergeCell ref="E194:U194"/>
    <mergeCell ref="V194:W194"/>
    <mergeCell ref="X194:Y194"/>
    <mergeCell ref="Z194:AB194"/>
    <mergeCell ref="C193:D193"/>
    <mergeCell ref="E193:U193"/>
    <mergeCell ref="V193:W193"/>
    <mergeCell ref="X193:Y193"/>
    <mergeCell ref="Z193:AB193"/>
    <mergeCell ref="C196:D196"/>
    <mergeCell ref="E196:U196"/>
    <mergeCell ref="V196:W196"/>
    <mergeCell ref="X196:Y196"/>
    <mergeCell ref="Z196:AB196"/>
    <mergeCell ref="C195:D195"/>
    <mergeCell ref="E195:U195"/>
    <mergeCell ref="V195:W195"/>
    <mergeCell ref="X195:Y195"/>
    <mergeCell ref="Z195:AB195"/>
    <mergeCell ref="C198:D198"/>
    <mergeCell ref="E198:U198"/>
    <mergeCell ref="V198:W198"/>
    <mergeCell ref="X198:Y198"/>
    <mergeCell ref="Z198:AB198"/>
    <mergeCell ref="C197:D197"/>
    <mergeCell ref="E197:U197"/>
    <mergeCell ref="V197:W197"/>
    <mergeCell ref="X197:Y197"/>
    <mergeCell ref="Z197:AB197"/>
    <mergeCell ref="C202:AB202"/>
    <mergeCell ref="C203:AB205"/>
    <mergeCell ref="C200:D200"/>
    <mergeCell ref="E200:U200"/>
    <mergeCell ref="V200:W200"/>
    <mergeCell ref="X200:Y200"/>
    <mergeCell ref="Z200:AB200"/>
    <mergeCell ref="C199:D199"/>
    <mergeCell ref="E199:U199"/>
    <mergeCell ref="V199:W199"/>
    <mergeCell ref="X199:Y199"/>
    <mergeCell ref="Z199:AB199"/>
  </mergeCells>
  <conditionalFormatting sqref="Z21:AB200">
    <cfRule type="expression" dxfId="1" priority="2">
      <formula>$X21="TOTAL"</formula>
    </cfRule>
  </conditionalFormatting>
  <conditionalFormatting sqref="AE14">
    <cfRule type="expression" dxfId="0" priority="1" stopIfTrue="1">
      <formula>$C13&lt;&gt;""</formula>
    </cfRule>
  </conditionalFormatting>
  <printOptions horizontalCentered="1"/>
  <pageMargins left="0.64" right="0.15748031496062992" top="0.78740157480314965" bottom="0.78740157480314965" header="0.31496062992125984" footer="0.31496062992125984"/>
  <pageSetup paperSize="9" scale="8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NOTA DE DÉBITO INEXISTENTE!" error="Nota de débito não localizada._x000a_Verifique se digitou o número corretamente." xr:uid="{00000000-0002-0000-0500-000000000000}">
          <x14:formula1>
            <xm:f>1</xm:f>
          </x14:formula1>
          <x14:formula2>
            <xm:f>'NDs REGISTRADAS'!C2</xm:f>
          </x14:formula2>
          <xm:sqref>Z3:AB4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75BCA-F4DD-450A-87C9-B08277766B63}">
  <sheetPr codeName="Sht_Apoio"/>
  <dimension ref="A3:A4"/>
  <sheetViews>
    <sheetView workbookViewId="0">
      <selection activeCell="A4" sqref="A4"/>
    </sheetView>
  </sheetViews>
  <sheetFormatPr defaultRowHeight="15" x14ac:dyDescent="0.25"/>
  <cols>
    <col min="1" max="1" width="18" bestFit="1" customWidth="1"/>
  </cols>
  <sheetData>
    <row r="3" spans="1:1" x14ac:dyDescent="0.25">
      <c r="A3" s="62" t="s">
        <v>49</v>
      </c>
    </row>
    <row r="4" spans="1:1" x14ac:dyDescent="0.25">
      <c r="A4" s="63" t="s">
        <v>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33</vt:i4>
      </vt:variant>
    </vt:vector>
  </HeadingPairs>
  <TitlesOfParts>
    <vt:vector size="41" baseType="lpstr">
      <vt:lpstr>MENU</vt:lpstr>
      <vt:lpstr>Tutorial</vt:lpstr>
      <vt:lpstr>CAD. EMITENTE</vt:lpstr>
      <vt:lpstr>CAD. TOMADORES</vt:lpstr>
      <vt:lpstr>REGISTRO DAS NDs</vt:lpstr>
      <vt:lpstr>NDs REGISTRADAS</vt:lpstr>
      <vt:lpstr>FORMULÁRIO</vt:lpstr>
      <vt:lpstr>Apoio</vt:lpstr>
      <vt:lpstr>FORMULÁRIO!Area_de_impressao</vt:lpstr>
      <vt:lpstr>Tutorial!Area_de_impressao</vt:lpstr>
      <vt:lpstr>Dados_AreaTD</vt:lpstr>
      <vt:lpstr>Emissor_CNPJ</vt:lpstr>
      <vt:lpstr>Emissor_Email</vt:lpstr>
      <vt:lpstr>Emissor_Endereco</vt:lpstr>
      <vt:lpstr>Emissor_Endereco2</vt:lpstr>
      <vt:lpstr>Emissor_MaiorNro</vt:lpstr>
      <vt:lpstr>Emissor_RS</vt:lpstr>
      <vt:lpstr>Emissor_Telefone</vt:lpstr>
      <vt:lpstr>Form_CNPJ</vt:lpstr>
      <vt:lpstr>Form_Condicao</vt:lpstr>
      <vt:lpstr>Form_Emissao</vt:lpstr>
      <vt:lpstr>Form_Endereco</vt:lpstr>
      <vt:lpstr>Form_Nro</vt:lpstr>
      <vt:lpstr>Form_NroND</vt:lpstr>
      <vt:lpstr>Form_Obs</vt:lpstr>
      <vt:lpstr>Form_Ref</vt:lpstr>
      <vt:lpstr>Form_Tomador</vt:lpstr>
      <vt:lpstr>Form_Venc</vt:lpstr>
      <vt:lpstr>ND_Emissao</vt:lpstr>
      <vt:lpstr>ND_FormaPg</vt:lpstr>
      <vt:lpstr>ND_Maior</vt:lpstr>
      <vt:lpstr>ND_Nro</vt:lpstr>
      <vt:lpstr>ND_Obs</vt:lpstr>
      <vt:lpstr>ND_PKTomador</vt:lpstr>
      <vt:lpstr>ND_Ref</vt:lpstr>
      <vt:lpstr>ND_Tomador</vt:lpstr>
      <vt:lpstr>ND_Venc</vt:lpstr>
      <vt:lpstr>NDExistente</vt:lpstr>
      <vt:lpstr>Tomador_CPFCNPJ</vt:lpstr>
      <vt:lpstr>Tomador_Endereco</vt:lpstr>
      <vt:lpstr>Tomador_Nome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2018-04-09T15:05:29Z</cp:lastPrinted>
  <dcterms:created xsi:type="dcterms:W3CDTF">2018-02-03T13:51:46Z</dcterms:created>
  <dcterms:modified xsi:type="dcterms:W3CDTF">2018-04-11T21:03:05Z</dcterms:modified>
</cp:coreProperties>
</file>