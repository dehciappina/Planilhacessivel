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codeName="EstaPasta_de_trabalho" defaultThemeVersion="166925"/>
  <mc:AlternateContent xmlns:mc="http://schemas.openxmlformats.org/markup-compatibility/2006">
    <mc:Choice Requires="x15">
      <x15ac:absPath xmlns:x15ac="http://schemas.microsoft.com/office/spreadsheetml/2010/11/ac" url="C:\Users\regispc\Downloads\"/>
    </mc:Choice>
  </mc:AlternateContent>
  <xr:revisionPtr revIDLastSave="0" documentId="13_ncr:1_{1E09E4B7-2150-4773-A5B1-BF4FA7B48274}" xr6:coauthVersionLast="34" xr6:coauthVersionMax="34" xr10:uidLastSave="{00000000-0000-0000-0000-000000000000}"/>
  <bookViews>
    <workbookView xWindow="0" yWindow="0" windowWidth="20490" windowHeight="7545" activeTab="1" xr2:uid="{00000000-000D-0000-FFFF-FFFF00000000}"/>
  </bookViews>
  <sheets>
    <sheet name="Tutorial" sheetId="2" r:id="rId1"/>
    <sheet name="CÁLCULO" sheetId="1" r:id="rId2"/>
  </sheets>
  <definedNames>
    <definedName name="_xlnm.Print_Area" localSheetId="1">CÁLCULO!$C$4:$J$20</definedName>
    <definedName name="ComSemIOF">CÁLCULO!$A$11</definedName>
    <definedName name="CustoEfetivoMes">CÁLCULO!$F$15</definedName>
    <definedName name="CustoEfetivoPeriodo">CÁLCULO!$F$14</definedName>
    <definedName name="DataRecebimento">CÁLCULO!$F$7</definedName>
    <definedName name="InicioTitulos">CÁLCULO!$C$18</definedName>
    <definedName name="IOFAdic">CÁLCULO!$F$12</definedName>
    <definedName name="IOFDiario">CÁLCULO!$F$11</definedName>
    <definedName name="OutrasDesp">CÁLCULO!$F$10</definedName>
    <definedName name="PrazoMedio">CÁLCULO!$F$13</definedName>
    <definedName name="TaxaAdm">CÁLCULO!$F$9</definedName>
    <definedName name="TaxaJuros">CÁLCULO!$F$8</definedName>
    <definedName name="ValorAntecipacao">CÁLCULO!$J$13</definedName>
    <definedName name="ValorAntecipado">CÁLCULO!$J$14</definedName>
  </definedNames>
  <calcPr calcId="1790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K1000" i="1" l="1"/>
  <c r="J1000" i="1"/>
  <c r="I1000" i="1"/>
  <c r="H1000" i="1"/>
  <c r="G1000" i="1"/>
  <c r="F1000" i="1"/>
  <c r="E1000" i="1"/>
  <c r="K999" i="1"/>
  <c r="J999" i="1"/>
  <c r="I999" i="1"/>
  <c r="H999" i="1"/>
  <c r="G999" i="1"/>
  <c r="F999" i="1"/>
  <c r="E999" i="1"/>
  <c r="K998" i="1"/>
  <c r="J998" i="1"/>
  <c r="I998" i="1"/>
  <c r="H998" i="1"/>
  <c r="G998" i="1"/>
  <c r="F998" i="1"/>
  <c r="E998" i="1"/>
  <c r="K997" i="1"/>
  <c r="J997" i="1"/>
  <c r="I997" i="1"/>
  <c r="H997" i="1"/>
  <c r="G997" i="1"/>
  <c r="F997" i="1"/>
  <c r="E997" i="1"/>
  <c r="K996" i="1"/>
  <c r="J996" i="1"/>
  <c r="I996" i="1"/>
  <c r="H996" i="1"/>
  <c r="G996" i="1"/>
  <c r="F996" i="1"/>
  <c r="E996" i="1"/>
  <c r="K995" i="1"/>
  <c r="J995" i="1"/>
  <c r="I995" i="1"/>
  <c r="H995" i="1"/>
  <c r="G995" i="1"/>
  <c r="F995" i="1"/>
  <c r="E995" i="1"/>
  <c r="K994" i="1"/>
  <c r="J994" i="1"/>
  <c r="I994" i="1"/>
  <c r="H994" i="1"/>
  <c r="G994" i="1"/>
  <c r="F994" i="1"/>
  <c r="E994" i="1"/>
  <c r="K993" i="1"/>
  <c r="J993" i="1"/>
  <c r="I993" i="1"/>
  <c r="H993" i="1"/>
  <c r="G993" i="1"/>
  <c r="F993" i="1"/>
  <c r="E993" i="1"/>
  <c r="K992" i="1"/>
  <c r="J992" i="1"/>
  <c r="I992" i="1"/>
  <c r="H992" i="1"/>
  <c r="G992" i="1"/>
  <c r="F992" i="1"/>
  <c r="E992" i="1"/>
  <c r="K991" i="1"/>
  <c r="J991" i="1"/>
  <c r="I991" i="1"/>
  <c r="H991" i="1"/>
  <c r="G991" i="1"/>
  <c r="F991" i="1"/>
  <c r="E991" i="1"/>
  <c r="K990" i="1"/>
  <c r="J990" i="1"/>
  <c r="I990" i="1"/>
  <c r="H990" i="1"/>
  <c r="G990" i="1"/>
  <c r="F990" i="1"/>
  <c r="E990" i="1"/>
  <c r="K989" i="1"/>
  <c r="J989" i="1"/>
  <c r="I989" i="1"/>
  <c r="H989" i="1"/>
  <c r="G989" i="1"/>
  <c r="F989" i="1"/>
  <c r="E989" i="1"/>
  <c r="K988" i="1"/>
  <c r="J988" i="1"/>
  <c r="I988" i="1"/>
  <c r="H988" i="1"/>
  <c r="G988" i="1"/>
  <c r="F988" i="1"/>
  <c r="E988" i="1"/>
  <c r="K987" i="1"/>
  <c r="J987" i="1"/>
  <c r="I987" i="1"/>
  <c r="H987" i="1"/>
  <c r="G987" i="1"/>
  <c r="F987" i="1"/>
  <c r="E987" i="1"/>
  <c r="K986" i="1"/>
  <c r="J986" i="1"/>
  <c r="I986" i="1"/>
  <c r="H986" i="1"/>
  <c r="G986" i="1"/>
  <c r="F986" i="1"/>
  <c r="E986" i="1"/>
  <c r="K985" i="1"/>
  <c r="J985" i="1"/>
  <c r="I985" i="1"/>
  <c r="H985" i="1"/>
  <c r="G985" i="1"/>
  <c r="F985" i="1"/>
  <c r="E985" i="1"/>
  <c r="K984" i="1"/>
  <c r="J984" i="1"/>
  <c r="I984" i="1"/>
  <c r="H984" i="1"/>
  <c r="G984" i="1"/>
  <c r="F984" i="1"/>
  <c r="E984" i="1"/>
  <c r="K983" i="1"/>
  <c r="J983" i="1"/>
  <c r="I983" i="1"/>
  <c r="H983" i="1"/>
  <c r="G983" i="1"/>
  <c r="F983" i="1"/>
  <c r="E983" i="1"/>
  <c r="K982" i="1"/>
  <c r="J982" i="1"/>
  <c r="I982" i="1"/>
  <c r="H982" i="1"/>
  <c r="G982" i="1"/>
  <c r="F982" i="1"/>
  <c r="E982" i="1"/>
  <c r="K981" i="1"/>
  <c r="J981" i="1"/>
  <c r="I981" i="1"/>
  <c r="H981" i="1"/>
  <c r="G981" i="1"/>
  <c r="F981" i="1"/>
  <c r="E981" i="1"/>
  <c r="K980" i="1"/>
  <c r="J980" i="1"/>
  <c r="I980" i="1"/>
  <c r="H980" i="1"/>
  <c r="G980" i="1"/>
  <c r="F980" i="1"/>
  <c r="E980" i="1"/>
  <c r="K979" i="1"/>
  <c r="J979" i="1"/>
  <c r="I979" i="1"/>
  <c r="H979" i="1"/>
  <c r="G979" i="1"/>
  <c r="F979" i="1"/>
  <c r="E979" i="1"/>
  <c r="K978" i="1"/>
  <c r="J978" i="1"/>
  <c r="I978" i="1"/>
  <c r="H978" i="1"/>
  <c r="G978" i="1"/>
  <c r="F978" i="1"/>
  <c r="E978" i="1"/>
  <c r="K977" i="1"/>
  <c r="J977" i="1"/>
  <c r="I977" i="1"/>
  <c r="H977" i="1"/>
  <c r="G977" i="1"/>
  <c r="F977" i="1"/>
  <c r="E977" i="1"/>
  <c r="K976" i="1"/>
  <c r="J976" i="1"/>
  <c r="I976" i="1"/>
  <c r="H976" i="1"/>
  <c r="G976" i="1"/>
  <c r="F976" i="1"/>
  <c r="E976" i="1"/>
  <c r="K975" i="1"/>
  <c r="J975" i="1"/>
  <c r="I975" i="1"/>
  <c r="H975" i="1"/>
  <c r="G975" i="1"/>
  <c r="F975" i="1"/>
  <c r="E975" i="1"/>
  <c r="K974" i="1"/>
  <c r="J974" i="1"/>
  <c r="I974" i="1"/>
  <c r="H974" i="1"/>
  <c r="G974" i="1"/>
  <c r="F974" i="1"/>
  <c r="E974" i="1"/>
  <c r="K973" i="1"/>
  <c r="J973" i="1"/>
  <c r="I973" i="1"/>
  <c r="H973" i="1"/>
  <c r="G973" i="1"/>
  <c r="F973" i="1"/>
  <c r="E973" i="1"/>
  <c r="K972" i="1"/>
  <c r="J972" i="1"/>
  <c r="I972" i="1"/>
  <c r="H972" i="1"/>
  <c r="G972" i="1"/>
  <c r="F972" i="1"/>
  <c r="E972" i="1"/>
  <c r="K971" i="1"/>
  <c r="J971" i="1"/>
  <c r="I971" i="1"/>
  <c r="H971" i="1"/>
  <c r="G971" i="1"/>
  <c r="F971" i="1"/>
  <c r="E971" i="1"/>
  <c r="K970" i="1"/>
  <c r="J970" i="1"/>
  <c r="I970" i="1"/>
  <c r="H970" i="1"/>
  <c r="G970" i="1"/>
  <c r="F970" i="1"/>
  <c r="E970" i="1"/>
  <c r="K969" i="1"/>
  <c r="J969" i="1"/>
  <c r="I969" i="1"/>
  <c r="H969" i="1"/>
  <c r="G969" i="1"/>
  <c r="F969" i="1"/>
  <c r="E969" i="1"/>
  <c r="K968" i="1"/>
  <c r="J968" i="1"/>
  <c r="I968" i="1"/>
  <c r="H968" i="1"/>
  <c r="G968" i="1"/>
  <c r="F968" i="1"/>
  <c r="E968" i="1"/>
  <c r="K967" i="1"/>
  <c r="J967" i="1"/>
  <c r="I967" i="1"/>
  <c r="H967" i="1"/>
  <c r="G967" i="1"/>
  <c r="F967" i="1"/>
  <c r="E967" i="1"/>
  <c r="K966" i="1"/>
  <c r="J966" i="1"/>
  <c r="I966" i="1"/>
  <c r="H966" i="1"/>
  <c r="G966" i="1"/>
  <c r="F966" i="1"/>
  <c r="E966" i="1"/>
  <c r="K965" i="1"/>
  <c r="J965" i="1"/>
  <c r="I965" i="1"/>
  <c r="H965" i="1"/>
  <c r="G965" i="1"/>
  <c r="F965" i="1"/>
  <c r="E965" i="1"/>
  <c r="K964" i="1"/>
  <c r="J964" i="1"/>
  <c r="I964" i="1"/>
  <c r="H964" i="1"/>
  <c r="G964" i="1"/>
  <c r="F964" i="1"/>
  <c r="E964" i="1"/>
  <c r="K963" i="1"/>
  <c r="J963" i="1"/>
  <c r="I963" i="1"/>
  <c r="H963" i="1"/>
  <c r="G963" i="1"/>
  <c r="F963" i="1"/>
  <c r="E963" i="1"/>
  <c r="K962" i="1"/>
  <c r="J962" i="1"/>
  <c r="I962" i="1"/>
  <c r="H962" i="1"/>
  <c r="G962" i="1"/>
  <c r="F962" i="1"/>
  <c r="E962" i="1"/>
  <c r="K961" i="1"/>
  <c r="J961" i="1"/>
  <c r="I961" i="1"/>
  <c r="H961" i="1"/>
  <c r="G961" i="1"/>
  <c r="F961" i="1"/>
  <c r="E961" i="1"/>
  <c r="K960" i="1"/>
  <c r="J960" i="1"/>
  <c r="I960" i="1"/>
  <c r="H960" i="1"/>
  <c r="G960" i="1"/>
  <c r="F960" i="1"/>
  <c r="E960" i="1"/>
  <c r="K959" i="1"/>
  <c r="J959" i="1"/>
  <c r="I959" i="1"/>
  <c r="H959" i="1"/>
  <c r="G959" i="1"/>
  <c r="F959" i="1"/>
  <c r="E959" i="1"/>
  <c r="K958" i="1"/>
  <c r="J958" i="1"/>
  <c r="I958" i="1"/>
  <c r="H958" i="1"/>
  <c r="G958" i="1"/>
  <c r="F958" i="1"/>
  <c r="E958" i="1"/>
  <c r="K957" i="1"/>
  <c r="J957" i="1"/>
  <c r="I957" i="1"/>
  <c r="H957" i="1"/>
  <c r="G957" i="1"/>
  <c r="F957" i="1"/>
  <c r="E957" i="1"/>
  <c r="K956" i="1"/>
  <c r="J956" i="1"/>
  <c r="I956" i="1"/>
  <c r="H956" i="1"/>
  <c r="G956" i="1"/>
  <c r="F956" i="1"/>
  <c r="E956" i="1"/>
  <c r="K955" i="1"/>
  <c r="J955" i="1"/>
  <c r="I955" i="1"/>
  <c r="H955" i="1"/>
  <c r="G955" i="1"/>
  <c r="F955" i="1"/>
  <c r="E955" i="1"/>
  <c r="K954" i="1"/>
  <c r="J954" i="1"/>
  <c r="I954" i="1"/>
  <c r="H954" i="1"/>
  <c r="G954" i="1"/>
  <c r="F954" i="1"/>
  <c r="E954" i="1"/>
  <c r="K953" i="1"/>
  <c r="J953" i="1"/>
  <c r="I953" i="1"/>
  <c r="H953" i="1"/>
  <c r="G953" i="1"/>
  <c r="F953" i="1"/>
  <c r="E953" i="1"/>
  <c r="K952" i="1"/>
  <c r="J952" i="1"/>
  <c r="I952" i="1"/>
  <c r="H952" i="1"/>
  <c r="G952" i="1"/>
  <c r="F952" i="1"/>
  <c r="E952" i="1"/>
  <c r="K951" i="1"/>
  <c r="J951" i="1"/>
  <c r="I951" i="1"/>
  <c r="H951" i="1"/>
  <c r="G951" i="1"/>
  <c r="F951" i="1"/>
  <c r="E951" i="1"/>
  <c r="K950" i="1"/>
  <c r="J950" i="1"/>
  <c r="I950" i="1"/>
  <c r="H950" i="1"/>
  <c r="G950" i="1"/>
  <c r="F950" i="1"/>
  <c r="E950" i="1"/>
  <c r="K949" i="1"/>
  <c r="J949" i="1"/>
  <c r="I949" i="1"/>
  <c r="H949" i="1"/>
  <c r="G949" i="1"/>
  <c r="F949" i="1"/>
  <c r="E949" i="1"/>
  <c r="K948" i="1"/>
  <c r="J948" i="1"/>
  <c r="I948" i="1"/>
  <c r="H948" i="1"/>
  <c r="G948" i="1"/>
  <c r="F948" i="1"/>
  <c r="E948" i="1"/>
  <c r="K947" i="1"/>
  <c r="J947" i="1"/>
  <c r="I947" i="1"/>
  <c r="H947" i="1"/>
  <c r="G947" i="1"/>
  <c r="F947" i="1"/>
  <c r="E947" i="1"/>
  <c r="K946" i="1"/>
  <c r="J946" i="1"/>
  <c r="I946" i="1"/>
  <c r="H946" i="1"/>
  <c r="G946" i="1"/>
  <c r="F946" i="1"/>
  <c r="E946" i="1"/>
  <c r="K945" i="1"/>
  <c r="J945" i="1"/>
  <c r="I945" i="1"/>
  <c r="H945" i="1"/>
  <c r="G945" i="1"/>
  <c r="F945" i="1"/>
  <c r="E945" i="1"/>
  <c r="K944" i="1"/>
  <c r="J944" i="1"/>
  <c r="I944" i="1"/>
  <c r="H944" i="1"/>
  <c r="G944" i="1"/>
  <c r="F944" i="1"/>
  <c r="E944" i="1"/>
  <c r="K943" i="1"/>
  <c r="J943" i="1"/>
  <c r="I943" i="1"/>
  <c r="H943" i="1"/>
  <c r="G943" i="1"/>
  <c r="F943" i="1"/>
  <c r="E943" i="1"/>
  <c r="K942" i="1"/>
  <c r="J942" i="1"/>
  <c r="I942" i="1"/>
  <c r="H942" i="1"/>
  <c r="G942" i="1"/>
  <c r="F942" i="1"/>
  <c r="E942" i="1"/>
  <c r="K941" i="1"/>
  <c r="J941" i="1"/>
  <c r="I941" i="1"/>
  <c r="H941" i="1"/>
  <c r="G941" i="1"/>
  <c r="F941" i="1"/>
  <c r="E941" i="1"/>
  <c r="K940" i="1"/>
  <c r="J940" i="1"/>
  <c r="I940" i="1"/>
  <c r="H940" i="1"/>
  <c r="G940" i="1"/>
  <c r="F940" i="1"/>
  <c r="E940" i="1"/>
  <c r="K939" i="1"/>
  <c r="J939" i="1"/>
  <c r="I939" i="1"/>
  <c r="H939" i="1"/>
  <c r="G939" i="1"/>
  <c r="F939" i="1"/>
  <c r="E939" i="1"/>
  <c r="K938" i="1"/>
  <c r="J938" i="1"/>
  <c r="I938" i="1"/>
  <c r="H938" i="1"/>
  <c r="G938" i="1"/>
  <c r="F938" i="1"/>
  <c r="E938" i="1"/>
  <c r="K937" i="1"/>
  <c r="J937" i="1"/>
  <c r="I937" i="1"/>
  <c r="H937" i="1"/>
  <c r="G937" i="1"/>
  <c r="F937" i="1"/>
  <c r="E937" i="1"/>
  <c r="K936" i="1"/>
  <c r="J936" i="1"/>
  <c r="I936" i="1"/>
  <c r="H936" i="1"/>
  <c r="G936" i="1"/>
  <c r="F936" i="1"/>
  <c r="E936" i="1"/>
  <c r="K935" i="1"/>
  <c r="J935" i="1"/>
  <c r="I935" i="1"/>
  <c r="H935" i="1"/>
  <c r="G935" i="1"/>
  <c r="F935" i="1"/>
  <c r="E935" i="1"/>
  <c r="K934" i="1"/>
  <c r="J934" i="1"/>
  <c r="I934" i="1"/>
  <c r="H934" i="1"/>
  <c r="G934" i="1"/>
  <c r="F934" i="1"/>
  <c r="E934" i="1"/>
  <c r="K933" i="1"/>
  <c r="J933" i="1"/>
  <c r="I933" i="1"/>
  <c r="H933" i="1"/>
  <c r="G933" i="1"/>
  <c r="F933" i="1"/>
  <c r="E933" i="1"/>
  <c r="K932" i="1"/>
  <c r="J932" i="1"/>
  <c r="I932" i="1"/>
  <c r="H932" i="1"/>
  <c r="G932" i="1"/>
  <c r="F932" i="1"/>
  <c r="E932" i="1"/>
  <c r="K931" i="1"/>
  <c r="J931" i="1"/>
  <c r="I931" i="1"/>
  <c r="H931" i="1"/>
  <c r="G931" i="1"/>
  <c r="F931" i="1"/>
  <c r="E931" i="1"/>
  <c r="K930" i="1"/>
  <c r="J930" i="1"/>
  <c r="I930" i="1"/>
  <c r="H930" i="1"/>
  <c r="G930" i="1"/>
  <c r="F930" i="1"/>
  <c r="E930" i="1"/>
  <c r="K929" i="1"/>
  <c r="J929" i="1"/>
  <c r="I929" i="1"/>
  <c r="H929" i="1"/>
  <c r="G929" i="1"/>
  <c r="F929" i="1"/>
  <c r="E929" i="1"/>
  <c r="K928" i="1"/>
  <c r="J928" i="1"/>
  <c r="I928" i="1"/>
  <c r="H928" i="1"/>
  <c r="G928" i="1"/>
  <c r="F928" i="1"/>
  <c r="E928" i="1"/>
  <c r="K927" i="1"/>
  <c r="J927" i="1"/>
  <c r="I927" i="1"/>
  <c r="H927" i="1"/>
  <c r="G927" i="1"/>
  <c r="F927" i="1"/>
  <c r="E927" i="1"/>
  <c r="K926" i="1"/>
  <c r="J926" i="1"/>
  <c r="I926" i="1"/>
  <c r="H926" i="1"/>
  <c r="G926" i="1"/>
  <c r="F926" i="1"/>
  <c r="E926" i="1"/>
  <c r="K925" i="1"/>
  <c r="J925" i="1"/>
  <c r="I925" i="1"/>
  <c r="H925" i="1"/>
  <c r="G925" i="1"/>
  <c r="F925" i="1"/>
  <c r="E925" i="1"/>
  <c r="K924" i="1"/>
  <c r="J924" i="1"/>
  <c r="I924" i="1"/>
  <c r="H924" i="1"/>
  <c r="G924" i="1"/>
  <c r="F924" i="1"/>
  <c r="E924" i="1"/>
  <c r="K923" i="1"/>
  <c r="J923" i="1"/>
  <c r="I923" i="1"/>
  <c r="H923" i="1"/>
  <c r="G923" i="1"/>
  <c r="F923" i="1"/>
  <c r="E923" i="1"/>
  <c r="K922" i="1"/>
  <c r="J922" i="1"/>
  <c r="I922" i="1"/>
  <c r="H922" i="1"/>
  <c r="G922" i="1"/>
  <c r="F922" i="1"/>
  <c r="E922" i="1"/>
  <c r="K921" i="1"/>
  <c r="J921" i="1"/>
  <c r="I921" i="1"/>
  <c r="H921" i="1"/>
  <c r="G921" i="1"/>
  <c r="F921" i="1"/>
  <c r="E921" i="1"/>
  <c r="K920" i="1"/>
  <c r="J920" i="1"/>
  <c r="I920" i="1"/>
  <c r="H920" i="1"/>
  <c r="G920" i="1"/>
  <c r="F920" i="1"/>
  <c r="E920" i="1"/>
  <c r="K919" i="1"/>
  <c r="J919" i="1"/>
  <c r="I919" i="1"/>
  <c r="H919" i="1"/>
  <c r="G919" i="1"/>
  <c r="F919" i="1"/>
  <c r="E919" i="1"/>
  <c r="K918" i="1"/>
  <c r="J918" i="1"/>
  <c r="I918" i="1"/>
  <c r="H918" i="1"/>
  <c r="G918" i="1"/>
  <c r="F918" i="1"/>
  <c r="E918" i="1"/>
  <c r="K917" i="1"/>
  <c r="J917" i="1"/>
  <c r="I917" i="1"/>
  <c r="H917" i="1"/>
  <c r="G917" i="1"/>
  <c r="F917" i="1"/>
  <c r="E917" i="1"/>
  <c r="K916" i="1"/>
  <c r="J916" i="1"/>
  <c r="I916" i="1"/>
  <c r="H916" i="1"/>
  <c r="G916" i="1"/>
  <c r="F916" i="1"/>
  <c r="E916" i="1"/>
  <c r="K915" i="1"/>
  <c r="J915" i="1"/>
  <c r="I915" i="1"/>
  <c r="H915" i="1"/>
  <c r="G915" i="1"/>
  <c r="F915" i="1"/>
  <c r="E915" i="1"/>
  <c r="K914" i="1"/>
  <c r="J914" i="1"/>
  <c r="I914" i="1"/>
  <c r="H914" i="1"/>
  <c r="G914" i="1"/>
  <c r="F914" i="1"/>
  <c r="E914" i="1"/>
  <c r="K913" i="1"/>
  <c r="J913" i="1"/>
  <c r="I913" i="1"/>
  <c r="H913" i="1"/>
  <c r="G913" i="1"/>
  <c r="F913" i="1"/>
  <c r="E913" i="1"/>
  <c r="K912" i="1"/>
  <c r="J912" i="1"/>
  <c r="I912" i="1"/>
  <c r="H912" i="1"/>
  <c r="G912" i="1"/>
  <c r="F912" i="1"/>
  <c r="E912" i="1"/>
  <c r="K911" i="1"/>
  <c r="J911" i="1"/>
  <c r="I911" i="1"/>
  <c r="H911" i="1"/>
  <c r="G911" i="1"/>
  <c r="F911" i="1"/>
  <c r="E911" i="1"/>
  <c r="K910" i="1"/>
  <c r="J910" i="1"/>
  <c r="I910" i="1"/>
  <c r="H910" i="1"/>
  <c r="G910" i="1"/>
  <c r="F910" i="1"/>
  <c r="E910" i="1"/>
  <c r="K909" i="1"/>
  <c r="J909" i="1"/>
  <c r="I909" i="1"/>
  <c r="H909" i="1"/>
  <c r="G909" i="1"/>
  <c r="F909" i="1"/>
  <c r="E909" i="1"/>
  <c r="K908" i="1"/>
  <c r="J908" i="1"/>
  <c r="I908" i="1"/>
  <c r="H908" i="1"/>
  <c r="G908" i="1"/>
  <c r="F908" i="1"/>
  <c r="E908" i="1"/>
  <c r="K907" i="1"/>
  <c r="J907" i="1"/>
  <c r="I907" i="1"/>
  <c r="H907" i="1"/>
  <c r="G907" i="1"/>
  <c r="F907" i="1"/>
  <c r="E907" i="1"/>
  <c r="K906" i="1"/>
  <c r="J906" i="1"/>
  <c r="I906" i="1"/>
  <c r="H906" i="1"/>
  <c r="G906" i="1"/>
  <c r="F906" i="1"/>
  <c r="E906" i="1"/>
  <c r="K905" i="1"/>
  <c r="J905" i="1"/>
  <c r="I905" i="1"/>
  <c r="H905" i="1"/>
  <c r="G905" i="1"/>
  <c r="F905" i="1"/>
  <c r="E905" i="1"/>
  <c r="K904" i="1"/>
  <c r="J904" i="1"/>
  <c r="I904" i="1"/>
  <c r="H904" i="1"/>
  <c r="G904" i="1"/>
  <c r="F904" i="1"/>
  <c r="E904" i="1"/>
  <c r="K903" i="1"/>
  <c r="J903" i="1"/>
  <c r="I903" i="1"/>
  <c r="H903" i="1"/>
  <c r="G903" i="1"/>
  <c r="F903" i="1"/>
  <c r="E903" i="1"/>
  <c r="K902" i="1"/>
  <c r="J902" i="1"/>
  <c r="I902" i="1"/>
  <c r="H902" i="1"/>
  <c r="G902" i="1"/>
  <c r="F902" i="1"/>
  <c r="E902" i="1"/>
  <c r="K901" i="1"/>
  <c r="J901" i="1"/>
  <c r="I901" i="1"/>
  <c r="H901" i="1"/>
  <c r="G901" i="1"/>
  <c r="F901" i="1"/>
  <c r="E901" i="1"/>
  <c r="K900" i="1"/>
  <c r="J900" i="1"/>
  <c r="I900" i="1"/>
  <c r="H900" i="1"/>
  <c r="G900" i="1"/>
  <c r="F900" i="1"/>
  <c r="E900" i="1"/>
  <c r="K899" i="1"/>
  <c r="J899" i="1"/>
  <c r="I899" i="1"/>
  <c r="H899" i="1"/>
  <c r="G899" i="1"/>
  <c r="F899" i="1"/>
  <c r="E899" i="1"/>
  <c r="K898" i="1"/>
  <c r="J898" i="1"/>
  <c r="I898" i="1"/>
  <c r="H898" i="1"/>
  <c r="G898" i="1"/>
  <c r="F898" i="1"/>
  <c r="E898" i="1"/>
  <c r="K897" i="1"/>
  <c r="J897" i="1"/>
  <c r="I897" i="1"/>
  <c r="H897" i="1"/>
  <c r="G897" i="1"/>
  <c r="F897" i="1"/>
  <c r="E897" i="1"/>
  <c r="K896" i="1"/>
  <c r="J896" i="1"/>
  <c r="I896" i="1"/>
  <c r="H896" i="1"/>
  <c r="G896" i="1"/>
  <c r="F896" i="1"/>
  <c r="E896" i="1"/>
  <c r="K895" i="1"/>
  <c r="J895" i="1"/>
  <c r="I895" i="1"/>
  <c r="H895" i="1"/>
  <c r="G895" i="1"/>
  <c r="F895" i="1"/>
  <c r="E895" i="1"/>
  <c r="K894" i="1"/>
  <c r="J894" i="1"/>
  <c r="I894" i="1"/>
  <c r="H894" i="1"/>
  <c r="G894" i="1"/>
  <c r="F894" i="1"/>
  <c r="E894" i="1"/>
  <c r="K893" i="1"/>
  <c r="J893" i="1"/>
  <c r="I893" i="1"/>
  <c r="H893" i="1"/>
  <c r="G893" i="1"/>
  <c r="F893" i="1"/>
  <c r="E893" i="1"/>
  <c r="K892" i="1"/>
  <c r="J892" i="1"/>
  <c r="I892" i="1"/>
  <c r="H892" i="1"/>
  <c r="G892" i="1"/>
  <c r="F892" i="1"/>
  <c r="E892" i="1"/>
  <c r="K891" i="1"/>
  <c r="J891" i="1"/>
  <c r="I891" i="1"/>
  <c r="H891" i="1"/>
  <c r="G891" i="1"/>
  <c r="F891" i="1"/>
  <c r="E891" i="1"/>
  <c r="K890" i="1"/>
  <c r="J890" i="1"/>
  <c r="I890" i="1"/>
  <c r="H890" i="1"/>
  <c r="G890" i="1"/>
  <c r="F890" i="1"/>
  <c r="E890" i="1"/>
  <c r="K889" i="1"/>
  <c r="J889" i="1"/>
  <c r="I889" i="1"/>
  <c r="H889" i="1"/>
  <c r="G889" i="1"/>
  <c r="F889" i="1"/>
  <c r="E889" i="1"/>
  <c r="K888" i="1"/>
  <c r="J888" i="1"/>
  <c r="I888" i="1"/>
  <c r="H888" i="1"/>
  <c r="G888" i="1"/>
  <c r="F888" i="1"/>
  <c r="E888" i="1"/>
  <c r="K887" i="1"/>
  <c r="J887" i="1"/>
  <c r="I887" i="1"/>
  <c r="H887" i="1"/>
  <c r="G887" i="1"/>
  <c r="F887" i="1"/>
  <c r="E887" i="1"/>
  <c r="K886" i="1"/>
  <c r="J886" i="1"/>
  <c r="I886" i="1"/>
  <c r="H886" i="1"/>
  <c r="G886" i="1"/>
  <c r="F886" i="1"/>
  <c r="E886" i="1"/>
  <c r="K885" i="1"/>
  <c r="J885" i="1"/>
  <c r="I885" i="1"/>
  <c r="H885" i="1"/>
  <c r="G885" i="1"/>
  <c r="F885" i="1"/>
  <c r="E885" i="1"/>
  <c r="K884" i="1"/>
  <c r="J884" i="1"/>
  <c r="I884" i="1"/>
  <c r="H884" i="1"/>
  <c r="G884" i="1"/>
  <c r="F884" i="1"/>
  <c r="E884" i="1"/>
  <c r="K883" i="1"/>
  <c r="J883" i="1"/>
  <c r="I883" i="1"/>
  <c r="H883" i="1"/>
  <c r="G883" i="1"/>
  <c r="F883" i="1"/>
  <c r="E883" i="1"/>
  <c r="K882" i="1"/>
  <c r="J882" i="1"/>
  <c r="I882" i="1"/>
  <c r="H882" i="1"/>
  <c r="G882" i="1"/>
  <c r="F882" i="1"/>
  <c r="E882" i="1"/>
  <c r="K881" i="1"/>
  <c r="J881" i="1"/>
  <c r="I881" i="1"/>
  <c r="H881" i="1"/>
  <c r="G881" i="1"/>
  <c r="F881" i="1"/>
  <c r="E881" i="1"/>
  <c r="K880" i="1"/>
  <c r="J880" i="1"/>
  <c r="I880" i="1"/>
  <c r="H880" i="1"/>
  <c r="G880" i="1"/>
  <c r="F880" i="1"/>
  <c r="E880" i="1"/>
  <c r="K879" i="1"/>
  <c r="J879" i="1"/>
  <c r="I879" i="1"/>
  <c r="H879" i="1"/>
  <c r="G879" i="1"/>
  <c r="F879" i="1"/>
  <c r="E879" i="1"/>
  <c r="K878" i="1"/>
  <c r="J878" i="1"/>
  <c r="I878" i="1"/>
  <c r="H878" i="1"/>
  <c r="G878" i="1"/>
  <c r="F878" i="1"/>
  <c r="E878" i="1"/>
  <c r="K877" i="1"/>
  <c r="J877" i="1"/>
  <c r="I877" i="1"/>
  <c r="H877" i="1"/>
  <c r="G877" i="1"/>
  <c r="F877" i="1"/>
  <c r="E877" i="1"/>
  <c r="K876" i="1"/>
  <c r="J876" i="1"/>
  <c r="I876" i="1"/>
  <c r="H876" i="1"/>
  <c r="G876" i="1"/>
  <c r="F876" i="1"/>
  <c r="E876" i="1"/>
  <c r="K875" i="1"/>
  <c r="J875" i="1"/>
  <c r="I875" i="1"/>
  <c r="H875" i="1"/>
  <c r="G875" i="1"/>
  <c r="F875" i="1"/>
  <c r="E875" i="1"/>
  <c r="K874" i="1"/>
  <c r="J874" i="1"/>
  <c r="I874" i="1"/>
  <c r="H874" i="1"/>
  <c r="G874" i="1"/>
  <c r="F874" i="1"/>
  <c r="E874" i="1"/>
  <c r="K873" i="1"/>
  <c r="J873" i="1"/>
  <c r="I873" i="1"/>
  <c r="H873" i="1"/>
  <c r="G873" i="1"/>
  <c r="F873" i="1"/>
  <c r="E873" i="1"/>
  <c r="K872" i="1"/>
  <c r="J872" i="1"/>
  <c r="I872" i="1"/>
  <c r="H872" i="1"/>
  <c r="G872" i="1"/>
  <c r="F872" i="1"/>
  <c r="E872" i="1"/>
  <c r="K871" i="1"/>
  <c r="J871" i="1"/>
  <c r="I871" i="1"/>
  <c r="H871" i="1"/>
  <c r="G871" i="1"/>
  <c r="F871" i="1"/>
  <c r="E871" i="1"/>
  <c r="K870" i="1"/>
  <c r="J870" i="1"/>
  <c r="I870" i="1"/>
  <c r="H870" i="1"/>
  <c r="G870" i="1"/>
  <c r="F870" i="1"/>
  <c r="E870" i="1"/>
  <c r="K869" i="1"/>
  <c r="J869" i="1"/>
  <c r="I869" i="1"/>
  <c r="H869" i="1"/>
  <c r="G869" i="1"/>
  <c r="F869" i="1"/>
  <c r="E869" i="1"/>
  <c r="K868" i="1"/>
  <c r="J868" i="1"/>
  <c r="I868" i="1"/>
  <c r="H868" i="1"/>
  <c r="G868" i="1"/>
  <c r="F868" i="1"/>
  <c r="E868" i="1"/>
  <c r="K867" i="1"/>
  <c r="J867" i="1"/>
  <c r="I867" i="1"/>
  <c r="H867" i="1"/>
  <c r="G867" i="1"/>
  <c r="F867" i="1"/>
  <c r="E867" i="1"/>
  <c r="K866" i="1"/>
  <c r="J866" i="1"/>
  <c r="I866" i="1"/>
  <c r="H866" i="1"/>
  <c r="G866" i="1"/>
  <c r="F866" i="1"/>
  <c r="E866" i="1"/>
  <c r="K865" i="1"/>
  <c r="J865" i="1"/>
  <c r="I865" i="1"/>
  <c r="H865" i="1"/>
  <c r="G865" i="1"/>
  <c r="F865" i="1"/>
  <c r="E865" i="1"/>
  <c r="K864" i="1"/>
  <c r="J864" i="1"/>
  <c r="I864" i="1"/>
  <c r="H864" i="1"/>
  <c r="G864" i="1"/>
  <c r="F864" i="1"/>
  <c r="E864" i="1"/>
  <c r="K863" i="1"/>
  <c r="J863" i="1"/>
  <c r="I863" i="1"/>
  <c r="H863" i="1"/>
  <c r="G863" i="1"/>
  <c r="F863" i="1"/>
  <c r="E863" i="1"/>
  <c r="K862" i="1"/>
  <c r="J862" i="1"/>
  <c r="I862" i="1"/>
  <c r="H862" i="1"/>
  <c r="G862" i="1"/>
  <c r="F862" i="1"/>
  <c r="E862" i="1"/>
  <c r="K861" i="1"/>
  <c r="J861" i="1"/>
  <c r="I861" i="1"/>
  <c r="H861" i="1"/>
  <c r="G861" i="1"/>
  <c r="F861" i="1"/>
  <c r="E861" i="1"/>
  <c r="K860" i="1"/>
  <c r="J860" i="1"/>
  <c r="I860" i="1"/>
  <c r="H860" i="1"/>
  <c r="G860" i="1"/>
  <c r="F860" i="1"/>
  <c r="E860" i="1"/>
  <c r="K859" i="1"/>
  <c r="J859" i="1"/>
  <c r="I859" i="1"/>
  <c r="H859" i="1"/>
  <c r="G859" i="1"/>
  <c r="F859" i="1"/>
  <c r="E859" i="1"/>
  <c r="K858" i="1"/>
  <c r="J858" i="1"/>
  <c r="I858" i="1"/>
  <c r="H858" i="1"/>
  <c r="G858" i="1"/>
  <c r="F858" i="1"/>
  <c r="E858" i="1"/>
  <c r="K857" i="1"/>
  <c r="J857" i="1"/>
  <c r="I857" i="1"/>
  <c r="H857" i="1"/>
  <c r="G857" i="1"/>
  <c r="F857" i="1"/>
  <c r="E857" i="1"/>
  <c r="K856" i="1"/>
  <c r="J856" i="1"/>
  <c r="I856" i="1"/>
  <c r="H856" i="1"/>
  <c r="G856" i="1"/>
  <c r="F856" i="1"/>
  <c r="E856" i="1"/>
  <c r="K855" i="1"/>
  <c r="J855" i="1"/>
  <c r="I855" i="1"/>
  <c r="H855" i="1"/>
  <c r="G855" i="1"/>
  <c r="F855" i="1"/>
  <c r="E855" i="1"/>
  <c r="K854" i="1"/>
  <c r="J854" i="1"/>
  <c r="I854" i="1"/>
  <c r="H854" i="1"/>
  <c r="G854" i="1"/>
  <c r="F854" i="1"/>
  <c r="E854" i="1"/>
  <c r="K853" i="1"/>
  <c r="J853" i="1"/>
  <c r="I853" i="1"/>
  <c r="H853" i="1"/>
  <c r="G853" i="1"/>
  <c r="F853" i="1"/>
  <c r="E853" i="1"/>
  <c r="K852" i="1"/>
  <c r="J852" i="1"/>
  <c r="I852" i="1"/>
  <c r="H852" i="1"/>
  <c r="G852" i="1"/>
  <c r="F852" i="1"/>
  <c r="E852" i="1"/>
  <c r="K851" i="1"/>
  <c r="J851" i="1"/>
  <c r="I851" i="1"/>
  <c r="H851" i="1"/>
  <c r="G851" i="1"/>
  <c r="F851" i="1"/>
  <c r="E851" i="1"/>
  <c r="K850" i="1"/>
  <c r="J850" i="1"/>
  <c r="I850" i="1"/>
  <c r="H850" i="1"/>
  <c r="G850" i="1"/>
  <c r="F850" i="1"/>
  <c r="E850" i="1"/>
  <c r="K849" i="1"/>
  <c r="J849" i="1"/>
  <c r="I849" i="1"/>
  <c r="H849" i="1"/>
  <c r="G849" i="1"/>
  <c r="F849" i="1"/>
  <c r="E849" i="1"/>
  <c r="K848" i="1"/>
  <c r="J848" i="1"/>
  <c r="I848" i="1"/>
  <c r="H848" i="1"/>
  <c r="G848" i="1"/>
  <c r="F848" i="1"/>
  <c r="E848" i="1"/>
  <c r="K847" i="1"/>
  <c r="J847" i="1"/>
  <c r="I847" i="1"/>
  <c r="H847" i="1"/>
  <c r="G847" i="1"/>
  <c r="F847" i="1"/>
  <c r="E847" i="1"/>
  <c r="K846" i="1"/>
  <c r="J846" i="1"/>
  <c r="I846" i="1"/>
  <c r="H846" i="1"/>
  <c r="G846" i="1"/>
  <c r="F846" i="1"/>
  <c r="E846" i="1"/>
  <c r="K845" i="1"/>
  <c r="J845" i="1"/>
  <c r="I845" i="1"/>
  <c r="H845" i="1"/>
  <c r="G845" i="1"/>
  <c r="F845" i="1"/>
  <c r="E845" i="1"/>
  <c r="K844" i="1"/>
  <c r="J844" i="1"/>
  <c r="I844" i="1"/>
  <c r="H844" i="1"/>
  <c r="G844" i="1"/>
  <c r="F844" i="1"/>
  <c r="E844" i="1"/>
  <c r="K843" i="1"/>
  <c r="J843" i="1"/>
  <c r="I843" i="1"/>
  <c r="H843" i="1"/>
  <c r="G843" i="1"/>
  <c r="F843" i="1"/>
  <c r="E843" i="1"/>
  <c r="K842" i="1"/>
  <c r="J842" i="1"/>
  <c r="I842" i="1"/>
  <c r="H842" i="1"/>
  <c r="G842" i="1"/>
  <c r="F842" i="1"/>
  <c r="E842" i="1"/>
  <c r="K841" i="1"/>
  <c r="J841" i="1"/>
  <c r="I841" i="1"/>
  <c r="H841" i="1"/>
  <c r="G841" i="1"/>
  <c r="F841" i="1"/>
  <c r="E841" i="1"/>
  <c r="K840" i="1"/>
  <c r="J840" i="1"/>
  <c r="I840" i="1"/>
  <c r="H840" i="1"/>
  <c r="G840" i="1"/>
  <c r="F840" i="1"/>
  <c r="E840" i="1"/>
  <c r="K839" i="1"/>
  <c r="J839" i="1"/>
  <c r="I839" i="1"/>
  <c r="H839" i="1"/>
  <c r="G839" i="1"/>
  <c r="F839" i="1"/>
  <c r="E839" i="1"/>
  <c r="K838" i="1"/>
  <c r="J838" i="1"/>
  <c r="I838" i="1"/>
  <c r="H838" i="1"/>
  <c r="G838" i="1"/>
  <c r="F838" i="1"/>
  <c r="E838" i="1"/>
  <c r="K837" i="1"/>
  <c r="J837" i="1"/>
  <c r="I837" i="1"/>
  <c r="H837" i="1"/>
  <c r="G837" i="1"/>
  <c r="F837" i="1"/>
  <c r="E837" i="1"/>
  <c r="K836" i="1"/>
  <c r="J836" i="1"/>
  <c r="I836" i="1"/>
  <c r="H836" i="1"/>
  <c r="G836" i="1"/>
  <c r="F836" i="1"/>
  <c r="E836" i="1"/>
  <c r="K835" i="1"/>
  <c r="J835" i="1"/>
  <c r="I835" i="1"/>
  <c r="H835" i="1"/>
  <c r="G835" i="1"/>
  <c r="F835" i="1"/>
  <c r="E835" i="1"/>
  <c r="K834" i="1"/>
  <c r="J834" i="1"/>
  <c r="I834" i="1"/>
  <c r="H834" i="1"/>
  <c r="G834" i="1"/>
  <c r="F834" i="1"/>
  <c r="E834" i="1"/>
  <c r="K833" i="1"/>
  <c r="J833" i="1"/>
  <c r="I833" i="1"/>
  <c r="H833" i="1"/>
  <c r="G833" i="1"/>
  <c r="F833" i="1"/>
  <c r="E833" i="1"/>
  <c r="K832" i="1"/>
  <c r="J832" i="1"/>
  <c r="I832" i="1"/>
  <c r="H832" i="1"/>
  <c r="G832" i="1"/>
  <c r="F832" i="1"/>
  <c r="E832" i="1"/>
  <c r="K831" i="1"/>
  <c r="J831" i="1"/>
  <c r="I831" i="1"/>
  <c r="H831" i="1"/>
  <c r="G831" i="1"/>
  <c r="F831" i="1"/>
  <c r="E831" i="1"/>
  <c r="K830" i="1"/>
  <c r="J830" i="1"/>
  <c r="I830" i="1"/>
  <c r="H830" i="1"/>
  <c r="G830" i="1"/>
  <c r="F830" i="1"/>
  <c r="E830" i="1"/>
  <c r="K829" i="1"/>
  <c r="J829" i="1"/>
  <c r="I829" i="1"/>
  <c r="H829" i="1"/>
  <c r="G829" i="1"/>
  <c r="F829" i="1"/>
  <c r="E829" i="1"/>
  <c r="K828" i="1"/>
  <c r="J828" i="1"/>
  <c r="I828" i="1"/>
  <c r="H828" i="1"/>
  <c r="G828" i="1"/>
  <c r="F828" i="1"/>
  <c r="E828" i="1"/>
  <c r="K827" i="1"/>
  <c r="J827" i="1"/>
  <c r="I827" i="1"/>
  <c r="H827" i="1"/>
  <c r="G827" i="1"/>
  <c r="F827" i="1"/>
  <c r="E827" i="1"/>
  <c r="K826" i="1"/>
  <c r="J826" i="1"/>
  <c r="I826" i="1"/>
  <c r="H826" i="1"/>
  <c r="G826" i="1"/>
  <c r="F826" i="1"/>
  <c r="E826" i="1"/>
  <c r="K825" i="1"/>
  <c r="J825" i="1"/>
  <c r="I825" i="1"/>
  <c r="H825" i="1"/>
  <c r="G825" i="1"/>
  <c r="F825" i="1"/>
  <c r="E825" i="1"/>
  <c r="K824" i="1"/>
  <c r="J824" i="1"/>
  <c r="I824" i="1"/>
  <c r="H824" i="1"/>
  <c r="G824" i="1"/>
  <c r="F824" i="1"/>
  <c r="E824" i="1"/>
  <c r="K823" i="1"/>
  <c r="J823" i="1"/>
  <c r="I823" i="1"/>
  <c r="H823" i="1"/>
  <c r="G823" i="1"/>
  <c r="F823" i="1"/>
  <c r="E823" i="1"/>
  <c r="K822" i="1"/>
  <c r="J822" i="1"/>
  <c r="I822" i="1"/>
  <c r="H822" i="1"/>
  <c r="G822" i="1"/>
  <c r="F822" i="1"/>
  <c r="E822" i="1"/>
  <c r="K821" i="1"/>
  <c r="J821" i="1"/>
  <c r="I821" i="1"/>
  <c r="H821" i="1"/>
  <c r="G821" i="1"/>
  <c r="F821" i="1"/>
  <c r="E821" i="1"/>
  <c r="K820" i="1"/>
  <c r="J820" i="1"/>
  <c r="I820" i="1"/>
  <c r="H820" i="1"/>
  <c r="G820" i="1"/>
  <c r="F820" i="1"/>
  <c r="E820" i="1"/>
  <c r="K819" i="1"/>
  <c r="J819" i="1"/>
  <c r="I819" i="1"/>
  <c r="H819" i="1"/>
  <c r="G819" i="1"/>
  <c r="F819" i="1"/>
  <c r="E819" i="1"/>
  <c r="K818" i="1"/>
  <c r="J818" i="1"/>
  <c r="I818" i="1"/>
  <c r="H818" i="1"/>
  <c r="G818" i="1"/>
  <c r="F818" i="1"/>
  <c r="E818" i="1"/>
  <c r="K817" i="1"/>
  <c r="J817" i="1"/>
  <c r="I817" i="1"/>
  <c r="H817" i="1"/>
  <c r="G817" i="1"/>
  <c r="F817" i="1"/>
  <c r="E817" i="1"/>
  <c r="K816" i="1"/>
  <c r="J816" i="1"/>
  <c r="I816" i="1"/>
  <c r="H816" i="1"/>
  <c r="G816" i="1"/>
  <c r="F816" i="1"/>
  <c r="E816" i="1"/>
  <c r="K815" i="1"/>
  <c r="J815" i="1"/>
  <c r="I815" i="1"/>
  <c r="H815" i="1"/>
  <c r="G815" i="1"/>
  <c r="F815" i="1"/>
  <c r="E815" i="1"/>
  <c r="K814" i="1"/>
  <c r="J814" i="1"/>
  <c r="I814" i="1"/>
  <c r="H814" i="1"/>
  <c r="G814" i="1"/>
  <c r="F814" i="1"/>
  <c r="E814" i="1"/>
  <c r="K813" i="1"/>
  <c r="J813" i="1"/>
  <c r="I813" i="1"/>
  <c r="H813" i="1"/>
  <c r="G813" i="1"/>
  <c r="F813" i="1"/>
  <c r="E813" i="1"/>
  <c r="K812" i="1"/>
  <c r="J812" i="1"/>
  <c r="I812" i="1"/>
  <c r="H812" i="1"/>
  <c r="G812" i="1"/>
  <c r="F812" i="1"/>
  <c r="E812" i="1"/>
  <c r="K811" i="1"/>
  <c r="J811" i="1"/>
  <c r="I811" i="1"/>
  <c r="H811" i="1"/>
  <c r="G811" i="1"/>
  <c r="F811" i="1"/>
  <c r="E811" i="1"/>
  <c r="K810" i="1"/>
  <c r="J810" i="1"/>
  <c r="I810" i="1"/>
  <c r="H810" i="1"/>
  <c r="G810" i="1"/>
  <c r="F810" i="1"/>
  <c r="E810" i="1"/>
  <c r="K809" i="1"/>
  <c r="J809" i="1"/>
  <c r="I809" i="1"/>
  <c r="H809" i="1"/>
  <c r="G809" i="1"/>
  <c r="F809" i="1"/>
  <c r="E809" i="1"/>
  <c r="K808" i="1"/>
  <c r="J808" i="1"/>
  <c r="I808" i="1"/>
  <c r="H808" i="1"/>
  <c r="G808" i="1"/>
  <c r="F808" i="1"/>
  <c r="E808" i="1"/>
  <c r="K807" i="1"/>
  <c r="J807" i="1"/>
  <c r="I807" i="1"/>
  <c r="H807" i="1"/>
  <c r="G807" i="1"/>
  <c r="F807" i="1"/>
  <c r="E807" i="1"/>
  <c r="K806" i="1"/>
  <c r="J806" i="1"/>
  <c r="I806" i="1"/>
  <c r="H806" i="1"/>
  <c r="G806" i="1"/>
  <c r="F806" i="1"/>
  <c r="E806" i="1"/>
  <c r="K805" i="1"/>
  <c r="J805" i="1"/>
  <c r="I805" i="1"/>
  <c r="H805" i="1"/>
  <c r="G805" i="1"/>
  <c r="F805" i="1"/>
  <c r="E805" i="1"/>
  <c r="K804" i="1"/>
  <c r="J804" i="1"/>
  <c r="I804" i="1"/>
  <c r="H804" i="1"/>
  <c r="G804" i="1"/>
  <c r="F804" i="1"/>
  <c r="E804" i="1"/>
  <c r="K803" i="1"/>
  <c r="J803" i="1"/>
  <c r="I803" i="1"/>
  <c r="H803" i="1"/>
  <c r="G803" i="1"/>
  <c r="F803" i="1"/>
  <c r="E803" i="1"/>
  <c r="K802" i="1"/>
  <c r="J802" i="1"/>
  <c r="I802" i="1"/>
  <c r="H802" i="1"/>
  <c r="G802" i="1"/>
  <c r="F802" i="1"/>
  <c r="E802" i="1"/>
  <c r="K801" i="1"/>
  <c r="J801" i="1"/>
  <c r="I801" i="1"/>
  <c r="H801" i="1"/>
  <c r="G801" i="1"/>
  <c r="F801" i="1"/>
  <c r="E801" i="1"/>
  <c r="K800" i="1"/>
  <c r="J800" i="1"/>
  <c r="I800" i="1"/>
  <c r="H800" i="1"/>
  <c r="G800" i="1"/>
  <c r="F800" i="1"/>
  <c r="E800" i="1"/>
  <c r="K799" i="1"/>
  <c r="J799" i="1"/>
  <c r="I799" i="1"/>
  <c r="H799" i="1"/>
  <c r="G799" i="1"/>
  <c r="F799" i="1"/>
  <c r="E799" i="1"/>
  <c r="K798" i="1"/>
  <c r="J798" i="1"/>
  <c r="I798" i="1"/>
  <c r="H798" i="1"/>
  <c r="G798" i="1"/>
  <c r="F798" i="1"/>
  <c r="E798" i="1"/>
  <c r="K797" i="1"/>
  <c r="J797" i="1"/>
  <c r="I797" i="1"/>
  <c r="H797" i="1"/>
  <c r="G797" i="1"/>
  <c r="F797" i="1"/>
  <c r="E797" i="1"/>
  <c r="K796" i="1"/>
  <c r="J796" i="1"/>
  <c r="I796" i="1"/>
  <c r="H796" i="1"/>
  <c r="G796" i="1"/>
  <c r="F796" i="1"/>
  <c r="E796" i="1"/>
  <c r="K795" i="1"/>
  <c r="J795" i="1"/>
  <c r="I795" i="1"/>
  <c r="H795" i="1"/>
  <c r="G795" i="1"/>
  <c r="F795" i="1"/>
  <c r="E795" i="1"/>
  <c r="K794" i="1"/>
  <c r="J794" i="1"/>
  <c r="I794" i="1"/>
  <c r="H794" i="1"/>
  <c r="G794" i="1"/>
  <c r="F794" i="1"/>
  <c r="E794" i="1"/>
  <c r="K793" i="1"/>
  <c r="J793" i="1"/>
  <c r="I793" i="1"/>
  <c r="H793" i="1"/>
  <c r="G793" i="1"/>
  <c r="F793" i="1"/>
  <c r="E793" i="1"/>
  <c r="K792" i="1"/>
  <c r="J792" i="1"/>
  <c r="I792" i="1"/>
  <c r="H792" i="1"/>
  <c r="G792" i="1"/>
  <c r="F792" i="1"/>
  <c r="E792" i="1"/>
  <c r="K791" i="1"/>
  <c r="J791" i="1"/>
  <c r="I791" i="1"/>
  <c r="H791" i="1"/>
  <c r="G791" i="1"/>
  <c r="F791" i="1"/>
  <c r="E791" i="1"/>
  <c r="K790" i="1"/>
  <c r="J790" i="1"/>
  <c r="I790" i="1"/>
  <c r="H790" i="1"/>
  <c r="G790" i="1"/>
  <c r="F790" i="1"/>
  <c r="E790" i="1"/>
  <c r="K789" i="1"/>
  <c r="J789" i="1"/>
  <c r="I789" i="1"/>
  <c r="H789" i="1"/>
  <c r="G789" i="1"/>
  <c r="F789" i="1"/>
  <c r="E789" i="1"/>
  <c r="K788" i="1"/>
  <c r="J788" i="1"/>
  <c r="I788" i="1"/>
  <c r="H788" i="1"/>
  <c r="G788" i="1"/>
  <c r="F788" i="1"/>
  <c r="E788" i="1"/>
  <c r="K787" i="1"/>
  <c r="J787" i="1"/>
  <c r="I787" i="1"/>
  <c r="H787" i="1"/>
  <c r="G787" i="1"/>
  <c r="F787" i="1"/>
  <c r="E787" i="1"/>
  <c r="K786" i="1"/>
  <c r="J786" i="1"/>
  <c r="I786" i="1"/>
  <c r="H786" i="1"/>
  <c r="G786" i="1"/>
  <c r="F786" i="1"/>
  <c r="E786" i="1"/>
  <c r="K785" i="1"/>
  <c r="J785" i="1"/>
  <c r="I785" i="1"/>
  <c r="H785" i="1"/>
  <c r="G785" i="1"/>
  <c r="F785" i="1"/>
  <c r="E785" i="1"/>
  <c r="K784" i="1"/>
  <c r="J784" i="1"/>
  <c r="I784" i="1"/>
  <c r="H784" i="1"/>
  <c r="G784" i="1"/>
  <c r="F784" i="1"/>
  <c r="E784" i="1"/>
  <c r="K783" i="1"/>
  <c r="J783" i="1"/>
  <c r="I783" i="1"/>
  <c r="H783" i="1"/>
  <c r="G783" i="1"/>
  <c r="F783" i="1"/>
  <c r="E783" i="1"/>
  <c r="K782" i="1"/>
  <c r="J782" i="1"/>
  <c r="I782" i="1"/>
  <c r="H782" i="1"/>
  <c r="G782" i="1"/>
  <c r="F782" i="1"/>
  <c r="E782" i="1"/>
  <c r="K781" i="1"/>
  <c r="J781" i="1"/>
  <c r="I781" i="1"/>
  <c r="H781" i="1"/>
  <c r="G781" i="1"/>
  <c r="F781" i="1"/>
  <c r="E781" i="1"/>
  <c r="K780" i="1"/>
  <c r="J780" i="1"/>
  <c r="I780" i="1"/>
  <c r="H780" i="1"/>
  <c r="G780" i="1"/>
  <c r="F780" i="1"/>
  <c r="E780" i="1"/>
  <c r="K779" i="1"/>
  <c r="J779" i="1"/>
  <c r="I779" i="1"/>
  <c r="H779" i="1"/>
  <c r="G779" i="1"/>
  <c r="F779" i="1"/>
  <c r="E779" i="1"/>
  <c r="K778" i="1"/>
  <c r="J778" i="1"/>
  <c r="I778" i="1"/>
  <c r="H778" i="1"/>
  <c r="G778" i="1"/>
  <c r="F778" i="1"/>
  <c r="E778" i="1"/>
  <c r="K777" i="1"/>
  <c r="J777" i="1"/>
  <c r="I777" i="1"/>
  <c r="H777" i="1"/>
  <c r="G777" i="1"/>
  <c r="F777" i="1"/>
  <c r="E777" i="1"/>
  <c r="K776" i="1"/>
  <c r="J776" i="1"/>
  <c r="I776" i="1"/>
  <c r="H776" i="1"/>
  <c r="G776" i="1"/>
  <c r="F776" i="1"/>
  <c r="E776" i="1"/>
  <c r="K775" i="1"/>
  <c r="J775" i="1"/>
  <c r="I775" i="1"/>
  <c r="H775" i="1"/>
  <c r="G775" i="1"/>
  <c r="F775" i="1"/>
  <c r="E775" i="1"/>
  <c r="K774" i="1"/>
  <c r="J774" i="1"/>
  <c r="I774" i="1"/>
  <c r="H774" i="1"/>
  <c r="G774" i="1"/>
  <c r="F774" i="1"/>
  <c r="E774" i="1"/>
  <c r="K773" i="1"/>
  <c r="J773" i="1"/>
  <c r="I773" i="1"/>
  <c r="H773" i="1"/>
  <c r="G773" i="1"/>
  <c r="F773" i="1"/>
  <c r="E773" i="1"/>
  <c r="K772" i="1"/>
  <c r="J772" i="1"/>
  <c r="I772" i="1"/>
  <c r="H772" i="1"/>
  <c r="G772" i="1"/>
  <c r="F772" i="1"/>
  <c r="E772" i="1"/>
  <c r="K771" i="1"/>
  <c r="J771" i="1"/>
  <c r="I771" i="1"/>
  <c r="H771" i="1"/>
  <c r="G771" i="1"/>
  <c r="F771" i="1"/>
  <c r="E771" i="1"/>
  <c r="K770" i="1"/>
  <c r="J770" i="1"/>
  <c r="I770" i="1"/>
  <c r="H770" i="1"/>
  <c r="G770" i="1"/>
  <c r="F770" i="1"/>
  <c r="E770" i="1"/>
  <c r="K769" i="1"/>
  <c r="J769" i="1"/>
  <c r="I769" i="1"/>
  <c r="H769" i="1"/>
  <c r="G769" i="1"/>
  <c r="F769" i="1"/>
  <c r="E769" i="1"/>
  <c r="K768" i="1"/>
  <c r="J768" i="1"/>
  <c r="I768" i="1"/>
  <c r="H768" i="1"/>
  <c r="G768" i="1"/>
  <c r="F768" i="1"/>
  <c r="E768" i="1"/>
  <c r="K767" i="1"/>
  <c r="J767" i="1"/>
  <c r="I767" i="1"/>
  <c r="H767" i="1"/>
  <c r="G767" i="1"/>
  <c r="F767" i="1"/>
  <c r="E767" i="1"/>
  <c r="K766" i="1"/>
  <c r="J766" i="1"/>
  <c r="I766" i="1"/>
  <c r="H766" i="1"/>
  <c r="G766" i="1"/>
  <c r="F766" i="1"/>
  <c r="E766" i="1"/>
  <c r="K765" i="1"/>
  <c r="J765" i="1"/>
  <c r="I765" i="1"/>
  <c r="H765" i="1"/>
  <c r="G765" i="1"/>
  <c r="F765" i="1"/>
  <c r="E765" i="1"/>
  <c r="K764" i="1"/>
  <c r="J764" i="1"/>
  <c r="I764" i="1"/>
  <c r="H764" i="1"/>
  <c r="G764" i="1"/>
  <c r="F764" i="1"/>
  <c r="E764" i="1"/>
  <c r="K763" i="1"/>
  <c r="J763" i="1"/>
  <c r="I763" i="1"/>
  <c r="H763" i="1"/>
  <c r="G763" i="1"/>
  <c r="F763" i="1"/>
  <c r="E763" i="1"/>
  <c r="K762" i="1"/>
  <c r="J762" i="1"/>
  <c r="I762" i="1"/>
  <c r="H762" i="1"/>
  <c r="G762" i="1"/>
  <c r="F762" i="1"/>
  <c r="E762" i="1"/>
  <c r="K761" i="1"/>
  <c r="J761" i="1"/>
  <c r="I761" i="1"/>
  <c r="H761" i="1"/>
  <c r="G761" i="1"/>
  <c r="F761" i="1"/>
  <c r="E761" i="1"/>
  <c r="K760" i="1"/>
  <c r="J760" i="1"/>
  <c r="I760" i="1"/>
  <c r="H760" i="1"/>
  <c r="G760" i="1"/>
  <c r="F760" i="1"/>
  <c r="E760" i="1"/>
  <c r="K759" i="1"/>
  <c r="J759" i="1"/>
  <c r="I759" i="1"/>
  <c r="H759" i="1"/>
  <c r="G759" i="1"/>
  <c r="F759" i="1"/>
  <c r="E759" i="1"/>
  <c r="K758" i="1"/>
  <c r="J758" i="1"/>
  <c r="I758" i="1"/>
  <c r="H758" i="1"/>
  <c r="G758" i="1"/>
  <c r="F758" i="1"/>
  <c r="E758" i="1"/>
  <c r="K757" i="1"/>
  <c r="J757" i="1"/>
  <c r="I757" i="1"/>
  <c r="H757" i="1"/>
  <c r="G757" i="1"/>
  <c r="F757" i="1"/>
  <c r="E757" i="1"/>
  <c r="K756" i="1"/>
  <c r="J756" i="1"/>
  <c r="I756" i="1"/>
  <c r="H756" i="1"/>
  <c r="G756" i="1"/>
  <c r="F756" i="1"/>
  <c r="E756" i="1"/>
  <c r="K755" i="1"/>
  <c r="J755" i="1"/>
  <c r="I755" i="1"/>
  <c r="H755" i="1"/>
  <c r="G755" i="1"/>
  <c r="F755" i="1"/>
  <c r="E755" i="1"/>
  <c r="K754" i="1"/>
  <c r="J754" i="1"/>
  <c r="I754" i="1"/>
  <c r="H754" i="1"/>
  <c r="G754" i="1"/>
  <c r="F754" i="1"/>
  <c r="E754" i="1"/>
  <c r="K753" i="1"/>
  <c r="J753" i="1"/>
  <c r="I753" i="1"/>
  <c r="H753" i="1"/>
  <c r="G753" i="1"/>
  <c r="F753" i="1"/>
  <c r="E753" i="1"/>
  <c r="K752" i="1"/>
  <c r="J752" i="1"/>
  <c r="I752" i="1"/>
  <c r="H752" i="1"/>
  <c r="G752" i="1"/>
  <c r="F752" i="1"/>
  <c r="E752" i="1"/>
  <c r="K751" i="1"/>
  <c r="J751" i="1"/>
  <c r="I751" i="1"/>
  <c r="H751" i="1"/>
  <c r="G751" i="1"/>
  <c r="F751" i="1"/>
  <c r="E751" i="1"/>
  <c r="K750" i="1"/>
  <c r="J750" i="1"/>
  <c r="I750" i="1"/>
  <c r="H750" i="1"/>
  <c r="G750" i="1"/>
  <c r="F750" i="1"/>
  <c r="E750" i="1"/>
  <c r="K749" i="1"/>
  <c r="J749" i="1"/>
  <c r="I749" i="1"/>
  <c r="H749" i="1"/>
  <c r="G749" i="1"/>
  <c r="F749" i="1"/>
  <c r="E749" i="1"/>
  <c r="K748" i="1"/>
  <c r="J748" i="1"/>
  <c r="I748" i="1"/>
  <c r="H748" i="1"/>
  <c r="G748" i="1"/>
  <c r="F748" i="1"/>
  <c r="E748" i="1"/>
  <c r="K747" i="1"/>
  <c r="J747" i="1"/>
  <c r="I747" i="1"/>
  <c r="H747" i="1"/>
  <c r="G747" i="1"/>
  <c r="F747" i="1"/>
  <c r="E747" i="1"/>
  <c r="K746" i="1"/>
  <c r="J746" i="1"/>
  <c r="I746" i="1"/>
  <c r="H746" i="1"/>
  <c r="G746" i="1"/>
  <c r="F746" i="1"/>
  <c r="E746" i="1"/>
  <c r="K745" i="1"/>
  <c r="J745" i="1"/>
  <c r="I745" i="1"/>
  <c r="H745" i="1"/>
  <c r="G745" i="1"/>
  <c r="F745" i="1"/>
  <c r="E745" i="1"/>
  <c r="K744" i="1"/>
  <c r="J744" i="1"/>
  <c r="I744" i="1"/>
  <c r="H744" i="1"/>
  <c r="G744" i="1"/>
  <c r="F744" i="1"/>
  <c r="E744" i="1"/>
  <c r="K743" i="1"/>
  <c r="J743" i="1"/>
  <c r="I743" i="1"/>
  <c r="H743" i="1"/>
  <c r="G743" i="1"/>
  <c r="F743" i="1"/>
  <c r="E743" i="1"/>
  <c r="K742" i="1"/>
  <c r="J742" i="1"/>
  <c r="I742" i="1"/>
  <c r="H742" i="1"/>
  <c r="G742" i="1"/>
  <c r="F742" i="1"/>
  <c r="E742" i="1"/>
  <c r="K741" i="1"/>
  <c r="J741" i="1"/>
  <c r="I741" i="1"/>
  <c r="H741" i="1"/>
  <c r="G741" i="1"/>
  <c r="F741" i="1"/>
  <c r="E741" i="1"/>
  <c r="K740" i="1"/>
  <c r="J740" i="1"/>
  <c r="I740" i="1"/>
  <c r="H740" i="1"/>
  <c r="G740" i="1"/>
  <c r="F740" i="1"/>
  <c r="E740" i="1"/>
  <c r="K739" i="1"/>
  <c r="J739" i="1"/>
  <c r="I739" i="1"/>
  <c r="H739" i="1"/>
  <c r="G739" i="1"/>
  <c r="F739" i="1"/>
  <c r="E739" i="1"/>
  <c r="K738" i="1"/>
  <c r="J738" i="1"/>
  <c r="I738" i="1"/>
  <c r="H738" i="1"/>
  <c r="G738" i="1"/>
  <c r="F738" i="1"/>
  <c r="E738" i="1"/>
  <c r="K737" i="1"/>
  <c r="J737" i="1"/>
  <c r="I737" i="1"/>
  <c r="H737" i="1"/>
  <c r="G737" i="1"/>
  <c r="F737" i="1"/>
  <c r="E737" i="1"/>
  <c r="K736" i="1"/>
  <c r="J736" i="1"/>
  <c r="I736" i="1"/>
  <c r="H736" i="1"/>
  <c r="G736" i="1"/>
  <c r="F736" i="1"/>
  <c r="E736" i="1"/>
  <c r="K735" i="1"/>
  <c r="J735" i="1"/>
  <c r="I735" i="1"/>
  <c r="H735" i="1"/>
  <c r="G735" i="1"/>
  <c r="F735" i="1"/>
  <c r="E735" i="1"/>
  <c r="K734" i="1"/>
  <c r="J734" i="1"/>
  <c r="I734" i="1"/>
  <c r="H734" i="1"/>
  <c r="G734" i="1"/>
  <c r="F734" i="1"/>
  <c r="E734" i="1"/>
  <c r="K733" i="1"/>
  <c r="J733" i="1"/>
  <c r="I733" i="1"/>
  <c r="H733" i="1"/>
  <c r="G733" i="1"/>
  <c r="F733" i="1"/>
  <c r="E733" i="1"/>
  <c r="K732" i="1"/>
  <c r="J732" i="1"/>
  <c r="I732" i="1"/>
  <c r="H732" i="1"/>
  <c r="G732" i="1"/>
  <c r="F732" i="1"/>
  <c r="E732" i="1"/>
  <c r="K731" i="1"/>
  <c r="J731" i="1"/>
  <c r="I731" i="1"/>
  <c r="H731" i="1"/>
  <c r="G731" i="1"/>
  <c r="F731" i="1"/>
  <c r="E731" i="1"/>
  <c r="K730" i="1"/>
  <c r="J730" i="1"/>
  <c r="I730" i="1"/>
  <c r="H730" i="1"/>
  <c r="G730" i="1"/>
  <c r="F730" i="1"/>
  <c r="E730" i="1"/>
  <c r="K729" i="1"/>
  <c r="J729" i="1"/>
  <c r="I729" i="1"/>
  <c r="H729" i="1"/>
  <c r="G729" i="1"/>
  <c r="F729" i="1"/>
  <c r="E729" i="1"/>
  <c r="K728" i="1"/>
  <c r="J728" i="1"/>
  <c r="I728" i="1"/>
  <c r="H728" i="1"/>
  <c r="G728" i="1"/>
  <c r="F728" i="1"/>
  <c r="E728" i="1"/>
  <c r="K727" i="1"/>
  <c r="J727" i="1"/>
  <c r="I727" i="1"/>
  <c r="H727" i="1"/>
  <c r="G727" i="1"/>
  <c r="F727" i="1"/>
  <c r="E727" i="1"/>
  <c r="K726" i="1"/>
  <c r="J726" i="1"/>
  <c r="I726" i="1"/>
  <c r="H726" i="1"/>
  <c r="G726" i="1"/>
  <c r="F726" i="1"/>
  <c r="E726" i="1"/>
  <c r="K725" i="1"/>
  <c r="J725" i="1"/>
  <c r="I725" i="1"/>
  <c r="H725" i="1"/>
  <c r="G725" i="1"/>
  <c r="F725" i="1"/>
  <c r="E725" i="1"/>
  <c r="K724" i="1"/>
  <c r="J724" i="1"/>
  <c r="I724" i="1"/>
  <c r="H724" i="1"/>
  <c r="G724" i="1"/>
  <c r="F724" i="1"/>
  <c r="E724" i="1"/>
  <c r="K723" i="1"/>
  <c r="J723" i="1"/>
  <c r="I723" i="1"/>
  <c r="H723" i="1"/>
  <c r="G723" i="1"/>
  <c r="F723" i="1"/>
  <c r="E723" i="1"/>
  <c r="K722" i="1"/>
  <c r="J722" i="1"/>
  <c r="I722" i="1"/>
  <c r="H722" i="1"/>
  <c r="G722" i="1"/>
  <c r="F722" i="1"/>
  <c r="E722" i="1"/>
  <c r="K721" i="1"/>
  <c r="J721" i="1"/>
  <c r="I721" i="1"/>
  <c r="H721" i="1"/>
  <c r="G721" i="1"/>
  <c r="F721" i="1"/>
  <c r="E721" i="1"/>
  <c r="K720" i="1"/>
  <c r="J720" i="1"/>
  <c r="I720" i="1"/>
  <c r="H720" i="1"/>
  <c r="G720" i="1"/>
  <c r="F720" i="1"/>
  <c r="E720" i="1"/>
  <c r="K719" i="1"/>
  <c r="J719" i="1"/>
  <c r="I719" i="1"/>
  <c r="H719" i="1"/>
  <c r="G719" i="1"/>
  <c r="F719" i="1"/>
  <c r="E719" i="1"/>
  <c r="K718" i="1"/>
  <c r="J718" i="1"/>
  <c r="I718" i="1"/>
  <c r="H718" i="1"/>
  <c r="G718" i="1"/>
  <c r="F718" i="1"/>
  <c r="E718" i="1"/>
  <c r="K717" i="1"/>
  <c r="J717" i="1"/>
  <c r="I717" i="1"/>
  <c r="H717" i="1"/>
  <c r="G717" i="1"/>
  <c r="F717" i="1"/>
  <c r="E717" i="1"/>
  <c r="K716" i="1"/>
  <c r="J716" i="1"/>
  <c r="I716" i="1"/>
  <c r="H716" i="1"/>
  <c r="G716" i="1"/>
  <c r="F716" i="1"/>
  <c r="E716" i="1"/>
  <c r="K715" i="1"/>
  <c r="J715" i="1"/>
  <c r="I715" i="1"/>
  <c r="H715" i="1"/>
  <c r="G715" i="1"/>
  <c r="F715" i="1"/>
  <c r="E715" i="1"/>
  <c r="K714" i="1"/>
  <c r="J714" i="1"/>
  <c r="I714" i="1"/>
  <c r="H714" i="1"/>
  <c r="G714" i="1"/>
  <c r="F714" i="1"/>
  <c r="E714" i="1"/>
  <c r="K713" i="1"/>
  <c r="J713" i="1"/>
  <c r="I713" i="1"/>
  <c r="H713" i="1"/>
  <c r="G713" i="1"/>
  <c r="F713" i="1"/>
  <c r="E713" i="1"/>
  <c r="K712" i="1"/>
  <c r="J712" i="1"/>
  <c r="I712" i="1"/>
  <c r="H712" i="1"/>
  <c r="G712" i="1"/>
  <c r="F712" i="1"/>
  <c r="E712" i="1"/>
  <c r="K711" i="1"/>
  <c r="J711" i="1"/>
  <c r="I711" i="1"/>
  <c r="H711" i="1"/>
  <c r="G711" i="1"/>
  <c r="F711" i="1"/>
  <c r="E711" i="1"/>
  <c r="K710" i="1"/>
  <c r="J710" i="1"/>
  <c r="I710" i="1"/>
  <c r="H710" i="1"/>
  <c r="G710" i="1"/>
  <c r="F710" i="1"/>
  <c r="E710" i="1"/>
  <c r="K709" i="1"/>
  <c r="J709" i="1"/>
  <c r="I709" i="1"/>
  <c r="H709" i="1"/>
  <c r="G709" i="1"/>
  <c r="F709" i="1"/>
  <c r="E709" i="1"/>
  <c r="K708" i="1"/>
  <c r="J708" i="1"/>
  <c r="I708" i="1"/>
  <c r="H708" i="1"/>
  <c r="G708" i="1"/>
  <c r="F708" i="1"/>
  <c r="E708" i="1"/>
  <c r="K707" i="1"/>
  <c r="J707" i="1"/>
  <c r="I707" i="1"/>
  <c r="H707" i="1"/>
  <c r="G707" i="1"/>
  <c r="F707" i="1"/>
  <c r="E707" i="1"/>
  <c r="K706" i="1"/>
  <c r="J706" i="1"/>
  <c r="I706" i="1"/>
  <c r="H706" i="1"/>
  <c r="G706" i="1"/>
  <c r="F706" i="1"/>
  <c r="E706" i="1"/>
  <c r="K705" i="1"/>
  <c r="J705" i="1"/>
  <c r="I705" i="1"/>
  <c r="H705" i="1"/>
  <c r="G705" i="1"/>
  <c r="F705" i="1"/>
  <c r="E705" i="1"/>
  <c r="K704" i="1"/>
  <c r="J704" i="1"/>
  <c r="I704" i="1"/>
  <c r="H704" i="1"/>
  <c r="G704" i="1"/>
  <c r="F704" i="1"/>
  <c r="E704" i="1"/>
  <c r="K703" i="1"/>
  <c r="J703" i="1"/>
  <c r="I703" i="1"/>
  <c r="H703" i="1"/>
  <c r="G703" i="1"/>
  <c r="F703" i="1"/>
  <c r="E703" i="1"/>
  <c r="K702" i="1"/>
  <c r="J702" i="1"/>
  <c r="I702" i="1"/>
  <c r="H702" i="1"/>
  <c r="G702" i="1"/>
  <c r="F702" i="1"/>
  <c r="E702" i="1"/>
  <c r="K701" i="1"/>
  <c r="J701" i="1"/>
  <c r="I701" i="1"/>
  <c r="H701" i="1"/>
  <c r="G701" i="1"/>
  <c r="F701" i="1"/>
  <c r="E701" i="1"/>
  <c r="K700" i="1"/>
  <c r="J700" i="1"/>
  <c r="I700" i="1"/>
  <c r="H700" i="1"/>
  <c r="G700" i="1"/>
  <c r="F700" i="1"/>
  <c r="E700" i="1"/>
  <c r="K699" i="1"/>
  <c r="J699" i="1"/>
  <c r="I699" i="1"/>
  <c r="H699" i="1"/>
  <c r="G699" i="1"/>
  <c r="F699" i="1"/>
  <c r="E699" i="1"/>
  <c r="K698" i="1"/>
  <c r="J698" i="1"/>
  <c r="I698" i="1"/>
  <c r="H698" i="1"/>
  <c r="G698" i="1"/>
  <c r="F698" i="1"/>
  <c r="E698" i="1"/>
  <c r="K697" i="1"/>
  <c r="J697" i="1"/>
  <c r="I697" i="1"/>
  <c r="H697" i="1"/>
  <c r="G697" i="1"/>
  <c r="F697" i="1"/>
  <c r="E697" i="1"/>
  <c r="K696" i="1"/>
  <c r="J696" i="1"/>
  <c r="I696" i="1"/>
  <c r="H696" i="1"/>
  <c r="G696" i="1"/>
  <c r="F696" i="1"/>
  <c r="E696" i="1"/>
  <c r="K695" i="1"/>
  <c r="J695" i="1"/>
  <c r="I695" i="1"/>
  <c r="H695" i="1"/>
  <c r="G695" i="1"/>
  <c r="F695" i="1"/>
  <c r="E695" i="1"/>
  <c r="K694" i="1"/>
  <c r="J694" i="1"/>
  <c r="I694" i="1"/>
  <c r="H694" i="1"/>
  <c r="G694" i="1"/>
  <c r="F694" i="1"/>
  <c r="E694" i="1"/>
  <c r="K693" i="1"/>
  <c r="J693" i="1"/>
  <c r="I693" i="1"/>
  <c r="H693" i="1"/>
  <c r="G693" i="1"/>
  <c r="F693" i="1"/>
  <c r="E693" i="1"/>
  <c r="K692" i="1"/>
  <c r="J692" i="1"/>
  <c r="I692" i="1"/>
  <c r="H692" i="1"/>
  <c r="G692" i="1"/>
  <c r="F692" i="1"/>
  <c r="E692" i="1"/>
  <c r="K691" i="1"/>
  <c r="J691" i="1"/>
  <c r="I691" i="1"/>
  <c r="H691" i="1"/>
  <c r="G691" i="1"/>
  <c r="F691" i="1"/>
  <c r="E691" i="1"/>
  <c r="K690" i="1"/>
  <c r="J690" i="1"/>
  <c r="I690" i="1"/>
  <c r="H690" i="1"/>
  <c r="G690" i="1"/>
  <c r="F690" i="1"/>
  <c r="E690" i="1"/>
  <c r="K689" i="1"/>
  <c r="J689" i="1"/>
  <c r="I689" i="1"/>
  <c r="H689" i="1"/>
  <c r="G689" i="1"/>
  <c r="F689" i="1"/>
  <c r="E689" i="1"/>
  <c r="K688" i="1"/>
  <c r="J688" i="1"/>
  <c r="I688" i="1"/>
  <c r="H688" i="1"/>
  <c r="G688" i="1"/>
  <c r="F688" i="1"/>
  <c r="E688" i="1"/>
  <c r="K687" i="1"/>
  <c r="J687" i="1"/>
  <c r="I687" i="1"/>
  <c r="H687" i="1"/>
  <c r="G687" i="1"/>
  <c r="F687" i="1"/>
  <c r="E687" i="1"/>
  <c r="K686" i="1"/>
  <c r="J686" i="1"/>
  <c r="I686" i="1"/>
  <c r="H686" i="1"/>
  <c r="G686" i="1"/>
  <c r="F686" i="1"/>
  <c r="E686" i="1"/>
  <c r="K685" i="1"/>
  <c r="J685" i="1"/>
  <c r="I685" i="1"/>
  <c r="H685" i="1"/>
  <c r="G685" i="1"/>
  <c r="F685" i="1"/>
  <c r="E685" i="1"/>
  <c r="K684" i="1"/>
  <c r="J684" i="1"/>
  <c r="I684" i="1"/>
  <c r="H684" i="1"/>
  <c r="G684" i="1"/>
  <c r="F684" i="1"/>
  <c r="E684" i="1"/>
  <c r="K683" i="1"/>
  <c r="J683" i="1"/>
  <c r="I683" i="1"/>
  <c r="H683" i="1"/>
  <c r="G683" i="1"/>
  <c r="F683" i="1"/>
  <c r="E683" i="1"/>
  <c r="K682" i="1"/>
  <c r="J682" i="1"/>
  <c r="I682" i="1"/>
  <c r="H682" i="1"/>
  <c r="G682" i="1"/>
  <c r="F682" i="1"/>
  <c r="E682" i="1"/>
  <c r="K681" i="1"/>
  <c r="J681" i="1"/>
  <c r="I681" i="1"/>
  <c r="H681" i="1"/>
  <c r="G681" i="1"/>
  <c r="F681" i="1"/>
  <c r="E681" i="1"/>
  <c r="K680" i="1"/>
  <c r="J680" i="1"/>
  <c r="I680" i="1"/>
  <c r="H680" i="1"/>
  <c r="G680" i="1"/>
  <c r="F680" i="1"/>
  <c r="E680" i="1"/>
  <c r="K679" i="1"/>
  <c r="J679" i="1"/>
  <c r="I679" i="1"/>
  <c r="H679" i="1"/>
  <c r="G679" i="1"/>
  <c r="F679" i="1"/>
  <c r="E679" i="1"/>
  <c r="K678" i="1"/>
  <c r="J678" i="1"/>
  <c r="I678" i="1"/>
  <c r="H678" i="1"/>
  <c r="G678" i="1"/>
  <c r="F678" i="1"/>
  <c r="E678" i="1"/>
  <c r="K677" i="1"/>
  <c r="J677" i="1"/>
  <c r="I677" i="1"/>
  <c r="H677" i="1"/>
  <c r="G677" i="1"/>
  <c r="F677" i="1"/>
  <c r="E677" i="1"/>
  <c r="K676" i="1"/>
  <c r="J676" i="1"/>
  <c r="I676" i="1"/>
  <c r="H676" i="1"/>
  <c r="G676" i="1"/>
  <c r="F676" i="1"/>
  <c r="E676" i="1"/>
  <c r="K675" i="1"/>
  <c r="J675" i="1"/>
  <c r="I675" i="1"/>
  <c r="H675" i="1"/>
  <c r="G675" i="1"/>
  <c r="F675" i="1"/>
  <c r="E675" i="1"/>
  <c r="K674" i="1"/>
  <c r="J674" i="1"/>
  <c r="I674" i="1"/>
  <c r="H674" i="1"/>
  <c r="G674" i="1"/>
  <c r="F674" i="1"/>
  <c r="E674" i="1"/>
  <c r="K673" i="1"/>
  <c r="J673" i="1"/>
  <c r="I673" i="1"/>
  <c r="H673" i="1"/>
  <c r="G673" i="1"/>
  <c r="F673" i="1"/>
  <c r="E673" i="1"/>
  <c r="K672" i="1"/>
  <c r="J672" i="1"/>
  <c r="I672" i="1"/>
  <c r="H672" i="1"/>
  <c r="G672" i="1"/>
  <c r="F672" i="1"/>
  <c r="E672" i="1"/>
  <c r="K671" i="1"/>
  <c r="J671" i="1"/>
  <c r="I671" i="1"/>
  <c r="H671" i="1"/>
  <c r="G671" i="1"/>
  <c r="F671" i="1"/>
  <c r="E671" i="1"/>
  <c r="K670" i="1"/>
  <c r="J670" i="1"/>
  <c r="I670" i="1"/>
  <c r="H670" i="1"/>
  <c r="G670" i="1"/>
  <c r="F670" i="1"/>
  <c r="E670" i="1"/>
  <c r="K669" i="1"/>
  <c r="J669" i="1"/>
  <c r="I669" i="1"/>
  <c r="H669" i="1"/>
  <c r="G669" i="1"/>
  <c r="F669" i="1"/>
  <c r="E669" i="1"/>
  <c r="K668" i="1"/>
  <c r="J668" i="1"/>
  <c r="I668" i="1"/>
  <c r="H668" i="1"/>
  <c r="G668" i="1"/>
  <c r="F668" i="1"/>
  <c r="E668" i="1"/>
  <c r="K667" i="1"/>
  <c r="J667" i="1"/>
  <c r="I667" i="1"/>
  <c r="H667" i="1"/>
  <c r="G667" i="1"/>
  <c r="F667" i="1"/>
  <c r="E667" i="1"/>
  <c r="K666" i="1"/>
  <c r="J666" i="1"/>
  <c r="I666" i="1"/>
  <c r="H666" i="1"/>
  <c r="G666" i="1"/>
  <c r="F666" i="1"/>
  <c r="E666" i="1"/>
  <c r="K665" i="1"/>
  <c r="J665" i="1"/>
  <c r="I665" i="1"/>
  <c r="H665" i="1"/>
  <c r="G665" i="1"/>
  <c r="F665" i="1"/>
  <c r="E665" i="1"/>
  <c r="K664" i="1"/>
  <c r="J664" i="1"/>
  <c r="I664" i="1"/>
  <c r="H664" i="1"/>
  <c r="G664" i="1"/>
  <c r="F664" i="1"/>
  <c r="E664" i="1"/>
  <c r="K663" i="1"/>
  <c r="J663" i="1"/>
  <c r="I663" i="1"/>
  <c r="H663" i="1"/>
  <c r="G663" i="1"/>
  <c r="F663" i="1"/>
  <c r="E663" i="1"/>
  <c r="K662" i="1"/>
  <c r="J662" i="1"/>
  <c r="I662" i="1"/>
  <c r="H662" i="1"/>
  <c r="G662" i="1"/>
  <c r="F662" i="1"/>
  <c r="E662" i="1"/>
  <c r="K661" i="1"/>
  <c r="J661" i="1"/>
  <c r="I661" i="1"/>
  <c r="H661" i="1"/>
  <c r="G661" i="1"/>
  <c r="F661" i="1"/>
  <c r="E661" i="1"/>
  <c r="K660" i="1"/>
  <c r="J660" i="1"/>
  <c r="I660" i="1"/>
  <c r="H660" i="1"/>
  <c r="G660" i="1"/>
  <c r="F660" i="1"/>
  <c r="E660" i="1"/>
  <c r="K659" i="1"/>
  <c r="J659" i="1"/>
  <c r="I659" i="1"/>
  <c r="H659" i="1"/>
  <c r="G659" i="1"/>
  <c r="F659" i="1"/>
  <c r="E659" i="1"/>
  <c r="K658" i="1"/>
  <c r="J658" i="1"/>
  <c r="I658" i="1"/>
  <c r="H658" i="1"/>
  <c r="G658" i="1"/>
  <c r="F658" i="1"/>
  <c r="E658" i="1"/>
  <c r="K657" i="1"/>
  <c r="J657" i="1"/>
  <c r="I657" i="1"/>
  <c r="H657" i="1"/>
  <c r="G657" i="1"/>
  <c r="F657" i="1"/>
  <c r="E657" i="1"/>
  <c r="K656" i="1"/>
  <c r="J656" i="1"/>
  <c r="I656" i="1"/>
  <c r="H656" i="1"/>
  <c r="G656" i="1"/>
  <c r="F656" i="1"/>
  <c r="E656" i="1"/>
  <c r="K655" i="1"/>
  <c r="J655" i="1"/>
  <c r="I655" i="1"/>
  <c r="H655" i="1"/>
  <c r="G655" i="1"/>
  <c r="F655" i="1"/>
  <c r="E655" i="1"/>
  <c r="K654" i="1"/>
  <c r="J654" i="1"/>
  <c r="I654" i="1"/>
  <c r="H654" i="1"/>
  <c r="G654" i="1"/>
  <c r="F654" i="1"/>
  <c r="E654" i="1"/>
  <c r="K653" i="1"/>
  <c r="J653" i="1"/>
  <c r="I653" i="1"/>
  <c r="H653" i="1"/>
  <c r="G653" i="1"/>
  <c r="F653" i="1"/>
  <c r="E653" i="1"/>
  <c r="K652" i="1"/>
  <c r="J652" i="1"/>
  <c r="I652" i="1"/>
  <c r="H652" i="1"/>
  <c r="G652" i="1"/>
  <c r="F652" i="1"/>
  <c r="E652" i="1"/>
  <c r="K651" i="1"/>
  <c r="J651" i="1"/>
  <c r="I651" i="1"/>
  <c r="H651" i="1"/>
  <c r="G651" i="1"/>
  <c r="F651" i="1"/>
  <c r="E651" i="1"/>
  <c r="K650" i="1"/>
  <c r="J650" i="1"/>
  <c r="I650" i="1"/>
  <c r="H650" i="1"/>
  <c r="G650" i="1"/>
  <c r="F650" i="1"/>
  <c r="E650" i="1"/>
  <c r="K649" i="1"/>
  <c r="J649" i="1"/>
  <c r="I649" i="1"/>
  <c r="H649" i="1"/>
  <c r="G649" i="1"/>
  <c r="F649" i="1"/>
  <c r="E649" i="1"/>
  <c r="K648" i="1"/>
  <c r="J648" i="1"/>
  <c r="I648" i="1"/>
  <c r="H648" i="1"/>
  <c r="G648" i="1"/>
  <c r="F648" i="1"/>
  <c r="E648" i="1"/>
  <c r="K647" i="1"/>
  <c r="J647" i="1"/>
  <c r="I647" i="1"/>
  <c r="H647" i="1"/>
  <c r="G647" i="1"/>
  <c r="F647" i="1"/>
  <c r="E647" i="1"/>
  <c r="K646" i="1"/>
  <c r="J646" i="1"/>
  <c r="I646" i="1"/>
  <c r="H646" i="1"/>
  <c r="G646" i="1"/>
  <c r="F646" i="1"/>
  <c r="E646" i="1"/>
  <c r="K645" i="1"/>
  <c r="J645" i="1"/>
  <c r="I645" i="1"/>
  <c r="H645" i="1"/>
  <c r="G645" i="1"/>
  <c r="F645" i="1"/>
  <c r="E645" i="1"/>
  <c r="K644" i="1"/>
  <c r="J644" i="1"/>
  <c r="I644" i="1"/>
  <c r="H644" i="1"/>
  <c r="G644" i="1"/>
  <c r="F644" i="1"/>
  <c r="E644" i="1"/>
  <c r="K643" i="1"/>
  <c r="J643" i="1"/>
  <c r="I643" i="1"/>
  <c r="H643" i="1"/>
  <c r="G643" i="1"/>
  <c r="F643" i="1"/>
  <c r="E643" i="1"/>
  <c r="K642" i="1"/>
  <c r="J642" i="1"/>
  <c r="I642" i="1"/>
  <c r="H642" i="1"/>
  <c r="G642" i="1"/>
  <c r="F642" i="1"/>
  <c r="E642" i="1"/>
  <c r="K641" i="1"/>
  <c r="J641" i="1"/>
  <c r="I641" i="1"/>
  <c r="H641" i="1"/>
  <c r="G641" i="1"/>
  <c r="F641" i="1"/>
  <c r="E641" i="1"/>
  <c r="K640" i="1"/>
  <c r="J640" i="1"/>
  <c r="I640" i="1"/>
  <c r="H640" i="1"/>
  <c r="G640" i="1"/>
  <c r="F640" i="1"/>
  <c r="E640" i="1"/>
  <c r="K639" i="1"/>
  <c r="J639" i="1"/>
  <c r="I639" i="1"/>
  <c r="H639" i="1"/>
  <c r="G639" i="1"/>
  <c r="F639" i="1"/>
  <c r="E639" i="1"/>
  <c r="K638" i="1"/>
  <c r="J638" i="1"/>
  <c r="I638" i="1"/>
  <c r="H638" i="1"/>
  <c r="G638" i="1"/>
  <c r="F638" i="1"/>
  <c r="E638" i="1"/>
  <c r="K637" i="1"/>
  <c r="J637" i="1"/>
  <c r="I637" i="1"/>
  <c r="H637" i="1"/>
  <c r="G637" i="1"/>
  <c r="F637" i="1"/>
  <c r="E637" i="1"/>
  <c r="K636" i="1"/>
  <c r="J636" i="1"/>
  <c r="I636" i="1"/>
  <c r="H636" i="1"/>
  <c r="G636" i="1"/>
  <c r="F636" i="1"/>
  <c r="E636" i="1"/>
  <c r="K635" i="1"/>
  <c r="J635" i="1"/>
  <c r="I635" i="1"/>
  <c r="H635" i="1"/>
  <c r="G635" i="1"/>
  <c r="F635" i="1"/>
  <c r="E635" i="1"/>
  <c r="K634" i="1"/>
  <c r="J634" i="1"/>
  <c r="I634" i="1"/>
  <c r="H634" i="1"/>
  <c r="G634" i="1"/>
  <c r="F634" i="1"/>
  <c r="E634" i="1"/>
  <c r="K633" i="1"/>
  <c r="J633" i="1"/>
  <c r="I633" i="1"/>
  <c r="H633" i="1"/>
  <c r="G633" i="1"/>
  <c r="F633" i="1"/>
  <c r="E633" i="1"/>
  <c r="K632" i="1"/>
  <c r="J632" i="1"/>
  <c r="I632" i="1"/>
  <c r="H632" i="1"/>
  <c r="G632" i="1"/>
  <c r="F632" i="1"/>
  <c r="E632" i="1"/>
  <c r="K631" i="1"/>
  <c r="J631" i="1"/>
  <c r="I631" i="1"/>
  <c r="H631" i="1"/>
  <c r="G631" i="1"/>
  <c r="F631" i="1"/>
  <c r="E631" i="1"/>
  <c r="K630" i="1"/>
  <c r="J630" i="1"/>
  <c r="I630" i="1"/>
  <c r="H630" i="1"/>
  <c r="G630" i="1"/>
  <c r="F630" i="1"/>
  <c r="E630" i="1"/>
  <c r="K629" i="1"/>
  <c r="J629" i="1"/>
  <c r="I629" i="1"/>
  <c r="H629" i="1"/>
  <c r="G629" i="1"/>
  <c r="F629" i="1"/>
  <c r="E629" i="1"/>
  <c r="K628" i="1"/>
  <c r="J628" i="1"/>
  <c r="I628" i="1"/>
  <c r="H628" i="1"/>
  <c r="G628" i="1"/>
  <c r="F628" i="1"/>
  <c r="E628" i="1"/>
  <c r="K627" i="1"/>
  <c r="J627" i="1"/>
  <c r="I627" i="1"/>
  <c r="H627" i="1"/>
  <c r="G627" i="1"/>
  <c r="F627" i="1"/>
  <c r="E627" i="1"/>
  <c r="K626" i="1"/>
  <c r="J626" i="1"/>
  <c r="I626" i="1"/>
  <c r="H626" i="1"/>
  <c r="G626" i="1"/>
  <c r="F626" i="1"/>
  <c r="E626" i="1"/>
  <c r="K625" i="1"/>
  <c r="J625" i="1"/>
  <c r="I625" i="1"/>
  <c r="H625" i="1"/>
  <c r="G625" i="1"/>
  <c r="F625" i="1"/>
  <c r="E625" i="1"/>
  <c r="K624" i="1"/>
  <c r="J624" i="1"/>
  <c r="I624" i="1"/>
  <c r="H624" i="1"/>
  <c r="G624" i="1"/>
  <c r="F624" i="1"/>
  <c r="E624" i="1"/>
  <c r="K623" i="1"/>
  <c r="J623" i="1"/>
  <c r="I623" i="1"/>
  <c r="H623" i="1"/>
  <c r="G623" i="1"/>
  <c r="F623" i="1"/>
  <c r="E623" i="1"/>
  <c r="K622" i="1"/>
  <c r="J622" i="1"/>
  <c r="I622" i="1"/>
  <c r="H622" i="1"/>
  <c r="G622" i="1"/>
  <c r="F622" i="1"/>
  <c r="E622" i="1"/>
  <c r="K621" i="1"/>
  <c r="J621" i="1"/>
  <c r="I621" i="1"/>
  <c r="H621" i="1"/>
  <c r="G621" i="1"/>
  <c r="F621" i="1"/>
  <c r="E621" i="1"/>
  <c r="K620" i="1"/>
  <c r="J620" i="1"/>
  <c r="I620" i="1"/>
  <c r="H620" i="1"/>
  <c r="G620" i="1"/>
  <c r="F620" i="1"/>
  <c r="E620" i="1"/>
  <c r="K619" i="1"/>
  <c r="J619" i="1"/>
  <c r="I619" i="1"/>
  <c r="H619" i="1"/>
  <c r="G619" i="1"/>
  <c r="F619" i="1"/>
  <c r="E619" i="1"/>
  <c r="K618" i="1"/>
  <c r="J618" i="1"/>
  <c r="I618" i="1"/>
  <c r="H618" i="1"/>
  <c r="G618" i="1"/>
  <c r="F618" i="1"/>
  <c r="E618" i="1"/>
  <c r="K617" i="1"/>
  <c r="J617" i="1"/>
  <c r="I617" i="1"/>
  <c r="H617" i="1"/>
  <c r="G617" i="1"/>
  <c r="F617" i="1"/>
  <c r="E617" i="1"/>
  <c r="K616" i="1"/>
  <c r="J616" i="1"/>
  <c r="I616" i="1"/>
  <c r="H616" i="1"/>
  <c r="G616" i="1"/>
  <c r="F616" i="1"/>
  <c r="E616" i="1"/>
  <c r="K615" i="1"/>
  <c r="J615" i="1"/>
  <c r="I615" i="1"/>
  <c r="H615" i="1"/>
  <c r="G615" i="1"/>
  <c r="F615" i="1"/>
  <c r="E615" i="1"/>
  <c r="K614" i="1"/>
  <c r="J614" i="1"/>
  <c r="I614" i="1"/>
  <c r="H614" i="1"/>
  <c r="G614" i="1"/>
  <c r="F614" i="1"/>
  <c r="E614" i="1"/>
  <c r="K613" i="1"/>
  <c r="J613" i="1"/>
  <c r="I613" i="1"/>
  <c r="H613" i="1"/>
  <c r="G613" i="1"/>
  <c r="F613" i="1"/>
  <c r="E613" i="1"/>
  <c r="K612" i="1"/>
  <c r="J612" i="1"/>
  <c r="I612" i="1"/>
  <c r="H612" i="1"/>
  <c r="G612" i="1"/>
  <c r="F612" i="1"/>
  <c r="E612" i="1"/>
  <c r="K611" i="1"/>
  <c r="J611" i="1"/>
  <c r="I611" i="1"/>
  <c r="H611" i="1"/>
  <c r="G611" i="1"/>
  <c r="F611" i="1"/>
  <c r="E611" i="1"/>
  <c r="K610" i="1"/>
  <c r="J610" i="1"/>
  <c r="I610" i="1"/>
  <c r="H610" i="1"/>
  <c r="G610" i="1"/>
  <c r="F610" i="1"/>
  <c r="E610" i="1"/>
  <c r="K609" i="1"/>
  <c r="J609" i="1"/>
  <c r="I609" i="1"/>
  <c r="H609" i="1"/>
  <c r="G609" i="1"/>
  <c r="F609" i="1"/>
  <c r="E609" i="1"/>
  <c r="K608" i="1"/>
  <c r="J608" i="1"/>
  <c r="I608" i="1"/>
  <c r="H608" i="1"/>
  <c r="G608" i="1"/>
  <c r="F608" i="1"/>
  <c r="E608" i="1"/>
  <c r="K607" i="1"/>
  <c r="J607" i="1"/>
  <c r="I607" i="1"/>
  <c r="H607" i="1"/>
  <c r="G607" i="1"/>
  <c r="F607" i="1"/>
  <c r="E607" i="1"/>
  <c r="K606" i="1"/>
  <c r="J606" i="1"/>
  <c r="I606" i="1"/>
  <c r="H606" i="1"/>
  <c r="G606" i="1"/>
  <c r="F606" i="1"/>
  <c r="E606" i="1"/>
  <c r="K605" i="1"/>
  <c r="J605" i="1"/>
  <c r="I605" i="1"/>
  <c r="H605" i="1"/>
  <c r="G605" i="1"/>
  <c r="F605" i="1"/>
  <c r="E605" i="1"/>
  <c r="K604" i="1"/>
  <c r="J604" i="1"/>
  <c r="I604" i="1"/>
  <c r="H604" i="1"/>
  <c r="G604" i="1"/>
  <c r="F604" i="1"/>
  <c r="E604" i="1"/>
  <c r="K603" i="1"/>
  <c r="J603" i="1"/>
  <c r="I603" i="1"/>
  <c r="H603" i="1"/>
  <c r="G603" i="1"/>
  <c r="F603" i="1"/>
  <c r="E603" i="1"/>
  <c r="K602" i="1"/>
  <c r="J602" i="1"/>
  <c r="I602" i="1"/>
  <c r="H602" i="1"/>
  <c r="G602" i="1"/>
  <c r="F602" i="1"/>
  <c r="E602" i="1"/>
  <c r="K601" i="1"/>
  <c r="J601" i="1"/>
  <c r="I601" i="1"/>
  <c r="H601" i="1"/>
  <c r="G601" i="1"/>
  <c r="F601" i="1"/>
  <c r="E601" i="1"/>
  <c r="K600" i="1"/>
  <c r="J600" i="1"/>
  <c r="I600" i="1"/>
  <c r="H600" i="1"/>
  <c r="G600" i="1"/>
  <c r="F600" i="1"/>
  <c r="E600" i="1"/>
  <c r="K599" i="1"/>
  <c r="J599" i="1"/>
  <c r="I599" i="1"/>
  <c r="H599" i="1"/>
  <c r="G599" i="1"/>
  <c r="F599" i="1"/>
  <c r="E599" i="1"/>
  <c r="K598" i="1"/>
  <c r="J598" i="1"/>
  <c r="I598" i="1"/>
  <c r="H598" i="1"/>
  <c r="G598" i="1"/>
  <c r="F598" i="1"/>
  <c r="E598" i="1"/>
  <c r="K597" i="1"/>
  <c r="J597" i="1"/>
  <c r="I597" i="1"/>
  <c r="H597" i="1"/>
  <c r="G597" i="1"/>
  <c r="F597" i="1"/>
  <c r="E597" i="1"/>
  <c r="K596" i="1"/>
  <c r="J596" i="1"/>
  <c r="I596" i="1"/>
  <c r="H596" i="1"/>
  <c r="G596" i="1"/>
  <c r="F596" i="1"/>
  <c r="E596" i="1"/>
  <c r="K595" i="1"/>
  <c r="J595" i="1"/>
  <c r="I595" i="1"/>
  <c r="H595" i="1"/>
  <c r="G595" i="1"/>
  <c r="F595" i="1"/>
  <c r="E595" i="1"/>
  <c r="K594" i="1"/>
  <c r="J594" i="1"/>
  <c r="I594" i="1"/>
  <c r="H594" i="1"/>
  <c r="G594" i="1"/>
  <c r="F594" i="1"/>
  <c r="E594" i="1"/>
  <c r="K593" i="1"/>
  <c r="J593" i="1"/>
  <c r="I593" i="1"/>
  <c r="H593" i="1"/>
  <c r="G593" i="1"/>
  <c r="F593" i="1"/>
  <c r="E593" i="1"/>
  <c r="K592" i="1"/>
  <c r="J592" i="1"/>
  <c r="I592" i="1"/>
  <c r="H592" i="1"/>
  <c r="G592" i="1"/>
  <c r="F592" i="1"/>
  <c r="E592" i="1"/>
  <c r="K591" i="1"/>
  <c r="J591" i="1"/>
  <c r="I591" i="1"/>
  <c r="H591" i="1"/>
  <c r="G591" i="1"/>
  <c r="F591" i="1"/>
  <c r="E591" i="1"/>
  <c r="K590" i="1"/>
  <c r="J590" i="1"/>
  <c r="I590" i="1"/>
  <c r="H590" i="1"/>
  <c r="G590" i="1"/>
  <c r="F590" i="1"/>
  <c r="E590" i="1"/>
  <c r="K589" i="1"/>
  <c r="J589" i="1"/>
  <c r="I589" i="1"/>
  <c r="H589" i="1"/>
  <c r="G589" i="1"/>
  <c r="F589" i="1"/>
  <c r="E589" i="1"/>
  <c r="K588" i="1"/>
  <c r="J588" i="1"/>
  <c r="I588" i="1"/>
  <c r="H588" i="1"/>
  <c r="G588" i="1"/>
  <c r="F588" i="1"/>
  <c r="E588" i="1"/>
  <c r="K587" i="1"/>
  <c r="J587" i="1"/>
  <c r="I587" i="1"/>
  <c r="H587" i="1"/>
  <c r="G587" i="1"/>
  <c r="F587" i="1"/>
  <c r="E587" i="1"/>
  <c r="K586" i="1"/>
  <c r="J586" i="1"/>
  <c r="I586" i="1"/>
  <c r="H586" i="1"/>
  <c r="G586" i="1"/>
  <c r="F586" i="1"/>
  <c r="E586" i="1"/>
  <c r="K585" i="1"/>
  <c r="J585" i="1"/>
  <c r="I585" i="1"/>
  <c r="H585" i="1"/>
  <c r="G585" i="1"/>
  <c r="F585" i="1"/>
  <c r="E585" i="1"/>
  <c r="K584" i="1"/>
  <c r="J584" i="1"/>
  <c r="I584" i="1"/>
  <c r="H584" i="1"/>
  <c r="G584" i="1"/>
  <c r="F584" i="1"/>
  <c r="E584" i="1"/>
  <c r="K583" i="1"/>
  <c r="J583" i="1"/>
  <c r="I583" i="1"/>
  <c r="H583" i="1"/>
  <c r="G583" i="1"/>
  <c r="F583" i="1"/>
  <c r="E583" i="1"/>
  <c r="K582" i="1"/>
  <c r="J582" i="1"/>
  <c r="I582" i="1"/>
  <c r="H582" i="1"/>
  <c r="G582" i="1"/>
  <c r="F582" i="1"/>
  <c r="E582" i="1"/>
  <c r="K581" i="1"/>
  <c r="J581" i="1"/>
  <c r="I581" i="1"/>
  <c r="H581" i="1"/>
  <c r="G581" i="1"/>
  <c r="F581" i="1"/>
  <c r="E581" i="1"/>
  <c r="K580" i="1"/>
  <c r="J580" i="1"/>
  <c r="I580" i="1"/>
  <c r="H580" i="1"/>
  <c r="G580" i="1"/>
  <c r="F580" i="1"/>
  <c r="E580" i="1"/>
  <c r="K579" i="1"/>
  <c r="J579" i="1"/>
  <c r="I579" i="1"/>
  <c r="H579" i="1"/>
  <c r="G579" i="1"/>
  <c r="F579" i="1"/>
  <c r="E579" i="1"/>
  <c r="K578" i="1"/>
  <c r="J578" i="1"/>
  <c r="I578" i="1"/>
  <c r="H578" i="1"/>
  <c r="G578" i="1"/>
  <c r="F578" i="1"/>
  <c r="E578" i="1"/>
  <c r="K577" i="1"/>
  <c r="J577" i="1"/>
  <c r="I577" i="1"/>
  <c r="H577" i="1"/>
  <c r="G577" i="1"/>
  <c r="F577" i="1"/>
  <c r="E577" i="1"/>
  <c r="K576" i="1"/>
  <c r="J576" i="1"/>
  <c r="I576" i="1"/>
  <c r="H576" i="1"/>
  <c r="G576" i="1"/>
  <c r="F576" i="1"/>
  <c r="E576" i="1"/>
  <c r="K575" i="1"/>
  <c r="J575" i="1"/>
  <c r="I575" i="1"/>
  <c r="H575" i="1"/>
  <c r="G575" i="1"/>
  <c r="F575" i="1"/>
  <c r="E575" i="1"/>
  <c r="K574" i="1"/>
  <c r="J574" i="1"/>
  <c r="I574" i="1"/>
  <c r="H574" i="1"/>
  <c r="G574" i="1"/>
  <c r="F574" i="1"/>
  <c r="E574" i="1"/>
  <c r="K573" i="1"/>
  <c r="J573" i="1"/>
  <c r="I573" i="1"/>
  <c r="H573" i="1"/>
  <c r="G573" i="1"/>
  <c r="F573" i="1"/>
  <c r="E573" i="1"/>
  <c r="K572" i="1"/>
  <c r="J572" i="1"/>
  <c r="I572" i="1"/>
  <c r="H572" i="1"/>
  <c r="G572" i="1"/>
  <c r="F572" i="1"/>
  <c r="E572" i="1"/>
  <c r="K571" i="1"/>
  <c r="J571" i="1"/>
  <c r="I571" i="1"/>
  <c r="H571" i="1"/>
  <c r="G571" i="1"/>
  <c r="F571" i="1"/>
  <c r="E571" i="1"/>
  <c r="K570" i="1"/>
  <c r="J570" i="1"/>
  <c r="I570" i="1"/>
  <c r="H570" i="1"/>
  <c r="G570" i="1"/>
  <c r="F570" i="1"/>
  <c r="E570" i="1"/>
  <c r="K569" i="1"/>
  <c r="J569" i="1"/>
  <c r="I569" i="1"/>
  <c r="H569" i="1"/>
  <c r="G569" i="1"/>
  <c r="F569" i="1"/>
  <c r="E569" i="1"/>
  <c r="K568" i="1"/>
  <c r="J568" i="1"/>
  <c r="I568" i="1"/>
  <c r="H568" i="1"/>
  <c r="G568" i="1"/>
  <c r="F568" i="1"/>
  <c r="E568" i="1"/>
  <c r="K567" i="1"/>
  <c r="J567" i="1"/>
  <c r="I567" i="1"/>
  <c r="H567" i="1"/>
  <c r="G567" i="1"/>
  <c r="F567" i="1"/>
  <c r="E567" i="1"/>
  <c r="K566" i="1"/>
  <c r="J566" i="1"/>
  <c r="I566" i="1"/>
  <c r="H566" i="1"/>
  <c r="G566" i="1"/>
  <c r="F566" i="1"/>
  <c r="E566" i="1"/>
  <c r="K565" i="1"/>
  <c r="J565" i="1"/>
  <c r="I565" i="1"/>
  <c r="H565" i="1"/>
  <c r="G565" i="1"/>
  <c r="F565" i="1"/>
  <c r="E565" i="1"/>
  <c r="K564" i="1"/>
  <c r="J564" i="1"/>
  <c r="I564" i="1"/>
  <c r="H564" i="1"/>
  <c r="G564" i="1"/>
  <c r="F564" i="1"/>
  <c r="E564" i="1"/>
  <c r="K563" i="1"/>
  <c r="J563" i="1"/>
  <c r="I563" i="1"/>
  <c r="H563" i="1"/>
  <c r="G563" i="1"/>
  <c r="F563" i="1"/>
  <c r="E563" i="1"/>
  <c r="K562" i="1"/>
  <c r="J562" i="1"/>
  <c r="I562" i="1"/>
  <c r="H562" i="1"/>
  <c r="G562" i="1"/>
  <c r="F562" i="1"/>
  <c r="E562" i="1"/>
  <c r="K561" i="1"/>
  <c r="J561" i="1"/>
  <c r="I561" i="1"/>
  <c r="H561" i="1"/>
  <c r="G561" i="1"/>
  <c r="F561" i="1"/>
  <c r="E561" i="1"/>
  <c r="K560" i="1"/>
  <c r="J560" i="1"/>
  <c r="I560" i="1"/>
  <c r="H560" i="1"/>
  <c r="G560" i="1"/>
  <c r="F560" i="1"/>
  <c r="E560" i="1"/>
  <c r="K559" i="1"/>
  <c r="J559" i="1"/>
  <c r="I559" i="1"/>
  <c r="H559" i="1"/>
  <c r="G559" i="1"/>
  <c r="F559" i="1"/>
  <c r="E559" i="1"/>
  <c r="K558" i="1"/>
  <c r="J558" i="1"/>
  <c r="I558" i="1"/>
  <c r="H558" i="1"/>
  <c r="G558" i="1"/>
  <c r="F558" i="1"/>
  <c r="E558" i="1"/>
  <c r="K557" i="1"/>
  <c r="J557" i="1"/>
  <c r="I557" i="1"/>
  <c r="H557" i="1"/>
  <c r="G557" i="1"/>
  <c r="F557" i="1"/>
  <c r="E557" i="1"/>
  <c r="K556" i="1"/>
  <c r="J556" i="1"/>
  <c r="I556" i="1"/>
  <c r="H556" i="1"/>
  <c r="G556" i="1"/>
  <c r="F556" i="1"/>
  <c r="E556" i="1"/>
  <c r="K555" i="1"/>
  <c r="J555" i="1"/>
  <c r="I555" i="1"/>
  <c r="H555" i="1"/>
  <c r="G555" i="1"/>
  <c r="F555" i="1"/>
  <c r="E555" i="1"/>
  <c r="K554" i="1"/>
  <c r="J554" i="1"/>
  <c r="I554" i="1"/>
  <c r="H554" i="1"/>
  <c r="G554" i="1"/>
  <c r="F554" i="1"/>
  <c r="E554" i="1"/>
  <c r="K553" i="1"/>
  <c r="J553" i="1"/>
  <c r="I553" i="1"/>
  <c r="H553" i="1"/>
  <c r="G553" i="1"/>
  <c r="F553" i="1"/>
  <c r="E553" i="1"/>
  <c r="K552" i="1"/>
  <c r="J552" i="1"/>
  <c r="I552" i="1"/>
  <c r="H552" i="1"/>
  <c r="G552" i="1"/>
  <c r="F552" i="1"/>
  <c r="E552" i="1"/>
  <c r="K551" i="1"/>
  <c r="J551" i="1"/>
  <c r="I551" i="1"/>
  <c r="H551" i="1"/>
  <c r="G551" i="1"/>
  <c r="F551" i="1"/>
  <c r="E551" i="1"/>
  <c r="K550" i="1"/>
  <c r="J550" i="1"/>
  <c r="I550" i="1"/>
  <c r="H550" i="1"/>
  <c r="G550" i="1"/>
  <c r="F550" i="1"/>
  <c r="E550" i="1"/>
  <c r="K549" i="1"/>
  <c r="J549" i="1"/>
  <c r="I549" i="1"/>
  <c r="H549" i="1"/>
  <c r="G549" i="1"/>
  <c r="F549" i="1"/>
  <c r="E549" i="1"/>
  <c r="K548" i="1"/>
  <c r="J548" i="1"/>
  <c r="I548" i="1"/>
  <c r="H548" i="1"/>
  <c r="G548" i="1"/>
  <c r="F548" i="1"/>
  <c r="E548" i="1"/>
  <c r="K547" i="1"/>
  <c r="J547" i="1"/>
  <c r="I547" i="1"/>
  <c r="H547" i="1"/>
  <c r="G547" i="1"/>
  <c r="F547" i="1"/>
  <c r="E547" i="1"/>
  <c r="K546" i="1"/>
  <c r="J546" i="1"/>
  <c r="I546" i="1"/>
  <c r="H546" i="1"/>
  <c r="G546" i="1"/>
  <c r="F546" i="1"/>
  <c r="E546" i="1"/>
  <c r="K545" i="1"/>
  <c r="J545" i="1"/>
  <c r="I545" i="1"/>
  <c r="H545" i="1"/>
  <c r="G545" i="1"/>
  <c r="F545" i="1"/>
  <c r="E545" i="1"/>
  <c r="K544" i="1"/>
  <c r="J544" i="1"/>
  <c r="I544" i="1"/>
  <c r="H544" i="1"/>
  <c r="G544" i="1"/>
  <c r="F544" i="1"/>
  <c r="E544" i="1"/>
  <c r="K543" i="1"/>
  <c r="J543" i="1"/>
  <c r="I543" i="1"/>
  <c r="H543" i="1"/>
  <c r="G543" i="1"/>
  <c r="F543" i="1"/>
  <c r="E543" i="1"/>
  <c r="K542" i="1"/>
  <c r="J542" i="1"/>
  <c r="I542" i="1"/>
  <c r="H542" i="1"/>
  <c r="G542" i="1"/>
  <c r="F542" i="1"/>
  <c r="E542" i="1"/>
  <c r="K541" i="1"/>
  <c r="J541" i="1"/>
  <c r="I541" i="1"/>
  <c r="H541" i="1"/>
  <c r="G541" i="1"/>
  <c r="F541" i="1"/>
  <c r="E541" i="1"/>
  <c r="K540" i="1"/>
  <c r="J540" i="1"/>
  <c r="I540" i="1"/>
  <c r="H540" i="1"/>
  <c r="G540" i="1"/>
  <c r="F540" i="1"/>
  <c r="E540" i="1"/>
  <c r="K539" i="1"/>
  <c r="J539" i="1"/>
  <c r="I539" i="1"/>
  <c r="H539" i="1"/>
  <c r="G539" i="1"/>
  <c r="F539" i="1"/>
  <c r="E539" i="1"/>
  <c r="K538" i="1"/>
  <c r="J538" i="1"/>
  <c r="I538" i="1"/>
  <c r="H538" i="1"/>
  <c r="G538" i="1"/>
  <c r="F538" i="1"/>
  <c r="E538" i="1"/>
  <c r="K537" i="1"/>
  <c r="J537" i="1"/>
  <c r="I537" i="1"/>
  <c r="H537" i="1"/>
  <c r="G537" i="1"/>
  <c r="F537" i="1"/>
  <c r="E537" i="1"/>
  <c r="K536" i="1"/>
  <c r="J536" i="1"/>
  <c r="I536" i="1"/>
  <c r="H536" i="1"/>
  <c r="G536" i="1"/>
  <c r="F536" i="1"/>
  <c r="E536" i="1"/>
  <c r="K535" i="1"/>
  <c r="J535" i="1"/>
  <c r="I535" i="1"/>
  <c r="H535" i="1"/>
  <c r="G535" i="1"/>
  <c r="F535" i="1"/>
  <c r="E535" i="1"/>
  <c r="K534" i="1"/>
  <c r="J534" i="1"/>
  <c r="I534" i="1"/>
  <c r="H534" i="1"/>
  <c r="G534" i="1"/>
  <c r="F534" i="1"/>
  <c r="E534" i="1"/>
  <c r="K533" i="1"/>
  <c r="J533" i="1"/>
  <c r="I533" i="1"/>
  <c r="H533" i="1"/>
  <c r="G533" i="1"/>
  <c r="F533" i="1"/>
  <c r="E533" i="1"/>
  <c r="K532" i="1"/>
  <c r="J532" i="1"/>
  <c r="I532" i="1"/>
  <c r="H532" i="1"/>
  <c r="G532" i="1"/>
  <c r="F532" i="1"/>
  <c r="E532" i="1"/>
  <c r="K531" i="1"/>
  <c r="J531" i="1"/>
  <c r="I531" i="1"/>
  <c r="H531" i="1"/>
  <c r="G531" i="1"/>
  <c r="F531" i="1"/>
  <c r="E531" i="1"/>
  <c r="K530" i="1"/>
  <c r="J530" i="1"/>
  <c r="I530" i="1"/>
  <c r="H530" i="1"/>
  <c r="G530" i="1"/>
  <c r="F530" i="1"/>
  <c r="E530" i="1"/>
  <c r="K529" i="1"/>
  <c r="J529" i="1"/>
  <c r="I529" i="1"/>
  <c r="H529" i="1"/>
  <c r="G529" i="1"/>
  <c r="F529" i="1"/>
  <c r="E529" i="1"/>
  <c r="K528" i="1"/>
  <c r="J528" i="1"/>
  <c r="I528" i="1"/>
  <c r="H528" i="1"/>
  <c r="G528" i="1"/>
  <c r="F528" i="1"/>
  <c r="E528" i="1"/>
  <c r="K527" i="1"/>
  <c r="J527" i="1"/>
  <c r="I527" i="1"/>
  <c r="H527" i="1"/>
  <c r="G527" i="1"/>
  <c r="F527" i="1"/>
  <c r="E527" i="1"/>
  <c r="K526" i="1"/>
  <c r="J526" i="1"/>
  <c r="I526" i="1"/>
  <c r="H526" i="1"/>
  <c r="G526" i="1"/>
  <c r="F526" i="1"/>
  <c r="E526" i="1"/>
  <c r="K525" i="1"/>
  <c r="J525" i="1"/>
  <c r="I525" i="1"/>
  <c r="H525" i="1"/>
  <c r="G525" i="1"/>
  <c r="F525" i="1"/>
  <c r="E525" i="1"/>
  <c r="K524" i="1"/>
  <c r="J524" i="1"/>
  <c r="I524" i="1"/>
  <c r="H524" i="1"/>
  <c r="G524" i="1"/>
  <c r="F524" i="1"/>
  <c r="E524" i="1"/>
  <c r="K523" i="1"/>
  <c r="J523" i="1"/>
  <c r="I523" i="1"/>
  <c r="H523" i="1"/>
  <c r="G523" i="1"/>
  <c r="F523" i="1"/>
  <c r="E523" i="1"/>
  <c r="K522" i="1"/>
  <c r="J522" i="1"/>
  <c r="I522" i="1"/>
  <c r="H522" i="1"/>
  <c r="G522" i="1"/>
  <c r="F522" i="1"/>
  <c r="E522" i="1"/>
  <c r="K521" i="1"/>
  <c r="J521" i="1"/>
  <c r="I521" i="1"/>
  <c r="H521" i="1"/>
  <c r="G521" i="1"/>
  <c r="F521" i="1"/>
  <c r="E521" i="1"/>
  <c r="K520" i="1"/>
  <c r="J520" i="1"/>
  <c r="I520" i="1"/>
  <c r="H520" i="1"/>
  <c r="G520" i="1"/>
  <c r="F520" i="1"/>
  <c r="E520" i="1"/>
  <c r="K519" i="1"/>
  <c r="J519" i="1"/>
  <c r="I519" i="1"/>
  <c r="H519" i="1"/>
  <c r="G519" i="1"/>
  <c r="F519" i="1"/>
  <c r="E519" i="1"/>
  <c r="K518" i="1"/>
  <c r="J518" i="1"/>
  <c r="I518" i="1"/>
  <c r="H518" i="1"/>
  <c r="G518" i="1"/>
  <c r="F518" i="1"/>
  <c r="E518" i="1"/>
  <c r="K517" i="1"/>
  <c r="J517" i="1"/>
  <c r="I517" i="1"/>
  <c r="H517" i="1"/>
  <c r="G517" i="1"/>
  <c r="F517" i="1"/>
  <c r="E517" i="1"/>
  <c r="K516" i="1"/>
  <c r="J516" i="1"/>
  <c r="I516" i="1"/>
  <c r="H516" i="1"/>
  <c r="G516" i="1"/>
  <c r="F516" i="1"/>
  <c r="E516" i="1"/>
  <c r="K515" i="1"/>
  <c r="J515" i="1"/>
  <c r="I515" i="1"/>
  <c r="H515" i="1"/>
  <c r="G515" i="1"/>
  <c r="F515" i="1"/>
  <c r="E515" i="1"/>
  <c r="K514" i="1"/>
  <c r="J514" i="1"/>
  <c r="I514" i="1"/>
  <c r="H514" i="1"/>
  <c r="G514" i="1"/>
  <c r="F514" i="1"/>
  <c r="E514" i="1"/>
  <c r="K513" i="1"/>
  <c r="J513" i="1"/>
  <c r="I513" i="1"/>
  <c r="H513" i="1"/>
  <c r="G513" i="1"/>
  <c r="F513" i="1"/>
  <c r="E513" i="1"/>
  <c r="K512" i="1"/>
  <c r="J512" i="1"/>
  <c r="I512" i="1"/>
  <c r="H512" i="1"/>
  <c r="G512" i="1"/>
  <c r="F512" i="1"/>
  <c r="E512" i="1"/>
  <c r="K511" i="1"/>
  <c r="J511" i="1"/>
  <c r="I511" i="1"/>
  <c r="H511" i="1"/>
  <c r="G511" i="1"/>
  <c r="F511" i="1"/>
  <c r="E511" i="1"/>
  <c r="K510" i="1"/>
  <c r="J510" i="1"/>
  <c r="I510" i="1"/>
  <c r="H510" i="1"/>
  <c r="G510" i="1"/>
  <c r="F510" i="1"/>
  <c r="E510" i="1"/>
  <c r="K509" i="1"/>
  <c r="J509" i="1"/>
  <c r="I509" i="1"/>
  <c r="H509" i="1"/>
  <c r="G509" i="1"/>
  <c r="F509" i="1"/>
  <c r="E509" i="1"/>
  <c r="K508" i="1"/>
  <c r="J508" i="1"/>
  <c r="I508" i="1"/>
  <c r="H508" i="1"/>
  <c r="G508" i="1"/>
  <c r="F508" i="1"/>
  <c r="E508" i="1"/>
  <c r="K507" i="1"/>
  <c r="J507" i="1"/>
  <c r="I507" i="1"/>
  <c r="H507" i="1"/>
  <c r="G507" i="1"/>
  <c r="F507" i="1"/>
  <c r="E507" i="1"/>
  <c r="K506" i="1"/>
  <c r="J506" i="1"/>
  <c r="I506" i="1"/>
  <c r="H506" i="1"/>
  <c r="G506" i="1"/>
  <c r="F506" i="1"/>
  <c r="E506" i="1"/>
  <c r="K505" i="1"/>
  <c r="J505" i="1"/>
  <c r="I505" i="1"/>
  <c r="H505" i="1"/>
  <c r="G505" i="1"/>
  <c r="F505" i="1"/>
  <c r="E505" i="1"/>
  <c r="K504" i="1"/>
  <c r="J504" i="1"/>
  <c r="I504" i="1"/>
  <c r="H504" i="1"/>
  <c r="G504" i="1"/>
  <c r="F504" i="1"/>
  <c r="E504" i="1"/>
  <c r="K503" i="1"/>
  <c r="J503" i="1"/>
  <c r="I503" i="1"/>
  <c r="H503" i="1"/>
  <c r="G503" i="1"/>
  <c r="F503" i="1"/>
  <c r="E503" i="1"/>
  <c r="K502" i="1"/>
  <c r="J502" i="1"/>
  <c r="I502" i="1"/>
  <c r="H502" i="1"/>
  <c r="G502" i="1"/>
  <c r="F502" i="1"/>
  <c r="E502" i="1"/>
  <c r="K501" i="1"/>
  <c r="J501" i="1"/>
  <c r="I501" i="1"/>
  <c r="H501" i="1"/>
  <c r="G501" i="1"/>
  <c r="F501" i="1"/>
  <c r="E501" i="1"/>
  <c r="K500" i="1"/>
  <c r="J500" i="1"/>
  <c r="I500" i="1"/>
  <c r="H500" i="1"/>
  <c r="G500" i="1"/>
  <c r="F500" i="1"/>
  <c r="E500" i="1"/>
  <c r="K499" i="1"/>
  <c r="J499" i="1"/>
  <c r="I499" i="1"/>
  <c r="H499" i="1"/>
  <c r="G499" i="1"/>
  <c r="F499" i="1"/>
  <c r="E499" i="1"/>
  <c r="K498" i="1"/>
  <c r="J498" i="1"/>
  <c r="I498" i="1"/>
  <c r="H498" i="1"/>
  <c r="G498" i="1"/>
  <c r="F498" i="1"/>
  <c r="E498" i="1"/>
  <c r="K497" i="1"/>
  <c r="J497" i="1"/>
  <c r="I497" i="1"/>
  <c r="H497" i="1"/>
  <c r="G497" i="1"/>
  <c r="F497" i="1"/>
  <c r="E497" i="1"/>
  <c r="K496" i="1"/>
  <c r="J496" i="1"/>
  <c r="I496" i="1"/>
  <c r="H496" i="1"/>
  <c r="G496" i="1"/>
  <c r="F496" i="1"/>
  <c r="E496" i="1"/>
  <c r="K495" i="1"/>
  <c r="J495" i="1"/>
  <c r="I495" i="1"/>
  <c r="H495" i="1"/>
  <c r="G495" i="1"/>
  <c r="F495" i="1"/>
  <c r="E495" i="1"/>
  <c r="K494" i="1"/>
  <c r="J494" i="1"/>
  <c r="I494" i="1"/>
  <c r="H494" i="1"/>
  <c r="G494" i="1"/>
  <c r="F494" i="1"/>
  <c r="E494" i="1"/>
  <c r="K493" i="1"/>
  <c r="J493" i="1"/>
  <c r="I493" i="1"/>
  <c r="H493" i="1"/>
  <c r="G493" i="1"/>
  <c r="F493" i="1"/>
  <c r="E493" i="1"/>
  <c r="K492" i="1"/>
  <c r="J492" i="1"/>
  <c r="I492" i="1"/>
  <c r="H492" i="1"/>
  <c r="G492" i="1"/>
  <c r="F492" i="1"/>
  <c r="E492" i="1"/>
  <c r="K491" i="1"/>
  <c r="J491" i="1"/>
  <c r="I491" i="1"/>
  <c r="H491" i="1"/>
  <c r="G491" i="1"/>
  <c r="F491" i="1"/>
  <c r="E491" i="1"/>
  <c r="K490" i="1"/>
  <c r="J490" i="1"/>
  <c r="I490" i="1"/>
  <c r="H490" i="1"/>
  <c r="G490" i="1"/>
  <c r="F490" i="1"/>
  <c r="E490" i="1"/>
  <c r="K489" i="1"/>
  <c r="J489" i="1"/>
  <c r="I489" i="1"/>
  <c r="H489" i="1"/>
  <c r="G489" i="1"/>
  <c r="F489" i="1"/>
  <c r="E489" i="1"/>
  <c r="K488" i="1"/>
  <c r="J488" i="1"/>
  <c r="I488" i="1"/>
  <c r="H488" i="1"/>
  <c r="G488" i="1"/>
  <c r="F488" i="1"/>
  <c r="E488" i="1"/>
  <c r="K487" i="1"/>
  <c r="J487" i="1"/>
  <c r="I487" i="1"/>
  <c r="H487" i="1"/>
  <c r="G487" i="1"/>
  <c r="F487" i="1"/>
  <c r="E487" i="1"/>
  <c r="K486" i="1"/>
  <c r="J486" i="1"/>
  <c r="I486" i="1"/>
  <c r="H486" i="1"/>
  <c r="G486" i="1"/>
  <c r="F486" i="1"/>
  <c r="E486" i="1"/>
  <c r="K485" i="1"/>
  <c r="J485" i="1"/>
  <c r="I485" i="1"/>
  <c r="H485" i="1"/>
  <c r="G485" i="1"/>
  <c r="F485" i="1"/>
  <c r="E485" i="1"/>
  <c r="K484" i="1"/>
  <c r="J484" i="1"/>
  <c r="I484" i="1"/>
  <c r="H484" i="1"/>
  <c r="G484" i="1"/>
  <c r="F484" i="1"/>
  <c r="E484" i="1"/>
  <c r="K483" i="1"/>
  <c r="J483" i="1"/>
  <c r="I483" i="1"/>
  <c r="H483" i="1"/>
  <c r="G483" i="1"/>
  <c r="F483" i="1"/>
  <c r="E483" i="1"/>
  <c r="K482" i="1"/>
  <c r="J482" i="1"/>
  <c r="I482" i="1"/>
  <c r="H482" i="1"/>
  <c r="G482" i="1"/>
  <c r="F482" i="1"/>
  <c r="E482" i="1"/>
  <c r="K481" i="1"/>
  <c r="J481" i="1"/>
  <c r="I481" i="1"/>
  <c r="H481" i="1"/>
  <c r="G481" i="1"/>
  <c r="F481" i="1"/>
  <c r="E481" i="1"/>
  <c r="K480" i="1"/>
  <c r="J480" i="1"/>
  <c r="I480" i="1"/>
  <c r="H480" i="1"/>
  <c r="G480" i="1"/>
  <c r="F480" i="1"/>
  <c r="E480" i="1"/>
  <c r="K479" i="1"/>
  <c r="J479" i="1"/>
  <c r="I479" i="1"/>
  <c r="H479" i="1"/>
  <c r="G479" i="1"/>
  <c r="F479" i="1"/>
  <c r="E479" i="1"/>
  <c r="K478" i="1"/>
  <c r="J478" i="1"/>
  <c r="I478" i="1"/>
  <c r="H478" i="1"/>
  <c r="G478" i="1"/>
  <c r="F478" i="1"/>
  <c r="E478" i="1"/>
  <c r="K477" i="1"/>
  <c r="J477" i="1"/>
  <c r="I477" i="1"/>
  <c r="H477" i="1"/>
  <c r="G477" i="1"/>
  <c r="F477" i="1"/>
  <c r="E477" i="1"/>
  <c r="K476" i="1"/>
  <c r="J476" i="1"/>
  <c r="I476" i="1"/>
  <c r="H476" i="1"/>
  <c r="G476" i="1"/>
  <c r="F476" i="1"/>
  <c r="E476" i="1"/>
  <c r="K475" i="1"/>
  <c r="J475" i="1"/>
  <c r="I475" i="1"/>
  <c r="H475" i="1"/>
  <c r="G475" i="1"/>
  <c r="F475" i="1"/>
  <c r="E475" i="1"/>
  <c r="K474" i="1"/>
  <c r="J474" i="1"/>
  <c r="I474" i="1"/>
  <c r="H474" i="1"/>
  <c r="G474" i="1"/>
  <c r="F474" i="1"/>
  <c r="E474" i="1"/>
  <c r="K473" i="1"/>
  <c r="J473" i="1"/>
  <c r="I473" i="1"/>
  <c r="H473" i="1"/>
  <c r="G473" i="1"/>
  <c r="F473" i="1"/>
  <c r="E473" i="1"/>
  <c r="K472" i="1"/>
  <c r="J472" i="1"/>
  <c r="I472" i="1"/>
  <c r="H472" i="1"/>
  <c r="G472" i="1"/>
  <c r="F472" i="1"/>
  <c r="E472" i="1"/>
  <c r="K471" i="1"/>
  <c r="J471" i="1"/>
  <c r="I471" i="1"/>
  <c r="H471" i="1"/>
  <c r="G471" i="1"/>
  <c r="F471" i="1"/>
  <c r="E471" i="1"/>
  <c r="K470" i="1"/>
  <c r="J470" i="1"/>
  <c r="I470" i="1"/>
  <c r="H470" i="1"/>
  <c r="G470" i="1"/>
  <c r="F470" i="1"/>
  <c r="E470" i="1"/>
  <c r="K469" i="1"/>
  <c r="J469" i="1"/>
  <c r="I469" i="1"/>
  <c r="H469" i="1"/>
  <c r="G469" i="1"/>
  <c r="F469" i="1"/>
  <c r="E469" i="1"/>
  <c r="K468" i="1"/>
  <c r="J468" i="1"/>
  <c r="I468" i="1"/>
  <c r="H468" i="1"/>
  <c r="G468" i="1"/>
  <c r="F468" i="1"/>
  <c r="E468" i="1"/>
  <c r="K467" i="1"/>
  <c r="J467" i="1"/>
  <c r="I467" i="1"/>
  <c r="H467" i="1"/>
  <c r="G467" i="1"/>
  <c r="F467" i="1"/>
  <c r="E467" i="1"/>
  <c r="K466" i="1"/>
  <c r="J466" i="1"/>
  <c r="I466" i="1"/>
  <c r="H466" i="1"/>
  <c r="G466" i="1"/>
  <c r="F466" i="1"/>
  <c r="E466" i="1"/>
  <c r="K465" i="1"/>
  <c r="J465" i="1"/>
  <c r="I465" i="1"/>
  <c r="H465" i="1"/>
  <c r="G465" i="1"/>
  <c r="F465" i="1"/>
  <c r="E465" i="1"/>
  <c r="K464" i="1"/>
  <c r="J464" i="1"/>
  <c r="I464" i="1"/>
  <c r="H464" i="1"/>
  <c r="G464" i="1"/>
  <c r="F464" i="1"/>
  <c r="E464" i="1"/>
  <c r="K463" i="1"/>
  <c r="J463" i="1"/>
  <c r="I463" i="1"/>
  <c r="H463" i="1"/>
  <c r="G463" i="1"/>
  <c r="F463" i="1"/>
  <c r="E463" i="1"/>
  <c r="K462" i="1"/>
  <c r="J462" i="1"/>
  <c r="I462" i="1"/>
  <c r="H462" i="1"/>
  <c r="G462" i="1"/>
  <c r="F462" i="1"/>
  <c r="E462" i="1"/>
  <c r="K461" i="1"/>
  <c r="J461" i="1"/>
  <c r="I461" i="1"/>
  <c r="H461" i="1"/>
  <c r="G461" i="1"/>
  <c r="F461" i="1"/>
  <c r="E461" i="1"/>
  <c r="K460" i="1"/>
  <c r="J460" i="1"/>
  <c r="I460" i="1"/>
  <c r="H460" i="1"/>
  <c r="G460" i="1"/>
  <c r="F460" i="1"/>
  <c r="E460" i="1"/>
  <c r="K459" i="1"/>
  <c r="J459" i="1"/>
  <c r="I459" i="1"/>
  <c r="H459" i="1"/>
  <c r="G459" i="1"/>
  <c r="F459" i="1"/>
  <c r="E459" i="1"/>
  <c r="K458" i="1"/>
  <c r="J458" i="1"/>
  <c r="I458" i="1"/>
  <c r="H458" i="1"/>
  <c r="G458" i="1"/>
  <c r="F458" i="1"/>
  <c r="E458" i="1"/>
  <c r="K457" i="1"/>
  <c r="J457" i="1"/>
  <c r="I457" i="1"/>
  <c r="H457" i="1"/>
  <c r="G457" i="1"/>
  <c r="F457" i="1"/>
  <c r="E457" i="1"/>
  <c r="K456" i="1"/>
  <c r="J456" i="1"/>
  <c r="I456" i="1"/>
  <c r="H456" i="1"/>
  <c r="G456" i="1"/>
  <c r="F456" i="1"/>
  <c r="E456" i="1"/>
  <c r="K455" i="1"/>
  <c r="J455" i="1"/>
  <c r="I455" i="1"/>
  <c r="H455" i="1"/>
  <c r="G455" i="1"/>
  <c r="F455" i="1"/>
  <c r="E455" i="1"/>
  <c r="K454" i="1"/>
  <c r="J454" i="1"/>
  <c r="I454" i="1"/>
  <c r="H454" i="1"/>
  <c r="G454" i="1"/>
  <c r="F454" i="1"/>
  <c r="E454" i="1"/>
  <c r="K453" i="1"/>
  <c r="J453" i="1"/>
  <c r="I453" i="1"/>
  <c r="H453" i="1"/>
  <c r="G453" i="1"/>
  <c r="F453" i="1"/>
  <c r="E453" i="1"/>
  <c r="K452" i="1"/>
  <c r="J452" i="1"/>
  <c r="I452" i="1"/>
  <c r="H452" i="1"/>
  <c r="G452" i="1"/>
  <c r="F452" i="1"/>
  <c r="E452" i="1"/>
  <c r="K451" i="1"/>
  <c r="J451" i="1"/>
  <c r="I451" i="1"/>
  <c r="H451" i="1"/>
  <c r="G451" i="1"/>
  <c r="F451" i="1"/>
  <c r="E451" i="1"/>
  <c r="K450" i="1"/>
  <c r="J450" i="1"/>
  <c r="I450" i="1"/>
  <c r="H450" i="1"/>
  <c r="G450" i="1"/>
  <c r="F450" i="1"/>
  <c r="E450" i="1"/>
  <c r="K449" i="1"/>
  <c r="J449" i="1"/>
  <c r="I449" i="1"/>
  <c r="H449" i="1"/>
  <c r="G449" i="1"/>
  <c r="F449" i="1"/>
  <c r="E449" i="1"/>
  <c r="K448" i="1"/>
  <c r="J448" i="1"/>
  <c r="I448" i="1"/>
  <c r="H448" i="1"/>
  <c r="G448" i="1"/>
  <c r="F448" i="1"/>
  <c r="E448" i="1"/>
  <c r="K447" i="1"/>
  <c r="J447" i="1"/>
  <c r="I447" i="1"/>
  <c r="H447" i="1"/>
  <c r="G447" i="1"/>
  <c r="F447" i="1"/>
  <c r="E447" i="1"/>
  <c r="K446" i="1"/>
  <c r="J446" i="1"/>
  <c r="I446" i="1"/>
  <c r="H446" i="1"/>
  <c r="G446" i="1"/>
  <c r="F446" i="1"/>
  <c r="E446" i="1"/>
  <c r="K445" i="1"/>
  <c r="J445" i="1"/>
  <c r="I445" i="1"/>
  <c r="H445" i="1"/>
  <c r="G445" i="1"/>
  <c r="F445" i="1"/>
  <c r="E445" i="1"/>
  <c r="K444" i="1"/>
  <c r="J444" i="1"/>
  <c r="I444" i="1"/>
  <c r="H444" i="1"/>
  <c r="G444" i="1"/>
  <c r="F444" i="1"/>
  <c r="E444" i="1"/>
  <c r="K443" i="1"/>
  <c r="J443" i="1"/>
  <c r="I443" i="1"/>
  <c r="H443" i="1"/>
  <c r="G443" i="1"/>
  <c r="F443" i="1"/>
  <c r="E443" i="1"/>
  <c r="K442" i="1"/>
  <c r="J442" i="1"/>
  <c r="I442" i="1"/>
  <c r="H442" i="1"/>
  <c r="G442" i="1"/>
  <c r="F442" i="1"/>
  <c r="E442" i="1"/>
  <c r="K441" i="1"/>
  <c r="J441" i="1"/>
  <c r="I441" i="1"/>
  <c r="H441" i="1"/>
  <c r="G441" i="1"/>
  <c r="F441" i="1"/>
  <c r="E441" i="1"/>
  <c r="K440" i="1"/>
  <c r="J440" i="1"/>
  <c r="I440" i="1"/>
  <c r="H440" i="1"/>
  <c r="G440" i="1"/>
  <c r="F440" i="1"/>
  <c r="E440" i="1"/>
  <c r="K439" i="1"/>
  <c r="J439" i="1"/>
  <c r="I439" i="1"/>
  <c r="H439" i="1"/>
  <c r="G439" i="1"/>
  <c r="F439" i="1"/>
  <c r="E439" i="1"/>
  <c r="K438" i="1"/>
  <c r="J438" i="1"/>
  <c r="I438" i="1"/>
  <c r="H438" i="1"/>
  <c r="G438" i="1"/>
  <c r="F438" i="1"/>
  <c r="E438" i="1"/>
  <c r="K437" i="1"/>
  <c r="J437" i="1"/>
  <c r="I437" i="1"/>
  <c r="H437" i="1"/>
  <c r="G437" i="1"/>
  <c r="F437" i="1"/>
  <c r="E437" i="1"/>
  <c r="K436" i="1"/>
  <c r="J436" i="1"/>
  <c r="I436" i="1"/>
  <c r="H436" i="1"/>
  <c r="G436" i="1"/>
  <c r="F436" i="1"/>
  <c r="E436" i="1"/>
  <c r="K435" i="1"/>
  <c r="J435" i="1"/>
  <c r="I435" i="1"/>
  <c r="H435" i="1"/>
  <c r="G435" i="1"/>
  <c r="F435" i="1"/>
  <c r="E435" i="1"/>
  <c r="K434" i="1"/>
  <c r="J434" i="1"/>
  <c r="I434" i="1"/>
  <c r="H434" i="1"/>
  <c r="G434" i="1"/>
  <c r="F434" i="1"/>
  <c r="E434" i="1"/>
  <c r="K433" i="1"/>
  <c r="J433" i="1"/>
  <c r="I433" i="1"/>
  <c r="H433" i="1"/>
  <c r="G433" i="1"/>
  <c r="F433" i="1"/>
  <c r="E433" i="1"/>
  <c r="K432" i="1"/>
  <c r="J432" i="1"/>
  <c r="I432" i="1"/>
  <c r="H432" i="1"/>
  <c r="G432" i="1"/>
  <c r="F432" i="1"/>
  <c r="E432" i="1"/>
  <c r="K431" i="1"/>
  <c r="J431" i="1"/>
  <c r="I431" i="1"/>
  <c r="H431" i="1"/>
  <c r="G431" i="1"/>
  <c r="F431" i="1"/>
  <c r="E431" i="1"/>
  <c r="K430" i="1"/>
  <c r="J430" i="1"/>
  <c r="I430" i="1"/>
  <c r="H430" i="1"/>
  <c r="G430" i="1"/>
  <c r="F430" i="1"/>
  <c r="E430" i="1"/>
  <c r="K429" i="1"/>
  <c r="J429" i="1"/>
  <c r="I429" i="1"/>
  <c r="H429" i="1"/>
  <c r="G429" i="1"/>
  <c r="F429" i="1"/>
  <c r="E429" i="1"/>
  <c r="K428" i="1"/>
  <c r="J428" i="1"/>
  <c r="I428" i="1"/>
  <c r="H428" i="1"/>
  <c r="G428" i="1"/>
  <c r="F428" i="1"/>
  <c r="E428" i="1"/>
  <c r="K427" i="1"/>
  <c r="J427" i="1"/>
  <c r="I427" i="1"/>
  <c r="H427" i="1"/>
  <c r="G427" i="1"/>
  <c r="F427" i="1"/>
  <c r="E427" i="1"/>
  <c r="K426" i="1"/>
  <c r="J426" i="1"/>
  <c r="I426" i="1"/>
  <c r="H426" i="1"/>
  <c r="G426" i="1"/>
  <c r="F426" i="1"/>
  <c r="E426" i="1"/>
  <c r="K425" i="1"/>
  <c r="J425" i="1"/>
  <c r="I425" i="1"/>
  <c r="H425" i="1"/>
  <c r="G425" i="1"/>
  <c r="F425" i="1"/>
  <c r="E425" i="1"/>
  <c r="K424" i="1"/>
  <c r="J424" i="1"/>
  <c r="I424" i="1"/>
  <c r="H424" i="1"/>
  <c r="G424" i="1"/>
  <c r="F424" i="1"/>
  <c r="E424" i="1"/>
  <c r="K423" i="1"/>
  <c r="J423" i="1"/>
  <c r="I423" i="1"/>
  <c r="H423" i="1"/>
  <c r="G423" i="1"/>
  <c r="F423" i="1"/>
  <c r="E423" i="1"/>
  <c r="K422" i="1"/>
  <c r="J422" i="1"/>
  <c r="I422" i="1"/>
  <c r="H422" i="1"/>
  <c r="G422" i="1"/>
  <c r="F422" i="1"/>
  <c r="E422" i="1"/>
  <c r="K421" i="1"/>
  <c r="J421" i="1"/>
  <c r="I421" i="1"/>
  <c r="H421" i="1"/>
  <c r="G421" i="1"/>
  <c r="F421" i="1"/>
  <c r="E421" i="1"/>
  <c r="K420" i="1"/>
  <c r="J420" i="1"/>
  <c r="I420" i="1"/>
  <c r="H420" i="1"/>
  <c r="G420" i="1"/>
  <c r="F420" i="1"/>
  <c r="E420" i="1"/>
  <c r="K419" i="1"/>
  <c r="J419" i="1"/>
  <c r="I419" i="1"/>
  <c r="H419" i="1"/>
  <c r="G419" i="1"/>
  <c r="F419" i="1"/>
  <c r="E419" i="1"/>
  <c r="K418" i="1"/>
  <c r="J418" i="1"/>
  <c r="I418" i="1"/>
  <c r="H418" i="1"/>
  <c r="G418" i="1"/>
  <c r="F418" i="1"/>
  <c r="E418" i="1"/>
  <c r="K417" i="1"/>
  <c r="J417" i="1"/>
  <c r="I417" i="1"/>
  <c r="H417" i="1"/>
  <c r="G417" i="1"/>
  <c r="F417" i="1"/>
  <c r="E417" i="1"/>
  <c r="K416" i="1"/>
  <c r="J416" i="1"/>
  <c r="I416" i="1"/>
  <c r="H416" i="1"/>
  <c r="G416" i="1"/>
  <c r="F416" i="1"/>
  <c r="E416" i="1"/>
  <c r="K415" i="1"/>
  <c r="J415" i="1"/>
  <c r="I415" i="1"/>
  <c r="H415" i="1"/>
  <c r="G415" i="1"/>
  <c r="F415" i="1"/>
  <c r="E415" i="1"/>
  <c r="K414" i="1"/>
  <c r="J414" i="1"/>
  <c r="I414" i="1"/>
  <c r="H414" i="1"/>
  <c r="G414" i="1"/>
  <c r="F414" i="1"/>
  <c r="E414" i="1"/>
  <c r="K413" i="1"/>
  <c r="J413" i="1"/>
  <c r="I413" i="1"/>
  <c r="H413" i="1"/>
  <c r="G413" i="1"/>
  <c r="F413" i="1"/>
  <c r="E413" i="1"/>
  <c r="K412" i="1"/>
  <c r="J412" i="1"/>
  <c r="I412" i="1"/>
  <c r="H412" i="1"/>
  <c r="G412" i="1"/>
  <c r="F412" i="1"/>
  <c r="E412" i="1"/>
  <c r="K411" i="1"/>
  <c r="J411" i="1"/>
  <c r="I411" i="1"/>
  <c r="H411" i="1"/>
  <c r="G411" i="1"/>
  <c r="F411" i="1"/>
  <c r="E411" i="1"/>
  <c r="K410" i="1"/>
  <c r="J410" i="1"/>
  <c r="I410" i="1"/>
  <c r="H410" i="1"/>
  <c r="G410" i="1"/>
  <c r="F410" i="1"/>
  <c r="E410" i="1"/>
  <c r="K409" i="1"/>
  <c r="J409" i="1"/>
  <c r="I409" i="1"/>
  <c r="H409" i="1"/>
  <c r="G409" i="1"/>
  <c r="F409" i="1"/>
  <c r="E409" i="1"/>
  <c r="K408" i="1"/>
  <c r="J408" i="1"/>
  <c r="I408" i="1"/>
  <c r="H408" i="1"/>
  <c r="G408" i="1"/>
  <c r="F408" i="1"/>
  <c r="E408" i="1"/>
  <c r="K407" i="1"/>
  <c r="J407" i="1"/>
  <c r="I407" i="1"/>
  <c r="H407" i="1"/>
  <c r="G407" i="1"/>
  <c r="F407" i="1"/>
  <c r="E407" i="1"/>
  <c r="K406" i="1"/>
  <c r="J406" i="1"/>
  <c r="I406" i="1"/>
  <c r="H406" i="1"/>
  <c r="G406" i="1"/>
  <c r="F406" i="1"/>
  <c r="E406" i="1"/>
  <c r="K405" i="1"/>
  <c r="J405" i="1"/>
  <c r="I405" i="1"/>
  <c r="H405" i="1"/>
  <c r="G405" i="1"/>
  <c r="F405" i="1"/>
  <c r="E405" i="1"/>
  <c r="K404" i="1"/>
  <c r="J404" i="1"/>
  <c r="I404" i="1"/>
  <c r="H404" i="1"/>
  <c r="G404" i="1"/>
  <c r="F404" i="1"/>
  <c r="E404" i="1"/>
  <c r="K403" i="1"/>
  <c r="J403" i="1"/>
  <c r="I403" i="1"/>
  <c r="H403" i="1"/>
  <c r="G403" i="1"/>
  <c r="F403" i="1"/>
  <c r="E403" i="1"/>
  <c r="K402" i="1"/>
  <c r="J402" i="1"/>
  <c r="I402" i="1"/>
  <c r="H402" i="1"/>
  <c r="G402" i="1"/>
  <c r="F402" i="1"/>
  <c r="E402" i="1"/>
  <c r="K401" i="1"/>
  <c r="J401" i="1"/>
  <c r="I401" i="1"/>
  <c r="H401" i="1"/>
  <c r="G401" i="1"/>
  <c r="F401" i="1"/>
  <c r="E401" i="1"/>
  <c r="K400" i="1"/>
  <c r="J400" i="1"/>
  <c r="I400" i="1"/>
  <c r="H400" i="1"/>
  <c r="G400" i="1"/>
  <c r="F400" i="1"/>
  <c r="E400" i="1"/>
  <c r="K399" i="1"/>
  <c r="J399" i="1"/>
  <c r="I399" i="1"/>
  <c r="H399" i="1"/>
  <c r="G399" i="1"/>
  <c r="F399" i="1"/>
  <c r="E399" i="1"/>
  <c r="K398" i="1"/>
  <c r="J398" i="1"/>
  <c r="I398" i="1"/>
  <c r="H398" i="1"/>
  <c r="G398" i="1"/>
  <c r="F398" i="1"/>
  <c r="E398" i="1"/>
  <c r="K397" i="1"/>
  <c r="J397" i="1"/>
  <c r="I397" i="1"/>
  <c r="H397" i="1"/>
  <c r="G397" i="1"/>
  <c r="F397" i="1"/>
  <c r="E397" i="1"/>
  <c r="K396" i="1"/>
  <c r="J396" i="1"/>
  <c r="I396" i="1"/>
  <c r="H396" i="1"/>
  <c r="G396" i="1"/>
  <c r="F396" i="1"/>
  <c r="E396" i="1"/>
  <c r="K395" i="1"/>
  <c r="J395" i="1"/>
  <c r="I395" i="1"/>
  <c r="H395" i="1"/>
  <c r="G395" i="1"/>
  <c r="F395" i="1"/>
  <c r="E395" i="1"/>
  <c r="K394" i="1"/>
  <c r="J394" i="1"/>
  <c r="I394" i="1"/>
  <c r="H394" i="1"/>
  <c r="G394" i="1"/>
  <c r="F394" i="1"/>
  <c r="E394" i="1"/>
  <c r="K393" i="1"/>
  <c r="J393" i="1"/>
  <c r="I393" i="1"/>
  <c r="H393" i="1"/>
  <c r="G393" i="1"/>
  <c r="F393" i="1"/>
  <c r="E393" i="1"/>
  <c r="K392" i="1"/>
  <c r="J392" i="1"/>
  <c r="I392" i="1"/>
  <c r="H392" i="1"/>
  <c r="G392" i="1"/>
  <c r="F392" i="1"/>
  <c r="E392" i="1"/>
  <c r="K391" i="1"/>
  <c r="J391" i="1"/>
  <c r="I391" i="1"/>
  <c r="H391" i="1"/>
  <c r="G391" i="1"/>
  <c r="F391" i="1"/>
  <c r="E391" i="1"/>
  <c r="K390" i="1"/>
  <c r="J390" i="1"/>
  <c r="I390" i="1"/>
  <c r="H390" i="1"/>
  <c r="G390" i="1"/>
  <c r="F390" i="1"/>
  <c r="E390" i="1"/>
  <c r="K389" i="1"/>
  <c r="J389" i="1"/>
  <c r="I389" i="1"/>
  <c r="H389" i="1"/>
  <c r="G389" i="1"/>
  <c r="F389" i="1"/>
  <c r="E389" i="1"/>
  <c r="K388" i="1"/>
  <c r="J388" i="1"/>
  <c r="I388" i="1"/>
  <c r="H388" i="1"/>
  <c r="G388" i="1"/>
  <c r="F388" i="1"/>
  <c r="E388" i="1"/>
  <c r="K387" i="1"/>
  <c r="J387" i="1"/>
  <c r="I387" i="1"/>
  <c r="H387" i="1"/>
  <c r="G387" i="1"/>
  <c r="F387" i="1"/>
  <c r="E387" i="1"/>
  <c r="K386" i="1"/>
  <c r="J386" i="1"/>
  <c r="I386" i="1"/>
  <c r="H386" i="1"/>
  <c r="G386" i="1"/>
  <c r="F386" i="1"/>
  <c r="E386" i="1"/>
  <c r="K385" i="1"/>
  <c r="J385" i="1"/>
  <c r="I385" i="1"/>
  <c r="H385" i="1"/>
  <c r="G385" i="1"/>
  <c r="F385" i="1"/>
  <c r="E385" i="1"/>
  <c r="K384" i="1"/>
  <c r="J384" i="1"/>
  <c r="I384" i="1"/>
  <c r="H384" i="1"/>
  <c r="G384" i="1"/>
  <c r="F384" i="1"/>
  <c r="E384" i="1"/>
  <c r="K383" i="1"/>
  <c r="J383" i="1"/>
  <c r="I383" i="1"/>
  <c r="H383" i="1"/>
  <c r="G383" i="1"/>
  <c r="F383" i="1"/>
  <c r="E383" i="1"/>
  <c r="K382" i="1"/>
  <c r="J382" i="1"/>
  <c r="I382" i="1"/>
  <c r="H382" i="1"/>
  <c r="G382" i="1"/>
  <c r="F382" i="1"/>
  <c r="E382" i="1"/>
  <c r="K381" i="1"/>
  <c r="J381" i="1"/>
  <c r="I381" i="1"/>
  <c r="H381" i="1"/>
  <c r="G381" i="1"/>
  <c r="F381" i="1"/>
  <c r="E381" i="1"/>
  <c r="K380" i="1"/>
  <c r="J380" i="1"/>
  <c r="I380" i="1"/>
  <c r="H380" i="1"/>
  <c r="G380" i="1"/>
  <c r="F380" i="1"/>
  <c r="E380" i="1"/>
  <c r="K379" i="1"/>
  <c r="J379" i="1"/>
  <c r="I379" i="1"/>
  <c r="H379" i="1"/>
  <c r="G379" i="1"/>
  <c r="F379" i="1"/>
  <c r="E379" i="1"/>
  <c r="K378" i="1"/>
  <c r="J378" i="1"/>
  <c r="I378" i="1"/>
  <c r="H378" i="1"/>
  <c r="G378" i="1"/>
  <c r="F378" i="1"/>
  <c r="E378" i="1"/>
  <c r="K377" i="1"/>
  <c r="J377" i="1"/>
  <c r="I377" i="1"/>
  <c r="H377" i="1"/>
  <c r="G377" i="1"/>
  <c r="F377" i="1"/>
  <c r="E377" i="1"/>
  <c r="K376" i="1"/>
  <c r="J376" i="1"/>
  <c r="I376" i="1"/>
  <c r="H376" i="1"/>
  <c r="G376" i="1"/>
  <c r="F376" i="1"/>
  <c r="E376" i="1"/>
  <c r="K375" i="1"/>
  <c r="J375" i="1"/>
  <c r="I375" i="1"/>
  <c r="H375" i="1"/>
  <c r="G375" i="1"/>
  <c r="F375" i="1"/>
  <c r="E375" i="1"/>
  <c r="K374" i="1"/>
  <c r="J374" i="1"/>
  <c r="I374" i="1"/>
  <c r="H374" i="1"/>
  <c r="G374" i="1"/>
  <c r="F374" i="1"/>
  <c r="E374" i="1"/>
  <c r="K373" i="1"/>
  <c r="J373" i="1"/>
  <c r="I373" i="1"/>
  <c r="H373" i="1"/>
  <c r="G373" i="1"/>
  <c r="F373" i="1"/>
  <c r="E373" i="1"/>
  <c r="K372" i="1"/>
  <c r="J372" i="1"/>
  <c r="I372" i="1"/>
  <c r="H372" i="1"/>
  <c r="G372" i="1"/>
  <c r="F372" i="1"/>
  <c r="E372" i="1"/>
  <c r="K371" i="1"/>
  <c r="J371" i="1"/>
  <c r="I371" i="1"/>
  <c r="H371" i="1"/>
  <c r="G371" i="1"/>
  <c r="F371" i="1"/>
  <c r="E371" i="1"/>
  <c r="K370" i="1"/>
  <c r="J370" i="1"/>
  <c r="I370" i="1"/>
  <c r="H370" i="1"/>
  <c r="G370" i="1"/>
  <c r="F370" i="1"/>
  <c r="E370" i="1"/>
  <c r="K369" i="1"/>
  <c r="J369" i="1"/>
  <c r="I369" i="1"/>
  <c r="H369" i="1"/>
  <c r="G369" i="1"/>
  <c r="F369" i="1"/>
  <c r="E369" i="1"/>
  <c r="K368" i="1"/>
  <c r="J368" i="1"/>
  <c r="I368" i="1"/>
  <c r="H368" i="1"/>
  <c r="G368" i="1"/>
  <c r="F368" i="1"/>
  <c r="E368" i="1"/>
  <c r="K367" i="1"/>
  <c r="J367" i="1"/>
  <c r="I367" i="1"/>
  <c r="H367" i="1"/>
  <c r="G367" i="1"/>
  <c r="F367" i="1"/>
  <c r="E367" i="1"/>
  <c r="K366" i="1"/>
  <c r="J366" i="1"/>
  <c r="I366" i="1"/>
  <c r="H366" i="1"/>
  <c r="G366" i="1"/>
  <c r="F366" i="1"/>
  <c r="E366" i="1"/>
  <c r="K365" i="1"/>
  <c r="J365" i="1"/>
  <c r="I365" i="1"/>
  <c r="H365" i="1"/>
  <c r="G365" i="1"/>
  <c r="F365" i="1"/>
  <c r="E365" i="1"/>
  <c r="K364" i="1"/>
  <c r="J364" i="1"/>
  <c r="I364" i="1"/>
  <c r="H364" i="1"/>
  <c r="G364" i="1"/>
  <c r="F364" i="1"/>
  <c r="E364" i="1"/>
  <c r="K363" i="1"/>
  <c r="J363" i="1"/>
  <c r="I363" i="1"/>
  <c r="H363" i="1"/>
  <c r="G363" i="1"/>
  <c r="F363" i="1"/>
  <c r="E363" i="1"/>
  <c r="K362" i="1"/>
  <c r="J362" i="1"/>
  <c r="I362" i="1"/>
  <c r="H362" i="1"/>
  <c r="G362" i="1"/>
  <c r="F362" i="1"/>
  <c r="E362" i="1"/>
  <c r="K361" i="1"/>
  <c r="J361" i="1"/>
  <c r="I361" i="1"/>
  <c r="H361" i="1"/>
  <c r="G361" i="1"/>
  <c r="F361" i="1"/>
  <c r="E361" i="1"/>
  <c r="K360" i="1"/>
  <c r="J360" i="1"/>
  <c r="I360" i="1"/>
  <c r="H360" i="1"/>
  <c r="G360" i="1"/>
  <c r="F360" i="1"/>
  <c r="E360" i="1"/>
  <c r="K359" i="1"/>
  <c r="J359" i="1"/>
  <c r="I359" i="1"/>
  <c r="H359" i="1"/>
  <c r="G359" i="1"/>
  <c r="F359" i="1"/>
  <c r="E359" i="1"/>
  <c r="K358" i="1"/>
  <c r="J358" i="1"/>
  <c r="I358" i="1"/>
  <c r="H358" i="1"/>
  <c r="G358" i="1"/>
  <c r="F358" i="1"/>
  <c r="E358" i="1"/>
  <c r="K357" i="1"/>
  <c r="J357" i="1"/>
  <c r="I357" i="1"/>
  <c r="H357" i="1"/>
  <c r="G357" i="1"/>
  <c r="F357" i="1"/>
  <c r="E357" i="1"/>
  <c r="K356" i="1"/>
  <c r="J356" i="1"/>
  <c r="I356" i="1"/>
  <c r="H356" i="1"/>
  <c r="G356" i="1"/>
  <c r="F356" i="1"/>
  <c r="E356" i="1"/>
  <c r="K355" i="1"/>
  <c r="J355" i="1"/>
  <c r="I355" i="1"/>
  <c r="H355" i="1"/>
  <c r="G355" i="1"/>
  <c r="F355" i="1"/>
  <c r="E355" i="1"/>
  <c r="K354" i="1"/>
  <c r="J354" i="1"/>
  <c r="I354" i="1"/>
  <c r="H354" i="1"/>
  <c r="G354" i="1"/>
  <c r="F354" i="1"/>
  <c r="E354" i="1"/>
  <c r="K353" i="1"/>
  <c r="J353" i="1"/>
  <c r="I353" i="1"/>
  <c r="H353" i="1"/>
  <c r="G353" i="1"/>
  <c r="F353" i="1"/>
  <c r="E353" i="1"/>
  <c r="K352" i="1"/>
  <c r="J352" i="1"/>
  <c r="I352" i="1"/>
  <c r="H352" i="1"/>
  <c r="G352" i="1"/>
  <c r="F352" i="1"/>
  <c r="E352" i="1"/>
  <c r="K351" i="1"/>
  <c r="J351" i="1"/>
  <c r="I351" i="1"/>
  <c r="H351" i="1"/>
  <c r="G351" i="1"/>
  <c r="F351" i="1"/>
  <c r="E351" i="1"/>
  <c r="K350" i="1"/>
  <c r="J350" i="1"/>
  <c r="I350" i="1"/>
  <c r="H350" i="1"/>
  <c r="G350" i="1"/>
  <c r="F350" i="1"/>
  <c r="E350" i="1"/>
  <c r="K349" i="1"/>
  <c r="J349" i="1"/>
  <c r="I349" i="1"/>
  <c r="H349" i="1"/>
  <c r="G349" i="1"/>
  <c r="F349" i="1"/>
  <c r="E349" i="1"/>
  <c r="K348" i="1"/>
  <c r="J348" i="1"/>
  <c r="I348" i="1"/>
  <c r="H348" i="1"/>
  <c r="G348" i="1"/>
  <c r="F348" i="1"/>
  <c r="E348" i="1"/>
  <c r="K347" i="1"/>
  <c r="J347" i="1"/>
  <c r="I347" i="1"/>
  <c r="H347" i="1"/>
  <c r="G347" i="1"/>
  <c r="F347" i="1"/>
  <c r="E347" i="1"/>
  <c r="K346" i="1"/>
  <c r="J346" i="1"/>
  <c r="I346" i="1"/>
  <c r="H346" i="1"/>
  <c r="G346" i="1"/>
  <c r="F346" i="1"/>
  <c r="E346" i="1"/>
  <c r="K345" i="1"/>
  <c r="J345" i="1"/>
  <c r="I345" i="1"/>
  <c r="H345" i="1"/>
  <c r="G345" i="1"/>
  <c r="F345" i="1"/>
  <c r="E345" i="1"/>
  <c r="K344" i="1"/>
  <c r="J344" i="1"/>
  <c r="I344" i="1"/>
  <c r="H344" i="1"/>
  <c r="G344" i="1"/>
  <c r="F344" i="1"/>
  <c r="E344" i="1"/>
  <c r="K343" i="1"/>
  <c r="J343" i="1"/>
  <c r="I343" i="1"/>
  <c r="H343" i="1"/>
  <c r="G343" i="1"/>
  <c r="F343" i="1"/>
  <c r="E343" i="1"/>
  <c r="K342" i="1"/>
  <c r="J342" i="1"/>
  <c r="I342" i="1"/>
  <c r="H342" i="1"/>
  <c r="G342" i="1"/>
  <c r="F342" i="1"/>
  <c r="E342" i="1"/>
  <c r="K341" i="1"/>
  <c r="J341" i="1"/>
  <c r="I341" i="1"/>
  <c r="H341" i="1"/>
  <c r="G341" i="1"/>
  <c r="F341" i="1"/>
  <c r="E341" i="1"/>
  <c r="K340" i="1"/>
  <c r="J340" i="1"/>
  <c r="I340" i="1"/>
  <c r="H340" i="1"/>
  <c r="G340" i="1"/>
  <c r="F340" i="1"/>
  <c r="E340" i="1"/>
  <c r="K339" i="1"/>
  <c r="J339" i="1"/>
  <c r="I339" i="1"/>
  <c r="H339" i="1"/>
  <c r="G339" i="1"/>
  <c r="F339" i="1"/>
  <c r="E339" i="1"/>
  <c r="K338" i="1"/>
  <c r="J338" i="1"/>
  <c r="I338" i="1"/>
  <c r="H338" i="1"/>
  <c r="G338" i="1"/>
  <c r="F338" i="1"/>
  <c r="E338" i="1"/>
  <c r="K337" i="1"/>
  <c r="J337" i="1"/>
  <c r="I337" i="1"/>
  <c r="H337" i="1"/>
  <c r="G337" i="1"/>
  <c r="F337" i="1"/>
  <c r="E337" i="1"/>
  <c r="K336" i="1"/>
  <c r="J336" i="1"/>
  <c r="I336" i="1"/>
  <c r="H336" i="1"/>
  <c r="G336" i="1"/>
  <c r="F336" i="1"/>
  <c r="E336" i="1"/>
  <c r="K335" i="1"/>
  <c r="J335" i="1"/>
  <c r="I335" i="1"/>
  <c r="H335" i="1"/>
  <c r="G335" i="1"/>
  <c r="F335" i="1"/>
  <c r="E335" i="1"/>
  <c r="K334" i="1"/>
  <c r="J334" i="1"/>
  <c r="I334" i="1"/>
  <c r="H334" i="1"/>
  <c r="G334" i="1"/>
  <c r="F334" i="1"/>
  <c r="E334" i="1"/>
  <c r="K333" i="1"/>
  <c r="J333" i="1"/>
  <c r="I333" i="1"/>
  <c r="H333" i="1"/>
  <c r="G333" i="1"/>
  <c r="F333" i="1"/>
  <c r="E333" i="1"/>
  <c r="K332" i="1"/>
  <c r="J332" i="1"/>
  <c r="I332" i="1"/>
  <c r="H332" i="1"/>
  <c r="G332" i="1"/>
  <c r="F332" i="1"/>
  <c r="E332" i="1"/>
  <c r="K331" i="1"/>
  <c r="J331" i="1"/>
  <c r="I331" i="1"/>
  <c r="H331" i="1"/>
  <c r="G331" i="1"/>
  <c r="F331" i="1"/>
  <c r="E331" i="1"/>
  <c r="K330" i="1"/>
  <c r="J330" i="1"/>
  <c r="I330" i="1"/>
  <c r="H330" i="1"/>
  <c r="G330" i="1"/>
  <c r="F330" i="1"/>
  <c r="E330" i="1"/>
  <c r="K329" i="1"/>
  <c r="J329" i="1"/>
  <c r="I329" i="1"/>
  <c r="H329" i="1"/>
  <c r="G329" i="1"/>
  <c r="F329" i="1"/>
  <c r="E329" i="1"/>
  <c r="K328" i="1"/>
  <c r="J328" i="1"/>
  <c r="I328" i="1"/>
  <c r="H328" i="1"/>
  <c r="G328" i="1"/>
  <c r="F328" i="1"/>
  <c r="E328" i="1"/>
  <c r="K327" i="1"/>
  <c r="J327" i="1"/>
  <c r="I327" i="1"/>
  <c r="H327" i="1"/>
  <c r="G327" i="1"/>
  <c r="F327" i="1"/>
  <c r="E327" i="1"/>
  <c r="K326" i="1"/>
  <c r="J326" i="1"/>
  <c r="I326" i="1"/>
  <c r="H326" i="1"/>
  <c r="G326" i="1"/>
  <c r="F326" i="1"/>
  <c r="E326" i="1"/>
  <c r="K325" i="1"/>
  <c r="J325" i="1"/>
  <c r="I325" i="1"/>
  <c r="H325" i="1"/>
  <c r="G325" i="1"/>
  <c r="F325" i="1"/>
  <c r="E325" i="1"/>
  <c r="K324" i="1"/>
  <c r="J324" i="1"/>
  <c r="I324" i="1"/>
  <c r="H324" i="1"/>
  <c r="G324" i="1"/>
  <c r="F324" i="1"/>
  <c r="E324" i="1"/>
  <c r="K323" i="1"/>
  <c r="J323" i="1"/>
  <c r="I323" i="1"/>
  <c r="H323" i="1"/>
  <c r="G323" i="1"/>
  <c r="F323" i="1"/>
  <c r="E323" i="1"/>
  <c r="K322" i="1"/>
  <c r="J322" i="1"/>
  <c r="I322" i="1"/>
  <c r="H322" i="1"/>
  <c r="G322" i="1"/>
  <c r="F322" i="1"/>
  <c r="E322" i="1"/>
  <c r="K321" i="1"/>
  <c r="J321" i="1"/>
  <c r="I321" i="1"/>
  <c r="H321" i="1"/>
  <c r="G321" i="1"/>
  <c r="F321" i="1"/>
  <c r="E321" i="1"/>
  <c r="K320" i="1"/>
  <c r="J320" i="1"/>
  <c r="I320" i="1"/>
  <c r="H320" i="1"/>
  <c r="G320" i="1"/>
  <c r="F320" i="1"/>
  <c r="E320" i="1"/>
  <c r="K319" i="1"/>
  <c r="J319" i="1"/>
  <c r="I319" i="1"/>
  <c r="H319" i="1"/>
  <c r="G319" i="1"/>
  <c r="F319" i="1"/>
  <c r="E319" i="1"/>
  <c r="K318" i="1"/>
  <c r="J318" i="1"/>
  <c r="I318" i="1"/>
  <c r="H318" i="1"/>
  <c r="G318" i="1"/>
  <c r="F318" i="1"/>
  <c r="E318" i="1"/>
  <c r="K317" i="1"/>
  <c r="J317" i="1"/>
  <c r="I317" i="1"/>
  <c r="H317" i="1"/>
  <c r="G317" i="1"/>
  <c r="F317" i="1"/>
  <c r="E317" i="1"/>
  <c r="K316" i="1"/>
  <c r="J316" i="1"/>
  <c r="I316" i="1"/>
  <c r="H316" i="1"/>
  <c r="G316" i="1"/>
  <c r="F316" i="1"/>
  <c r="E316" i="1"/>
  <c r="K315" i="1"/>
  <c r="J315" i="1"/>
  <c r="I315" i="1"/>
  <c r="H315" i="1"/>
  <c r="G315" i="1"/>
  <c r="F315" i="1"/>
  <c r="E315" i="1"/>
  <c r="K314" i="1"/>
  <c r="J314" i="1"/>
  <c r="I314" i="1"/>
  <c r="H314" i="1"/>
  <c r="G314" i="1"/>
  <c r="F314" i="1"/>
  <c r="E314" i="1"/>
  <c r="K313" i="1"/>
  <c r="J313" i="1"/>
  <c r="I313" i="1"/>
  <c r="H313" i="1"/>
  <c r="G313" i="1"/>
  <c r="F313" i="1"/>
  <c r="E313" i="1"/>
  <c r="K312" i="1"/>
  <c r="J312" i="1"/>
  <c r="I312" i="1"/>
  <c r="H312" i="1"/>
  <c r="G312" i="1"/>
  <c r="F312" i="1"/>
  <c r="E312" i="1"/>
  <c r="K311" i="1"/>
  <c r="J311" i="1"/>
  <c r="I311" i="1"/>
  <c r="H311" i="1"/>
  <c r="G311" i="1"/>
  <c r="F311" i="1"/>
  <c r="E311" i="1"/>
  <c r="K310" i="1"/>
  <c r="J310" i="1"/>
  <c r="I310" i="1"/>
  <c r="H310" i="1"/>
  <c r="G310" i="1"/>
  <c r="F310" i="1"/>
  <c r="E310" i="1"/>
  <c r="K309" i="1"/>
  <c r="J309" i="1"/>
  <c r="I309" i="1"/>
  <c r="H309" i="1"/>
  <c r="G309" i="1"/>
  <c r="F309" i="1"/>
  <c r="E309" i="1"/>
  <c r="K308" i="1"/>
  <c r="J308" i="1"/>
  <c r="I308" i="1"/>
  <c r="H308" i="1"/>
  <c r="G308" i="1"/>
  <c r="F308" i="1"/>
  <c r="E308" i="1"/>
  <c r="K307" i="1"/>
  <c r="J307" i="1"/>
  <c r="I307" i="1"/>
  <c r="H307" i="1"/>
  <c r="G307" i="1"/>
  <c r="F307" i="1"/>
  <c r="E307" i="1"/>
  <c r="K306" i="1"/>
  <c r="J306" i="1"/>
  <c r="I306" i="1"/>
  <c r="H306" i="1"/>
  <c r="G306" i="1"/>
  <c r="F306" i="1"/>
  <c r="E306" i="1"/>
  <c r="K305" i="1"/>
  <c r="J305" i="1"/>
  <c r="I305" i="1"/>
  <c r="H305" i="1"/>
  <c r="G305" i="1"/>
  <c r="F305" i="1"/>
  <c r="E305" i="1"/>
  <c r="K304" i="1"/>
  <c r="J304" i="1"/>
  <c r="I304" i="1"/>
  <c r="H304" i="1"/>
  <c r="G304" i="1"/>
  <c r="F304" i="1"/>
  <c r="E304" i="1"/>
  <c r="K303" i="1"/>
  <c r="J303" i="1"/>
  <c r="I303" i="1"/>
  <c r="H303" i="1"/>
  <c r="G303" i="1"/>
  <c r="F303" i="1"/>
  <c r="E303" i="1"/>
  <c r="K302" i="1"/>
  <c r="J302" i="1"/>
  <c r="I302" i="1"/>
  <c r="H302" i="1"/>
  <c r="G302" i="1"/>
  <c r="F302" i="1"/>
  <c r="E302" i="1"/>
  <c r="K301" i="1"/>
  <c r="J301" i="1"/>
  <c r="I301" i="1"/>
  <c r="H301" i="1"/>
  <c r="G301" i="1"/>
  <c r="F301" i="1"/>
  <c r="E301" i="1"/>
  <c r="K300" i="1"/>
  <c r="J300" i="1"/>
  <c r="I300" i="1"/>
  <c r="H300" i="1"/>
  <c r="G300" i="1"/>
  <c r="F300" i="1"/>
  <c r="E300" i="1"/>
  <c r="K299" i="1"/>
  <c r="J299" i="1"/>
  <c r="I299" i="1"/>
  <c r="H299" i="1"/>
  <c r="G299" i="1"/>
  <c r="F299" i="1"/>
  <c r="E299" i="1"/>
  <c r="K298" i="1"/>
  <c r="J298" i="1"/>
  <c r="I298" i="1"/>
  <c r="H298" i="1"/>
  <c r="G298" i="1"/>
  <c r="F298" i="1"/>
  <c r="E298" i="1"/>
  <c r="K297" i="1"/>
  <c r="J297" i="1"/>
  <c r="I297" i="1"/>
  <c r="H297" i="1"/>
  <c r="G297" i="1"/>
  <c r="F297" i="1"/>
  <c r="E297" i="1"/>
  <c r="K296" i="1"/>
  <c r="J296" i="1"/>
  <c r="I296" i="1"/>
  <c r="H296" i="1"/>
  <c r="G296" i="1"/>
  <c r="F296" i="1"/>
  <c r="E296" i="1"/>
  <c r="K295" i="1"/>
  <c r="J295" i="1"/>
  <c r="I295" i="1"/>
  <c r="H295" i="1"/>
  <c r="G295" i="1"/>
  <c r="F295" i="1"/>
  <c r="E295" i="1"/>
  <c r="K294" i="1"/>
  <c r="J294" i="1"/>
  <c r="I294" i="1"/>
  <c r="H294" i="1"/>
  <c r="G294" i="1"/>
  <c r="F294" i="1"/>
  <c r="E294" i="1"/>
  <c r="K293" i="1"/>
  <c r="J293" i="1"/>
  <c r="I293" i="1"/>
  <c r="H293" i="1"/>
  <c r="G293" i="1"/>
  <c r="F293" i="1"/>
  <c r="E293" i="1"/>
  <c r="K292" i="1"/>
  <c r="J292" i="1"/>
  <c r="I292" i="1"/>
  <c r="H292" i="1"/>
  <c r="G292" i="1"/>
  <c r="F292" i="1"/>
  <c r="E292" i="1"/>
  <c r="K291" i="1"/>
  <c r="J291" i="1"/>
  <c r="I291" i="1"/>
  <c r="H291" i="1"/>
  <c r="G291" i="1"/>
  <c r="F291" i="1"/>
  <c r="E291" i="1"/>
  <c r="K290" i="1"/>
  <c r="J290" i="1"/>
  <c r="I290" i="1"/>
  <c r="H290" i="1"/>
  <c r="G290" i="1"/>
  <c r="F290" i="1"/>
  <c r="E290" i="1"/>
  <c r="K289" i="1"/>
  <c r="J289" i="1"/>
  <c r="I289" i="1"/>
  <c r="H289" i="1"/>
  <c r="G289" i="1"/>
  <c r="F289" i="1"/>
  <c r="E289" i="1"/>
  <c r="K288" i="1"/>
  <c r="J288" i="1"/>
  <c r="I288" i="1"/>
  <c r="H288" i="1"/>
  <c r="G288" i="1"/>
  <c r="F288" i="1"/>
  <c r="E288" i="1"/>
  <c r="K287" i="1"/>
  <c r="J287" i="1"/>
  <c r="I287" i="1"/>
  <c r="H287" i="1"/>
  <c r="G287" i="1"/>
  <c r="F287" i="1"/>
  <c r="E287" i="1"/>
  <c r="K286" i="1"/>
  <c r="J286" i="1"/>
  <c r="I286" i="1"/>
  <c r="H286" i="1"/>
  <c r="G286" i="1"/>
  <c r="F286" i="1"/>
  <c r="E286" i="1"/>
  <c r="K285" i="1"/>
  <c r="J285" i="1"/>
  <c r="I285" i="1"/>
  <c r="H285" i="1"/>
  <c r="G285" i="1"/>
  <c r="F285" i="1"/>
  <c r="E285" i="1"/>
  <c r="K284" i="1"/>
  <c r="J284" i="1"/>
  <c r="I284" i="1"/>
  <c r="H284" i="1"/>
  <c r="G284" i="1"/>
  <c r="F284" i="1"/>
  <c r="E284" i="1"/>
  <c r="K283" i="1"/>
  <c r="J283" i="1"/>
  <c r="I283" i="1"/>
  <c r="H283" i="1"/>
  <c r="G283" i="1"/>
  <c r="F283" i="1"/>
  <c r="E283" i="1"/>
  <c r="K282" i="1"/>
  <c r="J282" i="1"/>
  <c r="I282" i="1"/>
  <c r="H282" i="1"/>
  <c r="G282" i="1"/>
  <c r="F282" i="1"/>
  <c r="E282" i="1"/>
  <c r="K281" i="1"/>
  <c r="J281" i="1"/>
  <c r="I281" i="1"/>
  <c r="H281" i="1"/>
  <c r="G281" i="1"/>
  <c r="F281" i="1"/>
  <c r="E281" i="1"/>
  <c r="K280" i="1"/>
  <c r="J280" i="1"/>
  <c r="I280" i="1"/>
  <c r="H280" i="1"/>
  <c r="G280" i="1"/>
  <c r="F280" i="1"/>
  <c r="E280" i="1"/>
  <c r="K279" i="1"/>
  <c r="J279" i="1"/>
  <c r="I279" i="1"/>
  <c r="H279" i="1"/>
  <c r="G279" i="1"/>
  <c r="F279" i="1"/>
  <c r="E279" i="1"/>
  <c r="K278" i="1"/>
  <c r="J278" i="1"/>
  <c r="I278" i="1"/>
  <c r="H278" i="1"/>
  <c r="G278" i="1"/>
  <c r="F278" i="1"/>
  <c r="E278" i="1"/>
  <c r="K277" i="1"/>
  <c r="J277" i="1"/>
  <c r="I277" i="1"/>
  <c r="H277" i="1"/>
  <c r="G277" i="1"/>
  <c r="F277" i="1"/>
  <c r="E277" i="1"/>
  <c r="K276" i="1"/>
  <c r="J276" i="1"/>
  <c r="I276" i="1"/>
  <c r="H276" i="1"/>
  <c r="G276" i="1"/>
  <c r="F276" i="1"/>
  <c r="E276" i="1"/>
  <c r="K275" i="1"/>
  <c r="J275" i="1"/>
  <c r="I275" i="1"/>
  <c r="H275" i="1"/>
  <c r="G275" i="1"/>
  <c r="F275" i="1"/>
  <c r="E275" i="1"/>
  <c r="K274" i="1"/>
  <c r="J274" i="1"/>
  <c r="I274" i="1"/>
  <c r="H274" i="1"/>
  <c r="G274" i="1"/>
  <c r="F274" i="1"/>
  <c r="E274" i="1"/>
  <c r="K273" i="1"/>
  <c r="J273" i="1"/>
  <c r="I273" i="1"/>
  <c r="H273" i="1"/>
  <c r="G273" i="1"/>
  <c r="F273" i="1"/>
  <c r="E273" i="1"/>
  <c r="K272" i="1"/>
  <c r="J272" i="1"/>
  <c r="I272" i="1"/>
  <c r="H272" i="1"/>
  <c r="G272" i="1"/>
  <c r="F272" i="1"/>
  <c r="E272" i="1"/>
  <c r="K271" i="1"/>
  <c r="J271" i="1"/>
  <c r="I271" i="1"/>
  <c r="H271" i="1"/>
  <c r="G271" i="1"/>
  <c r="F271" i="1"/>
  <c r="E271" i="1"/>
  <c r="K270" i="1"/>
  <c r="J270" i="1"/>
  <c r="I270" i="1"/>
  <c r="H270" i="1"/>
  <c r="G270" i="1"/>
  <c r="F270" i="1"/>
  <c r="E270" i="1"/>
  <c r="K269" i="1"/>
  <c r="J269" i="1"/>
  <c r="I269" i="1"/>
  <c r="H269" i="1"/>
  <c r="G269" i="1"/>
  <c r="F269" i="1"/>
  <c r="E269" i="1"/>
  <c r="K268" i="1"/>
  <c r="J268" i="1"/>
  <c r="I268" i="1"/>
  <c r="H268" i="1"/>
  <c r="G268" i="1"/>
  <c r="F268" i="1"/>
  <c r="E268" i="1"/>
  <c r="K267" i="1"/>
  <c r="J267" i="1"/>
  <c r="I267" i="1"/>
  <c r="H267" i="1"/>
  <c r="G267" i="1"/>
  <c r="F267" i="1"/>
  <c r="E267" i="1"/>
  <c r="K266" i="1"/>
  <c r="J266" i="1"/>
  <c r="I266" i="1"/>
  <c r="H266" i="1"/>
  <c r="G266" i="1"/>
  <c r="F266" i="1"/>
  <c r="E266" i="1"/>
  <c r="K265" i="1"/>
  <c r="J265" i="1"/>
  <c r="I265" i="1"/>
  <c r="H265" i="1"/>
  <c r="G265" i="1"/>
  <c r="F265" i="1"/>
  <c r="E265" i="1"/>
  <c r="K264" i="1"/>
  <c r="J264" i="1"/>
  <c r="I264" i="1"/>
  <c r="H264" i="1"/>
  <c r="G264" i="1"/>
  <c r="F264" i="1"/>
  <c r="E264" i="1"/>
  <c r="K263" i="1"/>
  <c r="J263" i="1"/>
  <c r="I263" i="1"/>
  <c r="H263" i="1"/>
  <c r="G263" i="1"/>
  <c r="F263" i="1"/>
  <c r="E263" i="1"/>
  <c r="K262" i="1"/>
  <c r="J262" i="1"/>
  <c r="I262" i="1"/>
  <c r="H262" i="1"/>
  <c r="G262" i="1"/>
  <c r="F262" i="1"/>
  <c r="E262" i="1"/>
  <c r="K261" i="1"/>
  <c r="J261" i="1"/>
  <c r="I261" i="1"/>
  <c r="H261" i="1"/>
  <c r="G261" i="1"/>
  <c r="F261" i="1"/>
  <c r="E261" i="1"/>
  <c r="K260" i="1"/>
  <c r="J260" i="1"/>
  <c r="I260" i="1"/>
  <c r="H260" i="1"/>
  <c r="G260" i="1"/>
  <c r="F260" i="1"/>
  <c r="E260" i="1"/>
  <c r="K259" i="1"/>
  <c r="J259" i="1"/>
  <c r="I259" i="1"/>
  <c r="H259" i="1"/>
  <c r="G259" i="1"/>
  <c r="F259" i="1"/>
  <c r="E259" i="1"/>
  <c r="K258" i="1"/>
  <c r="J258" i="1"/>
  <c r="I258" i="1"/>
  <c r="H258" i="1"/>
  <c r="G258" i="1"/>
  <c r="F258" i="1"/>
  <c r="E258" i="1"/>
  <c r="K257" i="1"/>
  <c r="J257" i="1"/>
  <c r="I257" i="1"/>
  <c r="H257" i="1"/>
  <c r="G257" i="1"/>
  <c r="F257" i="1"/>
  <c r="E257" i="1"/>
  <c r="K256" i="1"/>
  <c r="J256" i="1"/>
  <c r="I256" i="1"/>
  <c r="H256" i="1"/>
  <c r="G256" i="1"/>
  <c r="F256" i="1"/>
  <c r="E256" i="1"/>
  <c r="K255" i="1"/>
  <c r="J255" i="1"/>
  <c r="I255" i="1"/>
  <c r="H255" i="1"/>
  <c r="G255" i="1"/>
  <c r="F255" i="1"/>
  <c r="E255" i="1"/>
  <c r="K254" i="1"/>
  <c r="J254" i="1"/>
  <c r="I254" i="1"/>
  <c r="H254" i="1"/>
  <c r="G254" i="1"/>
  <c r="F254" i="1"/>
  <c r="E254" i="1"/>
  <c r="K253" i="1"/>
  <c r="J253" i="1"/>
  <c r="I253" i="1"/>
  <c r="H253" i="1"/>
  <c r="G253" i="1"/>
  <c r="F253" i="1"/>
  <c r="E253" i="1"/>
  <c r="K252" i="1"/>
  <c r="J252" i="1"/>
  <c r="I252" i="1"/>
  <c r="H252" i="1"/>
  <c r="G252" i="1"/>
  <c r="F252" i="1"/>
  <c r="E252" i="1"/>
  <c r="K251" i="1"/>
  <c r="J251" i="1"/>
  <c r="I251" i="1"/>
  <c r="H251" i="1"/>
  <c r="G251" i="1"/>
  <c r="F251" i="1"/>
  <c r="E251" i="1"/>
  <c r="K250" i="1"/>
  <c r="J250" i="1"/>
  <c r="I250" i="1"/>
  <c r="H250" i="1"/>
  <c r="G250" i="1"/>
  <c r="F250" i="1"/>
  <c r="E250" i="1"/>
  <c r="K249" i="1"/>
  <c r="J249" i="1"/>
  <c r="I249" i="1"/>
  <c r="H249" i="1"/>
  <c r="G249" i="1"/>
  <c r="F249" i="1"/>
  <c r="E249" i="1"/>
  <c r="K248" i="1"/>
  <c r="J248" i="1"/>
  <c r="I248" i="1"/>
  <c r="H248" i="1"/>
  <c r="G248" i="1"/>
  <c r="F248" i="1"/>
  <c r="E248" i="1"/>
  <c r="K247" i="1"/>
  <c r="J247" i="1"/>
  <c r="I247" i="1"/>
  <c r="H247" i="1"/>
  <c r="G247" i="1"/>
  <c r="F247" i="1"/>
  <c r="E247" i="1"/>
  <c r="K246" i="1"/>
  <c r="J246" i="1"/>
  <c r="I246" i="1"/>
  <c r="H246" i="1"/>
  <c r="G246" i="1"/>
  <c r="F246" i="1"/>
  <c r="E246" i="1"/>
  <c r="K245" i="1"/>
  <c r="J245" i="1"/>
  <c r="I245" i="1"/>
  <c r="H245" i="1"/>
  <c r="G245" i="1"/>
  <c r="F245" i="1"/>
  <c r="E245" i="1"/>
  <c r="K244" i="1"/>
  <c r="J244" i="1"/>
  <c r="I244" i="1"/>
  <c r="H244" i="1"/>
  <c r="G244" i="1"/>
  <c r="F244" i="1"/>
  <c r="E244" i="1"/>
  <c r="K243" i="1"/>
  <c r="J243" i="1"/>
  <c r="I243" i="1"/>
  <c r="H243" i="1"/>
  <c r="G243" i="1"/>
  <c r="F243" i="1"/>
  <c r="E243" i="1"/>
  <c r="K242" i="1"/>
  <c r="J242" i="1"/>
  <c r="I242" i="1"/>
  <c r="H242" i="1"/>
  <c r="G242" i="1"/>
  <c r="F242" i="1"/>
  <c r="E242" i="1"/>
  <c r="K241" i="1"/>
  <c r="J241" i="1"/>
  <c r="I241" i="1"/>
  <c r="H241" i="1"/>
  <c r="G241" i="1"/>
  <c r="F241" i="1"/>
  <c r="E241" i="1"/>
  <c r="K240" i="1"/>
  <c r="J240" i="1"/>
  <c r="I240" i="1"/>
  <c r="H240" i="1"/>
  <c r="G240" i="1"/>
  <c r="F240" i="1"/>
  <c r="E240" i="1"/>
  <c r="K239" i="1"/>
  <c r="J239" i="1"/>
  <c r="I239" i="1"/>
  <c r="H239" i="1"/>
  <c r="G239" i="1"/>
  <c r="F239" i="1"/>
  <c r="E239" i="1"/>
  <c r="K238" i="1"/>
  <c r="J238" i="1"/>
  <c r="I238" i="1"/>
  <c r="H238" i="1"/>
  <c r="G238" i="1"/>
  <c r="F238" i="1"/>
  <c r="E238" i="1"/>
  <c r="K237" i="1"/>
  <c r="J237" i="1"/>
  <c r="I237" i="1"/>
  <c r="H237" i="1"/>
  <c r="G237" i="1"/>
  <c r="F237" i="1"/>
  <c r="E237" i="1"/>
  <c r="K236" i="1"/>
  <c r="J236" i="1"/>
  <c r="I236" i="1"/>
  <c r="H236" i="1"/>
  <c r="G236" i="1"/>
  <c r="F236" i="1"/>
  <c r="E236" i="1"/>
  <c r="K235" i="1"/>
  <c r="J235" i="1"/>
  <c r="I235" i="1"/>
  <c r="H235" i="1"/>
  <c r="G235" i="1"/>
  <c r="F235" i="1"/>
  <c r="E235" i="1"/>
  <c r="K234" i="1"/>
  <c r="J234" i="1"/>
  <c r="I234" i="1"/>
  <c r="H234" i="1"/>
  <c r="G234" i="1"/>
  <c r="F234" i="1"/>
  <c r="E234" i="1"/>
  <c r="K233" i="1"/>
  <c r="J233" i="1"/>
  <c r="I233" i="1"/>
  <c r="H233" i="1"/>
  <c r="G233" i="1"/>
  <c r="F233" i="1"/>
  <c r="E233" i="1"/>
  <c r="K232" i="1"/>
  <c r="J232" i="1"/>
  <c r="I232" i="1"/>
  <c r="H232" i="1"/>
  <c r="G232" i="1"/>
  <c r="F232" i="1"/>
  <c r="E232" i="1"/>
  <c r="K231" i="1"/>
  <c r="J231" i="1"/>
  <c r="I231" i="1"/>
  <c r="H231" i="1"/>
  <c r="G231" i="1"/>
  <c r="F231" i="1"/>
  <c r="E231" i="1"/>
  <c r="K230" i="1"/>
  <c r="J230" i="1"/>
  <c r="I230" i="1"/>
  <c r="H230" i="1"/>
  <c r="G230" i="1"/>
  <c r="F230" i="1"/>
  <c r="E230" i="1"/>
  <c r="K229" i="1"/>
  <c r="J229" i="1"/>
  <c r="I229" i="1"/>
  <c r="H229" i="1"/>
  <c r="G229" i="1"/>
  <c r="F229" i="1"/>
  <c r="E229" i="1"/>
  <c r="K228" i="1"/>
  <c r="J228" i="1"/>
  <c r="I228" i="1"/>
  <c r="H228" i="1"/>
  <c r="G228" i="1"/>
  <c r="F228" i="1"/>
  <c r="E228" i="1"/>
  <c r="K227" i="1"/>
  <c r="J227" i="1"/>
  <c r="I227" i="1"/>
  <c r="H227" i="1"/>
  <c r="G227" i="1"/>
  <c r="F227" i="1"/>
  <c r="E227" i="1"/>
  <c r="K226" i="1"/>
  <c r="J226" i="1"/>
  <c r="I226" i="1"/>
  <c r="H226" i="1"/>
  <c r="G226" i="1"/>
  <c r="F226" i="1"/>
  <c r="E226" i="1"/>
  <c r="K225" i="1"/>
  <c r="J225" i="1"/>
  <c r="I225" i="1"/>
  <c r="H225" i="1"/>
  <c r="G225" i="1"/>
  <c r="F225" i="1"/>
  <c r="E225" i="1"/>
  <c r="K224" i="1"/>
  <c r="J224" i="1"/>
  <c r="I224" i="1"/>
  <c r="H224" i="1"/>
  <c r="G224" i="1"/>
  <c r="F224" i="1"/>
  <c r="E224" i="1"/>
  <c r="K223" i="1"/>
  <c r="J223" i="1"/>
  <c r="I223" i="1"/>
  <c r="H223" i="1"/>
  <c r="G223" i="1"/>
  <c r="F223" i="1"/>
  <c r="E223" i="1"/>
  <c r="K222" i="1"/>
  <c r="J222" i="1"/>
  <c r="I222" i="1"/>
  <c r="H222" i="1"/>
  <c r="G222" i="1"/>
  <c r="F222" i="1"/>
  <c r="E222" i="1"/>
  <c r="K221" i="1"/>
  <c r="J221" i="1"/>
  <c r="I221" i="1"/>
  <c r="H221" i="1"/>
  <c r="G221" i="1"/>
  <c r="F221" i="1"/>
  <c r="E221" i="1"/>
  <c r="K220" i="1"/>
  <c r="J220" i="1"/>
  <c r="I220" i="1"/>
  <c r="H220" i="1"/>
  <c r="G220" i="1"/>
  <c r="F220" i="1"/>
  <c r="E220" i="1"/>
  <c r="K219" i="1"/>
  <c r="J219" i="1"/>
  <c r="I219" i="1"/>
  <c r="H219" i="1"/>
  <c r="G219" i="1"/>
  <c r="F219" i="1"/>
  <c r="E219" i="1"/>
  <c r="K218" i="1"/>
  <c r="J218" i="1"/>
  <c r="I218" i="1"/>
  <c r="H218" i="1"/>
  <c r="G218" i="1"/>
  <c r="F218" i="1"/>
  <c r="E218" i="1"/>
  <c r="K217" i="1"/>
  <c r="J217" i="1"/>
  <c r="I217" i="1"/>
  <c r="H217" i="1"/>
  <c r="G217" i="1"/>
  <c r="F217" i="1"/>
  <c r="E217" i="1"/>
  <c r="K216" i="1"/>
  <c r="J216" i="1"/>
  <c r="I216" i="1"/>
  <c r="H216" i="1"/>
  <c r="G216" i="1"/>
  <c r="F216" i="1"/>
  <c r="E216" i="1"/>
  <c r="K215" i="1"/>
  <c r="J215" i="1"/>
  <c r="I215" i="1"/>
  <c r="H215" i="1"/>
  <c r="G215" i="1"/>
  <c r="F215" i="1"/>
  <c r="E215" i="1"/>
  <c r="K214" i="1"/>
  <c r="J214" i="1"/>
  <c r="I214" i="1"/>
  <c r="H214" i="1"/>
  <c r="G214" i="1"/>
  <c r="F214" i="1"/>
  <c r="E214" i="1"/>
  <c r="K213" i="1"/>
  <c r="J213" i="1"/>
  <c r="I213" i="1"/>
  <c r="H213" i="1"/>
  <c r="G213" i="1"/>
  <c r="F213" i="1"/>
  <c r="E213" i="1"/>
  <c r="K212" i="1"/>
  <c r="J212" i="1"/>
  <c r="I212" i="1"/>
  <c r="H212" i="1"/>
  <c r="G212" i="1"/>
  <c r="F212" i="1"/>
  <c r="E212" i="1"/>
  <c r="K211" i="1"/>
  <c r="J211" i="1"/>
  <c r="I211" i="1"/>
  <c r="H211" i="1"/>
  <c r="G211" i="1"/>
  <c r="F211" i="1"/>
  <c r="E211" i="1"/>
  <c r="K210" i="1"/>
  <c r="J210" i="1"/>
  <c r="I210" i="1"/>
  <c r="H210" i="1"/>
  <c r="G210" i="1"/>
  <c r="F210" i="1"/>
  <c r="E210" i="1"/>
  <c r="K209" i="1"/>
  <c r="J209" i="1"/>
  <c r="I209" i="1"/>
  <c r="H209" i="1"/>
  <c r="G209" i="1"/>
  <c r="F209" i="1"/>
  <c r="E209" i="1"/>
  <c r="K208" i="1"/>
  <c r="J208" i="1"/>
  <c r="I208" i="1"/>
  <c r="H208" i="1"/>
  <c r="G208" i="1"/>
  <c r="F208" i="1"/>
  <c r="E208" i="1"/>
  <c r="K207" i="1"/>
  <c r="J207" i="1"/>
  <c r="I207" i="1"/>
  <c r="H207" i="1"/>
  <c r="G207" i="1"/>
  <c r="F207" i="1"/>
  <c r="E207" i="1"/>
  <c r="K206" i="1"/>
  <c r="J206" i="1"/>
  <c r="I206" i="1"/>
  <c r="H206" i="1"/>
  <c r="G206" i="1"/>
  <c r="F206" i="1"/>
  <c r="E206" i="1"/>
  <c r="K205" i="1"/>
  <c r="J205" i="1"/>
  <c r="I205" i="1"/>
  <c r="H205" i="1"/>
  <c r="G205" i="1"/>
  <c r="F205" i="1"/>
  <c r="E205" i="1"/>
  <c r="K204" i="1"/>
  <c r="J204" i="1"/>
  <c r="I204" i="1"/>
  <c r="H204" i="1"/>
  <c r="G204" i="1"/>
  <c r="F204" i="1"/>
  <c r="E204" i="1"/>
  <c r="K203" i="1"/>
  <c r="J203" i="1"/>
  <c r="I203" i="1"/>
  <c r="H203" i="1"/>
  <c r="G203" i="1"/>
  <c r="F203" i="1"/>
  <c r="E203" i="1"/>
  <c r="K202" i="1"/>
  <c r="J202" i="1"/>
  <c r="I202" i="1"/>
  <c r="H202" i="1"/>
  <c r="G202" i="1"/>
  <c r="F202" i="1"/>
  <c r="E202" i="1"/>
  <c r="K201" i="1"/>
  <c r="J201" i="1"/>
  <c r="I201" i="1"/>
  <c r="H201" i="1"/>
  <c r="G201" i="1"/>
  <c r="F201" i="1"/>
  <c r="E201" i="1"/>
  <c r="K200" i="1"/>
  <c r="J200" i="1"/>
  <c r="I200" i="1"/>
  <c r="H200" i="1"/>
  <c r="G200" i="1"/>
  <c r="F200" i="1"/>
  <c r="E200" i="1"/>
  <c r="K199" i="1"/>
  <c r="J199" i="1"/>
  <c r="I199" i="1"/>
  <c r="H199" i="1"/>
  <c r="G199" i="1"/>
  <c r="F199" i="1"/>
  <c r="E199" i="1"/>
  <c r="K198" i="1"/>
  <c r="J198" i="1"/>
  <c r="I198" i="1"/>
  <c r="H198" i="1"/>
  <c r="G198" i="1"/>
  <c r="F198" i="1"/>
  <c r="E198" i="1"/>
  <c r="K197" i="1"/>
  <c r="J197" i="1"/>
  <c r="I197" i="1"/>
  <c r="H197" i="1"/>
  <c r="G197" i="1"/>
  <c r="F197" i="1"/>
  <c r="E197" i="1"/>
  <c r="K196" i="1"/>
  <c r="J196" i="1"/>
  <c r="I196" i="1"/>
  <c r="H196" i="1"/>
  <c r="G196" i="1"/>
  <c r="F196" i="1"/>
  <c r="E196" i="1"/>
  <c r="K195" i="1"/>
  <c r="J195" i="1"/>
  <c r="I195" i="1"/>
  <c r="H195" i="1"/>
  <c r="G195" i="1"/>
  <c r="F195" i="1"/>
  <c r="E195" i="1"/>
  <c r="K194" i="1"/>
  <c r="J194" i="1"/>
  <c r="I194" i="1"/>
  <c r="H194" i="1"/>
  <c r="G194" i="1"/>
  <c r="F194" i="1"/>
  <c r="E194" i="1"/>
  <c r="K193" i="1"/>
  <c r="J193" i="1"/>
  <c r="I193" i="1"/>
  <c r="H193" i="1"/>
  <c r="G193" i="1"/>
  <c r="F193" i="1"/>
  <c r="E193" i="1"/>
  <c r="K192" i="1"/>
  <c r="J192" i="1"/>
  <c r="I192" i="1"/>
  <c r="H192" i="1"/>
  <c r="G192" i="1"/>
  <c r="F192" i="1"/>
  <c r="E192" i="1"/>
  <c r="K191" i="1"/>
  <c r="J191" i="1"/>
  <c r="I191" i="1"/>
  <c r="H191" i="1"/>
  <c r="G191" i="1"/>
  <c r="F191" i="1"/>
  <c r="E191" i="1"/>
  <c r="K190" i="1"/>
  <c r="J190" i="1"/>
  <c r="I190" i="1"/>
  <c r="H190" i="1"/>
  <c r="G190" i="1"/>
  <c r="F190" i="1"/>
  <c r="E190" i="1"/>
  <c r="K189" i="1"/>
  <c r="J189" i="1"/>
  <c r="I189" i="1"/>
  <c r="H189" i="1"/>
  <c r="G189" i="1"/>
  <c r="F189" i="1"/>
  <c r="E189" i="1"/>
  <c r="K188" i="1"/>
  <c r="J188" i="1"/>
  <c r="I188" i="1"/>
  <c r="H188" i="1"/>
  <c r="G188" i="1"/>
  <c r="F188" i="1"/>
  <c r="E188" i="1"/>
  <c r="K187" i="1"/>
  <c r="J187" i="1"/>
  <c r="I187" i="1"/>
  <c r="H187" i="1"/>
  <c r="G187" i="1"/>
  <c r="F187" i="1"/>
  <c r="E187" i="1"/>
  <c r="K186" i="1"/>
  <c r="J186" i="1"/>
  <c r="I186" i="1"/>
  <c r="H186" i="1"/>
  <c r="G186" i="1"/>
  <c r="F186" i="1"/>
  <c r="E186" i="1"/>
  <c r="K185" i="1"/>
  <c r="J185" i="1"/>
  <c r="I185" i="1"/>
  <c r="H185" i="1"/>
  <c r="G185" i="1"/>
  <c r="F185" i="1"/>
  <c r="E185" i="1"/>
  <c r="K184" i="1"/>
  <c r="J184" i="1"/>
  <c r="I184" i="1"/>
  <c r="H184" i="1"/>
  <c r="G184" i="1"/>
  <c r="F184" i="1"/>
  <c r="E184" i="1"/>
  <c r="K183" i="1"/>
  <c r="J183" i="1"/>
  <c r="I183" i="1"/>
  <c r="H183" i="1"/>
  <c r="G183" i="1"/>
  <c r="F183" i="1"/>
  <c r="E183" i="1"/>
  <c r="K182" i="1"/>
  <c r="J182" i="1"/>
  <c r="I182" i="1"/>
  <c r="H182" i="1"/>
  <c r="G182" i="1"/>
  <c r="F182" i="1"/>
  <c r="E182" i="1"/>
  <c r="K181" i="1"/>
  <c r="J181" i="1"/>
  <c r="I181" i="1"/>
  <c r="H181" i="1"/>
  <c r="G181" i="1"/>
  <c r="F181" i="1"/>
  <c r="E181" i="1"/>
  <c r="K180" i="1"/>
  <c r="J180" i="1"/>
  <c r="I180" i="1"/>
  <c r="H180" i="1"/>
  <c r="G180" i="1"/>
  <c r="F180" i="1"/>
  <c r="E180" i="1"/>
  <c r="K179" i="1"/>
  <c r="J179" i="1"/>
  <c r="I179" i="1"/>
  <c r="H179" i="1"/>
  <c r="G179" i="1"/>
  <c r="F179" i="1"/>
  <c r="E179" i="1"/>
  <c r="K178" i="1"/>
  <c r="J178" i="1"/>
  <c r="I178" i="1"/>
  <c r="H178" i="1"/>
  <c r="G178" i="1"/>
  <c r="F178" i="1"/>
  <c r="E178" i="1"/>
  <c r="K177" i="1"/>
  <c r="J177" i="1"/>
  <c r="I177" i="1"/>
  <c r="H177" i="1"/>
  <c r="G177" i="1"/>
  <c r="F177" i="1"/>
  <c r="E177" i="1"/>
  <c r="K176" i="1"/>
  <c r="J176" i="1"/>
  <c r="I176" i="1"/>
  <c r="H176" i="1"/>
  <c r="G176" i="1"/>
  <c r="F176" i="1"/>
  <c r="E176" i="1"/>
  <c r="K175" i="1"/>
  <c r="J175" i="1"/>
  <c r="I175" i="1"/>
  <c r="H175" i="1"/>
  <c r="G175" i="1"/>
  <c r="F175" i="1"/>
  <c r="E175" i="1"/>
  <c r="K174" i="1"/>
  <c r="J174" i="1"/>
  <c r="I174" i="1"/>
  <c r="H174" i="1"/>
  <c r="G174" i="1"/>
  <c r="F174" i="1"/>
  <c r="E174" i="1"/>
  <c r="K173" i="1"/>
  <c r="J173" i="1"/>
  <c r="I173" i="1"/>
  <c r="H173" i="1"/>
  <c r="G173" i="1"/>
  <c r="F173" i="1"/>
  <c r="E173" i="1"/>
  <c r="K172" i="1"/>
  <c r="J172" i="1"/>
  <c r="I172" i="1"/>
  <c r="H172" i="1"/>
  <c r="G172" i="1"/>
  <c r="F172" i="1"/>
  <c r="E172" i="1"/>
  <c r="K171" i="1"/>
  <c r="J171" i="1"/>
  <c r="I171" i="1"/>
  <c r="H171" i="1"/>
  <c r="G171" i="1"/>
  <c r="F171" i="1"/>
  <c r="E171" i="1"/>
  <c r="K170" i="1"/>
  <c r="J170" i="1"/>
  <c r="I170" i="1"/>
  <c r="H170" i="1"/>
  <c r="G170" i="1"/>
  <c r="F170" i="1"/>
  <c r="E170" i="1"/>
  <c r="K169" i="1"/>
  <c r="J169" i="1"/>
  <c r="I169" i="1"/>
  <c r="H169" i="1"/>
  <c r="G169" i="1"/>
  <c r="F169" i="1"/>
  <c r="E169" i="1"/>
  <c r="K168" i="1"/>
  <c r="J168" i="1"/>
  <c r="I168" i="1"/>
  <c r="H168" i="1"/>
  <c r="G168" i="1"/>
  <c r="F168" i="1"/>
  <c r="E168" i="1"/>
  <c r="K167" i="1"/>
  <c r="J167" i="1"/>
  <c r="I167" i="1"/>
  <c r="H167" i="1"/>
  <c r="G167" i="1"/>
  <c r="F167" i="1"/>
  <c r="E167" i="1"/>
  <c r="K166" i="1"/>
  <c r="J166" i="1"/>
  <c r="I166" i="1"/>
  <c r="H166" i="1"/>
  <c r="G166" i="1"/>
  <c r="F166" i="1"/>
  <c r="E166" i="1"/>
  <c r="K165" i="1"/>
  <c r="J165" i="1"/>
  <c r="I165" i="1"/>
  <c r="H165" i="1"/>
  <c r="G165" i="1"/>
  <c r="F165" i="1"/>
  <c r="E165" i="1"/>
  <c r="K164" i="1"/>
  <c r="J164" i="1"/>
  <c r="I164" i="1"/>
  <c r="H164" i="1"/>
  <c r="G164" i="1"/>
  <c r="F164" i="1"/>
  <c r="E164" i="1"/>
  <c r="K163" i="1"/>
  <c r="J163" i="1"/>
  <c r="I163" i="1"/>
  <c r="H163" i="1"/>
  <c r="G163" i="1"/>
  <c r="F163" i="1"/>
  <c r="E163" i="1"/>
  <c r="K162" i="1"/>
  <c r="J162" i="1"/>
  <c r="I162" i="1"/>
  <c r="H162" i="1"/>
  <c r="G162" i="1"/>
  <c r="F162" i="1"/>
  <c r="E162" i="1"/>
  <c r="K161" i="1"/>
  <c r="J161" i="1"/>
  <c r="I161" i="1"/>
  <c r="H161" i="1"/>
  <c r="G161" i="1"/>
  <c r="F161" i="1"/>
  <c r="E161" i="1"/>
  <c r="K160" i="1"/>
  <c r="J160" i="1"/>
  <c r="I160" i="1"/>
  <c r="H160" i="1"/>
  <c r="G160" i="1"/>
  <c r="F160" i="1"/>
  <c r="E160" i="1"/>
  <c r="K159" i="1"/>
  <c r="J159" i="1"/>
  <c r="I159" i="1"/>
  <c r="H159" i="1"/>
  <c r="G159" i="1"/>
  <c r="F159" i="1"/>
  <c r="E159" i="1"/>
  <c r="K158" i="1"/>
  <c r="J158" i="1"/>
  <c r="I158" i="1"/>
  <c r="H158" i="1"/>
  <c r="G158" i="1"/>
  <c r="F158" i="1"/>
  <c r="E158" i="1"/>
  <c r="K157" i="1"/>
  <c r="J157" i="1"/>
  <c r="I157" i="1"/>
  <c r="H157" i="1"/>
  <c r="G157" i="1"/>
  <c r="F157" i="1"/>
  <c r="E157" i="1"/>
  <c r="K156" i="1"/>
  <c r="J156" i="1"/>
  <c r="I156" i="1"/>
  <c r="H156" i="1"/>
  <c r="G156" i="1"/>
  <c r="F156" i="1"/>
  <c r="E156" i="1"/>
  <c r="K155" i="1"/>
  <c r="J155" i="1"/>
  <c r="I155" i="1"/>
  <c r="H155" i="1"/>
  <c r="G155" i="1"/>
  <c r="F155" i="1"/>
  <c r="E155" i="1"/>
  <c r="K154" i="1"/>
  <c r="J154" i="1"/>
  <c r="I154" i="1"/>
  <c r="H154" i="1"/>
  <c r="G154" i="1"/>
  <c r="F154" i="1"/>
  <c r="E154" i="1"/>
  <c r="K153" i="1"/>
  <c r="J153" i="1"/>
  <c r="I153" i="1"/>
  <c r="H153" i="1"/>
  <c r="G153" i="1"/>
  <c r="F153" i="1"/>
  <c r="E153" i="1"/>
  <c r="K152" i="1"/>
  <c r="J152" i="1"/>
  <c r="I152" i="1"/>
  <c r="H152" i="1"/>
  <c r="G152" i="1"/>
  <c r="F152" i="1"/>
  <c r="E152" i="1"/>
  <c r="K151" i="1"/>
  <c r="J151" i="1"/>
  <c r="I151" i="1"/>
  <c r="H151" i="1"/>
  <c r="G151" i="1"/>
  <c r="F151" i="1"/>
  <c r="E151" i="1"/>
  <c r="K150" i="1"/>
  <c r="J150" i="1"/>
  <c r="I150" i="1"/>
  <c r="H150" i="1"/>
  <c r="G150" i="1"/>
  <c r="F150" i="1"/>
  <c r="E150" i="1"/>
  <c r="K149" i="1"/>
  <c r="J149" i="1"/>
  <c r="I149" i="1"/>
  <c r="H149" i="1"/>
  <c r="G149" i="1"/>
  <c r="F149" i="1"/>
  <c r="E149" i="1"/>
  <c r="K148" i="1"/>
  <c r="J148" i="1"/>
  <c r="I148" i="1"/>
  <c r="H148" i="1"/>
  <c r="G148" i="1"/>
  <c r="F148" i="1"/>
  <c r="E148" i="1"/>
  <c r="K147" i="1"/>
  <c r="J147" i="1"/>
  <c r="I147" i="1"/>
  <c r="H147" i="1"/>
  <c r="G147" i="1"/>
  <c r="F147" i="1"/>
  <c r="E147" i="1"/>
  <c r="K146" i="1"/>
  <c r="J146" i="1"/>
  <c r="I146" i="1"/>
  <c r="H146" i="1"/>
  <c r="G146" i="1"/>
  <c r="F146" i="1"/>
  <c r="E146" i="1"/>
  <c r="K145" i="1"/>
  <c r="J145" i="1"/>
  <c r="I145" i="1"/>
  <c r="H145" i="1"/>
  <c r="G145" i="1"/>
  <c r="F145" i="1"/>
  <c r="E145" i="1"/>
  <c r="K144" i="1"/>
  <c r="J144" i="1"/>
  <c r="I144" i="1"/>
  <c r="H144" i="1"/>
  <c r="G144" i="1"/>
  <c r="F144" i="1"/>
  <c r="E144" i="1"/>
  <c r="K143" i="1"/>
  <c r="J143" i="1"/>
  <c r="I143" i="1"/>
  <c r="H143" i="1"/>
  <c r="G143" i="1"/>
  <c r="F143" i="1"/>
  <c r="E143" i="1"/>
  <c r="K142" i="1"/>
  <c r="J142" i="1"/>
  <c r="I142" i="1"/>
  <c r="H142" i="1"/>
  <c r="G142" i="1"/>
  <c r="F142" i="1"/>
  <c r="E142" i="1"/>
  <c r="K141" i="1"/>
  <c r="J141" i="1"/>
  <c r="I141" i="1"/>
  <c r="H141" i="1"/>
  <c r="G141" i="1"/>
  <c r="F141" i="1"/>
  <c r="E141" i="1"/>
  <c r="K140" i="1"/>
  <c r="J140" i="1"/>
  <c r="I140" i="1"/>
  <c r="H140" i="1"/>
  <c r="G140" i="1"/>
  <c r="F140" i="1"/>
  <c r="E140" i="1"/>
  <c r="K139" i="1"/>
  <c r="J139" i="1"/>
  <c r="I139" i="1"/>
  <c r="H139" i="1"/>
  <c r="G139" i="1"/>
  <c r="F139" i="1"/>
  <c r="E139" i="1"/>
  <c r="K138" i="1"/>
  <c r="J138" i="1"/>
  <c r="I138" i="1"/>
  <c r="H138" i="1"/>
  <c r="G138" i="1"/>
  <c r="F138" i="1"/>
  <c r="E138" i="1"/>
  <c r="K137" i="1"/>
  <c r="J137" i="1"/>
  <c r="I137" i="1"/>
  <c r="H137" i="1"/>
  <c r="G137" i="1"/>
  <c r="F137" i="1"/>
  <c r="E137" i="1"/>
  <c r="K136" i="1"/>
  <c r="J136" i="1"/>
  <c r="I136" i="1"/>
  <c r="H136" i="1"/>
  <c r="G136" i="1"/>
  <c r="F136" i="1"/>
  <c r="E136" i="1"/>
  <c r="K135" i="1"/>
  <c r="J135" i="1"/>
  <c r="I135" i="1"/>
  <c r="H135" i="1"/>
  <c r="G135" i="1"/>
  <c r="F135" i="1"/>
  <c r="E135" i="1"/>
  <c r="K134" i="1"/>
  <c r="J134" i="1"/>
  <c r="I134" i="1"/>
  <c r="H134" i="1"/>
  <c r="G134" i="1"/>
  <c r="F134" i="1"/>
  <c r="E134" i="1"/>
  <c r="K133" i="1"/>
  <c r="J133" i="1"/>
  <c r="I133" i="1"/>
  <c r="H133" i="1"/>
  <c r="G133" i="1"/>
  <c r="F133" i="1"/>
  <c r="E133" i="1"/>
  <c r="K132" i="1"/>
  <c r="J132" i="1"/>
  <c r="I132" i="1"/>
  <c r="H132" i="1"/>
  <c r="G132" i="1"/>
  <c r="F132" i="1"/>
  <c r="E132" i="1"/>
  <c r="K131" i="1"/>
  <c r="J131" i="1"/>
  <c r="I131" i="1"/>
  <c r="H131" i="1"/>
  <c r="G131" i="1"/>
  <c r="F131" i="1"/>
  <c r="E131" i="1"/>
  <c r="K130" i="1"/>
  <c r="J130" i="1"/>
  <c r="I130" i="1"/>
  <c r="H130" i="1"/>
  <c r="G130" i="1"/>
  <c r="F130" i="1"/>
  <c r="E130" i="1"/>
  <c r="K129" i="1"/>
  <c r="J129" i="1"/>
  <c r="I129" i="1"/>
  <c r="H129" i="1"/>
  <c r="G129" i="1"/>
  <c r="F129" i="1"/>
  <c r="E129" i="1"/>
  <c r="K128" i="1"/>
  <c r="J128" i="1"/>
  <c r="I128" i="1"/>
  <c r="H128" i="1"/>
  <c r="G128" i="1"/>
  <c r="F128" i="1"/>
  <c r="E128" i="1"/>
  <c r="K127" i="1"/>
  <c r="J127" i="1"/>
  <c r="I127" i="1"/>
  <c r="H127" i="1"/>
  <c r="G127" i="1"/>
  <c r="F127" i="1"/>
  <c r="E127" i="1"/>
  <c r="K126" i="1"/>
  <c r="J126" i="1"/>
  <c r="I126" i="1"/>
  <c r="H126" i="1"/>
  <c r="G126" i="1"/>
  <c r="F126" i="1"/>
  <c r="E126" i="1"/>
  <c r="K125" i="1"/>
  <c r="J125" i="1"/>
  <c r="I125" i="1"/>
  <c r="H125" i="1"/>
  <c r="G125" i="1"/>
  <c r="F125" i="1"/>
  <c r="E125" i="1"/>
  <c r="K124" i="1"/>
  <c r="J124" i="1"/>
  <c r="I124" i="1"/>
  <c r="H124" i="1"/>
  <c r="G124" i="1"/>
  <c r="F124" i="1"/>
  <c r="E124" i="1"/>
  <c r="K123" i="1"/>
  <c r="J123" i="1"/>
  <c r="I123" i="1"/>
  <c r="H123" i="1"/>
  <c r="G123" i="1"/>
  <c r="F123" i="1"/>
  <c r="E123" i="1"/>
  <c r="K122" i="1"/>
  <c r="J122" i="1"/>
  <c r="I122" i="1"/>
  <c r="H122" i="1"/>
  <c r="G122" i="1"/>
  <c r="F122" i="1"/>
  <c r="E122" i="1"/>
  <c r="K121" i="1"/>
  <c r="J121" i="1"/>
  <c r="I121" i="1"/>
  <c r="H121" i="1"/>
  <c r="G121" i="1"/>
  <c r="F121" i="1"/>
  <c r="E121" i="1"/>
  <c r="K120" i="1"/>
  <c r="J120" i="1"/>
  <c r="I120" i="1"/>
  <c r="H120" i="1"/>
  <c r="G120" i="1"/>
  <c r="F120" i="1"/>
  <c r="E120" i="1"/>
  <c r="K119" i="1"/>
  <c r="J119" i="1"/>
  <c r="I119" i="1"/>
  <c r="H119" i="1"/>
  <c r="G119" i="1"/>
  <c r="F119" i="1"/>
  <c r="E119" i="1"/>
  <c r="K118" i="1"/>
  <c r="J118" i="1"/>
  <c r="I118" i="1"/>
  <c r="H118" i="1"/>
  <c r="G118" i="1"/>
  <c r="F118" i="1"/>
  <c r="E118" i="1"/>
  <c r="K117" i="1"/>
  <c r="J117" i="1"/>
  <c r="I117" i="1"/>
  <c r="H117" i="1"/>
  <c r="G117" i="1"/>
  <c r="F117" i="1"/>
  <c r="E117" i="1"/>
  <c r="K116" i="1"/>
  <c r="J116" i="1"/>
  <c r="I116" i="1"/>
  <c r="H116" i="1"/>
  <c r="G116" i="1"/>
  <c r="F116" i="1"/>
  <c r="E116" i="1"/>
  <c r="K115" i="1"/>
  <c r="J115" i="1"/>
  <c r="I115" i="1"/>
  <c r="H115" i="1"/>
  <c r="G115" i="1"/>
  <c r="F115" i="1"/>
  <c r="E115" i="1"/>
  <c r="K114" i="1"/>
  <c r="J114" i="1"/>
  <c r="I114" i="1"/>
  <c r="H114" i="1"/>
  <c r="G114" i="1"/>
  <c r="F114" i="1"/>
  <c r="E114" i="1"/>
  <c r="K113" i="1"/>
  <c r="J113" i="1"/>
  <c r="I113" i="1"/>
  <c r="H113" i="1"/>
  <c r="G113" i="1"/>
  <c r="F113" i="1"/>
  <c r="E113" i="1"/>
  <c r="K112" i="1"/>
  <c r="J112" i="1"/>
  <c r="I112" i="1"/>
  <c r="H112" i="1"/>
  <c r="G112" i="1"/>
  <c r="F112" i="1"/>
  <c r="E112" i="1"/>
  <c r="K111" i="1"/>
  <c r="J111" i="1"/>
  <c r="I111" i="1"/>
  <c r="H111" i="1"/>
  <c r="G111" i="1"/>
  <c r="F111" i="1"/>
  <c r="E111" i="1"/>
  <c r="K110" i="1"/>
  <c r="J110" i="1"/>
  <c r="I110" i="1"/>
  <c r="H110" i="1"/>
  <c r="G110" i="1"/>
  <c r="F110" i="1"/>
  <c r="E110" i="1"/>
  <c r="K109" i="1"/>
  <c r="J109" i="1"/>
  <c r="I109" i="1"/>
  <c r="H109" i="1"/>
  <c r="G109" i="1"/>
  <c r="F109" i="1"/>
  <c r="E109" i="1"/>
  <c r="K108" i="1"/>
  <c r="J108" i="1"/>
  <c r="I108" i="1"/>
  <c r="H108" i="1"/>
  <c r="G108" i="1"/>
  <c r="F108" i="1"/>
  <c r="E108" i="1"/>
  <c r="K107" i="1"/>
  <c r="J107" i="1"/>
  <c r="I107" i="1"/>
  <c r="H107" i="1"/>
  <c r="G107" i="1"/>
  <c r="F107" i="1"/>
  <c r="E107" i="1"/>
  <c r="K106" i="1"/>
  <c r="J106" i="1"/>
  <c r="I106" i="1"/>
  <c r="H106" i="1"/>
  <c r="G106" i="1"/>
  <c r="F106" i="1"/>
  <c r="E106" i="1"/>
  <c r="K105" i="1"/>
  <c r="J105" i="1"/>
  <c r="I105" i="1"/>
  <c r="H105" i="1"/>
  <c r="G105" i="1"/>
  <c r="F105" i="1"/>
  <c r="E105" i="1"/>
  <c r="K104" i="1"/>
  <c r="J104" i="1"/>
  <c r="I104" i="1"/>
  <c r="H104" i="1"/>
  <c r="G104" i="1"/>
  <c r="F104" i="1"/>
  <c r="E104" i="1"/>
  <c r="K103" i="1"/>
  <c r="J103" i="1"/>
  <c r="I103" i="1"/>
  <c r="H103" i="1"/>
  <c r="G103" i="1"/>
  <c r="F103" i="1"/>
  <c r="E103" i="1"/>
  <c r="K102" i="1"/>
  <c r="J102" i="1"/>
  <c r="I102" i="1"/>
  <c r="H102" i="1"/>
  <c r="G102" i="1"/>
  <c r="F102" i="1"/>
  <c r="E102" i="1"/>
  <c r="K101" i="1"/>
  <c r="J101" i="1"/>
  <c r="I101" i="1"/>
  <c r="H101" i="1"/>
  <c r="G101" i="1"/>
  <c r="F101" i="1"/>
  <c r="E101" i="1"/>
  <c r="K100" i="1"/>
  <c r="J100" i="1"/>
  <c r="I100" i="1"/>
  <c r="H100" i="1"/>
  <c r="G100" i="1"/>
  <c r="F100" i="1"/>
  <c r="E100" i="1"/>
  <c r="K99" i="1"/>
  <c r="J99" i="1"/>
  <c r="I99" i="1"/>
  <c r="H99" i="1"/>
  <c r="G99" i="1"/>
  <c r="F99" i="1"/>
  <c r="E99" i="1"/>
  <c r="K98" i="1"/>
  <c r="J98" i="1"/>
  <c r="I98" i="1"/>
  <c r="H98" i="1"/>
  <c r="G98" i="1"/>
  <c r="F98" i="1"/>
  <c r="E98" i="1"/>
  <c r="K97" i="1"/>
  <c r="J97" i="1"/>
  <c r="I97" i="1"/>
  <c r="H97" i="1"/>
  <c r="G97" i="1"/>
  <c r="F97" i="1"/>
  <c r="E97" i="1"/>
  <c r="K96" i="1"/>
  <c r="J96" i="1"/>
  <c r="I96" i="1"/>
  <c r="H96" i="1"/>
  <c r="G96" i="1"/>
  <c r="F96" i="1"/>
  <c r="E96" i="1"/>
  <c r="K95" i="1"/>
  <c r="J95" i="1"/>
  <c r="I95" i="1"/>
  <c r="H95" i="1"/>
  <c r="G95" i="1"/>
  <c r="F95" i="1"/>
  <c r="E95" i="1"/>
  <c r="K94" i="1"/>
  <c r="J94" i="1"/>
  <c r="I94" i="1"/>
  <c r="H94" i="1"/>
  <c r="G94" i="1"/>
  <c r="F94" i="1"/>
  <c r="E94" i="1"/>
  <c r="K93" i="1"/>
  <c r="J93" i="1"/>
  <c r="I93" i="1"/>
  <c r="H93" i="1"/>
  <c r="G93" i="1"/>
  <c r="F93" i="1"/>
  <c r="E93" i="1"/>
  <c r="K92" i="1"/>
  <c r="J92" i="1"/>
  <c r="I92" i="1"/>
  <c r="H92" i="1"/>
  <c r="G92" i="1"/>
  <c r="F92" i="1"/>
  <c r="E92" i="1"/>
  <c r="K91" i="1"/>
  <c r="J91" i="1"/>
  <c r="I91" i="1"/>
  <c r="H91" i="1"/>
  <c r="G91" i="1"/>
  <c r="F91" i="1"/>
  <c r="E91" i="1"/>
  <c r="K90" i="1"/>
  <c r="J90" i="1"/>
  <c r="I90" i="1"/>
  <c r="H90" i="1"/>
  <c r="G90" i="1"/>
  <c r="F90" i="1"/>
  <c r="E90" i="1"/>
  <c r="K89" i="1"/>
  <c r="J89" i="1"/>
  <c r="I89" i="1"/>
  <c r="H89" i="1"/>
  <c r="G89" i="1"/>
  <c r="F89" i="1"/>
  <c r="E89" i="1"/>
  <c r="K88" i="1"/>
  <c r="J88" i="1"/>
  <c r="I88" i="1"/>
  <c r="H88" i="1"/>
  <c r="G88" i="1"/>
  <c r="F88" i="1"/>
  <c r="E88" i="1"/>
  <c r="K87" i="1"/>
  <c r="J87" i="1"/>
  <c r="I87" i="1"/>
  <c r="H87" i="1"/>
  <c r="G87" i="1"/>
  <c r="F87" i="1"/>
  <c r="E87" i="1"/>
  <c r="K86" i="1"/>
  <c r="J86" i="1"/>
  <c r="I86" i="1"/>
  <c r="H86" i="1"/>
  <c r="G86" i="1"/>
  <c r="F86" i="1"/>
  <c r="E86" i="1"/>
  <c r="K85" i="1"/>
  <c r="J85" i="1"/>
  <c r="I85" i="1"/>
  <c r="H85" i="1"/>
  <c r="G85" i="1"/>
  <c r="F85" i="1"/>
  <c r="E85" i="1"/>
  <c r="K84" i="1"/>
  <c r="J84" i="1"/>
  <c r="I84" i="1"/>
  <c r="H84" i="1"/>
  <c r="G84" i="1"/>
  <c r="F84" i="1"/>
  <c r="E84" i="1"/>
  <c r="K83" i="1"/>
  <c r="J83" i="1"/>
  <c r="I83" i="1"/>
  <c r="H83" i="1"/>
  <c r="G83" i="1"/>
  <c r="F83" i="1"/>
  <c r="E83" i="1"/>
  <c r="K82" i="1"/>
  <c r="J82" i="1"/>
  <c r="I82" i="1"/>
  <c r="H82" i="1"/>
  <c r="G82" i="1"/>
  <c r="F82" i="1"/>
  <c r="E82" i="1"/>
  <c r="K81" i="1"/>
  <c r="J81" i="1"/>
  <c r="I81" i="1"/>
  <c r="H81" i="1"/>
  <c r="G81" i="1"/>
  <c r="F81" i="1"/>
  <c r="E81" i="1"/>
  <c r="K80" i="1"/>
  <c r="J80" i="1"/>
  <c r="I80" i="1"/>
  <c r="H80" i="1"/>
  <c r="G80" i="1"/>
  <c r="F80" i="1"/>
  <c r="E80" i="1"/>
  <c r="K79" i="1"/>
  <c r="J79" i="1"/>
  <c r="I79" i="1"/>
  <c r="H79" i="1"/>
  <c r="G79" i="1"/>
  <c r="F79" i="1"/>
  <c r="E79" i="1"/>
  <c r="K78" i="1"/>
  <c r="J78" i="1"/>
  <c r="I78" i="1"/>
  <c r="H78" i="1"/>
  <c r="G78" i="1"/>
  <c r="F78" i="1"/>
  <c r="E78" i="1"/>
  <c r="K77" i="1"/>
  <c r="J77" i="1"/>
  <c r="I77" i="1"/>
  <c r="H77" i="1"/>
  <c r="G77" i="1"/>
  <c r="F77" i="1"/>
  <c r="E77" i="1"/>
  <c r="K76" i="1"/>
  <c r="J76" i="1"/>
  <c r="I76" i="1"/>
  <c r="H76" i="1"/>
  <c r="G76" i="1"/>
  <c r="F76" i="1"/>
  <c r="E76" i="1"/>
  <c r="K75" i="1"/>
  <c r="J75" i="1"/>
  <c r="I75" i="1"/>
  <c r="H75" i="1"/>
  <c r="G75" i="1"/>
  <c r="F75" i="1"/>
  <c r="E75" i="1"/>
  <c r="K74" i="1"/>
  <c r="J74" i="1"/>
  <c r="I74" i="1"/>
  <c r="H74" i="1"/>
  <c r="G74" i="1"/>
  <c r="F74" i="1"/>
  <c r="E74" i="1"/>
  <c r="K73" i="1"/>
  <c r="J73" i="1"/>
  <c r="I73" i="1"/>
  <c r="H73" i="1"/>
  <c r="G73" i="1"/>
  <c r="F73" i="1"/>
  <c r="E73" i="1"/>
  <c r="K72" i="1"/>
  <c r="J72" i="1"/>
  <c r="I72" i="1"/>
  <c r="H72" i="1"/>
  <c r="G72" i="1"/>
  <c r="F72" i="1"/>
  <c r="E72" i="1"/>
  <c r="K71" i="1"/>
  <c r="J71" i="1"/>
  <c r="I71" i="1"/>
  <c r="H71" i="1"/>
  <c r="G71" i="1"/>
  <c r="F71" i="1"/>
  <c r="E71" i="1"/>
  <c r="K70" i="1"/>
  <c r="J70" i="1"/>
  <c r="I70" i="1"/>
  <c r="H70" i="1"/>
  <c r="G70" i="1"/>
  <c r="F70" i="1"/>
  <c r="E70" i="1"/>
  <c r="K69" i="1"/>
  <c r="J69" i="1"/>
  <c r="I69" i="1"/>
  <c r="H69" i="1"/>
  <c r="G69" i="1"/>
  <c r="F69" i="1"/>
  <c r="E69" i="1"/>
  <c r="K68" i="1"/>
  <c r="J68" i="1"/>
  <c r="I68" i="1"/>
  <c r="H68" i="1"/>
  <c r="G68" i="1"/>
  <c r="F68" i="1"/>
  <c r="E68" i="1"/>
  <c r="K67" i="1"/>
  <c r="J67" i="1"/>
  <c r="I67" i="1"/>
  <c r="H67" i="1"/>
  <c r="G67" i="1"/>
  <c r="F67" i="1"/>
  <c r="E67" i="1"/>
  <c r="K66" i="1"/>
  <c r="J66" i="1"/>
  <c r="I66" i="1"/>
  <c r="H66" i="1"/>
  <c r="G66" i="1"/>
  <c r="F66" i="1"/>
  <c r="E66" i="1"/>
  <c r="K65" i="1"/>
  <c r="J65" i="1"/>
  <c r="I65" i="1"/>
  <c r="H65" i="1"/>
  <c r="G65" i="1"/>
  <c r="F65" i="1"/>
  <c r="E65" i="1"/>
  <c r="K64" i="1"/>
  <c r="J64" i="1"/>
  <c r="I64" i="1"/>
  <c r="H64" i="1"/>
  <c r="G64" i="1"/>
  <c r="F64" i="1"/>
  <c r="E64" i="1"/>
  <c r="K63" i="1"/>
  <c r="J63" i="1"/>
  <c r="I63" i="1"/>
  <c r="H63" i="1"/>
  <c r="G63" i="1"/>
  <c r="F63" i="1"/>
  <c r="E63" i="1"/>
  <c r="K62" i="1"/>
  <c r="J62" i="1"/>
  <c r="I62" i="1"/>
  <c r="H62" i="1"/>
  <c r="G62" i="1"/>
  <c r="F62" i="1"/>
  <c r="E62" i="1"/>
  <c r="K61" i="1"/>
  <c r="J61" i="1"/>
  <c r="I61" i="1"/>
  <c r="H61" i="1"/>
  <c r="G61" i="1"/>
  <c r="F61" i="1"/>
  <c r="E61" i="1"/>
  <c r="K60" i="1"/>
  <c r="J60" i="1"/>
  <c r="I60" i="1"/>
  <c r="H60" i="1"/>
  <c r="G60" i="1"/>
  <c r="F60" i="1"/>
  <c r="E60" i="1"/>
  <c r="K59" i="1"/>
  <c r="J59" i="1"/>
  <c r="I59" i="1"/>
  <c r="H59" i="1"/>
  <c r="G59" i="1"/>
  <c r="F59" i="1"/>
  <c r="E59" i="1"/>
  <c r="K58" i="1"/>
  <c r="J58" i="1"/>
  <c r="I58" i="1"/>
  <c r="H58" i="1"/>
  <c r="G58" i="1"/>
  <c r="F58" i="1"/>
  <c r="E58" i="1"/>
  <c r="K57" i="1"/>
  <c r="J57" i="1"/>
  <c r="I57" i="1"/>
  <c r="H57" i="1"/>
  <c r="G57" i="1"/>
  <c r="F57" i="1"/>
  <c r="E57" i="1"/>
  <c r="K56" i="1"/>
  <c r="J56" i="1"/>
  <c r="I56" i="1"/>
  <c r="H56" i="1"/>
  <c r="G56" i="1"/>
  <c r="F56" i="1"/>
  <c r="E56" i="1"/>
  <c r="K55" i="1"/>
  <c r="J55" i="1"/>
  <c r="I55" i="1"/>
  <c r="H55" i="1"/>
  <c r="G55" i="1"/>
  <c r="F55" i="1"/>
  <c r="E55" i="1"/>
  <c r="K54" i="1"/>
  <c r="J54" i="1"/>
  <c r="I54" i="1"/>
  <c r="H54" i="1"/>
  <c r="G54" i="1"/>
  <c r="F54" i="1"/>
  <c r="E54" i="1"/>
  <c r="K53" i="1"/>
  <c r="J53" i="1"/>
  <c r="I53" i="1"/>
  <c r="H53" i="1"/>
  <c r="G53" i="1"/>
  <c r="F53" i="1"/>
  <c r="E53" i="1"/>
  <c r="K52" i="1"/>
  <c r="J52" i="1"/>
  <c r="I52" i="1"/>
  <c r="H52" i="1"/>
  <c r="G52" i="1"/>
  <c r="F52" i="1"/>
  <c r="E52" i="1"/>
  <c r="K51" i="1"/>
  <c r="J51" i="1"/>
  <c r="I51" i="1"/>
  <c r="H51" i="1"/>
  <c r="G51" i="1"/>
  <c r="F51" i="1"/>
  <c r="E51" i="1"/>
  <c r="K50" i="1"/>
  <c r="J50" i="1"/>
  <c r="I50" i="1"/>
  <c r="H50" i="1"/>
  <c r="G50" i="1"/>
  <c r="F50" i="1"/>
  <c r="E50" i="1"/>
  <c r="K49" i="1"/>
  <c r="J49" i="1"/>
  <c r="I49" i="1"/>
  <c r="H49" i="1"/>
  <c r="G49" i="1"/>
  <c r="F49" i="1"/>
  <c r="E49" i="1"/>
  <c r="K48" i="1"/>
  <c r="J48" i="1"/>
  <c r="I48" i="1"/>
  <c r="H48" i="1"/>
  <c r="G48" i="1"/>
  <c r="F48" i="1"/>
  <c r="E48" i="1"/>
  <c r="K47" i="1"/>
  <c r="J47" i="1"/>
  <c r="I47" i="1"/>
  <c r="H47" i="1"/>
  <c r="G47" i="1"/>
  <c r="F47" i="1"/>
  <c r="E47" i="1"/>
  <c r="K46" i="1"/>
  <c r="J46" i="1"/>
  <c r="I46" i="1"/>
  <c r="H46" i="1"/>
  <c r="G46" i="1"/>
  <c r="F46" i="1"/>
  <c r="E46" i="1"/>
  <c r="K45" i="1"/>
  <c r="J45" i="1"/>
  <c r="I45" i="1"/>
  <c r="H45" i="1"/>
  <c r="G45" i="1"/>
  <c r="F45" i="1"/>
  <c r="E45" i="1"/>
  <c r="K44" i="1"/>
  <c r="J44" i="1"/>
  <c r="I44" i="1"/>
  <c r="H44" i="1"/>
  <c r="G44" i="1"/>
  <c r="F44" i="1"/>
  <c r="E44" i="1"/>
  <c r="K43" i="1"/>
  <c r="J43" i="1"/>
  <c r="I43" i="1"/>
  <c r="H43" i="1"/>
  <c r="G43" i="1"/>
  <c r="F43" i="1"/>
  <c r="E43" i="1"/>
  <c r="K42" i="1"/>
  <c r="J42" i="1"/>
  <c r="I42" i="1"/>
  <c r="H42" i="1"/>
  <c r="G42" i="1"/>
  <c r="F42" i="1"/>
  <c r="E42" i="1"/>
  <c r="K41" i="1"/>
  <c r="J41" i="1"/>
  <c r="I41" i="1"/>
  <c r="H41" i="1"/>
  <c r="G41" i="1"/>
  <c r="F41" i="1"/>
  <c r="E41" i="1"/>
  <c r="K40" i="1"/>
  <c r="J40" i="1"/>
  <c r="I40" i="1"/>
  <c r="H40" i="1"/>
  <c r="G40" i="1"/>
  <c r="F40" i="1"/>
  <c r="E40" i="1"/>
  <c r="K39" i="1"/>
  <c r="J39" i="1"/>
  <c r="I39" i="1"/>
  <c r="H39" i="1"/>
  <c r="G39" i="1"/>
  <c r="F39" i="1"/>
  <c r="E39" i="1"/>
  <c r="K38" i="1"/>
  <c r="J38" i="1"/>
  <c r="I38" i="1"/>
  <c r="H38" i="1"/>
  <c r="G38" i="1"/>
  <c r="F38" i="1"/>
  <c r="E38" i="1"/>
  <c r="K37" i="1"/>
  <c r="J37" i="1"/>
  <c r="I37" i="1"/>
  <c r="H37" i="1"/>
  <c r="G37" i="1"/>
  <c r="F37" i="1"/>
  <c r="E37" i="1"/>
  <c r="K36" i="1"/>
  <c r="J36" i="1"/>
  <c r="I36" i="1"/>
  <c r="H36" i="1"/>
  <c r="G36" i="1"/>
  <c r="F36" i="1"/>
  <c r="E36" i="1"/>
  <c r="K35" i="1"/>
  <c r="J35" i="1"/>
  <c r="I35" i="1"/>
  <c r="H35" i="1"/>
  <c r="G35" i="1"/>
  <c r="F35" i="1"/>
  <c r="E35" i="1"/>
  <c r="K34" i="1"/>
  <c r="J34" i="1"/>
  <c r="I34" i="1"/>
  <c r="H34" i="1"/>
  <c r="G34" i="1"/>
  <c r="F34" i="1"/>
  <c r="E34" i="1"/>
  <c r="K33" i="1"/>
  <c r="J33" i="1"/>
  <c r="I33" i="1"/>
  <c r="H33" i="1"/>
  <c r="G33" i="1"/>
  <c r="F33" i="1"/>
  <c r="E33" i="1"/>
  <c r="K32" i="1"/>
  <c r="J32" i="1"/>
  <c r="I32" i="1"/>
  <c r="H32" i="1"/>
  <c r="G32" i="1"/>
  <c r="F32" i="1"/>
  <c r="E32" i="1"/>
  <c r="K31" i="1"/>
  <c r="J31" i="1"/>
  <c r="I31" i="1"/>
  <c r="H31" i="1"/>
  <c r="G31" i="1"/>
  <c r="F31" i="1"/>
  <c r="E31" i="1"/>
  <c r="K30" i="1"/>
  <c r="J30" i="1"/>
  <c r="I30" i="1"/>
  <c r="H30" i="1"/>
  <c r="G30" i="1"/>
  <c r="F30" i="1"/>
  <c r="E30" i="1"/>
  <c r="K29" i="1"/>
  <c r="J29" i="1"/>
  <c r="I29" i="1"/>
  <c r="H29" i="1"/>
  <c r="G29" i="1"/>
  <c r="F29" i="1"/>
  <c r="E29" i="1"/>
  <c r="K28" i="1"/>
  <c r="J28" i="1"/>
  <c r="I28" i="1"/>
  <c r="H28" i="1"/>
  <c r="G28" i="1"/>
  <c r="F28" i="1"/>
  <c r="E28" i="1"/>
  <c r="K27" i="1"/>
  <c r="J27" i="1"/>
  <c r="I27" i="1"/>
  <c r="H27" i="1"/>
  <c r="G27" i="1"/>
  <c r="F27" i="1"/>
  <c r="E27" i="1"/>
  <c r="K26" i="1"/>
  <c r="J26" i="1"/>
  <c r="I26" i="1"/>
  <c r="H26" i="1"/>
  <c r="G26" i="1"/>
  <c r="F26" i="1"/>
  <c r="E26" i="1"/>
  <c r="K25" i="1"/>
  <c r="J25" i="1"/>
  <c r="I25" i="1"/>
  <c r="H25" i="1"/>
  <c r="G25" i="1"/>
  <c r="F25" i="1"/>
  <c r="E25" i="1"/>
  <c r="K24" i="1"/>
  <c r="J24" i="1"/>
  <c r="I24" i="1"/>
  <c r="H24" i="1"/>
  <c r="G24" i="1"/>
  <c r="F24" i="1"/>
  <c r="E24" i="1"/>
  <c r="K23" i="1"/>
  <c r="J23" i="1"/>
  <c r="I23" i="1"/>
  <c r="H23" i="1"/>
  <c r="G23" i="1"/>
  <c r="F23" i="1"/>
  <c r="E23" i="1"/>
  <c r="K22" i="1"/>
  <c r="J22" i="1"/>
  <c r="I22" i="1"/>
  <c r="H22" i="1"/>
  <c r="G22" i="1"/>
  <c r="F22" i="1"/>
  <c r="E22" i="1"/>
  <c r="K21" i="1"/>
  <c r="J21" i="1"/>
  <c r="I21" i="1"/>
  <c r="H21" i="1"/>
  <c r="G21" i="1"/>
  <c r="F21" i="1"/>
  <c r="E21" i="1"/>
  <c r="K20" i="1"/>
  <c r="J20" i="1"/>
  <c r="I20" i="1"/>
  <c r="H20" i="1"/>
  <c r="G20" i="1"/>
  <c r="F20" i="1"/>
  <c r="E20" i="1"/>
  <c r="K19" i="1"/>
  <c r="J19" i="1"/>
  <c r="I19" i="1"/>
  <c r="H19" i="1"/>
  <c r="G19" i="1"/>
  <c r="F19" i="1"/>
  <c r="E19" i="1"/>
  <c r="K18" i="1"/>
  <c r="J18" i="1"/>
  <c r="I18" i="1"/>
  <c r="J11" i="1" s="1"/>
  <c r="H18" i="1"/>
  <c r="J10" i="1" s="1"/>
  <c r="G18" i="1"/>
  <c r="F18" i="1"/>
  <c r="E18" i="1"/>
  <c r="J15" i="1"/>
  <c r="J12" i="1"/>
  <c r="J7" i="1"/>
  <c r="F12" i="1"/>
  <c r="F11" i="1"/>
  <c r="K2" i="1"/>
  <c r="K1001" i="1"/>
  <c r="K1002" i="1"/>
  <c r="G2" i="1"/>
  <c r="J9" i="1" l="1"/>
  <c r="K9" i="1" s="1"/>
  <c r="J8" i="1"/>
  <c r="J13" i="1" s="1"/>
  <c r="K14" i="1" s="1"/>
  <c r="K12" i="1"/>
  <c r="H1001" i="1"/>
  <c r="H1002" i="1"/>
  <c r="H2" i="1"/>
  <c r="I2" i="1"/>
  <c r="F14" i="1" l="1"/>
  <c r="F15" i="1" s="1"/>
  <c r="C15" i="1"/>
  <c r="C14" i="1"/>
  <c r="I1001" i="1"/>
  <c r="I1002" i="1"/>
  <c r="K11" i="1" l="1"/>
  <c r="K10" i="1"/>
  <c r="K8" i="1"/>
  <c r="G1002" i="1"/>
  <c r="G1001" i="1"/>
  <c r="J1002" i="1"/>
  <c r="J1001" i="1"/>
  <c r="J2" i="1"/>
  <c r="F1002" i="1" l="1"/>
  <c r="E1002" i="1"/>
  <c r="F1001" i="1"/>
  <c r="E1001" i="1"/>
  <c r="F13" i="1" s="1"/>
  <c r="F2" i="1"/>
  <c r="E2" i="1"/>
  <c r="K13" i="1" l="1"/>
  <c r="K7"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Regis Marinho</author>
  </authors>
  <commentList>
    <comment ref="C4" authorId="0" shapeId="0" xr:uid="{00000000-0006-0000-0100-000001000000}">
      <text>
        <r>
          <rPr>
            <u/>
            <sz val="9"/>
            <color indexed="81"/>
            <rFont val="Segoe UI"/>
            <family val="2"/>
          </rPr>
          <t>RECEBÍVEIS:</t>
        </r>
        <r>
          <rPr>
            <sz val="9"/>
            <color indexed="81"/>
            <rFont val="Segoe UI"/>
            <family val="2"/>
          </rPr>
          <t xml:space="preserve">
. Duplicatas;
. Cheques pré datados;
. Parcelas a receber no cartão crédito;
. Aluguéis futuros etc</t>
        </r>
      </text>
    </comment>
    <comment ref="L4" authorId="0" shapeId="0" xr:uid="{00000000-0006-0000-0100-000002000000}">
      <text>
        <r>
          <rPr>
            <sz val="9"/>
            <color indexed="81"/>
            <rFont val="Segoe UI"/>
            <family val="2"/>
          </rPr>
          <t>Clique em "AJUSTAR FÓRMULAS" e restaure as fórmulas e formatação das células...</t>
        </r>
      </text>
    </comment>
    <comment ref="G6" authorId="0" shapeId="0" xr:uid="{00000000-0006-0000-0100-000003000000}">
      <text>
        <r>
          <rPr>
            <sz val="9"/>
            <color indexed="81"/>
            <rFont val="Segoe UI"/>
            <family val="2"/>
          </rPr>
          <t>Clicando no botão "AJUSTAR TAXA" o 'Valor para Antecipação' ficará igual ao 'Valor Antecipado', mediante ajuste da 'Taxa de Desconto Mensal'.
Assim, você ficará sabendo qual taxa real está sendo praticada na operação de desconto.
Para este fim foi utilizado o recurso "Atingir Meta".</t>
        </r>
      </text>
    </comment>
    <comment ref="F7" authorId="0" shapeId="0" xr:uid="{00000000-0006-0000-0100-000004000000}">
      <text>
        <r>
          <rPr>
            <sz val="9"/>
            <color indexed="81"/>
            <rFont val="Segoe UI"/>
            <family val="2"/>
          </rPr>
          <t>Data prevista para o recebimento do valor líquido dos créditos antecipados.</t>
        </r>
      </text>
    </comment>
    <comment ref="L7" authorId="0" shapeId="0" xr:uid="{00000000-0006-0000-0100-000005000000}">
      <text>
        <r>
          <rPr>
            <sz val="9"/>
            <color indexed="81"/>
            <rFont val="Segoe UI"/>
            <family val="2"/>
          </rPr>
          <t>Use "LIMPAR DADOS" para iniciar o registro de uma nova operação...</t>
        </r>
      </text>
    </comment>
    <comment ref="F8" authorId="0" shapeId="0" xr:uid="{00000000-0006-0000-0100-000006000000}">
      <text>
        <r>
          <rPr>
            <sz val="9"/>
            <color indexed="81"/>
            <rFont val="Segoe UI"/>
            <family val="2"/>
          </rPr>
          <t>Taxa de desconto mensal, cobrada proporcionalmente ao prazo de cada recebível antecipado.</t>
        </r>
      </text>
    </comment>
    <comment ref="F9" authorId="0" shapeId="0" xr:uid="{00000000-0006-0000-0100-000007000000}">
      <text>
        <r>
          <rPr>
            <sz val="9"/>
            <color indexed="81"/>
            <rFont val="Segoe UI"/>
            <family val="2"/>
          </rPr>
          <t>Tarifa cobrada por cada crédito antecipado.</t>
        </r>
      </text>
    </comment>
    <comment ref="F10" authorId="0" shapeId="0" xr:uid="{00000000-0006-0000-0100-000008000000}">
      <text>
        <r>
          <rPr>
            <sz val="9"/>
            <color indexed="81"/>
            <rFont val="Segoe UI"/>
            <family val="2"/>
          </rPr>
          <t>Taxa de abertura de crédito (TAC) ou outra despesa avulsa relacionada à operação.</t>
        </r>
      </text>
    </comment>
    <comment ref="L11" authorId="0" shapeId="0" xr:uid="{00000000-0006-0000-0100-000009000000}">
      <text>
        <r>
          <rPr>
            <sz val="9"/>
            <color indexed="81"/>
            <rFont val="Segoe UI"/>
            <family val="2"/>
          </rPr>
          <t>Clique na imagem da impressora para preparar a impressão desta página...</t>
        </r>
      </text>
    </comment>
    <comment ref="J14" authorId="0" shapeId="0" xr:uid="{00000000-0006-0000-0100-00000A000000}">
      <text>
        <r>
          <rPr>
            <sz val="9"/>
            <color indexed="81"/>
            <rFont val="Segoe UI"/>
            <family val="2"/>
          </rPr>
          <t>Dado opcional.
Valor efetivamente creditado ou a ser creditado em sua conta.
Caso seja preenchido, clicar no botão "AJUSTAR TAXA".</t>
        </r>
      </text>
    </comment>
    <comment ref="C17" authorId="0" shapeId="0" xr:uid="{00000000-0006-0000-0100-00000B000000}">
      <text>
        <r>
          <rPr>
            <sz val="9"/>
            <color indexed="81"/>
            <rFont val="Segoe UI"/>
            <family val="2"/>
          </rPr>
          <t xml:space="preserve">Vencimento do título recebível (duplicata, cheque, parcela de cartão de crédito, aluguel etc.
</t>
        </r>
      </text>
    </comment>
    <comment ref="D17" authorId="0" shapeId="0" xr:uid="{00000000-0006-0000-0100-00000C000000}">
      <text>
        <r>
          <rPr>
            <sz val="9"/>
            <color indexed="81"/>
            <rFont val="Segoe UI"/>
            <family val="2"/>
          </rPr>
          <t>Valor do recebível.</t>
        </r>
      </text>
    </comment>
    <comment ref="E17" authorId="0" shapeId="0" xr:uid="{00000000-0006-0000-0100-00000D000000}">
      <text>
        <r>
          <rPr>
            <sz val="9"/>
            <color indexed="81"/>
            <rFont val="Segoe UI"/>
            <family val="2"/>
          </rPr>
          <t xml:space="preserve">Cálcula o prazo em relação a data de recebimento informada na célula F7.
</t>
        </r>
      </text>
    </comment>
    <comment ref="K17" authorId="0" shapeId="0" xr:uid="{5975F1BF-537C-4354-A5C6-21FBDD2F18D0}">
      <text>
        <r>
          <rPr>
            <sz val="9"/>
            <color indexed="81"/>
            <rFont val="Segoe UI"/>
            <family val="2"/>
          </rPr>
          <t>Diferença percentual entre o "Valor do Crédito" e o respectivo "Vlr. Líquido".</t>
        </r>
      </text>
    </comment>
  </commentList>
</comments>
</file>

<file path=xl/sharedStrings.xml><?xml version="1.0" encoding="utf-8"?>
<sst xmlns="http://schemas.openxmlformats.org/spreadsheetml/2006/main" count="47" uniqueCount="40">
  <si>
    <t>PRAZO</t>
  </si>
  <si>
    <t>SOMA DOS CRÉDITOS</t>
  </si>
  <si>
    <t>IOF DIÁRIO</t>
  </si>
  <si>
    <t>OUTRAS DESPESAS</t>
  </si>
  <si>
    <t>IOF ADIC.</t>
  </si>
  <si>
    <t>RESUMO</t>
  </si>
  <si>
    <t>CÁLCULO DE ANTECIPAÇÃO DE RECEBÍVEIS</t>
  </si>
  <si>
    <t>DADOS DA OPERAÇÃO</t>
  </si>
  <si>
    <t>VALOR PARA ANTECIPAÇÃO</t>
  </si>
  <si>
    <t>T U T O R I A L</t>
  </si>
  <si>
    <t>GERAL</t>
  </si>
  <si>
    <t>.</t>
  </si>
  <si>
    <t>Ao passar o cursor sobre os campos de preenchimento da aba "CÁLCULO", você obterá informações sobre suas funções e utilidades.</t>
  </si>
  <si>
    <t>Não foi instalada senha de proteção; então, para desproteger as planilhas, vá até o menu "Revisão" e apenas clique em "Desproteger Planilha".</t>
  </si>
  <si>
    <t>CÁLCULO</t>
  </si>
  <si>
    <t>Os campos marcados na cor azul degradê são os que podem ser preenchidos.</t>
  </si>
  <si>
    <t>Através do botão LIMPAR DADOS você poderá excluir os lançamentos realizados e começar um novo controle de fluxo financeiro.</t>
  </si>
  <si>
    <t>Para excluir uma linha da área dos registros de movimentação de recebimentos e pagamentos apenas clique no título (nº no canto esquerdo do Excel) correspondente a linha que deseja excluir, dê um clique com botão direito do mouse sobre o mesmo e selecione Excluir.</t>
  </si>
  <si>
    <t>As fórmulas vão até a linha 1000 da aba "CÁLCULO".</t>
  </si>
  <si>
    <t>Para saber a taxa de juros real utilizada no desconto financeiro, clique na imagem da calculadora HP. Ao clicar nessa imagem, a taxa de juros da célula F8 será alterada , a qual corresponderá ao percentual necessário para igualar o 'VALOR PARA ANTECIPAÇÃO' com  'VALOR ANTECIPADO'. Então, através deste recurso você saberá qual a taxa real utilizada na operação.</t>
  </si>
  <si>
    <t>O botão AJUSTAR restabelece o formato de todas as células, além de reinserir as fórmulas utilizadas neste aplicativo. Use-o a vontade, pois ele não exclui e nem altera os lançamentos realizados.</t>
  </si>
  <si>
    <t>DATA DO RECEBIMENTO</t>
  </si>
  <si>
    <t>VALOR ANTECIPADO</t>
  </si>
  <si>
    <t>PRAZO MÉDIO, EM DIAS =&gt;</t>
  </si>
  <si>
    <t>DIFERENÇA</t>
  </si>
  <si>
    <t>OUTRAS DESPESAS DA OP., EM R$</t>
  </si>
  <si>
    <t>TAXA DE DESCONTO MENSAL, EM %</t>
  </si>
  <si>
    <t>VLR. DESCONTO</t>
  </si>
  <si>
    <t>VLR. TAXA ADM.</t>
  </si>
  <si>
    <t>VLR. IOF ADIC.</t>
  </si>
  <si>
    <t>VLR. LÍQUIDO</t>
  </si>
  <si>
    <t>VALOR DO CRÉDITO</t>
  </si>
  <si>
    <t>VENCTO. DO CRÉDITO</t>
  </si>
  <si>
    <t>VLR. IOF</t>
  </si>
  <si>
    <t>SOMA DO DESCONTO</t>
  </si>
  <si>
    <t>SOMA DO IOF</t>
  </si>
  <si>
    <t>SOMA DO IOF ADICIONAL</t>
  </si>
  <si>
    <t>TARIFA POR TÍTULO, EM R$</t>
  </si>
  <si>
    <t>SOMA DA TARIFA POR TÍTULO</t>
  </si>
  <si>
    <t>CUSTO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</si>
</sst>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_(* #,##0.00_);_(* \(#,##0.00\);_(* &quot;-&quot;??_);_(@_)"/>
    <numFmt numFmtId="165" formatCode="0.0000%"/>
    <numFmt numFmtId="166" formatCode="_-[$R$-416]\ * #,##0.00_-;\-[$R$-416]\ * #,##0.00_-;_-[$R$-416]\ * &quot;-&quot;??_-;_-@_-"/>
    <numFmt numFmtId="168" formatCode="0.000%"/>
    <numFmt numFmtId="169" formatCode="_-* #,##0.0000_-;\-* #,##0.0000_-;_-* &quot;-&quot;????_-;_-@_-"/>
  </numFmts>
  <fonts count="15" x14ac:knownFonts="1">
    <font>
      <sz val="11"/>
      <color theme="1"/>
      <name val="Calibri"/>
      <family val="2"/>
      <scheme val="minor"/>
    </font>
    <font>
      <sz val="11"/>
      <color theme="1"/>
      <name val="Calibri"/>
      <family val="2"/>
      <scheme val="minor"/>
    </font>
    <font>
      <b/>
      <sz val="11"/>
      <color theme="1"/>
      <name val="Calibri"/>
      <family val="2"/>
      <scheme val="minor"/>
    </font>
    <font>
      <sz val="9"/>
      <color indexed="81"/>
      <name val="Segoe UI"/>
      <family val="2"/>
    </font>
    <font>
      <u/>
      <sz val="9"/>
      <color indexed="81"/>
      <name val="Segoe UI"/>
      <family val="2"/>
    </font>
    <font>
      <b/>
      <i/>
      <u val="doubleAccounting"/>
      <sz val="16"/>
      <color theme="1"/>
      <name val="Calibri"/>
      <family val="2"/>
      <scheme val="minor"/>
    </font>
    <font>
      <b/>
      <u val="singleAccounting"/>
      <sz val="11"/>
      <color theme="1"/>
      <name val="Calibri"/>
      <family val="2"/>
      <scheme val="minor"/>
    </font>
    <font>
      <sz val="10"/>
      <color theme="1"/>
      <name val="Calibri"/>
      <family val="2"/>
      <scheme val="minor"/>
    </font>
    <font>
      <b/>
      <i/>
      <sz val="10"/>
      <color theme="0" tint="-0.499984740745262"/>
      <name val="Calibri"/>
      <family val="2"/>
      <scheme val="minor"/>
    </font>
    <font>
      <b/>
      <i/>
      <sz val="11"/>
      <color theme="0" tint="-0.499984740745262"/>
      <name val="Calibri"/>
      <family val="2"/>
      <scheme val="minor"/>
    </font>
    <font>
      <b/>
      <sz val="11"/>
      <name val="Calibri"/>
      <family val="2"/>
      <scheme val="minor"/>
    </font>
    <font>
      <sz val="9"/>
      <color theme="1"/>
      <name val="Calibri"/>
      <family val="2"/>
      <scheme val="minor"/>
    </font>
    <font>
      <b/>
      <sz val="9"/>
      <color theme="1"/>
      <name val="Calibri"/>
      <family val="2"/>
      <scheme val="minor"/>
    </font>
    <font>
      <sz val="9"/>
      <color theme="0" tint="-0.499984740745262"/>
      <name val="Calibri"/>
      <family val="2"/>
      <scheme val="minor"/>
    </font>
    <font>
      <b/>
      <sz val="9"/>
      <color rgb="FFFF0000"/>
      <name val="Calibri"/>
      <family val="2"/>
      <scheme val="minor"/>
    </font>
  </fonts>
  <fills count="6">
    <fill>
      <patternFill patternType="none"/>
    </fill>
    <fill>
      <patternFill patternType="gray125"/>
    </fill>
    <fill>
      <gradientFill degree="90">
        <stop position="0">
          <color theme="0"/>
        </stop>
        <stop position="1">
          <color theme="3" tint="0.59999389629810485"/>
        </stop>
      </gradientFill>
    </fill>
    <fill>
      <patternFill patternType="solid">
        <fgColor theme="0" tint="-4.9989318521683403E-2"/>
        <bgColor indexed="64"/>
      </patternFill>
    </fill>
    <fill>
      <patternFill patternType="solid">
        <fgColor theme="6" tint="0.79998168889431442"/>
        <bgColor indexed="64"/>
      </patternFill>
    </fill>
    <fill>
      <gradientFill degree="90">
        <stop position="0">
          <color theme="0"/>
        </stop>
        <stop position="0.5">
          <color theme="2" tint="-9.8025452436902985E-2"/>
        </stop>
        <stop position="1">
          <color theme="0"/>
        </stop>
      </gradientFill>
    </fill>
  </fills>
  <borders count="1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hair">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34998626667073579"/>
      </left>
      <right style="thin">
        <color theme="0" tint="-0.34998626667073579"/>
      </right>
      <top style="thin">
        <color theme="0" tint="-0.34998626667073579"/>
      </top>
      <bottom/>
      <diagonal/>
    </border>
    <border>
      <left style="thin">
        <color indexed="64"/>
      </left>
      <right style="thin">
        <color indexed="64"/>
      </right>
      <top/>
      <bottom style="thin">
        <color indexed="64"/>
      </bottom>
      <diagonal/>
    </border>
  </borders>
  <cellStyleXfs count="4">
    <xf numFmtId="0" fontId="0" fillId="0" borderId="0"/>
    <xf numFmtId="164" fontId="1" fillId="0" borderId="0" applyFont="0" applyFill="0" applyBorder="0" applyAlignment="0" applyProtection="0"/>
    <xf numFmtId="9" fontId="1" fillId="0" borderId="0" applyFont="0" applyFill="0" applyBorder="0" applyAlignment="0" applyProtection="0"/>
    <xf numFmtId="164" fontId="1" fillId="0" borderId="0" applyFont="0" applyFill="0" applyBorder="0" applyAlignment="0" applyProtection="0"/>
  </cellStyleXfs>
  <cellXfs count="74">
    <xf numFmtId="0" fontId="0" fillId="0" borderId="0" xfId="0"/>
    <xf numFmtId="14" fontId="2" fillId="2" borderId="1" xfId="0" applyNumberFormat="1" applyFont="1" applyFill="1" applyBorder="1" applyAlignment="1" applyProtection="1">
      <alignment horizontal="center" vertical="center"/>
      <protection locked="0"/>
    </xf>
    <xf numFmtId="10" fontId="2" fillId="2" borderId="1" xfId="2" applyNumberFormat="1" applyFont="1" applyFill="1" applyBorder="1" applyAlignment="1" applyProtection="1">
      <alignment horizontal="center" vertical="center"/>
      <protection locked="0"/>
    </xf>
    <xf numFmtId="164" fontId="2" fillId="2" borderId="1" xfId="1" applyFont="1" applyFill="1" applyBorder="1" applyAlignment="1" applyProtection="1">
      <alignment horizontal="center" vertical="center"/>
      <protection locked="0"/>
    </xf>
    <xf numFmtId="164" fontId="2" fillId="0" borderId="0" xfId="1" applyFont="1" applyAlignment="1" applyProtection="1">
      <alignment vertical="center"/>
      <protection locked="0"/>
    </xf>
    <xf numFmtId="14" fontId="2" fillId="0" borderId="0" xfId="0" applyNumberFormat="1" applyFont="1" applyAlignment="1" applyProtection="1">
      <alignment horizontal="center" vertical="center"/>
      <protection locked="0"/>
    </xf>
    <xf numFmtId="14" fontId="2" fillId="2" borderId="4" xfId="0" applyNumberFormat="1" applyFont="1" applyFill="1" applyBorder="1" applyAlignment="1" applyProtection="1">
      <alignment horizontal="center" vertical="center"/>
      <protection locked="0"/>
    </xf>
    <xf numFmtId="164" fontId="2" fillId="2" borderId="4" xfId="1" applyFont="1" applyFill="1" applyBorder="1" applyAlignment="1" applyProtection="1">
      <alignment vertical="center"/>
      <protection locked="0"/>
    </xf>
    <xf numFmtId="0" fontId="0" fillId="0" borderId="0" xfId="0" applyAlignment="1" applyProtection="1">
      <alignment vertical="top"/>
    </xf>
    <xf numFmtId="0" fontId="0" fillId="0" borderId="5" xfId="0" applyBorder="1" applyAlignment="1" applyProtection="1">
      <alignment horizontal="right" vertical="top"/>
    </xf>
    <xf numFmtId="0" fontId="0" fillId="0" borderId="5" xfId="0" applyBorder="1" applyAlignment="1" applyProtection="1">
      <alignment horizontal="left" vertical="top" wrapText="1"/>
    </xf>
    <xf numFmtId="0" fontId="0" fillId="0" borderId="0" xfId="0" applyAlignment="1" applyProtection="1">
      <alignment horizontal="right" vertical="top"/>
    </xf>
    <xf numFmtId="0" fontId="0" fillId="0" borderId="0" xfId="0" applyAlignment="1" applyProtection="1">
      <alignment vertical="top" wrapText="1"/>
    </xf>
    <xf numFmtId="14" fontId="2" fillId="0" borderId="0" xfId="0" applyNumberFormat="1" applyFont="1" applyFill="1" applyBorder="1" applyAlignment="1" applyProtection="1">
      <alignment horizontal="center" vertical="center"/>
      <protection locked="0"/>
    </xf>
    <xf numFmtId="164" fontId="2" fillId="0" borderId="0" xfId="1" applyFont="1" applyFill="1" applyBorder="1" applyAlignment="1" applyProtection="1">
      <alignment vertical="center"/>
      <protection locked="0"/>
    </xf>
    <xf numFmtId="0" fontId="0" fillId="0" borderId="0" xfId="1" applyNumberFormat="1" applyFont="1" applyAlignment="1" applyProtection="1">
      <alignment horizontal="center" vertical="center"/>
      <protection locked="0"/>
    </xf>
    <xf numFmtId="164" fontId="0" fillId="0" borderId="0" xfId="1" applyFont="1" applyAlignment="1" applyProtection="1">
      <alignment vertical="center"/>
      <protection locked="0"/>
    </xf>
    <xf numFmtId="0" fontId="0" fillId="0" borderId="0" xfId="0" applyAlignment="1" applyProtection="1">
      <alignment vertical="center"/>
      <protection locked="0"/>
    </xf>
    <xf numFmtId="0" fontId="0" fillId="0" borderId="4" xfId="1" applyNumberFormat="1" applyFont="1" applyBorder="1" applyAlignment="1" applyProtection="1">
      <alignment horizontal="center" vertical="center"/>
      <protection locked="0"/>
    </xf>
    <xf numFmtId="164" fontId="0" fillId="0" borderId="4" xfId="1" applyFont="1" applyBorder="1" applyAlignment="1" applyProtection="1">
      <alignment vertical="center"/>
      <protection locked="0"/>
    </xf>
    <xf numFmtId="0" fontId="0" fillId="0" borderId="0" xfId="1" applyNumberFormat="1" applyFont="1" applyFill="1" applyBorder="1" applyAlignment="1" applyProtection="1">
      <alignment horizontal="center" vertical="center"/>
      <protection locked="0"/>
    </xf>
    <xf numFmtId="164" fontId="0" fillId="0" borderId="0" xfId="1" applyFont="1" applyFill="1" applyBorder="1" applyAlignment="1" applyProtection="1">
      <alignment vertical="center"/>
      <protection locked="0"/>
    </xf>
    <xf numFmtId="164" fontId="0" fillId="0" borderId="4" xfId="1" applyFont="1" applyFill="1" applyBorder="1" applyAlignment="1" applyProtection="1">
      <alignment vertical="center"/>
      <protection locked="0"/>
    </xf>
    <xf numFmtId="0" fontId="0" fillId="0" borderId="0" xfId="0" applyAlignment="1" applyProtection="1">
      <alignment vertical="center"/>
    </xf>
    <xf numFmtId="0" fontId="0" fillId="0" borderId="0" xfId="1" applyNumberFormat="1" applyFont="1" applyAlignment="1" applyProtection="1">
      <alignment horizontal="center" vertical="center"/>
    </xf>
    <xf numFmtId="164" fontId="0" fillId="0" borderId="0" xfId="1" applyFont="1" applyAlignment="1" applyProtection="1">
      <alignment vertical="center"/>
    </xf>
    <xf numFmtId="14" fontId="2" fillId="0" borderId="0" xfId="0" applyNumberFormat="1" applyFont="1" applyAlignment="1" applyProtection="1">
      <alignment horizontal="left" vertical="center"/>
    </xf>
    <xf numFmtId="165" fontId="0" fillId="0" borderId="0" xfId="1" applyNumberFormat="1" applyFont="1" applyAlignment="1" applyProtection="1">
      <alignment vertical="center"/>
    </xf>
    <xf numFmtId="164" fontId="1" fillId="0" borderId="1" xfId="1" applyFont="1" applyBorder="1" applyAlignment="1" applyProtection="1">
      <alignment vertical="center"/>
    </xf>
    <xf numFmtId="164" fontId="0" fillId="0" borderId="1" xfId="0" applyNumberFormat="1" applyFont="1" applyBorder="1" applyAlignment="1" applyProtection="1">
      <alignment vertical="center"/>
    </xf>
    <xf numFmtId="164" fontId="7" fillId="0" borderId="1" xfId="1" applyFont="1" applyBorder="1" applyAlignment="1" applyProtection="1">
      <alignment vertical="center"/>
    </xf>
    <xf numFmtId="165" fontId="1" fillId="0" borderId="2" xfId="2" applyNumberFormat="1" applyFont="1" applyFill="1" applyBorder="1" applyAlignment="1" applyProtection="1">
      <alignment horizontal="center" vertical="center"/>
    </xf>
    <xf numFmtId="164" fontId="2" fillId="0" borderId="0" xfId="1" applyFont="1" applyAlignment="1" applyProtection="1">
      <alignment vertical="center"/>
    </xf>
    <xf numFmtId="165" fontId="10" fillId="0" borderId="0" xfId="2" applyNumberFormat="1" applyFont="1" applyFill="1" applyBorder="1" applyAlignment="1" applyProtection="1">
      <alignment horizontal="center" vertical="center"/>
    </xf>
    <xf numFmtId="164" fontId="2" fillId="0" borderId="1" xfId="1" applyFont="1" applyFill="1" applyBorder="1" applyAlignment="1" applyProtection="1">
      <alignment horizontal="center" vertical="center"/>
    </xf>
    <xf numFmtId="0" fontId="0" fillId="0" borderId="0" xfId="0" applyAlignment="1" applyProtection="1">
      <alignment vertical="center" wrapText="1"/>
    </xf>
    <xf numFmtId="43" fontId="0" fillId="0" borderId="0" xfId="0" applyNumberFormat="1" applyAlignment="1" applyProtection="1">
      <alignment vertical="center"/>
    </xf>
    <xf numFmtId="0" fontId="2" fillId="3" borderId="11" xfId="0" applyFont="1" applyFill="1" applyBorder="1" applyAlignment="1" applyProtection="1">
      <alignment horizontal="center" vertical="center" wrapText="1"/>
    </xf>
    <xf numFmtId="164" fontId="2" fillId="3" borderId="11" xfId="1" applyFont="1" applyFill="1" applyBorder="1" applyAlignment="1" applyProtection="1">
      <alignment horizontal="center" vertical="center" wrapText="1"/>
    </xf>
    <xf numFmtId="0" fontId="2" fillId="3" borderId="11" xfId="1" applyNumberFormat="1" applyFont="1" applyFill="1" applyBorder="1" applyAlignment="1" applyProtection="1">
      <alignment horizontal="center" vertical="center" wrapText="1"/>
    </xf>
    <xf numFmtId="0" fontId="5" fillId="0" borderId="0" xfId="3" applyNumberFormat="1" applyFont="1" applyAlignment="1" applyProtection="1">
      <alignment horizontal="left" vertical="top"/>
    </xf>
    <xf numFmtId="0" fontId="6" fillId="0" borderId="0" xfId="3" applyNumberFormat="1" applyFont="1" applyBorder="1" applyAlignment="1" applyProtection="1">
      <alignment horizontal="left" vertical="top"/>
    </xf>
    <xf numFmtId="164" fontId="0" fillId="0" borderId="3" xfId="1" applyFont="1" applyBorder="1" applyAlignment="1" applyProtection="1">
      <alignment horizontal="center" vertical="center"/>
    </xf>
    <xf numFmtId="0" fontId="0" fillId="0" borderId="1" xfId="0" applyBorder="1" applyAlignment="1" applyProtection="1">
      <alignment horizontal="left" vertical="center"/>
    </xf>
    <xf numFmtId="0" fontId="0" fillId="0" borderId="6" xfId="0" applyBorder="1" applyAlignment="1" applyProtection="1">
      <alignment horizontal="center" vertical="center"/>
    </xf>
    <xf numFmtId="0" fontId="0" fillId="0" borderId="8" xfId="0" applyBorder="1" applyAlignment="1" applyProtection="1">
      <alignment horizontal="center" vertical="center"/>
    </xf>
    <xf numFmtId="0" fontId="0" fillId="0" borderId="9" xfId="0" applyBorder="1" applyAlignment="1" applyProtection="1">
      <alignment horizontal="center" vertical="center"/>
    </xf>
    <xf numFmtId="0" fontId="0" fillId="0" borderId="10" xfId="0" applyBorder="1" applyAlignment="1" applyProtection="1">
      <alignment horizontal="center" vertical="center"/>
    </xf>
    <xf numFmtId="0" fontId="10" fillId="0" borderId="0" xfId="0" applyNumberFormat="1" applyFont="1" applyBorder="1" applyAlignment="1" applyProtection="1">
      <alignment horizontal="center" vertical="center"/>
    </xf>
    <xf numFmtId="0" fontId="2" fillId="0" borderId="1" xfId="0" applyFont="1" applyBorder="1" applyAlignment="1" applyProtection="1">
      <alignment horizontal="left" vertical="center"/>
    </xf>
    <xf numFmtId="0" fontId="0" fillId="0" borderId="0" xfId="0" applyAlignment="1" applyProtection="1">
      <alignment horizontal="center" vertical="center"/>
    </xf>
    <xf numFmtId="14" fontId="2" fillId="3" borderId="1" xfId="0" applyNumberFormat="1" applyFont="1" applyFill="1" applyBorder="1" applyAlignment="1" applyProtection="1">
      <alignment horizontal="center" vertical="center"/>
    </xf>
    <xf numFmtId="0" fontId="0" fillId="0" borderId="1" xfId="0" applyNumberFormat="1" applyBorder="1" applyAlignment="1" applyProtection="1">
      <alignment horizontal="left" vertical="center"/>
    </xf>
    <xf numFmtId="0" fontId="0" fillId="0" borderId="0" xfId="0" applyBorder="1" applyAlignment="1" applyProtection="1">
      <alignment horizontal="center" vertical="center"/>
    </xf>
    <xf numFmtId="0" fontId="2" fillId="3" borderId="1" xfId="0" applyFont="1" applyFill="1" applyBorder="1" applyAlignment="1" applyProtection="1">
      <alignment horizontal="center" vertical="center"/>
    </xf>
    <xf numFmtId="166" fontId="2" fillId="2" borderId="1" xfId="2" applyNumberFormat="1" applyFont="1" applyFill="1" applyBorder="1" applyAlignment="1" applyProtection="1">
      <alignment horizontal="center" vertical="center"/>
      <protection locked="0"/>
    </xf>
    <xf numFmtId="168" fontId="0" fillId="0" borderId="0" xfId="2" applyNumberFormat="1" applyFont="1" applyAlignment="1" applyProtection="1">
      <alignment vertical="center"/>
    </xf>
    <xf numFmtId="0" fontId="0" fillId="0" borderId="12" xfId="0" applyNumberFormat="1" applyBorder="1" applyAlignment="1" applyProtection="1">
      <alignment horizontal="left" vertical="center"/>
    </xf>
    <xf numFmtId="164" fontId="1" fillId="0" borderId="12" xfId="1" applyFont="1" applyBorder="1" applyAlignment="1" applyProtection="1">
      <alignment vertical="center"/>
    </xf>
    <xf numFmtId="164" fontId="11" fillId="0" borderId="0" xfId="1" applyFont="1" applyFill="1" applyBorder="1" applyAlignment="1" applyProtection="1">
      <alignment vertical="center"/>
      <protection locked="0"/>
    </xf>
    <xf numFmtId="164" fontId="11" fillId="0" borderId="0" xfId="1" applyFont="1" applyFill="1" applyBorder="1" applyAlignment="1" applyProtection="1">
      <alignment vertical="center"/>
    </xf>
    <xf numFmtId="164" fontId="12" fillId="0" borderId="1" xfId="1" applyFont="1" applyFill="1" applyBorder="1" applyAlignment="1" applyProtection="1">
      <alignment horizontal="center" vertical="center"/>
    </xf>
    <xf numFmtId="10" fontId="13" fillId="0" borderId="1" xfId="2" applyNumberFormat="1" applyFont="1" applyFill="1" applyBorder="1" applyAlignment="1" applyProtection="1">
      <alignment horizontal="center" vertical="center"/>
    </xf>
    <xf numFmtId="165" fontId="14" fillId="0" borderId="1" xfId="2" applyNumberFormat="1" applyFont="1" applyFill="1" applyBorder="1" applyAlignment="1" applyProtection="1">
      <alignment horizontal="center" vertical="center"/>
    </xf>
    <xf numFmtId="169" fontId="0" fillId="0" borderId="0" xfId="0" applyNumberFormat="1" applyAlignment="1" applyProtection="1">
      <alignment vertical="center"/>
    </xf>
    <xf numFmtId="165" fontId="0" fillId="0" borderId="0" xfId="2" applyNumberFormat="1" applyFont="1" applyAlignment="1" applyProtection="1">
      <alignment vertical="center"/>
    </xf>
    <xf numFmtId="166" fontId="2" fillId="2" borderId="1" xfId="1" applyNumberFormat="1" applyFont="1" applyFill="1" applyBorder="1" applyAlignment="1" applyProtection="1">
      <alignment horizontal="center" vertical="center"/>
      <protection locked="0"/>
    </xf>
    <xf numFmtId="10" fontId="11" fillId="0" borderId="0" xfId="2" applyNumberFormat="1" applyFont="1" applyFill="1" applyBorder="1" applyAlignment="1" applyProtection="1">
      <alignment vertical="center"/>
      <protection locked="0"/>
    </xf>
    <xf numFmtId="0" fontId="2" fillId="4" borderId="1" xfId="1" applyNumberFormat="1" applyFont="1" applyFill="1" applyBorder="1" applyAlignment="1" applyProtection="1">
      <alignment horizontal="left" vertical="center"/>
    </xf>
    <xf numFmtId="164" fontId="2" fillId="4" borderId="1" xfId="0" applyNumberFormat="1" applyFont="1" applyFill="1" applyBorder="1" applyAlignment="1" applyProtection="1">
      <alignment vertical="center"/>
    </xf>
    <xf numFmtId="10" fontId="13" fillId="4" borderId="1" xfId="2" applyNumberFormat="1" applyFont="1" applyFill="1" applyBorder="1" applyAlignment="1" applyProtection="1">
      <alignment horizontal="center" vertical="center"/>
    </xf>
    <xf numFmtId="14" fontId="8" fillId="5" borderId="7" xfId="0" applyNumberFormat="1" applyFont="1" applyFill="1" applyBorder="1" applyAlignment="1" applyProtection="1">
      <alignment horizontal="center" vertical="center" shrinkToFit="1"/>
    </xf>
    <xf numFmtId="0" fontId="9" fillId="5" borderId="0" xfId="0" applyFont="1" applyFill="1" applyBorder="1" applyAlignment="1" applyProtection="1">
      <alignment horizontal="center" vertical="center"/>
    </xf>
    <xf numFmtId="10" fontId="11" fillId="0" borderId="4" xfId="1" applyNumberFormat="1" applyFont="1" applyBorder="1" applyAlignment="1" applyProtection="1">
      <alignment vertical="center"/>
      <protection locked="0"/>
    </xf>
  </cellXfs>
  <cellStyles count="4">
    <cellStyle name="Normal" xfId="0" builtinId="0"/>
    <cellStyle name="Porcentagem" xfId="2" builtinId="5"/>
    <cellStyle name="Vírgula" xfId="1" builtinId="3"/>
    <cellStyle name="Vírgula 2" xfId="3" xr:uid="{00000000-0005-0000-0000-000003000000}"/>
  </cellStyles>
  <dxfs count="77">
    <dxf>
      <border>
        <left style="thin">
          <color theme="0" tint="-0.34998626667073579"/>
        </left>
        <right style="thin">
          <color theme="0" tint="-0.34998626667073579"/>
        </right>
        <top style="thin">
          <color theme="0" tint="-0.34998626667073579"/>
        </top>
        <bottom style="thin">
          <color theme="0" tint="-0.34998626667073579"/>
        </bottom>
      </border>
    </dxf>
    <dxf>
      <fill>
        <gradientFill degree="90">
          <stop position="0">
            <color theme="0"/>
          </stop>
          <stop position="1">
            <color theme="3" tint="0.59999389629810485"/>
          </stop>
        </gradientFill>
      </fill>
    </dxf>
    <dxf>
      <border>
        <left style="thin">
          <color theme="0" tint="-0.34998626667073579"/>
        </left>
        <right style="thin">
          <color theme="0" tint="-0.34998626667073579"/>
        </right>
        <top style="thin">
          <color theme="0" tint="-0.34998626667073579"/>
        </top>
        <bottom style="thin">
          <color theme="0" tint="-0.34998626667073579"/>
        </bottom>
      </border>
    </dxf>
    <dxf>
      <fill>
        <gradientFill degree="90">
          <stop position="0">
            <color theme="0"/>
          </stop>
          <stop position="1">
            <color theme="3" tint="0.59999389629810485"/>
          </stop>
        </gradientFill>
      </fill>
    </dxf>
    <dxf>
      <border>
        <left style="thin">
          <color theme="0" tint="-0.34998626667073579"/>
        </left>
        <right style="thin">
          <color theme="0" tint="-0.34998626667073579"/>
        </right>
        <top style="thin">
          <color theme="0" tint="-0.34998626667073579"/>
        </top>
        <bottom style="thin">
          <color theme="0" tint="-0.34998626667073579"/>
        </bottom>
      </border>
    </dxf>
    <dxf>
      <fill>
        <gradientFill degree="90">
          <stop position="0">
            <color theme="0"/>
          </stop>
          <stop position="1">
            <color theme="3" tint="0.59999389629810485"/>
          </stop>
        </gradientFill>
      </fill>
    </dxf>
    <dxf>
      <border>
        <left style="thin">
          <color theme="0" tint="-0.34998626667073579"/>
        </left>
        <right style="thin">
          <color theme="0" tint="-0.34998626667073579"/>
        </right>
        <top style="thin">
          <color theme="0" tint="-0.34998626667073579"/>
        </top>
        <bottom style="thin">
          <color theme="0" tint="-0.34998626667073579"/>
        </bottom>
      </border>
    </dxf>
    <dxf>
      <fill>
        <gradientFill degree="90">
          <stop position="0">
            <color theme="0"/>
          </stop>
          <stop position="1">
            <color theme="3" tint="0.59999389629810485"/>
          </stop>
        </gradientFill>
      </fill>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fill>
        <gradientFill degree="90">
          <stop position="0">
            <color theme="0"/>
          </stop>
          <stop position="1">
            <color theme="3" tint="0.59999389629810485"/>
          </stop>
        </gradientFill>
      </fill>
    </dxf>
    <dxf>
      <border>
        <left style="thin">
          <color theme="0" tint="-0.34998626667073579"/>
        </left>
        <right style="thin">
          <color theme="0" tint="-0.34998626667073579"/>
        </right>
        <top style="thin">
          <color theme="0" tint="-0.34998626667073579"/>
        </top>
        <bottom style="thin">
          <color theme="0" tint="-0.34998626667073579"/>
        </bottom>
      </border>
    </dxf>
    <dxf>
      <fill>
        <gradientFill degree="90">
          <stop position="0">
            <color theme="0"/>
          </stop>
          <stop position="1">
            <color theme="3" tint="0.59999389629810485"/>
          </stop>
        </gradientFill>
      </fill>
    </dxf>
    <dxf>
      <border>
        <left style="thin">
          <color theme="0" tint="-0.34998626667073579"/>
        </left>
        <right style="thin">
          <color theme="0" tint="-0.34998626667073579"/>
        </right>
        <top style="thin">
          <color theme="0" tint="-0.34998626667073579"/>
        </top>
        <bottom style="thin">
          <color theme="0" tint="-0.34998626667073579"/>
        </bottom>
      </border>
    </dxf>
    <dxf>
      <fill>
        <gradientFill degree="90">
          <stop position="0">
            <color theme="0"/>
          </stop>
          <stop position="1">
            <color theme="3" tint="0.59999389629810485"/>
          </stop>
        </gradientFill>
      </fill>
    </dxf>
    <dxf>
      <border>
        <left style="thin">
          <color theme="0" tint="-0.34998626667073579"/>
        </left>
        <right style="thin">
          <color theme="0" tint="-0.34998626667073579"/>
        </right>
        <top style="thin">
          <color theme="0" tint="-0.34998626667073579"/>
        </top>
        <bottom style="thin">
          <color theme="0" tint="-0.34998626667073579"/>
        </bottom>
      </border>
    </dxf>
    <dxf>
      <fill>
        <gradientFill degree="90">
          <stop position="0">
            <color theme="0"/>
          </stop>
          <stop position="1">
            <color theme="3" tint="0.59999389629810485"/>
          </stop>
        </gradientFill>
      </fill>
    </dxf>
    <dxf>
      <border>
        <left style="thin">
          <color theme="0" tint="-0.34998626667073579"/>
        </left>
        <right style="thin">
          <color theme="0" tint="-0.34998626667073579"/>
        </right>
        <top style="thin">
          <color theme="0" tint="-0.34998626667073579"/>
        </top>
        <bottom style="thin">
          <color theme="0" tint="-0.34998626667073579"/>
        </bottom>
      </border>
    </dxf>
    <dxf>
      <fill>
        <gradientFill degree="90">
          <stop position="0">
            <color theme="0"/>
          </stop>
          <stop position="1">
            <color theme="3" tint="0.59999389629810485"/>
          </stop>
        </gradientFill>
      </fill>
    </dxf>
    <dxf>
      <border>
        <left style="thin">
          <color theme="0" tint="-0.34998626667073579"/>
        </left>
        <right style="thin">
          <color theme="0" tint="-0.34998626667073579"/>
        </right>
        <top style="thin">
          <color theme="0" tint="-0.34998626667073579"/>
        </top>
        <bottom style="thin">
          <color theme="0" tint="-0.34998626667073579"/>
        </bottom>
      </border>
    </dxf>
    <dxf>
      <fill>
        <gradientFill degree="90">
          <stop position="0">
            <color theme="0"/>
          </stop>
          <stop position="1">
            <color theme="3" tint="0.59999389629810485"/>
          </stop>
        </gradientFill>
      </fill>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fill>
        <gradientFill degree="90">
          <stop position="0">
            <color theme="0"/>
          </stop>
          <stop position="1">
            <color theme="3" tint="0.59999389629810485"/>
          </stop>
        </gradientFill>
      </fill>
    </dxf>
    <dxf>
      <border>
        <left style="thin">
          <color theme="0" tint="-0.34998626667073579"/>
        </left>
        <right style="thin">
          <color theme="0" tint="-0.34998626667073579"/>
        </right>
        <top style="thin">
          <color theme="0" tint="-0.34998626667073579"/>
        </top>
        <bottom style="thin">
          <color theme="0" tint="-0.34998626667073579"/>
        </bottom>
      </border>
    </dxf>
    <dxf>
      <fill>
        <gradientFill degree="90">
          <stop position="0">
            <color theme="0"/>
          </stop>
          <stop position="1">
            <color theme="3" tint="0.59999389629810485"/>
          </stop>
        </gradientFill>
      </fill>
    </dxf>
    <dxf>
      <border>
        <left style="thin">
          <color theme="0" tint="-0.34998626667073579"/>
        </left>
        <right style="thin">
          <color theme="0" tint="-0.34998626667073579"/>
        </right>
        <top style="thin">
          <color theme="0" tint="-0.34998626667073579"/>
        </top>
        <bottom style="thin">
          <color theme="0" tint="-0.34998626667073579"/>
        </bottom>
      </border>
    </dxf>
    <dxf>
      <fill>
        <gradientFill degree="90">
          <stop position="0">
            <color theme="0"/>
          </stop>
          <stop position="1">
            <color theme="3" tint="0.59999389629810485"/>
          </stop>
        </gradientFill>
      </fill>
    </dxf>
    <dxf>
      <border>
        <left style="thin">
          <color theme="0" tint="-0.34998626667073579"/>
        </left>
        <right style="thin">
          <color theme="0" tint="-0.34998626667073579"/>
        </right>
        <top style="thin">
          <color theme="0" tint="-0.34998626667073579"/>
        </top>
        <bottom style="thin">
          <color theme="0" tint="-0.34998626667073579"/>
        </bottom>
      </border>
    </dxf>
    <dxf>
      <fill>
        <gradientFill degree="90">
          <stop position="0">
            <color theme="0"/>
          </stop>
          <stop position="1">
            <color theme="3" tint="0.59999389629810485"/>
          </stop>
        </gradientFill>
      </fill>
    </dxf>
    <dxf>
      <border>
        <left style="thin">
          <color theme="0" tint="-0.34998626667073579"/>
        </left>
        <right style="thin">
          <color theme="0" tint="-0.34998626667073579"/>
        </right>
        <top style="thin">
          <color theme="0" tint="-0.34998626667073579"/>
        </top>
        <bottom style="thin">
          <color theme="0" tint="-0.34998626667073579"/>
        </bottom>
      </border>
    </dxf>
    <dxf>
      <fill>
        <gradientFill degree="90">
          <stop position="0">
            <color theme="0"/>
          </stop>
          <stop position="1">
            <color theme="3" tint="0.59999389629810485"/>
          </stop>
        </gradientFill>
      </fill>
    </dxf>
    <dxf>
      <border>
        <left style="thin">
          <color theme="0" tint="-0.34998626667073579"/>
        </left>
        <right style="thin">
          <color theme="0" tint="-0.34998626667073579"/>
        </right>
        <top style="thin">
          <color theme="0" tint="-0.34998626667073579"/>
        </top>
        <bottom style="thin">
          <color theme="0" tint="-0.34998626667073579"/>
        </bottom>
      </border>
    </dxf>
    <dxf>
      <fill>
        <gradientFill degree="90">
          <stop position="0">
            <color theme="0"/>
          </stop>
          <stop position="1">
            <color theme="3" tint="0.59999389629810485"/>
          </stop>
        </gradientFill>
      </fill>
    </dxf>
    <dxf>
      <border>
        <left style="thin">
          <color theme="0" tint="-0.34998626667073579"/>
        </left>
        <right style="thin">
          <color theme="0" tint="-0.34998626667073579"/>
        </right>
        <top style="thin">
          <color theme="0" tint="-0.34998626667073579"/>
        </top>
        <bottom style="thin">
          <color theme="0" tint="-0.34998626667073579"/>
        </bottom>
      </border>
    </dxf>
    <dxf>
      <fill>
        <gradientFill degree="90">
          <stop position="0">
            <color theme="0"/>
          </stop>
          <stop position="1">
            <color theme="3" tint="0.59999389629810485"/>
          </stop>
        </gradientFill>
      </fill>
    </dxf>
    <dxf>
      <border>
        <left style="thin">
          <color theme="0" tint="-0.34998626667073579"/>
        </left>
        <right style="thin">
          <color theme="0" tint="-0.34998626667073579"/>
        </right>
        <top style="thin">
          <color theme="0" tint="-0.34998626667073579"/>
        </top>
        <bottom style="thin">
          <color theme="0" tint="-0.34998626667073579"/>
        </bottom>
      </border>
    </dxf>
    <dxf>
      <fill>
        <gradientFill degree="90">
          <stop position="0">
            <color theme="0"/>
          </stop>
          <stop position="1">
            <color theme="3" tint="0.59999389629810485"/>
          </stop>
        </gradientFill>
      </fill>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fill>
        <gradientFill degree="180">
          <stop position="0">
            <color theme="0"/>
          </stop>
          <stop position="1">
            <color theme="5" tint="0.40000610370189521"/>
          </stop>
        </gradientFill>
      </fill>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font>
        <color theme="1" tint="0.499984740745262"/>
      </font>
      <fill>
        <patternFill>
          <bgColor theme="5" tint="0.79998168889431442"/>
        </patternFill>
      </fill>
      <border>
        <left style="thin">
          <color theme="0"/>
        </left>
        <right/>
        <top style="thin">
          <color theme="0"/>
        </top>
        <bottom style="thin">
          <color theme="0"/>
        </bottom>
        <vertical/>
        <horizontal/>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fill>
        <gradientFill degree="90">
          <stop position="0">
            <color theme="0"/>
          </stop>
          <stop position="1">
            <color theme="3" tint="0.59999389629810485"/>
          </stop>
        </gradientFill>
      </fill>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vertical/>
        <horizontal/>
      </border>
    </dxf>
  </dxfs>
  <tableStyles count="0" defaultTableStyle="TableStyleMedium2" defaultPivotStyle="PivotStyleLight16"/>
  <colors>
    <mruColors>
      <color rgb="FF336600"/>
      <color rgb="FF33CC33"/>
      <color rgb="FF00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11</xdr:col>
      <xdr:colOff>190500</xdr:colOff>
      <xdr:row>9</xdr:row>
      <xdr:rowOff>161925</xdr:rowOff>
    </xdr:from>
    <xdr:to>
      <xdr:col>11</xdr:col>
      <xdr:colOff>742950</xdr:colOff>
      <xdr:row>12</xdr:row>
      <xdr:rowOff>142875</xdr:rowOff>
    </xdr:to>
    <xdr:pic macro="[0]!Visualizar_Impressao">
      <xdr:nvPicPr>
        <xdr:cNvPr id="2" name="Imagem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7381875" y="1409700"/>
          <a:ext cx="552450" cy="552450"/>
        </a:xfrm>
        <a:prstGeom prst="rect">
          <a:avLst/>
        </a:prstGeom>
      </xdr:spPr>
    </xdr:pic>
    <xdr:clientData/>
  </xdr:twoCellAnchor>
  <xdr:twoCellAnchor editAs="oneCell">
    <xdr:from>
      <xdr:col>11</xdr:col>
      <xdr:colOff>85726</xdr:colOff>
      <xdr:row>3</xdr:row>
      <xdr:rowOff>19049</xdr:rowOff>
    </xdr:from>
    <xdr:to>
      <xdr:col>11</xdr:col>
      <xdr:colOff>790576</xdr:colOff>
      <xdr:row>5</xdr:row>
      <xdr:rowOff>114299</xdr:rowOff>
    </xdr:to>
    <xdr:sp macro="[0]!AjustarGeral" textlink="">
      <xdr:nvSpPr>
        <xdr:cNvPr id="6" name="CaixaDeTexto 5">
          <a:extLst>
            <a:ext uri="{FF2B5EF4-FFF2-40B4-BE49-F238E27FC236}">
              <a16:creationId xmlns:a16="http://schemas.microsoft.com/office/drawing/2014/main" id="{00000000-0008-0000-0100-000006000000}"/>
            </a:ext>
          </a:extLst>
        </xdr:cNvPr>
        <xdr:cNvSpPr txBox="1"/>
      </xdr:nvSpPr>
      <xdr:spPr>
        <a:xfrm>
          <a:off x="7277101" y="133349"/>
          <a:ext cx="704850" cy="466725"/>
        </a:xfrm>
        <a:prstGeom prst="rect">
          <a:avLst/>
        </a:prstGeom>
        <a:solidFill>
          <a:schemeClr val="accent6">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b="1">
              <a:solidFill>
                <a:schemeClr val="accent6">
                  <a:lumMod val="50000"/>
                </a:schemeClr>
              </a:solidFill>
            </a:rPr>
            <a:t>AJUSTAR</a:t>
          </a:r>
        </a:p>
        <a:p>
          <a:pPr algn="ctr"/>
          <a:r>
            <a:rPr lang="pt-BR" sz="800" b="1">
              <a:solidFill>
                <a:schemeClr val="accent6">
                  <a:lumMod val="50000"/>
                </a:schemeClr>
              </a:solidFill>
            </a:rPr>
            <a:t>FÓRMULAS</a:t>
          </a:r>
        </a:p>
      </xdr:txBody>
    </xdr:sp>
    <xdr:clientData fPrintsWithSheet="0"/>
  </xdr:twoCellAnchor>
  <xdr:twoCellAnchor editAs="oneCell">
    <xdr:from>
      <xdr:col>11</xdr:col>
      <xdr:colOff>85723</xdr:colOff>
      <xdr:row>6</xdr:row>
      <xdr:rowOff>57150</xdr:rowOff>
    </xdr:from>
    <xdr:to>
      <xdr:col>11</xdr:col>
      <xdr:colOff>790572</xdr:colOff>
      <xdr:row>8</xdr:row>
      <xdr:rowOff>142875</xdr:rowOff>
    </xdr:to>
    <xdr:sp macro="[0]!Limpar_Dados" textlink="">
      <xdr:nvSpPr>
        <xdr:cNvPr id="7" name="CaixaDeTexto 6">
          <a:extLst>
            <a:ext uri="{FF2B5EF4-FFF2-40B4-BE49-F238E27FC236}">
              <a16:creationId xmlns:a16="http://schemas.microsoft.com/office/drawing/2014/main" id="{00000000-0008-0000-0100-000007000000}"/>
            </a:ext>
          </a:extLst>
        </xdr:cNvPr>
        <xdr:cNvSpPr txBox="1"/>
      </xdr:nvSpPr>
      <xdr:spPr>
        <a:xfrm flipH="1">
          <a:off x="6810373" y="923925"/>
          <a:ext cx="704849" cy="466725"/>
        </a:xfrm>
        <a:prstGeom prst="rect">
          <a:avLst/>
        </a:prstGeom>
        <a:solidFill>
          <a:schemeClr val="accent6">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solidFill>
                <a:schemeClr val="accent5">
                  <a:lumMod val="50000"/>
                </a:schemeClr>
              </a:solidFill>
            </a:rPr>
            <a:t>LIMPAR</a:t>
          </a:r>
          <a:r>
            <a:rPr lang="pt-BR" sz="1100" b="1" baseline="0">
              <a:solidFill>
                <a:schemeClr val="accent5">
                  <a:lumMod val="50000"/>
                </a:schemeClr>
              </a:solidFill>
            </a:rPr>
            <a:t> DADOS</a:t>
          </a:r>
          <a:endParaRPr lang="pt-BR" sz="1100" b="1">
            <a:solidFill>
              <a:schemeClr val="accent5">
                <a:lumMod val="50000"/>
              </a:schemeClr>
            </a:solidFill>
          </a:endParaRPr>
        </a:p>
      </xdr:txBody>
    </xdr:sp>
    <xdr:clientData fPrintsWithSheet="0"/>
  </xdr:twoCellAnchor>
  <mc:AlternateContent xmlns:mc="http://schemas.openxmlformats.org/markup-compatibility/2006">
    <mc:Choice xmlns:a14="http://schemas.microsoft.com/office/drawing/2010/main" Requires="a14">
      <xdr:twoCellAnchor editAs="oneCell">
        <xdr:from>
          <xdr:col>2</xdr:col>
          <xdr:colOff>76200</xdr:colOff>
          <xdr:row>10</xdr:row>
          <xdr:rowOff>9525</xdr:rowOff>
        </xdr:from>
        <xdr:to>
          <xdr:col>2</xdr:col>
          <xdr:colOff>781050</xdr:colOff>
          <xdr:row>11</xdr:row>
          <xdr:rowOff>180975</xdr:rowOff>
        </xdr:to>
        <xdr:sp macro="" textlink="">
          <xdr:nvSpPr>
            <xdr:cNvPr id="1044" name="ChBoxIOF"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10</xdr:row>
          <xdr:rowOff>9525</xdr:rowOff>
        </xdr:from>
        <xdr:to>
          <xdr:col>3</xdr:col>
          <xdr:colOff>409575</xdr:colOff>
          <xdr:row>12</xdr:row>
          <xdr:rowOff>0</xdr:rowOff>
        </xdr:to>
        <xdr:sp macro="" textlink="">
          <xdr:nvSpPr>
            <xdr:cNvPr id="1049" name="OptPF" hidden="1">
              <a:extLst>
                <a:ext uri="{63B3BB69-23CF-44E3-9099-C40C66FF867C}">
                  <a14:compatExt spid="_x0000_s1049"/>
                </a:ext>
                <a:ext uri="{FF2B5EF4-FFF2-40B4-BE49-F238E27FC236}">
                  <a16:creationId xmlns:a16="http://schemas.microsoft.com/office/drawing/2014/main" id="{00000000-0008-0000-01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428625</xdr:colOff>
          <xdr:row>10</xdr:row>
          <xdr:rowOff>9525</xdr:rowOff>
        </xdr:from>
        <xdr:to>
          <xdr:col>3</xdr:col>
          <xdr:colOff>809625</xdr:colOff>
          <xdr:row>12</xdr:row>
          <xdr:rowOff>0</xdr:rowOff>
        </xdr:to>
        <xdr:sp macro="" textlink="">
          <xdr:nvSpPr>
            <xdr:cNvPr id="1050" name="OptPJ" hidden="1">
              <a:extLst>
                <a:ext uri="{63B3BB69-23CF-44E3-9099-C40C66FF867C}">
                  <a14:compatExt spid="_x0000_s1050"/>
                </a:ext>
                <a:ext uri="{FF2B5EF4-FFF2-40B4-BE49-F238E27FC236}">
                  <a16:creationId xmlns:a16="http://schemas.microsoft.com/office/drawing/2014/main" id="{00000000-0008-0000-0100-00001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57150</xdr:colOff>
      <xdr:row>5</xdr:row>
      <xdr:rowOff>9524</xdr:rowOff>
    </xdr:from>
    <xdr:to>
      <xdr:col>6</xdr:col>
      <xdr:colOff>781050</xdr:colOff>
      <xdr:row>7</xdr:row>
      <xdr:rowOff>114300</xdr:rowOff>
    </xdr:to>
    <xdr:sp macro="[0]!AjustarTaxa" textlink="">
      <xdr:nvSpPr>
        <xdr:cNvPr id="4" name="CaixaDeTexto 3">
          <a:extLst>
            <a:ext uri="{FF2B5EF4-FFF2-40B4-BE49-F238E27FC236}">
              <a16:creationId xmlns:a16="http://schemas.microsoft.com/office/drawing/2014/main" id="{69D57F61-C20A-42F4-8EC8-9A5F1DE1C198}"/>
            </a:ext>
          </a:extLst>
        </xdr:cNvPr>
        <xdr:cNvSpPr txBox="1"/>
      </xdr:nvSpPr>
      <xdr:spPr>
        <a:xfrm>
          <a:off x="3219450" y="495299"/>
          <a:ext cx="723900" cy="485776"/>
        </a:xfrm>
        <a:prstGeom prst="rect">
          <a:avLst/>
        </a:prstGeom>
        <a:solidFill>
          <a:schemeClr val="accent1">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AJUSTAR</a:t>
          </a:r>
          <a:r>
            <a:rPr lang="pt-BR" sz="1100" b="1" baseline="0"/>
            <a:t> TAXA</a:t>
          </a:r>
          <a:endParaRPr lang="pt-BR" sz="1100" b="1"/>
        </a:p>
      </xdr:txBody>
    </xdr:sp>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comments" Target="../comments1.xml"/><Relationship Id="rId4" Type="http://schemas.openxmlformats.org/officeDocument/2006/relationships/control" Target="../activeX/activeX1.xml"/><Relationship Id="rId9"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_Tutorial"/>
  <dimension ref="B2:C14"/>
  <sheetViews>
    <sheetView showGridLines="0" workbookViewId="0">
      <selection activeCell="C15" sqref="C15"/>
    </sheetView>
  </sheetViews>
  <sheetFormatPr defaultRowHeight="22.5" customHeight="1" x14ac:dyDescent="0.25"/>
  <cols>
    <col min="1" max="1" width="3.85546875" style="8" customWidth="1"/>
    <col min="2" max="2" width="1.85546875" style="11" customWidth="1"/>
    <col min="3" max="3" width="150.42578125" style="12" customWidth="1"/>
    <col min="4" max="16384" width="9.140625" style="8"/>
  </cols>
  <sheetData>
    <row r="2" spans="2:3" ht="22.5" customHeight="1" x14ac:dyDescent="0.25">
      <c r="B2" s="40" t="s">
        <v>9</v>
      </c>
      <c r="C2" s="40"/>
    </row>
    <row r="4" spans="2:3" ht="22.5" customHeight="1" x14ac:dyDescent="0.25">
      <c r="B4" s="41" t="s">
        <v>10</v>
      </c>
      <c r="C4" s="41"/>
    </row>
    <row r="5" spans="2:3" ht="22.5" customHeight="1" x14ac:dyDescent="0.25">
      <c r="B5" s="9" t="s">
        <v>11</v>
      </c>
      <c r="C5" s="10" t="s">
        <v>12</v>
      </c>
    </row>
    <row r="6" spans="2:3" ht="22.5" customHeight="1" x14ac:dyDescent="0.25">
      <c r="B6" s="9" t="s">
        <v>11</v>
      </c>
      <c r="C6" s="10" t="s">
        <v>13</v>
      </c>
    </row>
    <row r="8" spans="2:3" ht="22.5" customHeight="1" x14ac:dyDescent="0.25">
      <c r="B8" s="41" t="s">
        <v>14</v>
      </c>
      <c r="C8" s="41"/>
    </row>
    <row r="9" spans="2:3" ht="22.5" customHeight="1" x14ac:dyDescent="0.25">
      <c r="B9" s="9" t="s">
        <v>11</v>
      </c>
      <c r="C9" s="10" t="s">
        <v>15</v>
      </c>
    </row>
    <row r="10" spans="2:3" ht="45" x14ac:dyDescent="0.25">
      <c r="B10" s="9" t="s">
        <v>11</v>
      </c>
      <c r="C10" s="10" t="s">
        <v>19</v>
      </c>
    </row>
    <row r="11" spans="2:3" ht="30" x14ac:dyDescent="0.25">
      <c r="B11" s="9" t="s">
        <v>11</v>
      </c>
      <c r="C11" s="10" t="s">
        <v>20</v>
      </c>
    </row>
    <row r="12" spans="2:3" ht="22.5" customHeight="1" x14ac:dyDescent="0.25">
      <c r="B12" s="9" t="s">
        <v>11</v>
      </c>
      <c r="C12" s="10" t="s">
        <v>16</v>
      </c>
    </row>
    <row r="13" spans="2:3" ht="30" x14ac:dyDescent="0.25">
      <c r="B13" s="9" t="s">
        <v>11</v>
      </c>
      <c r="C13" s="10" t="s">
        <v>17</v>
      </c>
    </row>
    <row r="14" spans="2:3" ht="22.5" customHeight="1" x14ac:dyDescent="0.25">
      <c r="B14" s="9" t="s">
        <v>11</v>
      </c>
      <c r="C14" s="10" t="s">
        <v>18</v>
      </c>
    </row>
  </sheetData>
  <sheetProtection formatColumns="0" deleteRows="0"/>
  <mergeCells count="3">
    <mergeCell ref="B2:C2"/>
    <mergeCell ref="B4:C4"/>
    <mergeCell ref="B8:C8"/>
  </mergeCells>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t_Calculo">
    <tabColor theme="8" tint="-0.249977111117893"/>
    <pageSetUpPr fitToPage="1"/>
  </sheetPr>
  <dimension ref="A1:M1002"/>
  <sheetViews>
    <sheetView showGridLines="0" tabSelected="1" topLeftCell="B1" zoomScaleNormal="100" workbookViewId="0">
      <pane ySplit="17" topLeftCell="A18" activePane="bottomLeft" state="frozen"/>
      <selection activeCell="B2" sqref="B2"/>
      <selection pane="bottomLeft" activeCell="F7" sqref="F7"/>
    </sheetView>
  </sheetViews>
  <sheetFormatPr defaultRowHeight="15" x14ac:dyDescent="0.25"/>
  <cols>
    <col min="1" max="1" width="13" style="17" hidden="1" customWidth="1"/>
    <col min="2" max="2" width="1.7109375" style="23" customWidth="1"/>
    <col min="3" max="3" width="12" style="5" customWidth="1"/>
    <col min="4" max="4" width="12.28515625" style="4" customWidth="1"/>
    <col min="5" max="5" width="10.7109375" style="15" bestFit="1" customWidth="1"/>
    <col min="6" max="6" width="12.140625" style="16" bestFit="1" customWidth="1"/>
    <col min="7" max="7" width="12.42578125" style="16" customWidth="1"/>
    <col min="8" max="9" width="13.42578125" style="16" customWidth="1"/>
    <col min="10" max="10" width="14.140625" style="16" customWidth="1"/>
    <col min="11" max="11" width="8" style="59" customWidth="1"/>
    <col min="12" max="12" width="13" style="23" customWidth="1"/>
    <col min="13" max="13" width="9.5703125" style="23" bestFit="1" customWidth="1"/>
    <col min="14" max="16384" width="9.140625" style="23"/>
  </cols>
  <sheetData>
    <row r="1" spans="1:13" ht="3" customHeight="1" x14ac:dyDescent="0.25"/>
    <row r="2" spans="1:13" hidden="1" x14ac:dyDescent="0.25">
      <c r="C2" s="17"/>
      <c r="D2" s="17"/>
      <c r="E2" s="16" t="str">
        <f>IF(OR(DataRecebimento="",C2=""),"",C2-$F$7)</f>
        <v/>
      </c>
      <c r="F2" s="16" t="str">
        <f>IF(OR(TaxaJuros="",C2=""),"",-D2*E2*($F$8/30))</f>
        <v/>
      </c>
      <c r="G2" s="16" t="str">
        <f>IF(OR(TaxaJuros="",C2=""),"",-$F$9)</f>
        <v/>
      </c>
      <c r="H2" s="16" t="str">
        <f>IF(OR(TaxaJuros="",C2=""),"",IF(ComSemIOF=FALSE,0,IF(E2&gt;365,-(D2+F2)*365*IOFDiario,-(D2+F2)*E2*IOFDiario)))</f>
        <v/>
      </c>
      <c r="I2" s="16" t="str">
        <f>IF(OR(TaxaJuros="",C2=""),"",IF(ComSemIOF=FALSE,0,-(D2+F2)*IOFAdic))</f>
        <v/>
      </c>
      <c r="J2" s="16" t="str">
        <f>IF(OR(TaxaJuros="",C2=""),"",D2+SUM(F2:I2))</f>
        <v/>
      </c>
      <c r="K2" s="16" t="str">
        <f>IF(OR(TaxaJuros="",C2=""),"",100%-J2/D2)</f>
        <v/>
      </c>
    </row>
    <row r="3" spans="1:13" ht="6" hidden="1" customHeight="1" x14ac:dyDescent="0.25">
      <c r="A3" s="23"/>
      <c r="C3" s="23"/>
      <c r="D3" s="23"/>
      <c r="E3" s="24"/>
      <c r="F3" s="25"/>
      <c r="G3" s="25"/>
      <c r="H3" s="25"/>
      <c r="I3" s="25"/>
      <c r="J3" s="25"/>
      <c r="K3" s="60"/>
    </row>
    <row r="4" spans="1:13" ht="21" customHeight="1" x14ac:dyDescent="0.25">
      <c r="A4" s="23"/>
      <c r="C4" s="51" t="s">
        <v>6</v>
      </c>
      <c r="D4" s="51"/>
      <c r="E4" s="51"/>
      <c r="F4" s="51"/>
      <c r="G4" s="51"/>
      <c r="H4" s="51"/>
      <c r="I4" s="51"/>
      <c r="J4" s="51"/>
      <c r="K4" s="51"/>
      <c r="L4" s="50"/>
    </row>
    <row r="5" spans="1:13" ht="8.25" customHeight="1" x14ac:dyDescent="0.25">
      <c r="A5" s="23"/>
      <c r="C5" s="26"/>
      <c r="D5" s="25"/>
      <c r="E5" s="24"/>
      <c r="F5" s="25"/>
      <c r="G5" s="27"/>
      <c r="H5" s="25"/>
      <c r="I5" s="25"/>
      <c r="J5" s="25"/>
      <c r="K5" s="60"/>
      <c r="L5" s="50"/>
    </row>
    <row r="6" spans="1:13" x14ac:dyDescent="0.25">
      <c r="A6" s="23"/>
      <c r="C6" s="51" t="s">
        <v>7</v>
      </c>
      <c r="D6" s="51"/>
      <c r="E6" s="51"/>
      <c r="F6" s="51"/>
      <c r="G6" s="42"/>
      <c r="H6" s="54" t="s">
        <v>5</v>
      </c>
      <c r="I6" s="54"/>
      <c r="J6" s="54"/>
      <c r="K6" s="54"/>
    </row>
    <row r="7" spans="1:13" x14ac:dyDescent="0.25">
      <c r="A7" s="23"/>
      <c r="C7" s="43" t="s">
        <v>21</v>
      </c>
      <c r="D7" s="43"/>
      <c r="E7" s="43"/>
      <c r="F7" s="1"/>
      <c r="G7" s="42"/>
      <c r="H7" s="57" t="s">
        <v>1</v>
      </c>
      <c r="I7" s="57"/>
      <c r="J7" s="58">
        <f>SUM(D18:D1000)</f>
        <v>0</v>
      </c>
      <c r="K7" s="62">
        <f>IFERROR(SUM(K8:K13),0)</f>
        <v>0</v>
      </c>
      <c r="L7" s="53"/>
    </row>
    <row r="8" spans="1:13" x14ac:dyDescent="0.25">
      <c r="A8" s="23"/>
      <c r="C8" s="43" t="s">
        <v>26</v>
      </c>
      <c r="D8" s="43"/>
      <c r="E8" s="43"/>
      <c r="F8" s="2"/>
      <c r="G8" s="25"/>
      <c r="H8" s="52" t="s">
        <v>34</v>
      </c>
      <c r="I8" s="52"/>
      <c r="J8" s="28">
        <f>SUM(F18:F1000)</f>
        <v>0</v>
      </c>
      <c r="K8" s="62">
        <f>IFERROR(-J8/$J$7,0)</f>
        <v>0</v>
      </c>
      <c r="L8" s="53"/>
      <c r="M8" s="56"/>
    </row>
    <row r="9" spans="1:13" x14ac:dyDescent="0.25">
      <c r="A9" s="23"/>
      <c r="C9" s="43" t="s">
        <v>37</v>
      </c>
      <c r="D9" s="43"/>
      <c r="E9" s="43"/>
      <c r="F9" s="55"/>
      <c r="G9" s="25"/>
      <c r="H9" s="52" t="s">
        <v>38</v>
      </c>
      <c r="I9" s="52"/>
      <c r="J9" s="29">
        <f>SUM(G18:G1000)</f>
        <v>0</v>
      </c>
      <c r="K9" s="62">
        <f>IFERROR(-J9/$J$7,0)</f>
        <v>0</v>
      </c>
      <c r="L9" s="53"/>
    </row>
    <row r="10" spans="1:13" x14ac:dyDescent="0.25">
      <c r="A10" s="23"/>
      <c r="C10" s="43" t="s">
        <v>25</v>
      </c>
      <c r="D10" s="43"/>
      <c r="E10" s="43"/>
      <c r="F10" s="66"/>
      <c r="G10" s="25"/>
      <c r="H10" s="52" t="s">
        <v>35</v>
      </c>
      <c r="I10" s="52"/>
      <c r="J10" s="28">
        <f>SUM(H18:H1000)</f>
        <v>0</v>
      </c>
      <c r="K10" s="62">
        <f>IFERROR(-J10/$J$7,0)</f>
        <v>0</v>
      </c>
    </row>
    <row r="11" spans="1:13" x14ac:dyDescent="0.25">
      <c r="A11" s="17" t="b">
        <v>1</v>
      </c>
      <c r="C11" s="44"/>
      <c r="D11" s="45"/>
      <c r="E11" s="30" t="s">
        <v>2</v>
      </c>
      <c r="F11" s="31">
        <f>IF(A11=FALSE,"Sem IOF",IF(A12=TRUE,0.0082%,0.0041%))</f>
        <v>4.1E-5</v>
      </c>
      <c r="G11" s="32"/>
      <c r="H11" s="52" t="s">
        <v>36</v>
      </c>
      <c r="I11" s="52"/>
      <c r="J11" s="28">
        <f>SUM(I18:I1000)</f>
        <v>0</v>
      </c>
      <c r="K11" s="62">
        <f>IFERROR(-J11/$J$7,0)</f>
        <v>0</v>
      </c>
      <c r="L11" s="53"/>
    </row>
    <row r="12" spans="1:13" x14ac:dyDescent="0.25">
      <c r="A12" s="17" t="b">
        <v>0</v>
      </c>
      <c r="C12" s="46"/>
      <c r="D12" s="47"/>
      <c r="E12" s="30" t="s">
        <v>4</v>
      </c>
      <c r="F12" s="31">
        <f>IF(A11=FALSE,"Sem IOF",0.38%)</f>
        <v>3.8E-3</v>
      </c>
      <c r="G12" s="25"/>
      <c r="H12" s="52" t="s">
        <v>3</v>
      </c>
      <c r="I12" s="52"/>
      <c r="J12" s="29">
        <f>IF(D18="",0,-F10)</f>
        <v>0</v>
      </c>
      <c r="K12" s="62">
        <f>IFERROR(-J12/$J$7,0)</f>
        <v>0</v>
      </c>
      <c r="L12" s="53"/>
    </row>
    <row r="13" spans="1:13" ht="20.25" customHeight="1" x14ac:dyDescent="0.25">
      <c r="A13" s="23"/>
      <c r="C13" s="71" t="s">
        <v>23</v>
      </c>
      <c r="D13" s="71"/>
      <c r="E13" s="71"/>
      <c r="F13" s="72">
        <f>IFERROR(SUMPRODUCT(D18:D1001,E18:E1001)/SUM(D18:D1001),0)</f>
        <v>0</v>
      </c>
      <c r="G13" s="32"/>
      <c r="H13" s="68" t="s">
        <v>8</v>
      </c>
      <c r="I13" s="68"/>
      <c r="J13" s="69">
        <f>SUM(J7:J12)</f>
        <v>0</v>
      </c>
      <c r="K13" s="70">
        <f>IFERROR(J13/$J$7,0)</f>
        <v>0</v>
      </c>
      <c r="L13" s="53"/>
    </row>
    <row r="14" spans="1:13" x14ac:dyDescent="0.25">
      <c r="A14" s="23"/>
      <c r="C14" s="48" t="str">
        <f>IF(OR(TaxaJuros="",ValorAntecipacao=0),"","CUSTO EFETIVO NO PERÍODO")</f>
        <v/>
      </c>
      <c r="D14" s="48"/>
      <c r="E14" s="48"/>
      <c r="F14" s="33" t="str">
        <f>IF(OR(TaxaJuros="",ValorAntecipacao=0),"",100%-ValorAntecipacao/$J$7)</f>
        <v/>
      </c>
      <c r="G14" s="32"/>
      <c r="H14" s="43" t="s">
        <v>22</v>
      </c>
      <c r="I14" s="43"/>
      <c r="J14" s="3"/>
      <c r="K14" s="63" t="str">
        <f>IF(OR(ValorAntecipacao=0,ValorAntecipado="",ValorAntecipado=0),"",100%-ValorAntecipado/J7)</f>
        <v/>
      </c>
      <c r="L14" s="64"/>
    </row>
    <row r="15" spans="1:13" x14ac:dyDescent="0.25">
      <c r="A15" s="23"/>
      <c r="B15" s="32"/>
      <c r="C15" s="48" t="str">
        <f>IF(OR(TaxaJuros="",ValorAntecipacao=0),"","CUSTO EFETIVO MENSAL")</f>
        <v/>
      </c>
      <c r="D15" s="48"/>
      <c r="E15" s="48"/>
      <c r="F15" s="33" t="str">
        <f>IFERROR(IF(CustoEfetivoPeriodo="","",(1+CustoEfetivoPeriodo)^(30/PrazoMedio)-1),0)</f>
        <v/>
      </c>
      <c r="G15" s="25"/>
      <c r="H15" s="49" t="s">
        <v>24</v>
      </c>
      <c r="I15" s="49"/>
      <c r="J15" s="34">
        <f>IF(OR(ValorAntecipado="",ValorAntecipado=0),0,ValorAntecipado-ValorAntecipacao)</f>
        <v>0</v>
      </c>
      <c r="K15" s="61"/>
      <c r="L15" s="65"/>
    </row>
    <row r="16" spans="1:13" ht="9" customHeight="1" x14ac:dyDescent="0.25">
      <c r="A16" s="23"/>
      <c r="C16" s="23"/>
      <c r="D16" s="23"/>
      <c r="E16" s="23"/>
      <c r="F16" s="23"/>
      <c r="G16" s="25"/>
      <c r="H16" s="25"/>
      <c r="I16" s="25"/>
      <c r="J16" s="25"/>
      <c r="K16" s="60"/>
    </row>
    <row r="17" spans="3:13" s="35" customFormat="1" ht="30" x14ac:dyDescent="0.25">
      <c r="C17" s="37" t="s">
        <v>32</v>
      </c>
      <c r="D17" s="38" t="s">
        <v>31</v>
      </c>
      <c r="E17" s="39" t="s">
        <v>0</v>
      </c>
      <c r="F17" s="38" t="s">
        <v>27</v>
      </c>
      <c r="G17" s="38" t="s">
        <v>28</v>
      </c>
      <c r="H17" s="38" t="s">
        <v>33</v>
      </c>
      <c r="I17" s="38" t="s">
        <v>29</v>
      </c>
      <c r="J17" s="38" t="s">
        <v>30</v>
      </c>
      <c r="K17" s="38" t="s">
        <v>39</v>
      </c>
    </row>
    <row r="18" spans="3:13" x14ac:dyDescent="0.25">
      <c r="C18" s="6"/>
      <c r="D18" s="7"/>
      <c r="E18" s="18" t="str">
        <f>IF(OR(DataRecebimento="",C18=""),"",C18-$F$7)</f>
        <v/>
      </c>
      <c r="F18" s="19" t="str">
        <f>IF(OR(TaxaJuros="",C18=""),"",-D18*E18*($F$8/30))</f>
        <v/>
      </c>
      <c r="G18" s="19" t="str">
        <f>IF(OR(TaxaJuros="",C18=""),"",-$F$9)</f>
        <v/>
      </c>
      <c r="H18" s="22" t="str">
        <f>IF(OR(TaxaJuros="",C18=""),"",IF(ComSemIOF=FALSE,0,IF(E18&gt;365,-(D18+F18)*365*IOFDiario,-(D18+F18)*E18*IOFDiario)))</f>
        <v/>
      </c>
      <c r="I18" s="19" t="str">
        <f>IF(OR(TaxaJuros="",C18=""),"",IF(ComSemIOF=FALSE,0,-(D18+F18)*IOFAdic))</f>
        <v/>
      </c>
      <c r="J18" s="19" t="str">
        <f>IF(OR(TaxaJuros="",C18=""),"",D18+SUM(F18:I18))</f>
        <v/>
      </c>
      <c r="K18" s="73" t="str">
        <f>IF(OR(TaxaJuros="",C18=""),"",100%-J18/D18)</f>
        <v/>
      </c>
      <c r="L18" s="36"/>
      <c r="M18" s="36"/>
    </row>
    <row r="19" spans="3:13" x14ac:dyDescent="0.25">
      <c r="C19" s="13"/>
      <c r="D19" s="14"/>
      <c r="E19" s="20" t="str">
        <f>IF(OR(DataRecebimento="",C19=""),"",C19-$F$7)</f>
        <v/>
      </c>
      <c r="F19" s="21" t="str">
        <f>IF(OR(TaxaJuros="",C19=""),"",-D19*E19*($F$8/30))</f>
        <v/>
      </c>
      <c r="G19" s="21" t="str">
        <f>IF(OR(TaxaJuros="",C19=""),"",-$F$9)</f>
        <v/>
      </c>
      <c r="H19" s="21" t="str">
        <f>IF(OR(TaxaJuros="",C19=""),"",IF(ComSemIOF=FALSE,0,IF(E19&gt;365,-(D19+F19)*365*IOFDiario,-(D19+F19)*E19*IOFDiario)))</f>
        <v/>
      </c>
      <c r="I19" s="21" t="str">
        <f>IF(OR(TaxaJuros="",C19=""),"",IF(ComSemIOF=FALSE,0,-(D19+F19)*IOFAdic))</f>
        <v/>
      </c>
      <c r="J19" s="21" t="str">
        <f>IF(OR(TaxaJuros="",C19=""),"",D19+SUM(F19:I19))</f>
        <v/>
      </c>
      <c r="K19" s="67" t="str">
        <f>IF(OR(TaxaJuros="",C19=""),"",100%-J19/D19)</f>
        <v/>
      </c>
      <c r="L19" s="36"/>
      <c r="M19" s="36"/>
    </row>
    <row r="20" spans="3:13" x14ac:dyDescent="0.25">
      <c r="C20" s="13"/>
      <c r="D20" s="14"/>
      <c r="E20" s="20" t="str">
        <f>IF(OR(DataRecebimento="",C20=""),"",C20-$F$7)</f>
        <v/>
      </c>
      <c r="F20" s="21" t="str">
        <f>IF(OR(TaxaJuros="",C20=""),"",-D20*E20*($F$8/30))</f>
        <v/>
      </c>
      <c r="G20" s="21" t="str">
        <f>IF(OR(TaxaJuros="",C20=""),"",-$F$9)</f>
        <v/>
      </c>
      <c r="H20" s="21" t="str">
        <f>IF(OR(TaxaJuros="",C20=""),"",IF(ComSemIOF=FALSE,0,IF(E20&gt;365,-(D20+F20)*365*IOFDiario,-(D20+F20)*E20*IOFDiario)))</f>
        <v/>
      </c>
      <c r="I20" s="21" t="str">
        <f>IF(OR(TaxaJuros="",C20=""),"",IF(ComSemIOF=FALSE,0,-(D20+F20)*IOFAdic))</f>
        <v/>
      </c>
      <c r="J20" s="21" t="str">
        <f>IF(OR(TaxaJuros="",C20=""),"",D20+SUM(F20:I20))</f>
        <v/>
      </c>
      <c r="K20" s="67" t="str">
        <f>IF(OR(TaxaJuros="",C20=""),"",100%-J20/D20)</f>
        <v/>
      </c>
      <c r="L20" s="36"/>
    </row>
    <row r="21" spans="3:13" x14ac:dyDescent="0.25">
      <c r="E21" s="15" t="str">
        <f>IF(OR(DataRecebimento="",C21=""),"",C21-$F$7)</f>
        <v/>
      </c>
      <c r="F21" s="16" t="str">
        <f>IF(OR(TaxaJuros="",C21=""),"",-D21*E21*($F$8/30))</f>
        <v/>
      </c>
      <c r="G21" s="16" t="str">
        <f>IF(OR(TaxaJuros="",C21=""),"",-$F$9)</f>
        <v/>
      </c>
      <c r="H21" s="21" t="str">
        <f>IF(OR(TaxaJuros="",C21=""),"",IF(ComSemIOF=FALSE,0,IF(E21&gt;365,-(D21+F21)*365*IOFDiario,-(D21+F21)*E21*IOFDiario)))</f>
        <v/>
      </c>
      <c r="I21" s="21" t="str">
        <f>IF(OR(TaxaJuros="",C21=""),"",IF(ComSemIOF=FALSE,0,-(D21+F21)*IOFAdic))</f>
        <v/>
      </c>
      <c r="J21" s="16" t="str">
        <f>IF(OR(TaxaJuros="",C21=""),"",D21+SUM(F21:I21))</f>
        <v/>
      </c>
      <c r="K21" s="67" t="str">
        <f>IF(OR(TaxaJuros="",C21=""),"",100%-J21/D21)</f>
        <v/>
      </c>
      <c r="L21" s="36"/>
    </row>
    <row r="22" spans="3:13" x14ac:dyDescent="0.25">
      <c r="E22" s="15" t="str">
        <f>IF(OR(DataRecebimento="",C22=""),"",C22-$F$7)</f>
        <v/>
      </c>
      <c r="F22" s="16" t="str">
        <f>IF(OR(TaxaJuros="",C22=""),"",-D22*E22*($F$8/30))</f>
        <v/>
      </c>
      <c r="G22" s="16" t="str">
        <f>IF(OR(TaxaJuros="",C22=""),"",-$F$9)</f>
        <v/>
      </c>
      <c r="H22" s="21" t="str">
        <f>IF(OR(TaxaJuros="",C22=""),"",IF(ComSemIOF=FALSE,0,IF(E22&gt;365,-(D22+F22)*365*IOFDiario,-(D22+F22)*E22*IOFDiario)))</f>
        <v/>
      </c>
      <c r="I22" s="21" t="str">
        <f>IF(OR(TaxaJuros="",C22=""),"",IF(ComSemIOF=FALSE,0,-(D22+F22)*IOFAdic))</f>
        <v/>
      </c>
      <c r="J22" s="16" t="str">
        <f>IF(OR(TaxaJuros="",C22=""),"",D22+SUM(F22:I22))</f>
        <v/>
      </c>
      <c r="K22" s="67" t="str">
        <f>IF(OR(TaxaJuros="",C22=""),"",100%-J22/D22)</f>
        <v/>
      </c>
      <c r="L22" s="36"/>
      <c r="M22" s="36"/>
    </row>
    <row r="23" spans="3:13" x14ac:dyDescent="0.25">
      <c r="E23" s="15" t="str">
        <f>IF(OR(DataRecebimento="",C23=""),"",C23-$F$7)</f>
        <v/>
      </c>
      <c r="F23" s="16" t="str">
        <f>IF(OR(TaxaJuros="",C23=""),"",-D23*E23*($F$8/30))</f>
        <v/>
      </c>
      <c r="G23" s="16" t="str">
        <f>IF(OR(TaxaJuros="",C23=""),"",-$F$9)</f>
        <v/>
      </c>
      <c r="H23" s="21" t="str">
        <f>IF(OR(TaxaJuros="",C23=""),"",IF(ComSemIOF=FALSE,0,IF(E23&gt;365,-(D23+F23)*365*IOFDiario,-(D23+F23)*E23*IOFDiario)))</f>
        <v/>
      </c>
      <c r="I23" s="21" t="str">
        <f>IF(OR(TaxaJuros="",C23=""),"",IF(ComSemIOF=FALSE,0,-(D23+F23)*IOFAdic))</f>
        <v/>
      </c>
      <c r="J23" s="16" t="str">
        <f>IF(OR(TaxaJuros="",C23=""),"",D23+SUM(F23:I23))</f>
        <v/>
      </c>
      <c r="K23" s="67" t="str">
        <f>IF(OR(TaxaJuros="",C23=""),"",100%-J23/D23)</f>
        <v/>
      </c>
    </row>
    <row r="24" spans="3:13" x14ac:dyDescent="0.25">
      <c r="E24" s="15" t="str">
        <f>IF(OR(DataRecebimento="",C24=""),"",C24-$F$7)</f>
        <v/>
      </c>
      <c r="F24" s="16" t="str">
        <f>IF(OR(TaxaJuros="",C24=""),"",-D24*E24*($F$8/30))</f>
        <v/>
      </c>
      <c r="G24" s="16" t="str">
        <f>IF(OR(TaxaJuros="",C24=""),"",-$F$9)</f>
        <v/>
      </c>
      <c r="H24" s="21" t="str">
        <f>IF(OR(TaxaJuros="",C24=""),"",IF(ComSemIOF=FALSE,0,IF(E24&gt;365,-(D24+F24)*365*IOFDiario,-(D24+F24)*E24*IOFDiario)))</f>
        <v/>
      </c>
      <c r="I24" s="21" t="str">
        <f>IF(OR(TaxaJuros="",C24=""),"",IF(ComSemIOF=FALSE,0,-(D24+F24)*IOFAdic))</f>
        <v/>
      </c>
      <c r="J24" s="16" t="str">
        <f>IF(OR(TaxaJuros="",C24=""),"",D24+SUM(F24:I24))</f>
        <v/>
      </c>
      <c r="K24" s="67" t="str">
        <f>IF(OR(TaxaJuros="",C24=""),"",100%-J24/D24)</f>
        <v/>
      </c>
    </row>
    <row r="25" spans="3:13" x14ac:dyDescent="0.25">
      <c r="E25" s="15" t="str">
        <f>IF(OR(DataRecebimento="",C25=""),"",C25-$F$7)</f>
        <v/>
      </c>
      <c r="F25" s="16" t="str">
        <f>IF(OR(TaxaJuros="",C25=""),"",-D25*E25*($F$8/30))</f>
        <v/>
      </c>
      <c r="G25" s="16" t="str">
        <f>IF(OR(TaxaJuros="",C25=""),"",-$F$9)</f>
        <v/>
      </c>
      <c r="H25" s="21" t="str">
        <f>IF(OR(TaxaJuros="",C25=""),"",IF(ComSemIOF=FALSE,0,IF(E25&gt;365,-(D25+F25)*365*IOFDiario,-(D25+F25)*E25*IOFDiario)))</f>
        <v/>
      </c>
      <c r="I25" s="21" t="str">
        <f>IF(OR(TaxaJuros="",C25=""),"",IF(ComSemIOF=FALSE,0,-(D25+F25)*IOFAdic))</f>
        <v/>
      </c>
      <c r="J25" s="16" t="str">
        <f>IF(OR(TaxaJuros="",C25=""),"",D25+SUM(F25:I25))</f>
        <v/>
      </c>
      <c r="K25" s="67" t="str">
        <f>IF(OR(TaxaJuros="",C25=""),"",100%-J25/D25)</f>
        <v/>
      </c>
    </row>
    <row r="26" spans="3:13" x14ac:dyDescent="0.25">
      <c r="E26" s="15" t="str">
        <f>IF(OR(DataRecebimento="",C26=""),"",C26-$F$7)</f>
        <v/>
      </c>
      <c r="F26" s="16" t="str">
        <f>IF(OR(TaxaJuros="",C26=""),"",-D26*E26*($F$8/30))</f>
        <v/>
      </c>
      <c r="G26" s="16" t="str">
        <f>IF(OR(TaxaJuros="",C26=""),"",-$F$9)</f>
        <v/>
      </c>
      <c r="H26" s="21" t="str">
        <f>IF(OR(TaxaJuros="",C26=""),"",IF(ComSemIOF=FALSE,0,IF(E26&gt;365,-(D26+F26)*365*IOFDiario,-(D26+F26)*E26*IOFDiario)))</f>
        <v/>
      </c>
      <c r="I26" s="21" t="str">
        <f>IF(OR(TaxaJuros="",C26=""),"",IF(ComSemIOF=FALSE,0,-(D26+F26)*IOFAdic))</f>
        <v/>
      </c>
      <c r="J26" s="16" t="str">
        <f>IF(OR(TaxaJuros="",C26=""),"",D26+SUM(F26:I26))</f>
        <v/>
      </c>
      <c r="K26" s="67" t="str">
        <f>IF(OR(TaxaJuros="",C26=""),"",100%-J26/D26)</f>
        <v/>
      </c>
    </row>
    <row r="27" spans="3:13" x14ac:dyDescent="0.25">
      <c r="E27" s="15" t="str">
        <f>IF(OR(DataRecebimento="",C27=""),"",C27-$F$7)</f>
        <v/>
      </c>
      <c r="F27" s="16" t="str">
        <f>IF(OR(TaxaJuros="",C27=""),"",-D27*E27*($F$8/30))</f>
        <v/>
      </c>
      <c r="G27" s="16" t="str">
        <f>IF(OR(TaxaJuros="",C27=""),"",-$F$9)</f>
        <v/>
      </c>
      <c r="H27" s="21" t="str">
        <f>IF(OR(TaxaJuros="",C27=""),"",IF(ComSemIOF=FALSE,0,IF(E27&gt;365,-(D27+F27)*365*IOFDiario,-(D27+F27)*E27*IOFDiario)))</f>
        <v/>
      </c>
      <c r="I27" s="21" t="str">
        <f>IF(OR(TaxaJuros="",C27=""),"",IF(ComSemIOF=FALSE,0,-(D27+F27)*IOFAdic))</f>
        <v/>
      </c>
      <c r="J27" s="16" t="str">
        <f>IF(OR(TaxaJuros="",C27=""),"",D27+SUM(F27:I27))</f>
        <v/>
      </c>
      <c r="K27" s="67" t="str">
        <f>IF(OR(TaxaJuros="",C27=""),"",100%-J27/D27)</f>
        <v/>
      </c>
    </row>
    <row r="28" spans="3:13" x14ac:dyDescent="0.25">
      <c r="E28" s="15" t="str">
        <f>IF(OR(DataRecebimento="",C28=""),"",C28-$F$7)</f>
        <v/>
      </c>
      <c r="F28" s="16" t="str">
        <f>IF(OR(TaxaJuros="",C28=""),"",-D28*E28*($F$8/30))</f>
        <v/>
      </c>
      <c r="G28" s="16" t="str">
        <f>IF(OR(TaxaJuros="",C28=""),"",-$F$9)</f>
        <v/>
      </c>
      <c r="H28" s="21" t="str">
        <f>IF(OR(TaxaJuros="",C28=""),"",IF(ComSemIOF=FALSE,0,IF(E28&gt;365,-(D28+F28)*365*IOFDiario,-(D28+F28)*E28*IOFDiario)))</f>
        <v/>
      </c>
      <c r="I28" s="21" t="str">
        <f>IF(OR(TaxaJuros="",C28=""),"",IF(ComSemIOF=FALSE,0,-(D28+F28)*IOFAdic))</f>
        <v/>
      </c>
      <c r="J28" s="16" t="str">
        <f>IF(OR(TaxaJuros="",C28=""),"",D28+SUM(F28:I28))</f>
        <v/>
      </c>
      <c r="K28" s="67" t="str">
        <f>IF(OR(TaxaJuros="",C28=""),"",100%-J28/D28)</f>
        <v/>
      </c>
    </row>
    <row r="29" spans="3:13" x14ac:dyDescent="0.25">
      <c r="E29" s="15" t="str">
        <f>IF(OR(DataRecebimento="",C29=""),"",C29-$F$7)</f>
        <v/>
      </c>
      <c r="F29" s="16" t="str">
        <f>IF(OR(TaxaJuros="",C29=""),"",-D29*E29*($F$8/30))</f>
        <v/>
      </c>
      <c r="G29" s="16" t="str">
        <f>IF(OR(TaxaJuros="",C29=""),"",-$F$9)</f>
        <v/>
      </c>
      <c r="H29" s="21" t="str">
        <f>IF(OR(TaxaJuros="",C29=""),"",IF(ComSemIOF=FALSE,0,IF(E29&gt;365,-(D29+F29)*365*IOFDiario,-(D29+F29)*E29*IOFDiario)))</f>
        <v/>
      </c>
      <c r="I29" s="21" t="str">
        <f>IF(OR(TaxaJuros="",C29=""),"",IF(ComSemIOF=FALSE,0,-(D29+F29)*IOFAdic))</f>
        <v/>
      </c>
      <c r="J29" s="16" t="str">
        <f>IF(OR(TaxaJuros="",C29=""),"",D29+SUM(F29:I29))</f>
        <v/>
      </c>
      <c r="K29" s="67" t="str">
        <f>IF(OR(TaxaJuros="",C29=""),"",100%-J29/D29)</f>
        <v/>
      </c>
    </row>
    <row r="30" spans="3:13" x14ac:dyDescent="0.25">
      <c r="E30" s="15" t="str">
        <f>IF(OR(DataRecebimento="",C30=""),"",C30-$F$7)</f>
        <v/>
      </c>
      <c r="F30" s="16" t="str">
        <f>IF(OR(TaxaJuros="",C30=""),"",-D30*E30*($F$8/30))</f>
        <v/>
      </c>
      <c r="G30" s="16" t="str">
        <f>IF(OR(TaxaJuros="",C30=""),"",-$F$9)</f>
        <v/>
      </c>
      <c r="H30" s="21" t="str">
        <f>IF(OR(TaxaJuros="",C30=""),"",IF(ComSemIOF=FALSE,0,IF(E30&gt;365,-(D30+F30)*365*IOFDiario,-(D30+F30)*E30*IOFDiario)))</f>
        <v/>
      </c>
      <c r="I30" s="21" t="str">
        <f>IF(OR(TaxaJuros="",C30=""),"",IF(ComSemIOF=FALSE,0,-(D30+F30)*IOFAdic))</f>
        <v/>
      </c>
      <c r="J30" s="16" t="str">
        <f>IF(OR(TaxaJuros="",C30=""),"",D30+SUM(F30:I30))</f>
        <v/>
      </c>
      <c r="K30" s="67" t="str">
        <f>IF(OR(TaxaJuros="",C30=""),"",100%-J30/D30)</f>
        <v/>
      </c>
    </row>
    <row r="31" spans="3:13" x14ac:dyDescent="0.25">
      <c r="E31" s="15" t="str">
        <f>IF(OR(DataRecebimento="",C31=""),"",C31-$F$7)</f>
        <v/>
      </c>
      <c r="F31" s="16" t="str">
        <f>IF(OR(TaxaJuros="",C31=""),"",-D31*E31*($F$8/30))</f>
        <v/>
      </c>
      <c r="G31" s="16" t="str">
        <f>IF(OR(TaxaJuros="",C31=""),"",-$F$9)</f>
        <v/>
      </c>
      <c r="H31" s="21" t="str">
        <f>IF(OR(TaxaJuros="",C31=""),"",IF(ComSemIOF=FALSE,0,IF(E31&gt;365,-(D31+F31)*365*IOFDiario,-(D31+F31)*E31*IOFDiario)))</f>
        <v/>
      </c>
      <c r="I31" s="21" t="str">
        <f>IF(OR(TaxaJuros="",C31=""),"",IF(ComSemIOF=FALSE,0,-(D31+F31)*IOFAdic))</f>
        <v/>
      </c>
      <c r="J31" s="16" t="str">
        <f>IF(OR(TaxaJuros="",C31=""),"",D31+SUM(F31:I31))</f>
        <v/>
      </c>
      <c r="K31" s="67" t="str">
        <f>IF(OR(TaxaJuros="",C31=""),"",100%-J31/D31)</f>
        <v/>
      </c>
    </row>
    <row r="32" spans="3:13" x14ac:dyDescent="0.25">
      <c r="E32" s="15" t="str">
        <f>IF(OR(DataRecebimento="",C32=""),"",C32-$F$7)</f>
        <v/>
      </c>
      <c r="F32" s="16" t="str">
        <f>IF(OR(TaxaJuros="",C32=""),"",-D32*E32*($F$8/30))</f>
        <v/>
      </c>
      <c r="G32" s="16" t="str">
        <f>IF(OR(TaxaJuros="",C32=""),"",-$F$9)</f>
        <v/>
      </c>
      <c r="H32" s="21" t="str">
        <f>IF(OR(TaxaJuros="",C32=""),"",IF(ComSemIOF=FALSE,0,IF(E32&gt;365,-(D32+F32)*365*IOFDiario,-(D32+F32)*E32*IOFDiario)))</f>
        <v/>
      </c>
      <c r="I32" s="21" t="str">
        <f>IF(OR(TaxaJuros="",C32=""),"",IF(ComSemIOF=FALSE,0,-(D32+F32)*IOFAdic))</f>
        <v/>
      </c>
      <c r="J32" s="16" t="str">
        <f>IF(OR(TaxaJuros="",C32=""),"",D32+SUM(F32:I32))</f>
        <v/>
      </c>
      <c r="K32" s="67" t="str">
        <f>IF(OR(TaxaJuros="",C32=""),"",100%-J32/D32)</f>
        <v/>
      </c>
    </row>
    <row r="33" spans="5:11" x14ac:dyDescent="0.25">
      <c r="E33" s="15" t="str">
        <f>IF(OR(DataRecebimento="",C33=""),"",C33-$F$7)</f>
        <v/>
      </c>
      <c r="F33" s="16" t="str">
        <f>IF(OR(TaxaJuros="",C33=""),"",-D33*E33*($F$8/30))</f>
        <v/>
      </c>
      <c r="G33" s="16" t="str">
        <f>IF(OR(TaxaJuros="",C33=""),"",-$F$9)</f>
        <v/>
      </c>
      <c r="H33" s="21" t="str">
        <f>IF(OR(TaxaJuros="",C33=""),"",IF(ComSemIOF=FALSE,0,IF(E33&gt;365,-(D33+F33)*365*IOFDiario,-(D33+F33)*E33*IOFDiario)))</f>
        <v/>
      </c>
      <c r="I33" s="21" t="str">
        <f>IF(OR(TaxaJuros="",C33=""),"",IF(ComSemIOF=FALSE,0,-(D33+F33)*IOFAdic))</f>
        <v/>
      </c>
      <c r="J33" s="16" t="str">
        <f>IF(OR(TaxaJuros="",C33=""),"",D33+SUM(F33:I33))</f>
        <v/>
      </c>
      <c r="K33" s="67" t="str">
        <f>IF(OR(TaxaJuros="",C33=""),"",100%-J33/D33)</f>
        <v/>
      </c>
    </row>
    <row r="34" spans="5:11" x14ac:dyDescent="0.25">
      <c r="E34" s="15" t="str">
        <f>IF(OR(DataRecebimento="",C34=""),"",C34-$F$7)</f>
        <v/>
      </c>
      <c r="F34" s="16" t="str">
        <f>IF(OR(TaxaJuros="",C34=""),"",-D34*E34*($F$8/30))</f>
        <v/>
      </c>
      <c r="G34" s="16" t="str">
        <f>IF(OR(TaxaJuros="",C34=""),"",-$F$9)</f>
        <v/>
      </c>
      <c r="H34" s="21" t="str">
        <f>IF(OR(TaxaJuros="",C34=""),"",IF(ComSemIOF=FALSE,0,IF(E34&gt;365,-(D34+F34)*365*IOFDiario,-(D34+F34)*E34*IOFDiario)))</f>
        <v/>
      </c>
      <c r="I34" s="21" t="str">
        <f>IF(OR(TaxaJuros="",C34=""),"",IF(ComSemIOF=FALSE,0,-(D34+F34)*IOFAdic))</f>
        <v/>
      </c>
      <c r="J34" s="16" t="str">
        <f>IF(OR(TaxaJuros="",C34=""),"",D34+SUM(F34:I34))</f>
        <v/>
      </c>
      <c r="K34" s="67" t="str">
        <f>IF(OR(TaxaJuros="",C34=""),"",100%-J34/D34)</f>
        <v/>
      </c>
    </row>
    <row r="35" spans="5:11" x14ac:dyDescent="0.25">
      <c r="E35" s="15" t="str">
        <f>IF(OR(DataRecebimento="",C35=""),"",C35-$F$7)</f>
        <v/>
      </c>
      <c r="F35" s="16" t="str">
        <f>IF(OR(TaxaJuros="",C35=""),"",-D35*E35*($F$8/30))</f>
        <v/>
      </c>
      <c r="G35" s="16" t="str">
        <f>IF(OR(TaxaJuros="",C35=""),"",-$F$9)</f>
        <v/>
      </c>
      <c r="H35" s="21" t="str">
        <f>IF(OR(TaxaJuros="",C35=""),"",IF(ComSemIOF=FALSE,0,IF(E35&gt;365,-(D35+F35)*365*IOFDiario,-(D35+F35)*E35*IOFDiario)))</f>
        <v/>
      </c>
      <c r="I35" s="21" t="str">
        <f>IF(OR(TaxaJuros="",C35=""),"",IF(ComSemIOF=FALSE,0,-(D35+F35)*IOFAdic))</f>
        <v/>
      </c>
      <c r="J35" s="16" t="str">
        <f>IF(OR(TaxaJuros="",C35=""),"",D35+SUM(F35:I35))</f>
        <v/>
      </c>
      <c r="K35" s="67" t="str">
        <f>IF(OR(TaxaJuros="",C35=""),"",100%-J35/D35)</f>
        <v/>
      </c>
    </row>
    <row r="36" spans="5:11" x14ac:dyDescent="0.25">
      <c r="E36" s="15" t="str">
        <f>IF(OR(DataRecebimento="",C36=""),"",C36-$F$7)</f>
        <v/>
      </c>
      <c r="F36" s="16" t="str">
        <f>IF(OR(TaxaJuros="",C36=""),"",-D36*E36*($F$8/30))</f>
        <v/>
      </c>
      <c r="G36" s="16" t="str">
        <f>IF(OR(TaxaJuros="",C36=""),"",-$F$9)</f>
        <v/>
      </c>
      <c r="H36" s="21" t="str">
        <f>IF(OR(TaxaJuros="",C36=""),"",IF(ComSemIOF=FALSE,0,IF(E36&gt;365,-(D36+F36)*365*IOFDiario,-(D36+F36)*E36*IOFDiario)))</f>
        <v/>
      </c>
      <c r="I36" s="21" t="str">
        <f>IF(OR(TaxaJuros="",C36=""),"",IF(ComSemIOF=FALSE,0,-(D36+F36)*IOFAdic))</f>
        <v/>
      </c>
      <c r="J36" s="16" t="str">
        <f>IF(OR(TaxaJuros="",C36=""),"",D36+SUM(F36:I36))</f>
        <v/>
      </c>
      <c r="K36" s="67" t="str">
        <f>IF(OR(TaxaJuros="",C36=""),"",100%-J36/D36)</f>
        <v/>
      </c>
    </row>
    <row r="37" spans="5:11" x14ac:dyDescent="0.25">
      <c r="E37" s="15" t="str">
        <f>IF(OR(DataRecebimento="",C37=""),"",C37-$F$7)</f>
        <v/>
      </c>
      <c r="F37" s="16" t="str">
        <f>IF(OR(TaxaJuros="",C37=""),"",-D37*E37*($F$8/30))</f>
        <v/>
      </c>
      <c r="G37" s="16" t="str">
        <f>IF(OR(TaxaJuros="",C37=""),"",-$F$9)</f>
        <v/>
      </c>
      <c r="H37" s="21" t="str">
        <f>IF(OR(TaxaJuros="",C37=""),"",IF(ComSemIOF=FALSE,0,IF(E37&gt;365,-(D37+F37)*365*IOFDiario,-(D37+F37)*E37*IOFDiario)))</f>
        <v/>
      </c>
      <c r="I37" s="21" t="str">
        <f>IF(OR(TaxaJuros="",C37=""),"",IF(ComSemIOF=FALSE,0,-(D37+F37)*IOFAdic))</f>
        <v/>
      </c>
      <c r="J37" s="16" t="str">
        <f>IF(OR(TaxaJuros="",C37=""),"",D37+SUM(F37:I37))</f>
        <v/>
      </c>
      <c r="K37" s="67" t="str">
        <f>IF(OR(TaxaJuros="",C37=""),"",100%-J37/D37)</f>
        <v/>
      </c>
    </row>
    <row r="38" spans="5:11" x14ac:dyDescent="0.25">
      <c r="E38" s="15" t="str">
        <f>IF(OR(DataRecebimento="",C38=""),"",C38-$F$7)</f>
        <v/>
      </c>
      <c r="F38" s="16" t="str">
        <f>IF(OR(TaxaJuros="",C38=""),"",-D38*E38*($F$8/30))</f>
        <v/>
      </c>
      <c r="G38" s="16" t="str">
        <f>IF(OR(TaxaJuros="",C38=""),"",-$F$9)</f>
        <v/>
      </c>
      <c r="H38" s="21" t="str">
        <f>IF(OR(TaxaJuros="",C38=""),"",IF(ComSemIOF=FALSE,0,IF(E38&gt;365,-(D38+F38)*365*IOFDiario,-(D38+F38)*E38*IOFDiario)))</f>
        <v/>
      </c>
      <c r="I38" s="21" t="str">
        <f>IF(OR(TaxaJuros="",C38=""),"",IF(ComSemIOF=FALSE,0,-(D38+F38)*IOFAdic))</f>
        <v/>
      </c>
      <c r="J38" s="16" t="str">
        <f>IF(OR(TaxaJuros="",C38=""),"",D38+SUM(F38:I38))</f>
        <v/>
      </c>
      <c r="K38" s="67" t="str">
        <f>IF(OR(TaxaJuros="",C38=""),"",100%-J38/D38)</f>
        <v/>
      </c>
    </row>
    <row r="39" spans="5:11" x14ac:dyDescent="0.25">
      <c r="E39" s="15" t="str">
        <f>IF(OR(DataRecebimento="",C39=""),"",C39-$F$7)</f>
        <v/>
      </c>
      <c r="F39" s="16" t="str">
        <f>IF(OR(TaxaJuros="",C39=""),"",-D39*E39*($F$8/30))</f>
        <v/>
      </c>
      <c r="G39" s="16" t="str">
        <f>IF(OR(TaxaJuros="",C39=""),"",-$F$9)</f>
        <v/>
      </c>
      <c r="H39" s="21" t="str">
        <f>IF(OR(TaxaJuros="",C39=""),"",IF(ComSemIOF=FALSE,0,IF(E39&gt;365,-(D39+F39)*365*IOFDiario,-(D39+F39)*E39*IOFDiario)))</f>
        <v/>
      </c>
      <c r="I39" s="21" t="str">
        <f>IF(OR(TaxaJuros="",C39=""),"",IF(ComSemIOF=FALSE,0,-(D39+F39)*IOFAdic))</f>
        <v/>
      </c>
      <c r="J39" s="16" t="str">
        <f>IF(OR(TaxaJuros="",C39=""),"",D39+SUM(F39:I39))</f>
        <v/>
      </c>
      <c r="K39" s="67" t="str">
        <f>IF(OR(TaxaJuros="",C39=""),"",100%-J39/D39)</f>
        <v/>
      </c>
    </row>
    <row r="40" spans="5:11" x14ac:dyDescent="0.25">
      <c r="E40" s="15" t="str">
        <f>IF(OR(DataRecebimento="",C40=""),"",C40-$F$7)</f>
        <v/>
      </c>
      <c r="F40" s="16" t="str">
        <f>IF(OR(TaxaJuros="",C40=""),"",-D40*E40*($F$8/30))</f>
        <v/>
      </c>
      <c r="G40" s="16" t="str">
        <f>IF(OR(TaxaJuros="",C40=""),"",-$F$9)</f>
        <v/>
      </c>
      <c r="H40" s="21" t="str">
        <f>IF(OR(TaxaJuros="",C40=""),"",IF(ComSemIOF=FALSE,0,IF(E40&gt;365,-(D40+F40)*365*IOFDiario,-(D40+F40)*E40*IOFDiario)))</f>
        <v/>
      </c>
      <c r="I40" s="21" t="str">
        <f>IF(OR(TaxaJuros="",C40=""),"",IF(ComSemIOF=FALSE,0,-(D40+F40)*IOFAdic))</f>
        <v/>
      </c>
      <c r="J40" s="16" t="str">
        <f>IF(OR(TaxaJuros="",C40=""),"",D40+SUM(F40:I40))</f>
        <v/>
      </c>
      <c r="K40" s="67" t="str">
        <f>IF(OR(TaxaJuros="",C40=""),"",100%-J40/D40)</f>
        <v/>
      </c>
    </row>
    <row r="41" spans="5:11" x14ac:dyDescent="0.25">
      <c r="E41" s="15" t="str">
        <f>IF(OR(DataRecebimento="",C41=""),"",C41-$F$7)</f>
        <v/>
      </c>
      <c r="F41" s="16" t="str">
        <f>IF(OR(TaxaJuros="",C41=""),"",-D41*E41*($F$8/30))</f>
        <v/>
      </c>
      <c r="G41" s="16" t="str">
        <f>IF(OR(TaxaJuros="",C41=""),"",-$F$9)</f>
        <v/>
      </c>
      <c r="H41" s="21" t="str">
        <f>IF(OR(TaxaJuros="",C41=""),"",IF(ComSemIOF=FALSE,0,IF(E41&gt;365,-(D41+F41)*365*IOFDiario,-(D41+F41)*E41*IOFDiario)))</f>
        <v/>
      </c>
      <c r="I41" s="21" t="str">
        <f>IF(OR(TaxaJuros="",C41=""),"",IF(ComSemIOF=FALSE,0,-(D41+F41)*IOFAdic))</f>
        <v/>
      </c>
      <c r="J41" s="16" t="str">
        <f>IF(OR(TaxaJuros="",C41=""),"",D41+SUM(F41:I41))</f>
        <v/>
      </c>
      <c r="K41" s="67" t="str">
        <f>IF(OR(TaxaJuros="",C41=""),"",100%-J41/D41)</f>
        <v/>
      </c>
    </row>
    <row r="42" spans="5:11" x14ac:dyDescent="0.25">
      <c r="E42" s="15" t="str">
        <f>IF(OR(DataRecebimento="",C42=""),"",C42-$F$7)</f>
        <v/>
      </c>
      <c r="F42" s="16" t="str">
        <f>IF(OR(TaxaJuros="",C42=""),"",-D42*E42*($F$8/30))</f>
        <v/>
      </c>
      <c r="G42" s="16" t="str">
        <f>IF(OR(TaxaJuros="",C42=""),"",-$F$9)</f>
        <v/>
      </c>
      <c r="H42" s="21" t="str">
        <f>IF(OR(TaxaJuros="",C42=""),"",IF(ComSemIOF=FALSE,0,IF(E42&gt;365,-(D42+F42)*365*IOFDiario,-(D42+F42)*E42*IOFDiario)))</f>
        <v/>
      </c>
      <c r="I42" s="21" t="str">
        <f>IF(OR(TaxaJuros="",C42=""),"",IF(ComSemIOF=FALSE,0,-(D42+F42)*IOFAdic))</f>
        <v/>
      </c>
      <c r="J42" s="16" t="str">
        <f>IF(OR(TaxaJuros="",C42=""),"",D42+SUM(F42:I42))</f>
        <v/>
      </c>
      <c r="K42" s="67" t="str">
        <f>IF(OR(TaxaJuros="",C42=""),"",100%-J42/D42)</f>
        <v/>
      </c>
    </row>
    <row r="43" spans="5:11" x14ac:dyDescent="0.25">
      <c r="E43" s="15" t="str">
        <f>IF(OR(DataRecebimento="",C43=""),"",C43-$F$7)</f>
        <v/>
      </c>
      <c r="F43" s="16" t="str">
        <f>IF(OR(TaxaJuros="",C43=""),"",-D43*E43*($F$8/30))</f>
        <v/>
      </c>
      <c r="G43" s="16" t="str">
        <f>IF(OR(TaxaJuros="",C43=""),"",-$F$9)</f>
        <v/>
      </c>
      <c r="H43" s="21" t="str">
        <f>IF(OR(TaxaJuros="",C43=""),"",IF(ComSemIOF=FALSE,0,IF(E43&gt;365,-(D43+F43)*365*IOFDiario,-(D43+F43)*E43*IOFDiario)))</f>
        <v/>
      </c>
      <c r="I43" s="21" t="str">
        <f>IF(OR(TaxaJuros="",C43=""),"",IF(ComSemIOF=FALSE,0,-(D43+F43)*IOFAdic))</f>
        <v/>
      </c>
      <c r="J43" s="16" t="str">
        <f>IF(OR(TaxaJuros="",C43=""),"",D43+SUM(F43:I43))</f>
        <v/>
      </c>
      <c r="K43" s="67" t="str">
        <f>IF(OR(TaxaJuros="",C43=""),"",100%-J43/D43)</f>
        <v/>
      </c>
    </row>
    <row r="44" spans="5:11" x14ac:dyDescent="0.25">
      <c r="E44" s="15" t="str">
        <f>IF(OR(DataRecebimento="",C44=""),"",C44-$F$7)</f>
        <v/>
      </c>
      <c r="F44" s="16" t="str">
        <f>IF(OR(TaxaJuros="",C44=""),"",-D44*E44*($F$8/30))</f>
        <v/>
      </c>
      <c r="G44" s="16" t="str">
        <f>IF(OR(TaxaJuros="",C44=""),"",-$F$9)</f>
        <v/>
      </c>
      <c r="H44" s="21" t="str">
        <f>IF(OR(TaxaJuros="",C44=""),"",IF(ComSemIOF=FALSE,0,IF(E44&gt;365,-(D44+F44)*365*IOFDiario,-(D44+F44)*E44*IOFDiario)))</f>
        <v/>
      </c>
      <c r="I44" s="21" t="str">
        <f>IF(OR(TaxaJuros="",C44=""),"",IF(ComSemIOF=FALSE,0,-(D44+F44)*IOFAdic))</f>
        <v/>
      </c>
      <c r="J44" s="16" t="str">
        <f>IF(OR(TaxaJuros="",C44=""),"",D44+SUM(F44:I44))</f>
        <v/>
      </c>
      <c r="K44" s="67" t="str">
        <f>IF(OR(TaxaJuros="",C44=""),"",100%-J44/D44)</f>
        <v/>
      </c>
    </row>
    <row r="45" spans="5:11" x14ac:dyDescent="0.25">
      <c r="E45" s="15" t="str">
        <f>IF(OR(DataRecebimento="",C45=""),"",C45-$F$7)</f>
        <v/>
      </c>
      <c r="F45" s="16" t="str">
        <f>IF(OR(TaxaJuros="",C45=""),"",-D45*E45*($F$8/30))</f>
        <v/>
      </c>
      <c r="G45" s="16" t="str">
        <f>IF(OR(TaxaJuros="",C45=""),"",-$F$9)</f>
        <v/>
      </c>
      <c r="H45" s="21" t="str">
        <f>IF(OR(TaxaJuros="",C45=""),"",IF(ComSemIOF=FALSE,0,IF(E45&gt;365,-(D45+F45)*365*IOFDiario,-(D45+F45)*E45*IOFDiario)))</f>
        <v/>
      </c>
      <c r="I45" s="21" t="str">
        <f>IF(OR(TaxaJuros="",C45=""),"",IF(ComSemIOF=FALSE,0,-(D45+F45)*IOFAdic))</f>
        <v/>
      </c>
      <c r="J45" s="16" t="str">
        <f>IF(OR(TaxaJuros="",C45=""),"",D45+SUM(F45:I45))</f>
        <v/>
      </c>
      <c r="K45" s="67" t="str">
        <f>IF(OR(TaxaJuros="",C45=""),"",100%-J45/D45)</f>
        <v/>
      </c>
    </row>
    <row r="46" spans="5:11" x14ac:dyDescent="0.25">
      <c r="E46" s="15" t="str">
        <f>IF(OR(DataRecebimento="",C46=""),"",C46-$F$7)</f>
        <v/>
      </c>
      <c r="F46" s="16" t="str">
        <f>IF(OR(TaxaJuros="",C46=""),"",-D46*E46*($F$8/30))</f>
        <v/>
      </c>
      <c r="G46" s="16" t="str">
        <f>IF(OR(TaxaJuros="",C46=""),"",-$F$9)</f>
        <v/>
      </c>
      <c r="H46" s="21" t="str">
        <f>IF(OR(TaxaJuros="",C46=""),"",IF(ComSemIOF=FALSE,0,IF(E46&gt;365,-(D46+F46)*365*IOFDiario,-(D46+F46)*E46*IOFDiario)))</f>
        <v/>
      </c>
      <c r="I46" s="21" t="str">
        <f>IF(OR(TaxaJuros="",C46=""),"",IF(ComSemIOF=FALSE,0,-(D46+F46)*IOFAdic))</f>
        <v/>
      </c>
      <c r="J46" s="16" t="str">
        <f>IF(OR(TaxaJuros="",C46=""),"",D46+SUM(F46:I46))</f>
        <v/>
      </c>
      <c r="K46" s="67" t="str">
        <f>IF(OR(TaxaJuros="",C46=""),"",100%-J46/D46)</f>
        <v/>
      </c>
    </row>
    <row r="47" spans="5:11" x14ac:dyDescent="0.25">
      <c r="E47" s="15" t="str">
        <f>IF(OR(DataRecebimento="",C47=""),"",C47-$F$7)</f>
        <v/>
      </c>
      <c r="F47" s="16" t="str">
        <f>IF(OR(TaxaJuros="",C47=""),"",-D47*E47*($F$8/30))</f>
        <v/>
      </c>
      <c r="G47" s="16" t="str">
        <f>IF(OR(TaxaJuros="",C47=""),"",-$F$9)</f>
        <v/>
      </c>
      <c r="H47" s="21" t="str">
        <f>IF(OR(TaxaJuros="",C47=""),"",IF(ComSemIOF=FALSE,0,IF(E47&gt;365,-(D47+F47)*365*IOFDiario,-(D47+F47)*E47*IOFDiario)))</f>
        <v/>
      </c>
      <c r="I47" s="21" t="str">
        <f>IF(OR(TaxaJuros="",C47=""),"",IF(ComSemIOF=FALSE,0,-(D47+F47)*IOFAdic))</f>
        <v/>
      </c>
      <c r="J47" s="16" t="str">
        <f>IF(OR(TaxaJuros="",C47=""),"",D47+SUM(F47:I47))</f>
        <v/>
      </c>
      <c r="K47" s="67" t="str">
        <f>IF(OR(TaxaJuros="",C47=""),"",100%-J47/D47)</f>
        <v/>
      </c>
    </row>
    <row r="48" spans="5:11" x14ac:dyDescent="0.25">
      <c r="E48" s="15" t="str">
        <f>IF(OR(DataRecebimento="",C48=""),"",C48-$F$7)</f>
        <v/>
      </c>
      <c r="F48" s="16" t="str">
        <f>IF(OR(TaxaJuros="",C48=""),"",-D48*E48*($F$8/30))</f>
        <v/>
      </c>
      <c r="G48" s="16" t="str">
        <f>IF(OR(TaxaJuros="",C48=""),"",-$F$9)</f>
        <v/>
      </c>
      <c r="H48" s="21" t="str">
        <f>IF(OR(TaxaJuros="",C48=""),"",IF(ComSemIOF=FALSE,0,IF(E48&gt;365,-(D48+F48)*365*IOFDiario,-(D48+F48)*E48*IOFDiario)))</f>
        <v/>
      </c>
      <c r="I48" s="21" t="str">
        <f>IF(OR(TaxaJuros="",C48=""),"",IF(ComSemIOF=FALSE,0,-(D48+F48)*IOFAdic))</f>
        <v/>
      </c>
      <c r="J48" s="16" t="str">
        <f>IF(OR(TaxaJuros="",C48=""),"",D48+SUM(F48:I48))</f>
        <v/>
      </c>
      <c r="K48" s="67" t="str">
        <f>IF(OR(TaxaJuros="",C48=""),"",100%-J48/D48)</f>
        <v/>
      </c>
    </row>
    <row r="49" spans="5:11" x14ac:dyDescent="0.25">
      <c r="E49" s="15" t="str">
        <f>IF(OR(DataRecebimento="",C49=""),"",C49-$F$7)</f>
        <v/>
      </c>
      <c r="F49" s="16" t="str">
        <f>IF(OR(TaxaJuros="",C49=""),"",-D49*E49*($F$8/30))</f>
        <v/>
      </c>
      <c r="G49" s="16" t="str">
        <f>IF(OR(TaxaJuros="",C49=""),"",-$F$9)</f>
        <v/>
      </c>
      <c r="H49" s="21" t="str">
        <f>IF(OR(TaxaJuros="",C49=""),"",IF(ComSemIOF=FALSE,0,IF(E49&gt;365,-(D49+F49)*365*IOFDiario,-(D49+F49)*E49*IOFDiario)))</f>
        <v/>
      </c>
      <c r="I49" s="21" t="str">
        <f>IF(OR(TaxaJuros="",C49=""),"",IF(ComSemIOF=FALSE,0,-(D49+F49)*IOFAdic))</f>
        <v/>
      </c>
      <c r="J49" s="16" t="str">
        <f>IF(OR(TaxaJuros="",C49=""),"",D49+SUM(F49:I49))</f>
        <v/>
      </c>
      <c r="K49" s="67" t="str">
        <f>IF(OR(TaxaJuros="",C49=""),"",100%-J49/D49)</f>
        <v/>
      </c>
    </row>
    <row r="50" spans="5:11" x14ac:dyDescent="0.25">
      <c r="E50" s="15" t="str">
        <f>IF(OR(DataRecebimento="",C50=""),"",C50-$F$7)</f>
        <v/>
      </c>
      <c r="F50" s="16" t="str">
        <f>IF(OR(TaxaJuros="",C50=""),"",-D50*E50*($F$8/30))</f>
        <v/>
      </c>
      <c r="G50" s="16" t="str">
        <f>IF(OR(TaxaJuros="",C50=""),"",-$F$9)</f>
        <v/>
      </c>
      <c r="H50" s="21" t="str">
        <f>IF(OR(TaxaJuros="",C50=""),"",IF(ComSemIOF=FALSE,0,IF(E50&gt;365,-(D50+F50)*365*IOFDiario,-(D50+F50)*E50*IOFDiario)))</f>
        <v/>
      </c>
      <c r="I50" s="21" t="str">
        <f>IF(OR(TaxaJuros="",C50=""),"",IF(ComSemIOF=FALSE,0,-(D50+F50)*IOFAdic))</f>
        <v/>
      </c>
      <c r="J50" s="16" t="str">
        <f>IF(OR(TaxaJuros="",C50=""),"",D50+SUM(F50:I50))</f>
        <v/>
      </c>
      <c r="K50" s="67" t="str">
        <f>IF(OR(TaxaJuros="",C50=""),"",100%-J50/D50)</f>
        <v/>
      </c>
    </row>
    <row r="51" spans="5:11" x14ac:dyDescent="0.25">
      <c r="E51" s="15" t="str">
        <f>IF(OR(DataRecebimento="",C51=""),"",C51-$F$7)</f>
        <v/>
      </c>
      <c r="F51" s="16" t="str">
        <f>IF(OR(TaxaJuros="",C51=""),"",-D51*E51*($F$8/30))</f>
        <v/>
      </c>
      <c r="G51" s="16" t="str">
        <f>IF(OR(TaxaJuros="",C51=""),"",-$F$9)</f>
        <v/>
      </c>
      <c r="H51" s="21" t="str">
        <f>IF(OR(TaxaJuros="",C51=""),"",IF(ComSemIOF=FALSE,0,IF(E51&gt;365,-(D51+F51)*365*IOFDiario,-(D51+F51)*E51*IOFDiario)))</f>
        <v/>
      </c>
      <c r="I51" s="21" t="str">
        <f>IF(OR(TaxaJuros="",C51=""),"",IF(ComSemIOF=FALSE,0,-(D51+F51)*IOFAdic))</f>
        <v/>
      </c>
      <c r="J51" s="16" t="str">
        <f>IF(OR(TaxaJuros="",C51=""),"",D51+SUM(F51:I51))</f>
        <v/>
      </c>
      <c r="K51" s="67" t="str">
        <f>IF(OR(TaxaJuros="",C51=""),"",100%-J51/D51)</f>
        <v/>
      </c>
    </row>
    <row r="52" spans="5:11" x14ac:dyDescent="0.25">
      <c r="E52" s="15" t="str">
        <f>IF(OR(DataRecebimento="",C52=""),"",C52-$F$7)</f>
        <v/>
      </c>
      <c r="F52" s="16" t="str">
        <f>IF(OR(TaxaJuros="",C52=""),"",-D52*E52*($F$8/30))</f>
        <v/>
      </c>
      <c r="G52" s="16" t="str">
        <f>IF(OR(TaxaJuros="",C52=""),"",-$F$9)</f>
        <v/>
      </c>
      <c r="H52" s="21" t="str">
        <f>IF(OR(TaxaJuros="",C52=""),"",IF(ComSemIOF=FALSE,0,IF(E52&gt;365,-(D52+F52)*365*IOFDiario,-(D52+F52)*E52*IOFDiario)))</f>
        <v/>
      </c>
      <c r="I52" s="21" t="str">
        <f>IF(OR(TaxaJuros="",C52=""),"",IF(ComSemIOF=FALSE,0,-(D52+F52)*IOFAdic))</f>
        <v/>
      </c>
      <c r="J52" s="16" t="str">
        <f>IF(OR(TaxaJuros="",C52=""),"",D52+SUM(F52:I52))</f>
        <v/>
      </c>
      <c r="K52" s="67" t="str">
        <f>IF(OR(TaxaJuros="",C52=""),"",100%-J52/D52)</f>
        <v/>
      </c>
    </row>
    <row r="53" spans="5:11" x14ac:dyDescent="0.25">
      <c r="E53" s="15" t="str">
        <f>IF(OR(DataRecebimento="",C53=""),"",C53-$F$7)</f>
        <v/>
      </c>
      <c r="F53" s="16" t="str">
        <f>IF(OR(TaxaJuros="",C53=""),"",-D53*E53*($F$8/30))</f>
        <v/>
      </c>
      <c r="G53" s="16" t="str">
        <f>IF(OR(TaxaJuros="",C53=""),"",-$F$9)</f>
        <v/>
      </c>
      <c r="H53" s="21" t="str">
        <f>IF(OR(TaxaJuros="",C53=""),"",IF(ComSemIOF=FALSE,0,IF(E53&gt;365,-(D53+F53)*365*IOFDiario,-(D53+F53)*E53*IOFDiario)))</f>
        <v/>
      </c>
      <c r="I53" s="21" t="str">
        <f>IF(OR(TaxaJuros="",C53=""),"",IF(ComSemIOF=FALSE,0,-(D53+F53)*IOFAdic))</f>
        <v/>
      </c>
      <c r="J53" s="16" t="str">
        <f>IF(OR(TaxaJuros="",C53=""),"",D53+SUM(F53:I53))</f>
        <v/>
      </c>
      <c r="K53" s="67" t="str">
        <f>IF(OR(TaxaJuros="",C53=""),"",100%-J53/D53)</f>
        <v/>
      </c>
    </row>
    <row r="54" spans="5:11" x14ac:dyDescent="0.25">
      <c r="E54" s="15" t="str">
        <f>IF(OR(DataRecebimento="",C54=""),"",C54-$F$7)</f>
        <v/>
      </c>
      <c r="F54" s="16" t="str">
        <f>IF(OR(TaxaJuros="",C54=""),"",-D54*E54*($F$8/30))</f>
        <v/>
      </c>
      <c r="G54" s="16" t="str">
        <f>IF(OR(TaxaJuros="",C54=""),"",-$F$9)</f>
        <v/>
      </c>
      <c r="H54" s="21" t="str">
        <f>IF(OR(TaxaJuros="",C54=""),"",IF(ComSemIOF=FALSE,0,IF(E54&gt;365,-(D54+F54)*365*IOFDiario,-(D54+F54)*E54*IOFDiario)))</f>
        <v/>
      </c>
      <c r="I54" s="21" t="str">
        <f>IF(OR(TaxaJuros="",C54=""),"",IF(ComSemIOF=FALSE,0,-(D54+F54)*IOFAdic))</f>
        <v/>
      </c>
      <c r="J54" s="16" t="str">
        <f>IF(OR(TaxaJuros="",C54=""),"",D54+SUM(F54:I54))</f>
        <v/>
      </c>
      <c r="K54" s="67" t="str">
        <f>IF(OR(TaxaJuros="",C54=""),"",100%-J54/D54)</f>
        <v/>
      </c>
    </row>
    <row r="55" spans="5:11" x14ac:dyDescent="0.25">
      <c r="E55" s="15" t="str">
        <f>IF(OR(DataRecebimento="",C55=""),"",C55-$F$7)</f>
        <v/>
      </c>
      <c r="F55" s="16" t="str">
        <f>IF(OR(TaxaJuros="",C55=""),"",-D55*E55*($F$8/30))</f>
        <v/>
      </c>
      <c r="G55" s="16" t="str">
        <f>IF(OR(TaxaJuros="",C55=""),"",-$F$9)</f>
        <v/>
      </c>
      <c r="H55" s="21" t="str">
        <f>IF(OR(TaxaJuros="",C55=""),"",IF(ComSemIOF=FALSE,0,IF(E55&gt;365,-(D55+F55)*365*IOFDiario,-(D55+F55)*E55*IOFDiario)))</f>
        <v/>
      </c>
      <c r="I55" s="21" t="str">
        <f>IF(OR(TaxaJuros="",C55=""),"",IF(ComSemIOF=FALSE,0,-(D55+F55)*IOFAdic))</f>
        <v/>
      </c>
      <c r="J55" s="16" t="str">
        <f>IF(OR(TaxaJuros="",C55=""),"",D55+SUM(F55:I55))</f>
        <v/>
      </c>
      <c r="K55" s="67" t="str">
        <f>IF(OR(TaxaJuros="",C55=""),"",100%-J55/D55)</f>
        <v/>
      </c>
    </row>
    <row r="56" spans="5:11" x14ac:dyDescent="0.25">
      <c r="E56" s="15" t="str">
        <f>IF(OR(DataRecebimento="",C56=""),"",C56-$F$7)</f>
        <v/>
      </c>
      <c r="F56" s="16" t="str">
        <f>IF(OR(TaxaJuros="",C56=""),"",-D56*E56*($F$8/30))</f>
        <v/>
      </c>
      <c r="G56" s="16" t="str">
        <f>IF(OR(TaxaJuros="",C56=""),"",-$F$9)</f>
        <v/>
      </c>
      <c r="H56" s="21" t="str">
        <f>IF(OR(TaxaJuros="",C56=""),"",IF(ComSemIOF=FALSE,0,IF(E56&gt;365,-(D56+F56)*365*IOFDiario,-(D56+F56)*E56*IOFDiario)))</f>
        <v/>
      </c>
      <c r="I56" s="21" t="str">
        <f>IF(OR(TaxaJuros="",C56=""),"",IF(ComSemIOF=FALSE,0,-(D56+F56)*IOFAdic))</f>
        <v/>
      </c>
      <c r="J56" s="16" t="str">
        <f>IF(OR(TaxaJuros="",C56=""),"",D56+SUM(F56:I56))</f>
        <v/>
      </c>
      <c r="K56" s="67" t="str">
        <f>IF(OR(TaxaJuros="",C56=""),"",100%-J56/D56)</f>
        <v/>
      </c>
    </row>
    <row r="57" spans="5:11" x14ac:dyDescent="0.25">
      <c r="E57" s="15" t="str">
        <f>IF(OR(DataRecebimento="",C57=""),"",C57-$F$7)</f>
        <v/>
      </c>
      <c r="F57" s="16" t="str">
        <f>IF(OR(TaxaJuros="",C57=""),"",-D57*E57*($F$8/30))</f>
        <v/>
      </c>
      <c r="G57" s="16" t="str">
        <f>IF(OR(TaxaJuros="",C57=""),"",-$F$9)</f>
        <v/>
      </c>
      <c r="H57" s="21" t="str">
        <f>IF(OR(TaxaJuros="",C57=""),"",IF(ComSemIOF=FALSE,0,IF(E57&gt;365,-(D57+F57)*365*IOFDiario,-(D57+F57)*E57*IOFDiario)))</f>
        <v/>
      </c>
      <c r="I57" s="21" t="str">
        <f>IF(OR(TaxaJuros="",C57=""),"",IF(ComSemIOF=FALSE,0,-(D57+F57)*IOFAdic))</f>
        <v/>
      </c>
      <c r="J57" s="16" t="str">
        <f>IF(OR(TaxaJuros="",C57=""),"",D57+SUM(F57:I57))</f>
        <v/>
      </c>
      <c r="K57" s="67" t="str">
        <f>IF(OR(TaxaJuros="",C57=""),"",100%-J57/D57)</f>
        <v/>
      </c>
    </row>
    <row r="58" spans="5:11" x14ac:dyDescent="0.25">
      <c r="E58" s="15" t="str">
        <f>IF(OR(DataRecebimento="",C58=""),"",C58-$F$7)</f>
        <v/>
      </c>
      <c r="F58" s="16" t="str">
        <f>IF(OR(TaxaJuros="",C58=""),"",-D58*E58*($F$8/30))</f>
        <v/>
      </c>
      <c r="G58" s="16" t="str">
        <f>IF(OR(TaxaJuros="",C58=""),"",-$F$9)</f>
        <v/>
      </c>
      <c r="H58" s="21" t="str">
        <f>IF(OR(TaxaJuros="",C58=""),"",IF(ComSemIOF=FALSE,0,IF(E58&gt;365,-(D58+F58)*365*IOFDiario,-(D58+F58)*E58*IOFDiario)))</f>
        <v/>
      </c>
      <c r="I58" s="21" t="str">
        <f>IF(OR(TaxaJuros="",C58=""),"",IF(ComSemIOF=FALSE,0,-(D58+F58)*IOFAdic))</f>
        <v/>
      </c>
      <c r="J58" s="16" t="str">
        <f>IF(OR(TaxaJuros="",C58=""),"",D58+SUM(F58:I58))</f>
        <v/>
      </c>
      <c r="K58" s="67" t="str">
        <f>IF(OR(TaxaJuros="",C58=""),"",100%-J58/D58)</f>
        <v/>
      </c>
    </row>
    <row r="59" spans="5:11" x14ac:dyDescent="0.25">
      <c r="E59" s="15" t="str">
        <f>IF(OR(DataRecebimento="",C59=""),"",C59-$F$7)</f>
        <v/>
      </c>
      <c r="F59" s="16" t="str">
        <f>IF(OR(TaxaJuros="",C59=""),"",-D59*E59*($F$8/30))</f>
        <v/>
      </c>
      <c r="G59" s="16" t="str">
        <f>IF(OR(TaxaJuros="",C59=""),"",-$F$9)</f>
        <v/>
      </c>
      <c r="H59" s="21" t="str">
        <f>IF(OR(TaxaJuros="",C59=""),"",IF(ComSemIOF=FALSE,0,IF(E59&gt;365,-(D59+F59)*365*IOFDiario,-(D59+F59)*E59*IOFDiario)))</f>
        <v/>
      </c>
      <c r="I59" s="21" t="str">
        <f>IF(OR(TaxaJuros="",C59=""),"",IF(ComSemIOF=FALSE,0,-(D59+F59)*IOFAdic))</f>
        <v/>
      </c>
      <c r="J59" s="16" t="str">
        <f>IF(OR(TaxaJuros="",C59=""),"",D59+SUM(F59:I59))</f>
        <v/>
      </c>
      <c r="K59" s="67" t="str">
        <f>IF(OR(TaxaJuros="",C59=""),"",100%-J59/D59)</f>
        <v/>
      </c>
    </row>
    <row r="60" spans="5:11" x14ac:dyDescent="0.25">
      <c r="E60" s="15" t="str">
        <f>IF(OR(DataRecebimento="",C60=""),"",C60-$F$7)</f>
        <v/>
      </c>
      <c r="F60" s="16" t="str">
        <f>IF(OR(TaxaJuros="",C60=""),"",-D60*E60*($F$8/30))</f>
        <v/>
      </c>
      <c r="G60" s="16" t="str">
        <f>IF(OR(TaxaJuros="",C60=""),"",-$F$9)</f>
        <v/>
      </c>
      <c r="H60" s="21" t="str">
        <f>IF(OR(TaxaJuros="",C60=""),"",IF(ComSemIOF=FALSE,0,IF(E60&gt;365,-(D60+F60)*365*IOFDiario,-(D60+F60)*E60*IOFDiario)))</f>
        <v/>
      </c>
      <c r="I60" s="21" t="str">
        <f>IF(OR(TaxaJuros="",C60=""),"",IF(ComSemIOF=FALSE,0,-(D60+F60)*IOFAdic))</f>
        <v/>
      </c>
      <c r="J60" s="16" t="str">
        <f>IF(OR(TaxaJuros="",C60=""),"",D60+SUM(F60:I60))</f>
        <v/>
      </c>
      <c r="K60" s="67" t="str">
        <f>IF(OR(TaxaJuros="",C60=""),"",100%-J60/D60)</f>
        <v/>
      </c>
    </row>
    <row r="61" spans="5:11" x14ac:dyDescent="0.25">
      <c r="E61" s="15" t="str">
        <f>IF(OR(DataRecebimento="",C61=""),"",C61-$F$7)</f>
        <v/>
      </c>
      <c r="F61" s="16" t="str">
        <f>IF(OR(TaxaJuros="",C61=""),"",-D61*E61*($F$8/30))</f>
        <v/>
      </c>
      <c r="G61" s="16" t="str">
        <f>IF(OR(TaxaJuros="",C61=""),"",-$F$9)</f>
        <v/>
      </c>
      <c r="H61" s="21" t="str">
        <f>IF(OR(TaxaJuros="",C61=""),"",IF(ComSemIOF=FALSE,0,IF(E61&gt;365,-(D61+F61)*365*IOFDiario,-(D61+F61)*E61*IOFDiario)))</f>
        <v/>
      </c>
      <c r="I61" s="21" t="str">
        <f>IF(OR(TaxaJuros="",C61=""),"",IF(ComSemIOF=FALSE,0,-(D61+F61)*IOFAdic))</f>
        <v/>
      </c>
      <c r="J61" s="16" t="str">
        <f>IF(OR(TaxaJuros="",C61=""),"",D61+SUM(F61:I61))</f>
        <v/>
      </c>
      <c r="K61" s="67" t="str">
        <f>IF(OR(TaxaJuros="",C61=""),"",100%-J61/D61)</f>
        <v/>
      </c>
    </row>
    <row r="62" spans="5:11" x14ac:dyDescent="0.25">
      <c r="E62" s="15" t="str">
        <f>IF(OR(DataRecebimento="",C62=""),"",C62-$F$7)</f>
        <v/>
      </c>
      <c r="F62" s="16" t="str">
        <f>IF(OR(TaxaJuros="",C62=""),"",-D62*E62*($F$8/30))</f>
        <v/>
      </c>
      <c r="G62" s="16" t="str">
        <f>IF(OR(TaxaJuros="",C62=""),"",-$F$9)</f>
        <v/>
      </c>
      <c r="H62" s="21" t="str">
        <f>IF(OR(TaxaJuros="",C62=""),"",IF(ComSemIOF=FALSE,0,IF(E62&gt;365,-(D62+F62)*365*IOFDiario,-(D62+F62)*E62*IOFDiario)))</f>
        <v/>
      </c>
      <c r="I62" s="21" t="str">
        <f>IF(OR(TaxaJuros="",C62=""),"",IF(ComSemIOF=FALSE,0,-(D62+F62)*IOFAdic))</f>
        <v/>
      </c>
      <c r="J62" s="16" t="str">
        <f>IF(OR(TaxaJuros="",C62=""),"",D62+SUM(F62:I62))</f>
        <v/>
      </c>
      <c r="K62" s="67" t="str">
        <f>IF(OR(TaxaJuros="",C62=""),"",100%-J62/D62)</f>
        <v/>
      </c>
    </row>
    <row r="63" spans="5:11" x14ac:dyDescent="0.25">
      <c r="E63" s="15" t="str">
        <f>IF(OR(DataRecebimento="",C63=""),"",C63-$F$7)</f>
        <v/>
      </c>
      <c r="F63" s="16" t="str">
        <f>IF(OR(TaxaJuros="",C63=""),"",-D63*E63*($F$8/30))</f>
        <v/>
      </c>
      <c r="G63" s="16" t="str">
        <f>IF(OR(TaxaJuros="",C63=""),"",-$F$9)</f>
        <v/>
      </c>
      <c r="H63" s="21" t="str">
        <f>IF(OR(TaxaJuros="",C63=""),"",IF(ComSemIOF=FALSE,0,IF(E63&gt;365,-(D63+F63)*365*IOFDiario,-(D63+F63)*E63*IOFDiario)))</f>
        <v/>
      </c>
      <c r="I63" s="21" t="str">
        <f>IF(OR(TaxaJuros="",C63=""),"",IF(ComSemIOF=FALSE,0,-(D63+F63)*IOFAdic))</f>
        <v/>
      </c>
      <c r="J63" s="16" t="str">
        <f>IF(OR(TaxaJuros="",C63=""),"",D63+SUM(F63:I63))</f>
        <v/>
      </c>
      <c r="K63" s="67" t="str">
        <f>IF(OR(TaxaJuros="",C63=""),"",100%-J63/D63)</f>
        <v/>
      </c>
    </row>
    <row r="64" spans="5:11" x14ac:dyDescent="0.25">
      <c r="E64" s="15" t="str">
        <f>IF(OR(DataRecebimento="",C64=""),"",C64-$F$7)</f>
        <v/>
      </c>
      <c r="F64" s="16" t="str">
        <f>IF(OR(TaxaJuros="",C64=""),"",-D64*E64*($F$8/30))</f>
        <v/>
      </c>
      <c r="G64" s="16" t="str">
        <f>IF(OR(TaxaJuros="",C64=""),"",-$F$9)</f>
        <v/>
      </c>
      <c r="H64" s="21" t="str">
        <f>IF(OR(TaxaJuros="",C64=""),"",IF(ComSemIOF=FALSE,0,IF(E64&gt;365,-(D64+F64)*365*IOFDiario,-(D64+F64)*E64*IOFDiario)))</f>
        <v/>
      </c>
      <c r="I64" s="21" t="str">
        <f>IF(OR(TaxaJuros="",C64=""),"",IF(ComSemIOF=FALSE,0,-(D64+F64)*IOFAdic))</f>
        <v/>
      </c>
      <c r="J64" s="16" t="str">
        <f>IF(OR(TaxaJuros="",C64=""),"",D64+SUM(F64:I64))</f>
        <v/>
      </c>
      <c r="K64" s="67" t="str">
        <f>IF(OR(TaxaJuros="",C64=""),"",100%-J64/D64)</f>
        <v/>
      </c>
    </row>
    <row r="65" spans="5:11" x14ac:dyDescent="0.25">
      <c r="E65" s="15" t="str">
        <f>IF(OR(DataRecebimento="",C65=""),"",C65-$F$7)</f>
        <v/>
      </c>
      <c r="F65" s="16" t="str">
        <f>IF(OR(TaxaJuros="",C65=""),"",-D65*E65*($F$8/30))</f>
        <v/>
      </c>
      <c r="G65" s="16" t="str">
        <f>IF(OR(TaxaJuros="",C65=""),"",-$F$9)</f>
        <v/>
      </c>
      <c r="H65" s="21" t="str">
        <f>IF(OR(TaxaJuros="",C65=""),"",IF(ComSemIOF=FALSE,0,IF(E65&gt;365,-(D65+F65)*365*IOFDiario,-(D65+F65)*E65*IOFDiario)))</f>
        <v/>
      </c>
      <c r="I65" s="21" t="str">
        <f>IF(OR(TaxaJuros="",C65=""),"",IF(ComSemIOF=FALSE,0,-(D65+F65)*IOFAdic))</f>
        <v/>
      </c>
      <c r="J65" s="16" t="str">
        <f>IF(OR(TaxaJuros="",C65=""),"",D65+SUM(F65:I65))</f>
        <v/>
      </c>
      <c r="K65" s="67" t="str">
        <f>IF(OR(TaxaJuros="",C65=""),"",100%-J65/D65)</f>
        <v/>
      </c>
    </row>
    <row r="66" spans="5:11" x14ac:dyDescent="0.25">
      <c r="E66" s="15" t="str">
        <f>IF(OR(DataRecebimento="",C66=""),"",C66-$F$7)</f>
        <v/>
      </c>
      <c r="F66" s="16" t="str">
        <f>IF(OR(TaxaJuros="",C66=""),"",-D66*E66*($F$8/30))</f>
        <v/>
      </c>
      <c r="G66" s="16" t="str">
        <f>IF(OR(TaxaJuros="",C66=""),"",-$F$9)</f>
        <v/>
      </c>
      <c r="H66" s="21" t="str">
        <f>IF(OR(TaxaJuros="",C66=""),"",IF(ComSemIOF=FALSE,0,IF(E66&gt;365,-(D66+F66)*365*IOFDiario,-(D66+F66)*E66*IOFDiario)))</f>
        <v/>
      </c>
      <c r="I66" s="21" t="str">
        <f>IF(OR(TaxaJuros="",C66=""),"",IF(ComSemIOF=FALSE,0,-(D66+F66)*IOFAdic))</f>
        <v/>
      </c>
      <c r="J66" s="16" t="str">
        <f>IF(OR(TaxaJuros="",C66=""),"",D66+SUM(F66:I66))</f>
        <v/>
      </c>
      <c r="K66" s="67" t="str">
        <f>IF(OR(TaxaJuros="",C66=""),"",100%-J66/D66)</f>
        <v/>
      </c>
    </row>
    <row r="67" spans="5:11" x14ac:dyDescent="0.25">
      <c r="E67" s="15" t="str">
        <f>IF(OR(DataRecebimento="",C67=""),"",C67-$F$7)</f>
        <v/>
      </c>
      <c r="F67" s="16" t="str">
        <f>IF(OR(TaxaJuros="",C67=""),"",-D67*E67*($F$8/30))</f>
        <v/>
      </c>
      <c r="G67" s="16" t="str">
        <f>IF(OR(TaxaJuros="",C67=""),"",-$F$9)</f>
        <v/>
      </c>
      <c r="H67" s="21" t="str">
        <f>IF(OR(TaxaJuros="",C67=""),"",IF(ComSemIOF=FALSE,0,IF(E67&gt;365,-(D67+F67)*365*IOFDiario,-(D67+F67)*E67*IOFDiario)))</f>
        <v/>
      </c>
      <c r="I67" s="21" t="str">
        <f>IF(OR(TaxaJuros="",C67=""),"",IF(ComSemIOF=FALSE,0,-(D67+F67)*IOFAdic))</f>
        <v/>
      </c>
      <c r="J67" s="16" t="str">
        <f>IF(OR(TaxaJuros="",C67=""),"",D67+SUM(F67:I67))</f>
        <v/>
      </c>
      <c r="K67" s="67" t="str">
        <f>IF(OR(TaxaJuros="",C67=""),"",100%-J67/D67)</f>
        <v/>
      </c>
    </row>
    <row r="68" spans="5:11" x14ac:dyDescent="0.25">
      <c r="E68" s="15" t="str">
        <f>IF(OR(DataRecebimento="",C68=""),"",C68-$F$7)</f>
        <v/>
      </c>
      <c r="F68" s="16" t="str">
        <f>IF(OR(TaxaJuros="",C68=""),"",-D68*E68*($F$8/30))</f>
        <v/>
      </c>
      <c r="G68" s="16" t="str">
        <f>IF(OR(TaxaJuros="",C68=""),"",-$F$9)</f>
        <v/>
      </c>
      <c r="H68" s="21" t="str">
        <f>IF(OR(TaxaJuros="",C68=""),"",IF(ComSemIOF=FALSE,0,IF(E68&gt;365,-(D68+F68)*365*IOFDiario,-(D68+F68)*E68*IOFDiario)))</f>
        <v/>
      </c>
      <c r="I68" s="21" t="str">
        <f>IF(OR(TaxaJuros="",C68=""),"",IF(ComSemIOF=FALSE,0,-(D68+F68)*IOFAdic))</f>
        <v/>
      </c>
      <c r="J68" s="16" t="str">
        <f>IF(OR(TaxaJuros="",C68=""),"",D68+SUM(F68:I68))</f>
        <v/>
      </c>
      <c r="K68" s="67" t="str">
        <f>IF(OR(TaxaJuros="",C68=""),"",100%-J68/D68)</f>
        <v/>
      </c>
    </row>
    <row r="69" spans="5:11" x14ac:dyDescent="0.25">
      <c r="E69" s="15" t="str">
        <f>IF(OR(DataRecebimento="",C69=""),"",C69-$F$7)</f>
        <v/>
      </c>
      <c r="F69" s="16" t="str">
        <f>IF(OR(TaxaJuros="",C69=""),"",-D69*E69*($F$8/30))</f>
        <v/>
      </c>
      <c r="G69" s="16" t="str">
        <f>IF(OR(TaxaJuros="",C69=""),"",-$F$9)</f>
        <v/>
      </c>
      <c r="H69" s="21" t="str">
        <f>IF(OR(TaxaJuros="",C69=""),"",IF(ComSemIOF=FALSE,0,IF(E69&gt;365,-(D69+F69)*365*IOFDiario,-(D69+F69)*E69*IOFDiario)))</f>
        <v/>
      </c>
      <c r="I69" s="21" t="str">
        <f>IF(OR(TaxaJuros="",C69=""),"",IF(ComSemIOF=FALSE,0,-(D69+F69)*IOFAdic))</f>
        <v/>
      </c>
      <c r="J69" s="16" t="str">
        <f>IF(OR(TaxaJuros="",C69=""),"",D69+SUM(F69:I69))</f>
        <v/>
      </c>
      <c r="K69" s="67" t="str">
        <f>IF(OR(TaxaJuros="",C69=""),"",100%-J69/D69)</f>
        <v/>
      </c>
    </row>
    <row r="70" spans="5:11" x14ac:dyDescent="0.25">
      <c r="E70" s="15" t="str">
        <f>IF(OR(DataRecebimento="",C70=""),"",C70-$F$7)</f>
        <v/>
      </c>
      <c r="F70" s="16" t="str">
        <f>IF(OR(TaxaJuros="",C70=""),"",-D70*E70*($F$8/30))</f>
        <v/>
      </c>
      <c r="G70" s="16" t="str">
        <f>IF(OR(TaxaJuros="",C70=""),"",-$F$9)</f>
        <v/>
      </c>
      <c r="H70" s="21" t="str">
        <f>IF(OR(TaxaJuros="",C70=""),"",IF(ComSemIOF=FALSE,0,IF(E70&gt;365,-(D70+F70)*365*IOFDiario,-(D70+F70)*E70*IOFDiario)))</f>
        <v/>
      </c>
      <c r="I70" s="21" t="str">
        <f>IF(OR(TaxaJuros="",C70=""),"",IF(ComSemIOF=FALSE,0,-(D70+F70)*IOFAdic))</f>
        <v/>
      </c>
      <c r="J70" s="16" t="str">
        <f>IF(OR(TaxaJuros="",C70=""),"",D70+SUM(F70:I70))</f>
        <v/>
      </c>
      <c r="K70" s="67" t="str">
        <f>IF(OR(TaxaJuros="",C70=""),"",100%-J70/D70)</f>
        <v/>
      </c>
    </row>
    <row r="71" spans="5:11" x14ac:dyDescent="0.25">
      <c r="E71" s="15" t="str">
        <f>IF(OR(DataRecebimento="",C71=""),"",C71-$F$7)</f>
        <v/>
      </c>
      <c r="F71" s="16" t="str">
        <f>IF(OR(TaxaJuros="",C71=""),"",-D71*E71*($F$8/30))</f>
        <v/>
      </c>
      <c r="G71" s="16" t="str">
        <f>IF(OR(TaxaJuros="",C71=""),"",-$F$9)</f>
        <v/>
      </c>
      <c r="H71" s="21" t="str">
        <f>IF(OR(TaxaJuros="",C71=""),"",IF(ComSemIOF=FALSE,0,IF(E71&gt;365,-(D71+F71)*365*IOFDiario,-(D71+F71)*E71*IOFDiario)))</f>
        <v/>
      </c>
      <c r="I71" s="21" t="str">
        <f>IF(OR(TaxaJuros="",C71=""),"",IF(ComSemIOF=FALSE,0,-(D71+F71)*IOFAdic))</f>
        <v/>
      </c>
      <c r="J71" s="16" t="str">
        <f>IF(OR(TaxaJuros="",C71=""),"",D71+SUM(F71:I71))</f>
        <v/>
      </c>
      <c r="K71" s="67" t="str">
        <f>IF(OR(TaxaJuros="",C71=""),"",100%-J71/D71)</f>
        <v/>
      </c>
    </row>
    <row r="72" spans="5:11" x14ac:dyDescent="0.25">
      <c r="E72" s="15" t="str">
        <f>IF(OR(DataRecebimento="",C72=""),"",C72-$F$7)</f>
        <v/>
      </c>
      <c r="F72" s="16" t="str">
        <f>IF(OR(TaxaJuros="",C72=""),"",-D72*E72*($F$8/30))</f>
        <v/>
      </c>
      <c r="G72" s="16" t="str">
        <f>IF(OR(TaxaJuros="",C72=""),"",-$F$9)</f>
        <v/>
      </c>
      <c r="H72" s="21" t="str">
        <f>IF(OR(TaxaJuros="",C72=""),"",IF(ComSemIOF=FALSE,0,IF(E72&gt;365,-(D72+F72)*365*IOFDiario,-(D72+F72)*E72*IOFDiario)))</f>
        <v/>
      </c>
      <c r="I72" s="21" t="str">
        <f>IF(OR(TaxaJuros="",C72=""),"",IF(ComSemIOF=FALSE,0,-(D72+F72)*IOFAdic))</f>
        <v/>
      </c>
      <c r="J72" s="16" t="str">
        <f>IF(OR(TaxaJuros="",C72=""),"",D72+SUM(F72:I72))</f>
        <v/>
      </c>
      <c r="K72" s="67" t="str">
        <f>IF(OR(TaxaJuros="",C72=""),"",100%-J72/D72)</f>
        <v/>
      </c>
    </row>
    <row r="73" spans="5:11" x14ac:dyDescent="0.25">
      <c r="E73" s="15" t="str">
        <f>IF(OR(DataRecebimento="",C73=""),"",C73-$F$7)</f>
        <v/>
      </c>
      <c r="F73" s="16" t="str">
        <f>IF(OR(TaxaJuros="",C73=""),"",-D73*E73*($F$8/30))</f>
        <v/>
      </c>
      <c r="G73" s="16" t="str">
        <f>IF(OR(TaxaJuros="",C73=""),"",-$F$9)</f>
        <v/>
      </c>
      <c r="H73" s="21" t="str">
        <f>IF(OR(TaxaJuros="",C73=""),"",IF(ComSemIOF=FALSE,0,IF(E73&gt;365,-(D73+F73)*365*IOFDiario,-(D73+F73)*E73*IOFDiario)))</f>
        <v/>
      </c>
      <c r="I73" s="21" t="str">
        <f>IF(OR(TaxaJuros="",C73=""),"",IF(ComSemIOF=FALSE,0,-(D73+F73)*IOFAdic))</f>
        <v/>
      </c>
      <c r="J73" s="16" t="str">
        <f>IF(OR(TaxaJuros="",C73=""),"",D73+SUM(F73:I73))</f>
        <v/>
      </c>
      <c r="K73" s="67" t="str">
        <f>IF(OR(TaxaJuros="",C73=""),"",100%-J73/D73)</f>
        <v/>
      </c>
    </row>
    <row r="74" spans="5:11" x14ac:dyDescent="0.25">
      <c r="E74" s="15" t="str">
        <f>IF(OR(DataRecebimento="",C74=""),"",C74-$F$7)</f>
        <v/>
      </c>
      <c r="F74" s="16" t="str">
        <f>IF(OR(TaxaJuros="",C74=""),"",-D74*E74*($F$8/30))</f>
        <v/>
      </c>
      <c r="G74" s="16" t="str">
        <f>IF(OR(TaxaJuros="",C74=""),"",-$F$9)</f>
        <v/>
      </c>
      <c r="H74" s="21" t="str">
        <f>IF(OR(TaxaJuros="",C74=""),"",IF(ComSemIOF=FALSE,0,IF(E74&gt;365,-(D74+F74)*365*IOFDiario,-(D74+F74)*E74*IOFDiario)))</f>
        <v/>
      </c>
      <c r="I74" s="21" t="str">
        <f>IF(OR(TaxaJuros="",C74=""),"",IF(ComSemIOF=FALSE,0,-(D74+F74)*IOFAdic))</f>
        <v/>
      </c>
      <c r="J74" s="16" t="str">
        <f>IF(OR(TaxaJuros="",C74=""),"",D74+SUM(F74:I74))</f>
        <v/>
      </c>
      <c r="K74" s="67" t="str">
        <f>IF(OR(TaxaJuros="",C74=""),"",100%-J74/D74)</f>
        <v/>
      </c>
    </row>
    <row r="75" spans="5:11" x14ac:dyDescent="0.25">
      <c r="E75" s="15" t="str">
        <f>IF(OR(DataRecebimento="",C75=""),"",C75-$F$7)</f>
        <v/>
      </c>
      <c r="F75" s="16" t="str">
        <f>IF(OR(TaxaJuros="",C75=""),"",-D75*E75*($F$8/30))</f>
        <v/>
      </c>
      <c r="G75" s="16" t="str">
        <f>IF(OR(TaxaJuros="",C75=""),"",-$F$9)</f>
        <v/>
      </c>
      <c r="H75" s="21" t="str">
        <f>IF(OR(TaxaJuros="",C75=""),"",IF(ComSemIOF=FALSE,0,IF(E75&gt;365,-(D75+F75)*365*IOFDiario,-(D75+F75)*E75*IOFDiario)))</f>
        <v/>
      </c>
      <c r="I75" s="21" t="str">
        <f>IF(OR(TaxaJuros="",C75=""),"",IF(ComSemIOF=FALSE,0,-(D75+F75)*IOFAdic))</f>
        <v/>
      </c>
      <c r="J75" s="16" t="str">
        <f>IF(OR(TaxaJuros="",C75=""),"",D75+SUM(F75:I75))</f>
        <v/>
      </c>
      <c r="K75" s="67" t="str">
        <f>IF(OR(TaxaJuros="",C75=""),"",100%-J75/D75)</f>
        <v/>
      </c>
    </row>
    <row r="76" spans="5:11" x14ac:dyDescent="0.25">
      <c r="E76" s="15" t="str">
        <f>IF(OR(DataRecebimento="",C76=""),"",C76-$F$7)</f>
        <v/>
      </c>
      <c r="F76" s="16" t="str">
        <f>IF(OR(TaxaJuros="",C76=""),"",-D76*E76*($F$8/30))</f>
        <v/>
      </c>
      <c r="G76" s="16" t="str">
        <f>IF(OR(TaxaJuros="",C76=""),"",-$F$9)</f>
        <v/>
      </c>
      <c r="H76" s="21" t="str">
        <f>IF(OR(TaxaJuros="",C76=""),"",IF(ComSemIOF=FALSE,0,IF(E76&gt;365,-(D76+F76)*365*IOFDiario,-(D76+F76)*E76*IOFDiario)))</f>
        <v/>
      </c>
      <c r="I76" s="21" t="str">
        <f>IF(OR(TaxaJuros="",C76=""),"",IF(ComSemIOF=FALSE,0,-(D76+F76)*IOFAdic))</f>
        <v/>
      </c>
      <c r="J76" s="16" t="str">
        <f>IF(OR(TaxaJuros="",C76=""),"",D76+SUM(F76:I76))</f>
        <v/>
      </c>
      <c r="K76" s="67" t="str">
        <f>IF(OR(TaxaJuros="",C76=""),"",100%-J76/D76)</f>
        <v/>
      </c>
    </row>
    <row r="77" spans="5:11" x14ac:dyDescent="0.25">
      <c r="E77" s="15" t="str">
        <f>IF(OR(DataRecebimento="",C77=""),"",C77-$F$7)</f>
        <v/>
      </c>
      <c r="F77" s="16" t="str">
        <f>IF(OR(TaxaJuros="",C77=""),"",-D77*E77*($F$8/30))</f>
        <v/>
      </c>
      <c r="G77" s="16" t="str">
        <f>IF(OR(TaxaJuros="",C77=""),"",-$F$9)</f>
        <v/>
      </c>
      <c r="H77" s="21" t="str">
        <f>IF(OR(TaxaJuros="",C77=""),"",IF(ComSemIOF=FALSE,0,IF(E77&gt;365,-(D77+F77)*365*IOFDiario,-(D77+F77)*E77*IOFDiario)))</f>
        <v/>
      </c>
      <c r="I77" s="21" t="str">
        <f>IF(OR(TaxaJuros="",C77=""),"",IF(ComSemIOF=FALSE,0,-(D77+F77)*IOFAdic))</f>
        <v/>
      </c>
      <c r="J77" s="16" t="str">
        <f>IF(OR(TaxaJuros="",C77=""),"",D77+SUM(F77:I77))</f>
        <v/>
      </c>
      <c r="K77" s="67" t="str">
        <f>IF(OR(TaxaJuros="",C77=""),"",100%-J77/D77)</f>
        <v/>
      </c>
    </row>
    <row r="78" spans="5:11" x14ac:dyDescent="0.25">
      <c r="E78" s="15" t="str">
        <f>IF(OR(DataRecebimento="",C78=""),"",C78-$F$7)</f>
        <v/>
      </c>
      <c r="F78" s="16" t="str">
        <f>IF(OR(TaxaJuros="",C78=""),"",-D78*E78*($F$8/30))</f>
        <v/>
      </c>
      <c r="G78" s="16" t="str">
        <f>IF(OR(TaxaJuros="",C78=""),"",-$F$9)</f>
        <v/>
      </c>
      <c r="H78" s="21" t="str">
        <f>IF(OR(TaxaJuros="",C78=""),"",IF(ComSemIOF=FALSE,0,IF(E78&gt;365,-(D78+F78)*365*IOFDiario,-(D78+F78)*E78*IOFDiario)))</f>
        <v/>
      </c>
      <c r="I78" s="21" t="str">
        <f>IF(OR(TaxaJuros="",C78=""),"",IF(ComSemIOF=FALSE,0,-(D78+F78)*IOFAdic))</f>
        <v/>
      </c>
      <c r="J78" s="16" t="str">
        <f>IF(OR(TaxaJuros="",C78=""),"",D78+SUM(F78:I78))</f>
        <v/>
      </c>
      <c r="K78" s="67" t="str">
        <f>IF(OR(TaxaJuros="",C78=""),"",100%-J78/D78)</f>
        <v/>
      </c>
    </row>
    <row r="79" spans="5:11" x14ac:dyDescent="0.25">
      <c r="E79" s="15" t="str">
        <f>IF(OR(DataRecebimento="",C79=""),"",C79-$F$7)</f>
        <v/>
      </c>
      <c r="F79" s="16" t="str">
        <f>IF(OR(TaxaJuros="",C79=""),"",-D79*E79*($F$8/30))</f>
        <v/>
      </c>
      <c r="G79" s="16" t="str">
        <f>IF(OR(TaxaJuros="",C79=""),"",-$F$9)</f>
        <v/>
      </c>
      <c r="H79" s="21" t="str">
        <f>IF(OR(TaxaJuros="",C79=""),"",IF(ComSemIOF=FALSE,0,IF(E79&gt;365,-(D79+F79)*365*IOFDiario,-(D79+F79)*E79*IOFDiario)))</f>
        <v/>
      </c>
      <c r="I79" s="21" t="str">
        <f>IF(OR(TaxaJuros="",C79=""),"",IF(ComSemIOF=FALSE,0,-(D79+F79)*IOFAdic))</f>
        <v/>
      </c>
      <c r="J79" s="16" t="str">
        <f>IF(OR(TaxaJuros="",C79=""),"",D79+SUM(F79:I79))</f>
        <v/>
      </c>
      <c r="K79" s="67" t="str">
        <f>IF(OR(TaxaJuros="",C79=""),"",100%-J79/D79)</f>
        <v/>
      </c>
    </row>
    <row r="80" spans="5:11" x14ac:dyDescent="0.25">
      <c r="E80" s="15" t="str">
        <f>IF(OR(DataRecebimento="",C80=""),"",C80-$F$7)</f>
        <v/>
      </c>
      <c r="F80" s="16" t="str">
        <f>IF(OR(TaxaJuros="",C80=""),"",-D80*E80*($F$8/30))</f>
        <v/>
      </c>
      <c r="G80" s="16" t="str">
        <f>IF(OR(TaxaJuros="",C80=""),"",-$F$9)</f>
        <v/>
      </c>
      <c r="H80" s="21" t="str">
        <f>IF(OR(TaxaJuros="",C80=""),"",IF(ComSemIOF=FALSE,0,IF(E80&gt;365,-(D80+F80)*365*IOFDiario,-(D80+F80)*E80*IOFDiario)))</f>
        <v/>
      </c>
      <c r="I80" s="21" t="str">
        <f>IF(OR(TaxaJuros="",C80=""),"",IF(ComSemIOF=FALSE,0,-(D80+F80)*IOFAdic))</f>
        <v/>
      </c>
      <c r="J80" s="16" t="str">
        <f>IF(OR(TaxaJuros="",C80=""),"",D80+SUM(F80:I80))</f>
        <v/>
      </c>
      <c r="K80" s="67" t="str">
        <f>IF(OR(TaxaJuros="",C80=""),"",100%-J80/D80)</f>
        <v/>
      </c>
    </row>
    <row r="81" spans="5:11" x14ac:dyDescent="0.25">
      <c r="E81" s="15" t="str">
        <f>IF(OR(DataRecebimento="",C81=""),"",C81-$F$7)</f>
        <v/>
      </c>
      <c r="F81" s="16" t="str">
        <f>IF(OR(TaxaJuros="",C81=""),"",-D81*E81*($F$8/30))</f>
        <v/>
      </c>
      <c r="G81" s="16" t="str">
        <f>IF(OR(TaxaJuros="",C81=""),"",-$F$9)</f>
        <v/>
      </c>
      <c r="H81" s="21" t="str">
        <f>IF(OR(TaxaJuros="",C81=""),"",IF(ComSemIOF=FALSE,0,IF(E81&gt;365,-(D81+F81)*365*IOFDiario,-(D81+F81)*E81*IOFDiario)))</f>
        <v/>
      </c>
      <c r="I81" s="21" t="str">
        <f>IF(OR(TaxaJuros="",C81=""),"",IF(ComSemIOF=FALSE,0,-(D81+F81)*IOFAdic))</f>
        <v/>
      </c>
      <c r="J81" s="16" t="str">
        <f>IF(OR(TaxaJuros="",C81=""),"",D81+SUM(F81:I81))</f>
        <v/>
      </c>
      <c r="K81" s="67" t="str">
        <f>IF(OR(TaxaJuros="",C81=""),"",100%-J81/D81)</f>
        <v/>
      </c>
    </row>
    <row r="82" spans="5:11" x14ac:dyDescent="0.25">
      <c r="E82" s="15" t="str">
        <f>IF(OR(DataRecebimento="",C82=""),"",C82-$F$7)</f>
        <v/>
      </c>
      <c r="F82" s="16" t="str">
        <f>IF(OR(TaxaJuros="",C82=""),"",-D82*E82*($F$8/30))</f>
        <v/>
      </c>
      <c r="G82" s="16" t="str">
        <f>IF(OR(TaxaJuros="",C82=""),"",-$F$9)</f>
        <v/>
      </c>
      <c r="H82" s="21" t="str">
        <f>IF(OR(TaxaJuros="",C82=""),"",IF(ComSemIOF=FALSE,0,IF(E82&gt;365,-(D82+F82)*365*IOFDiario,-(D82+F82)*E82*IOFDiario)))</f>
        <v/>
      </c>
      <c r="I82" s="21" t="str">
        <f>IF(OR(TaxaJuros="",C82=""),"",IF(ComSemIOF=FALSE,0,-(D82+F82)*IOFAdic))</f>
        <v/>
      </c>
      <c r="J82" s="16" t="str">
        <f>IF(OR(TaxaJuros="",C82=""),"",D82+SUM(F82:I82))</f>
        <v/>
      </c>
      <c r="K82" s="67" t="str">
        <f>IF(OR(TaxaJuros="",C82=""),"",100%-J82/D82)</f>
        <v/>
      </c>
    </row>
    <row r="83" spans="5:11" x14ac:dyDescent="0.25">
      <c r="E83" s="15" t="str">
        <f>IF(OR(DataRecebimento="",C83=""),"",C83-$F$7)</f>
        <v/>
      </c>
      <c r="F83" s="16" t="str">
        <f>IF(OR(TaxaJuros="",C83=""),"",-D83*E83*($F$8/30))</f>
        <v/>
      </c>
      <c r="G83" s="16" t="str">
        <f>IF(OR(TaxaJuros="",C83=""),"",-$F$9)</f>
        <v/>
      </c>
      <c r="H83" s="21" t="str">
        <f>IF(OR(TaxaJuros="",C83=""),"",IF(ComSemIOF=FALSE,0,IF(E83&gt;365,-(D83+F83)*365*IOFDiario,-(D83+F83)*E83*IOFDiario)))</f>
        <v/>
      </c>
      <c r="I83" s="21" t="str">
        <f>IF(OR(TaxaJuros="",C83=""),"",IF(ComSemIOF=FALSE,0,-(D83+F83)*IOFAdic))</f>
        <v/>
      </c>
      <c r="J83" s="16" t="str">
        <f>IF(OR(TaxaJuros="",C83=""),"",D83+SUM(F83:I83))</f>
        <v/>
      </c>
      <c r="K83" s="67" t="str">
        <f>IF(OR(TaxaJuros="",C83=""),"",100%-J83/D83)</f>
        <v/>
      </c>
    </row>
    <row r="84" spans="5:11" x14ac:dyDescent="0.25">
      <c r="E84" s="15" t="str">
        <f>IF(OR(DataRecebimento="",C84=""),"",C84-$F$7)</f>
        <v/>
      </c>
      <c r="F84" s="16" t="str">
        <f>IF(OR(TaxaJuros="",C84=""),"",-D84*E84*($F$8/30))</f>
        <v/>
      </c>
      <c r="G84" s="16" t="str">
        <f>IF(OR(TaxaJuros="",C84=""),"",-$F$9)</f>
        <v/>
      </c>
      <c r="H84" s="21" t="str">
        <f>IF(OR(TaxaJuros="",C84=""),"",IF(ComSemIOF=FALSE,0,IF(E84&gt;365,-(D84+F84)*365*IOFDiario,-(D84+F84)*E84*IOFDiario)))</f>
        <v/>
      </c>
      <c r="I84" s="21" t="str">
        <f>IF(OR(TaxaJuros="",C84=""),"",IF(ComSemIOF=FALSE,0,-(D84+F84)*IOFAdic))</f>
        <v/>
      </c>
      <c r="J84" s="16" t="str">
        <f>IF(OR(TaxaJuros="",C84=""),"",D84+SUM(F84:I84))</f>
        <v/>
      </c>
      <c r="K84" s="67" t="str">
        <f>IF(OR(TaxaJuros="",C84=""),"",100%-J84/D84)</f>
        <v/>
      </c>
    </row>
    <row r="85" spans="5:11" x14ac:dyDescent="0.25">
      <c r="E85" s="15" t="str">
        <f>IF(OR(DataRecebimento="",C85=""),"",C85-$F$7)</f>
        <v/>
      </c>
      <c r="F85" s="16" t="str">
        <f>IF(OR(TaxaJuros="",C85=""),"",-D85*E85*($F$8/30))</f>
        <v/>
      </c>
      <c r="G85" s="16" t="str">
        <f>IF(OR(TaxaJuros="",C85=""),"",-$F$9)</f>
        <v/>
      </c>
      <c r="H85" s="21" t="str">
        <f>IF(OR(TaxaJuros="",C85=""),"",IF(ComSemIOF=FALSE,0,IF(E85&gt;365,-(D85+F85)*365*IOFDiario,-(D85+F85)*E85*IOFDiario)))</f>
        <v/>
      </c>
      <c r="I85" s="21" t="str">
        <f>IF(OR(TaxaJuros="",C85=""),"",IF(ComSemIOF=FALSE,0,-(D85+F85)*IOFAdic))</f>
        <v/>
      </c>
      <c r="J85" s="16" t="str">
        <f>IF(OR(TaxaJuros="",C85=""),"",D85+SUM(F85:I85))</f>
        <v/>
      </c>
      <c r="K85" s="67" t="str">
        <f>IF(OR(TaxaJuros="",C85=""),"",100%-J85/D85)</f>
        <v/>
      </c>
    </row>
    <row r="86" spans="5:11" x14ac:dyDescent="0.25">
      <c r="E86" s="15" t="str">
        <f>IF(OR(DataRecebimento="",C86=""),"",C86-$F$7)</f>
        <v/>
      </c>
      <c r="F86" s="16" t="str">
        <f>IF(OR(TaxaJuros="",C86=""),"",-D86*E86*($F$8/30))</f>
        <v/>
      </c>
      <c r="G86" s="16" t="str">
        <f>IF(OR(TaxaJuros="",C86=""),"",-$F$9)</f>
        <v/>
      </c>
      <c r="H86" s="21" t="str">
        <f>IF(OR(TaxaJuros="",C86=""),"",IF(ComSemIOF=FALSE,0,IF(E86&gt;365,-(D86+F86)*365*IOFDiario,-(D86+F86)*E86*IOFDiario)))</f>
        <v/>
      </c>
      <c r="I86" s="21" t="str">
        <f>IF(OR(TaxaJuros="",C86=""),"",IF(ComSemIOF=FALSE,0,-(D86+F86)*IOFAdic))</f>
        <v/>
      </c>
      <c r="J86" s="16" t="str">
        <f>IF(OR(TaxaJuros="",C86=""),"",D86+SUM(F86:I86))</f>
        <v/>
      </c>
      <c r="K86" s="67" t="str">
        <f>IF(OR(TaxaJuros="",C86=""),"",100%-J86/D86)</f>
        <v/>
      </c>
    </row>
    <row r="87" spans="5:11" x14ac:dyDescent="0.25">
      <c r="E87" s="15" t="str">
        <f>IF(OR(DataRecebimento="",C87=""),"",C87-$F$7)</f>
        <v/>
      </c>
      <c r="F87" s="16" t="str">
        <f>IF(OR(TaxaJuros="",C87=""),"",-D87*E87*($F$8/30))</f>
        <v/>
      </c>
      <c r="G87" s="16" t="str">
        <f>IF(OR(TaxaJuros="",C87=""),"",-$F$9)</f>
        <v/>
      </c>
      <c r="H87" s="21" t="str">
        <f>IF(OR(TaxaJuros="",C87=""),"",IF(ComSemIOF=FALSE,0,IF(E87&gt;365,-(D87+F87)*365*IOFDiario,-(D87+F87)*E87*IOFDiario)))</f>
        <v/>
      </c>
      <c r="I87" s="21" t="str">
        <f>IF(OR(TaxaJuros="",C87=""),"",IF(ComSemIOF=FALSE,0,-(D87+F87)*IOFAdic))</f>
        <v/>
      </c>
      <c r="J87" s="16" t="str">
        <f>IF(OR(TaxaJuros="",C87=""),"",D87+SUM(F87:I87))</f>
        <v/>
      </c>
      <c r="K87" s="67" t="str">
        <f>IF(OR(TaxaJuros="",C87=""),"",100%-J87/D87)</f>
        <v/>
      </c>
    </row>
    <row r="88" spans="5:11" x14ac:dyDescent="0.25">
      <c r="E88" s="15" t="str">
        <f>IF(OR(DataRecebimento="",C88=""),"",C88-$F$7)</f>
        <v/>
      </c>
      <c r="F88" s="16" t="str">
        <f>IF(OR(TaxaJuros="",C88=""),"",-D88*E88*($F$8/30))</f>
        <v/>
      </c>
      <c r="G88" s="16" t="str">
        <f>IF(OR(TaxaJuros="",C88=""),"",-$F$9)</f>
        <v/>
      </c>
      <c r="H88" s="21" t="str">
        <f>IF(OR(TaxaJuros="",C88=""),"",IF(ComSemIOF=FALSE,0,IF(E88&gt;365,-(D88+F88)*365*IOFDiario,-(D88+F88)*E88*IOFDiario)))</f>
        <v/>
      </c>
      <c r="I88" s="21" t="str">
        <f>IF(OR(TaxaJuros="",C88=""),"",IF(ComSemIOF=FALSE,0,-(D88+F88)*IOFAdic))</f>
        <v/>
      </c>
      <c r="J88" s="16" t="str">
        <f>IF(OR(TaxaJuros="",C88=""),"",D88+SUM(F88:I88))</f>
        <v/>
      </c>
      <c r="K88" s="67" t="str">
        <f>IF(OR(TaxaJuros="",C88=""),"",100%-J88/D88)</f>
        <v/>
      </c>
    </row>
    <row r="89" spans="5:11" x14ac:dyDescent="0.25">
      <c r="E89" s="15" t="str">
        <f>IF(OR(DataRecebimento="",C89=""),"",C89-$F$7)</f>
        <v/>
      </c>
      <c r="F89" s="16" t="str">
        <f>IF(OR(TaxaJuros="",C89=""),"",-D89*E89*($F$8/30))</f>
        <v/>
      </c>
      <c r="G89" s="16" t="str">
        <f>IF(OR(TaxaJuros="",C89=""),"",-$F$9)</f>
        <v/>
      </c>
      <c r="H89" s="21" t="str">
        <f>IF(OR(TaxaJuros="",C89=""),"",IF(ComSemIOF=FALSE,0,IF(E89&gt;365,-(D89+F89)*365*IOFDiario,-(D89+F89)*E89*IOFDiario)))</f>
        <v/>
      </c>
      <c r="I89" s="21" t="str">
        <f>IF(OR(TaxaJuros="",C89=""),"",IF(ComSemIOF=FALSE,0,-(D89+F89)*IOFAdic))</f>
        <v/>
      </c>
      <c r="J89" s="16" t="str">
        <f>IF(OR(TaxaJuros="",C89=""),"",D89+SUM(F89:I89))</f>
        <v/>
      </c>
      <c r="K89" s="67" t="str">
        <f>IF(OR(TaxaJuros="",C89=""),"",100%-J89/D89)</f>
        <v/>
      </c>
    </row>
    <row r="90" spans="5:11" x14ac:dyDescent="0.25">
      <c r="E90" s="15" t="str">
        <f>IF(OR(DataRecebimento="",C90=""),"",C90-$F$7)</f>
        <v/>
      </c>
      <c r="F90" s="16" t="str">
        <f>IF(OR(TaxaJuros="",C90=""),"",-D90*E90*($F$8/30))</f>
        <v/>
      </c>
      <c r="G90" s="16" t="str">
        <f>IF(OR(TaxaJuros="",C90=""),"",-$F$9)</f>
        <v/>
      </c>
      <c r="H90" s="21" t="str">
        <f>IF(OR(TaxaJuros="",C90=""),"",IF(ComSemIOF=FALSE,0,IF(E90&gt;365,-(D90+F90)*365*IOFDiario,-(D90+F90)*E90*IOFDiario)))</f>
        <v/>
      </c>
      <c r="I90" s="21" t="str">
        <f>IF(OR(TaxaJuros="",C90=""),"",IF(ComSemIOF=FALSE,0,-(D90+F90)*IOFAdic))</f>
        <v/>
      </c>
      <c r="J90" s="16" t="str">
        <f>IF(OR(TaxaJuros="",C90=""),"",D90+SUM(F90:I90))</f>
        <v/>
      </c>
      <c r="K90" s="67" t="str">
        <f>IF(OR(TaxaJuros="",C90=""),"",100%-J90/D90)</f>
        <v/>
      </c>
    </row>
    <row r="91" spans="5:11" x14ac:dyDescent="0.25">
      <c r="E91" s="15" t="str">
        <f>IF(OR(DataRecebimento="",C91=""),"",C91-$F$7)</f>
        <v/>
      </c>
      <c r="F91" s="16" t="str">
        <f>IF(OR(TaxaJuros="",C91=""),"",-D91*E91*($F$8/30))</f>
        <v/>
      </c>
      <c r="G91" s="16" t="str">
        <f>IF(OR(TaxaJuros="",C91=""),"",-$F$9)</f>
        <v/>
      </c>
      <c r="H91" s="21" t="str">
        <f>IF(OR(TaxaJuros="",C91=""),"",IF(ComSemIOF=FALSE,0,IF(E91&gt;365,-(D91+F91)*365*IOFDiario,-(D91+F91)*E91*IOFDiario)))</f>
        <v/>
      </c>
      <c r="I91" s="21" t="str">
        <f>IF(OR(TaxaJuros="",C91=""),"",IF(ComSemIOF=FALSE,0,-(D91+F91)*IOFAdic))</f>
        <v/>
      </c>
      <c r="J91" s="16" t="str">
        <f>IF(OR(TaxaJuros="",C91=""),"",D91+SUM(F91:I91))</f>
        <v/>
      </c>
      <c r="K91" s="67" t="str">
        <f>IF(OR(TaxaJuros="",C91=""),"",100%-J91/D91)</f>
        <v/>
      </c>
    </row>
    <row r="92" spans="5:11" x14ac:dyDescent="0.25">
      <c r="E92" s="15" t="str">
        <f>IF(OR(DataRecebimento="",C92=""),"",C92-$F$7)</f>
        <v/>
      </c>
      <c r="F92" s="16" t="str">
        <f>IF(OR(TaxaJuros="",C92=""),"",-D92*E92*($F$8/30))</f>
        <v/>
      </c>
      <c r="G92" s="16" t="str">
        <f>IF(OR(TaxaJuros="",C92=""),"",-$F$9)</f>
        <v/>
      </c>
      <c r="H92" s="21" t="str">
        <f>IF(OR(TaxaJuros="",C92=""),"",IF(ComSemIOF=FALSE,0,IF(E92&gt;365,-(D92+F92)*365*IOFDiario,-(D92+F92)*E92*IOFDiario)))</f>
        <v/>
      </c>
      <c r="I92" s="21" t="str">
        <f>IF(OR(TaxaJuros="",C92=""),"",IF(ComSemIOF=FALSE,0,-(D92+F92)*IOFAdic))</f>
        <v/>
      </c>
      <c r="J92" s="16" t="str">
        <f>IF(OR(TaxaJuros="",C92=""),"",D92+SUM(F92:I92))</f>
        <v/>
      </c>
      <c r="K92" s="67" t="str">
        <f>IF(OR(TaxaJuros="",C92=""),"",100%-J92/D92)</f>
        <v/>
      </c>
    </row>
    <row r="93" spans="5:11" x14ac:dyDescent="0.25">
      <c r="E93" s="15" t="str">
        <f>IF(OR(DataRecebimento="",C93=""),"",C93-$F$7)</f>
        <v/>
      </c>
      <c r="F93" s="16" t="str">
        <f>IF(OR(TaxaJuros="",C93=""),"",-D93*E93*($F$8/30))</f>
        <v/>
      </c>
      <c r="G93" s="16" t="str">
        <f>IF(OR(TaxaJuros="",C93=""),"",-$F$9)</f>
        <v/>
      </c>
      <c r="H93" s="21" t="str">
        <f>IF(OR(TaxaJuros="",C93=""),"",IF(ComSemIOF=FALSE,0,IF(E93&gt;365,-(D93+F93)*365*IOFDiario,-(D93+F93)*E93*IOFDiario)))</f>
        <v/>
      </c>
      <c r="I93" s="21" t="str">
        <f>IF(OR(TaxaJuros="",C93=""),"",IF(ComSemIOF=FALSE,0,-(D93+F93)*IOFAdic))</f>
        <v/>
      </c>
      <c r="J93" s="16" t="str">
        <f>IF(OR(TaxaJuros="",C93=""),"",D93+SUM(F93:I93))</f>
        <v/>
      </c>
      <c r="K93" s="67" t="str">
        <f>IF(OR(TaxaJuros="",C93=""),"",100%-J93/D93)</f>
        <v/>
      </c>
    </row>
    <row r="94" spans="5:11" x14ac:dyDescent="0.25">
      <c r="E94" s="15" t="str">
        <f>IF(OR(DataRecebimento="",C94=""),"",C94-$F$7)</f>
        <v/>
      </c>
      <c r="F94" s="16" t="str">
        <f>IF(OR(TaxaJuros="",C94=""),"",-D94*E94*($F$8/30))</f>
        <v/>
      </c>
      <c r="G94" s="16" t="str">
        <f>IF(OR(TaxaJuros="",C94=""),"",-$F$9)</f>
        <v/>
      </c>
      <c r="H94" s="21" t="str">
        <f>IF(OR(TaxaJuros="",C94=""),"",IF(ComSemIOF=FALSE,0,IF(E94&gt;365,-(D94+F94)*365*IOFDiario,-(D94+F94)*E94*IOFDiario)))</f>
        <v/>
      </c>
      <c r="I94" s="21" t="str">
        <f>IF(OR(TaxaJuros="",C94=""),"",IF(ComSemIOF=FALSE,0,-(D94+F94)*IOFAdic))</f>
        <v/>
      </c>
      <c r="J94" s="16" t="str">
        <f>IF(OR(TaxaJuros="",C94=""),"",D94+SUM(F94:I94))</f>
        <v/>
      </c>
      <c r="K94" s="67" t="str">
        <f>IF(OR(TaxaJuros="",C94=""),"",100%-J94/D94)</f>
        <v/>
      </c>
    </row>
    <row r="95" spans="5:11" x14ac:dyDescent="0.25">
      <c r="E95" s="15" t="str">
        <f>IF(OR(DataRecebimento="",C95=""),"",C95-$F$7)</f>
        <v/>
      </c>
      <c r="F95" s="16" t="str">
        <f>IF(OR(TaxaJuros="",C95=""),"",-D95*E95*($F$8/30))</f>
        <v/>
      </c>
      <c r="G95" s="16" t="str">
        <f>IF(OR(TaxaJuros="",C95=""),"",-$F$9)</f>
        <v/>
      </c>
      <c r="H95" s="21" t="str">
        <f>IF(OR(TaxaJuros="",C95=""),"",IF(ComSemIOF=FALSE,0,IF(E95&gt;365,-(D95+F95)*365*IOFDiario,-(D95+F95)*E95*IOFDiario)))</f>
        <v/>
      </c>
      <c r="I95" s="21" t="str">
        <f>IF(OR(TaxaJuros="",C95=""),"",IF(ComSemIOF=FALSE,0,-(D95+F95)*IOFAdic))</f>
        <v/>
      </c>
      <c r="J95" s="16" t="str">
        <f>IF(OR(TaxaJuros="",C95=""),"",D95+SUM(F95:I95))</f>
        <v/>
      </c>
      <c r="K95" s="67" t="str">
        <f>IF(OR(TaxaJuros="",C95=""),"",100%-J95/D95)</f>
        <v/>
      </c>
    </row>
    <row r="96" spans="5:11" x14ac:dyDescent="0.25">
      <c r="E96" s="15" t="str">
        <f>IF(OR(DataRecebimento="",C96=""),"",C96-$F$7)</f>
        <v/>
      </c>
      <c r="F96" s="16" t="str">
        <f>IF(OR(TaxaJuros="",C96=""),"",-D96*E96*($F$8/30))</f>
        <v/>
      </c>
      <c r="G96" s="16" t="str">
        <f>IF(OR(TaxaJuros="",C96=""),"",-$F$9)</f>
        <v/>
      </c>
      <c r="H96" s="21" t="str">
        <f>IF(OR(TaxaJuros="",C96=""),"",IF(ComSemIOF=FALSE,0,IF(E96&gt;365,-(D96+F96)*365*IOFDiario,-(D96+F96)*E96*IOFDiario)))</f>
        <v/>
      </c>
      <c r="I96" s="21" t="str">
        <f>IF(OR(TaxaJuros="",C96=""),"",IF(ComSemIOF=FALSE,0,-(D96+F96)*IOFAdic))</f>
        <v/>
      </c>
      <c r="J96" s="16" t="str">
        <f>IF(OR(TaxaJuros="",C96=""),"",D96+SUM(F96:I96))</f>
        <v/>
      </c>
      <c r="K96" s="67" t="str">
        <f>IF(OR(TaxaJuros="",C96=""),"",100%-J96/D96)</f>
        <v/>
      </c>
    </row>
    <row r="97" spans="5:11" x14ac:dyDescent="0.25">
      <c r="E97" s="15" t="str">
        <f>IF(OR(DataRecebimento="",C97=""),"",C97-$F$7)</f>
        <v/>
      </c>
      <c r="F97" s="16" t="str">
        <f>IF(OR(TaxaJuros="",C97=""),"",-D97*E97*($F$8/30))</f>
        <v/>
      </c>
      <c r="G97" s="16" t="str">
        <f>IF(OR(TaxaJuros="",C97=""),"",-$F$9)</f>
        <v/>
      </c>
      <c r="H97" s="21" t="str">
        <f>IF(OR(TaxaJuros="",C97=""),"",IF(ComSemIOF=FALSE,0,IF(E97&gt;365,-(D97+F97)*365*IOFDiario,-(D97+F97)*E97*IOFDiario)))</f>
        <v/>
      </c>
      <c r="I97" s="21" t="str">
        <f>IF(OR(TaxaJuros="",C97=""),"",IF(ComSemIOF=FALSE,0,-(D97+F97)*IOFAdic))</f>
        <v/>
      </c>
      <c r="J97" s="16" t="str">
        <f>IF(OR(TaxaJuros="",C97=""),"",D97+SUM(F97:I97))</f>
        <v/>
      </c>
      <c r="K97" s="67" t="str">
        <f>IF(OR(TaxaJuros="",C97=""),"",100%-J97/D97)</f>
        <v/>
      </c>
    </row>
    <row r="98" spans="5:11" x14ac:dyDescent="0.25">
      <c r="E98" s="15" t="str">
        <f>IF(OR(DataRecebimento="",C98=""),"",C98-$F$7)</f>
        <v/>
      </c>
      <c r="F98" s="16" t="str">
        <f>IF(OR(TaxaJuros="",C98=""),"",-D98*E98*($F$8/30))</f>
        <v/>
      </c>
      <c r="G98" s="16" t="str">
        <f>IF(OR(TaxaJuros="",C98=""),"",-$F$9)</f>
        <v/>
      </c>
      <c r="H98" s="21" t="str">
        <f>IF(OR(TaxaJuros="",C98=""),"",IF(ComSemIOF=FALSE,0,IF(E98&gt;365,-(D98+F98)*365*IOFDiario,-(D98+F98)*E98*IOFDiario)))</f>
        <v/>
      </c>
      <c r="I98" s="21" t="str">
        <f>IF(OR(TaxaJuros="",C98=""),"",IF(ComSemIOF=FALSE,0,-(D98+F98)*IOFAdic))</f>
        <v/>
      </c>
      <c r="J98" s="16" t="str">
        <f>IF(OR(TaxaJuros="",C98=""),"",D98+SUM(F98:I98))</f>
        <v/>
      </c>
      <c r="K98" s="67" t="str">
        <f>IF(OR(TaxaJuros="",C98=""),"",100%-J98/D98)</f>
        <v/>
      </c>
    </row>
    <row r="99" spans="5:11" x14ac:dyDescent="0.25">
      <c r="E99" s="15" t="str">
        <f>IF(OR(DataRecebimento="",C99=""),"",C99-$F$7)</f>
        <v/>
      </c>
      <c r="F99" s="16" t="str">
        <f>IF(OR(TaxaJuros="",C99=""),"",-D99*E99*($F$8/30))</f>
        <v/>
      </c>
      <c r="G99" s="16" t="str">
        <f>IF(OR(TaxaJuros="",C99=""),"",-$F$9)</f>
        <v/>
      </c>
      <c r="H99" s="21" t="str">
        <f>IF(OR(TaxaJuros="",C99=""),"",IF(ComSemIOF=FALSE,0,IF(E99&gt;365,-(D99+F99)*365*IOFDiario,-(D99+F99)*E99*IOFDiario)))</f>
        <v/>
      </c>
      <c r="I99" s="21" t="str">
        <f>IF(OR(TaxaJuros="",C99=""),"",IF(ComSemIOF=FALSE,0,-(D99+F99)*IOFAdic))</f>
        <v/>
      </c>
      <c r="J99" s="16" t="str">
        <f>IF(OR(TaxaJuros="",C99=""),"",D99+SUM(F99:I99))</f>
        <v/>
      </c>
      <c r="K99" s="67" t="str">
        <f>IF(OR(TaxaJuros="",C99=""),"",100%-J99/D99)</f>
        <v/>
      </c>
    </row>
    <row r="100" spans="5:11" x14ac:dyDescent="0.25">
      <c r="E100" s="15" t="str">
        <f>IF(OR(DataRecebimento="",C100=""),"",C100-$F$7)</f>
        <v/>
      </c>
      <c r="F100" s="16" t="str">
        <f>IF(OR(TaxaJuros="",C100=""),"",-D100*E100*($F$8/30))</f>
        <v/>
      </c>
      <c r="G100" s="16" t="str">
        <f>IF(OR(TaxaJuros="",C100=""),"",-$F$9)</f>
        <v/>
      </c>
      <c r="H100" s="21" t="str">
        <f>IF(OR(TaxaJuros="",C100=""),"",IF(ComSemIOF=FALSE,0,IF(E100&gt;365,-(D100+F100)*365*IOFDiario,-(D100+F100)*E100*IOFDiario)))</f>
        <v/>
      </c>
      <c r="I100" s="21" t="str">
        <f>IF(OR(TaxaJuros="",C100=""),"",IF(ComSemIOF=FALSE,0,-(D100+F100)*IOFAdic))</f>
        <v/>
      </c>
      <c r="J100" s="16" t="str">
        <f>IF(OR(TaxaJuros="",C100=""),"",D100+SUM(F100:I100))</f>
        <v/>
      </c>
      <c r="K100" s="67" t="str">
        <f>IF(OR(TaxaJuros="",C100=""),"",100%-J100/D100)</f>
        <v/>
      </c>
    </row>
    <row r="101" spans="5:11" x14ac:dyDescent="0.25">
      <c r="E101" s="15" t="str">
        <f>IF(OR(DataRecebimento="",C101=""),"",C101-$F$7)</f>
        <v/>
      </c>
      <c r="F101" s="16" t="str">
        <f>IF(OR(TaxaJuros="",C101=""),"",-D101*E101*($F$8/30))</f>
        <v/>
      </c>
      <c r="G101" s="16" t="str">
        <f>IF(OR(TaxaJuros="",C101=""),"",-$F$9)</f>
        <v/>
      </c>
      <c r="H101" s="21" t="str">
        <f>IF(OR(TaxaJuros="",C101=""),"",IF(ComSemIOF=FALSE,0,IF(E101&gt;365,-(D101+F101)*365*IOFDiario,-(D101+F101)*E101*IOFDiario)))</f>
        <v/>
      </c>
      <c r="I101" s="21" t="str">
        <f>IF(OR(TaxaJuros="",C101=""),"",IF(ComSemIOF=FALSE,0,-(D101+F101)*IOFAdic))</f>
        <v/>
      </c>
      <c r="J101" s="16" t="str">
        <f>IF(OR(TaxaJuros="",C101=""),"",D101+SUM(F101:I101))</f>
        <v/>
      </c>
      <c r="K101" s="67" t="str">
        <f>IF(OR(TaxaJuros="",C101=""),"",100%-J101/D101)</f>
        <v/>
      </c>
    </row>
    <row r="102" spans="5:11" x14ac:dyDescent="0.25">
      <c r="E102" s="15" t="str">
        <f>IF(OR(DataRecebimento="",C102=""),"",C102-$F$7)</f>
        <v/>
      </c>
      <c r="F102" s="16" t="str">
        <f>IF(OR(TaxaJuros="",C102=""),"",-D102*E102*($F$8/30))</f>
        <v/>
      </c>
      <c r="G102" s="16" t="str">
        <f>IF(OR(TaxaJuros="",C102=""),"",-$F$9)</f>
        <v/>
      </c>
      <c r="H102" s="21" t="str">
        <f>IF(OR(TaxaJuros="",C102=""),"",IF(ComSemIOF=FALSE,0,IF(E102&gt;365,-(D102+F102)*365*IOFDiario,-(D102+F102)*E102*IOFDiario)))</f>
        <v/>
      </c>
      <c r="I102" s="21" t="str">
        <f>IF(OR(TaxaJuros="",C102=""),"",IF(ComSemIOF=FALSE,0,-(D102+F102)*IOFAdic))</f>
        <v/>
      </c>
      <c r="J102" s="16" t="str">
        <f>IF(OR(TaxaJuros="",C102=""),"",D102+SUM(F102:I102))</f>
        <v/>
      </c>
      <c r="K102" s="67" t="str">
        <f>IF(OR(TaxaJuros="",C102=""),"",100%-J102/D102)</f>
        <v/>
      </c>
    </row>
    <row r="103" spans="5:11" x14ac:dyDescent="0.25">
      <c r="E103" s="15" t="str">
        <f>IF(OR(DataRecebimento="",C103=""),"",C103-$F$7)</f>
        <v/>
      </c>
      <c r="F103" s="16" t="str">
        <f>IF(OR(TaxaJuros="",C103=""),"",-D103*E103*($F$8/30))</f>
        <v/>
      </c>
      <c r="G103" s="16" t="str">
        <f>IF(OR(TaxaJuros="",C103=""),"",-$F$9)</f>
        <v/>
      </c>
      <c r="H103" s="21" t="str">
        <f>IF(OR(TaxaJuros="",C103=""),"",IF(ComSemIOF=FALSE,0,IF(E103&gt;365,-(D103+F103)*365*IOFDiario,-(D103+F103)*E103*IOFDiario)))</f>
        <v/>
      </c>
      <c r="I103" s="21" t="str">
        <f>IF(OR(TaxaJuros="",C103=""),"",IF(ComSemIOF=FALSE,0,-(D103+F103)*IOFAdic))</f>
        <v/>
      </c>
      <c r="J103" s="16" t="str">
        <f>IF(OR(TaxaJuros="",C103=""),"",D103+SUM(F103:I103))</f>
        <v/>
      </c>
      <c r="K103" s="67" t="str">
        <f>IF(OR(TaxaJuros="",C103=""),"",100%-J103/D103)</f>
        <v/>
      </c>
    </row>
    <row r="104" spans="5:11" x14ac:dyDescent="0.25">
      <c r="E104" s="15" t="str">
        <f>IF(OR(DataRecebimento="",C104=""),"",C104-$F$7)</f>
        <v/>
      </c>
      <c r="F104" s="16" t="str">
        <f>IF(OR(TaxaJuros="",C104=""),"",-D104*E104*($F$8/30))</f>
        <v/>
      </c>
      <c r="G104" s="16" t="str">
        <f>IF(OR(TaxaJuros="",C104=""),"",-$F$9)</f>
        <v/>
      </c>
      <c r="H104" s="21" t="str">
        <f>IF(OR(TaxaJuros="",C104=""),"",IF(ComSemIOF=FALSE,0,IF(E104&gt;365,-(D104+F104)*365*IOFDiario,-(D104+F104)*E104*IOFDiario)))</f>
        <v/>
      </c>
      <c r="I104" s="21" t="str">
        <f>IF(OR(TaxaJuros="",C104=""),"",IF(ComSemIOF=FALSE,0,-(D104+F104)*IOFAdic))</f>
        <v/>
      </c>
      <c r="J104" s="16" t="str">
        <f>IF(OR(TaxaJuros="",C104=""),"",D104+SUM(F104:I104))</f>
        <v/>
      </c>
      <c r="K104" s="67" t="str">
        <f>IF(OR(TaxaJuros="",C104=""),"",100%-J104/D104)</f>
        <v/>
      </c>
    </row>
    <row r="105" spans="5:11" x14ac:dyDescent="0.25">
      <c r="E105" s="15" t="str">
        <f>IF(OR(DataRecebimento="",C105=""),"",C105-$F$7)</f>
        <v/>
      </c>
      <c r="F105" s="16" t="str">
        <f>IF(OR(TaxaJuros="",C105=""),"",-D105*E105*($F$8/30))</f>
        <v/>
      </c>
      <c r="G105" s="16" t="str">
        <f>IF(OR(TaxaJuros="",C105=""),"",-$F$9)</f>
        <v/>
      </c>
      <c r="H105" s="21" t="str">
        <f>IF(OR(TaxaJuros="",C105=""),"",IF(ComSemIOF=FALSE,0,IF(E105&gt;365,-(D105+F105)*365*IOFDiario,-(D105+F105)*E105*IOFDiario)))</f>
        <v/>
      </c>
      <c r="I105" s="21" t="str">
        <f>IF(OR(TaxaJuros="",C105=""),"",IF(ComSemIOF=FALSE,0,-(D105+F105)*IOFAdic))</f>
        <v/>
      </c>
      <c r="J105" s="16" t="str">
        <f>IF(OR(TaxaJuros="",C105=""),"",D105+SUM(F105:I105))</f>
        <v/>
      </c>
      <c r="K105" s="67" t="str">
        <f>IF(OR(TaxaJuros="",C105=""),"",100%-J105/D105)</f>
        <v/>
      </c>
    </row>
    <row r="106" spans="5:11" x14ac:dyDescent="0.25">
      <c r="E106" s="15" t="str">
        <f>IF(OR(DataRecebimento="",C106=""),"",C106-$F$7)</f>
        <v/>
      </c>
      <c r="F106" s="16" t="str">
        <f>IF(OR(TaxaJuros="",C106=""),"",-D106*E106*($F$8/30))</f>
        <v/>
      </c>
      <c r="G106" s="16" t="str">
        <f>IF(OR(TaxaJuros="",C106=""),"",-$F$9)</f>
        <v/>
      </c>
      <c r="H106" s="21" t="str">
        <f>IF(OR(TaxaJuros="",C106=""),"",IF(ComSemIOF=FALSE,0,IF(E106&gt;365,-(D106+F106)*365*IOFDiario,-(D106+F106)*E106*IOFDiario)))</f>
        <v/>
      </c>
      <c r="I106" s="21" t="str">
        <f>IF(OR(TaxaJuros="",C106=""),"",IF(ComSemIOF=FALSE,0,-(D106+F106)*IOFAdic))</f>
        <v/>
      </c>
      <c r="J106" s="16" t="str">
        <f>IF(OR(TaxaJuros="",C106=""),"",D106+SUM(F106:I106))</f>
        <v/>
      </c>
      <c r="K106" s="67" t="str">
        <f>IF(OR(TaxaJuros="",C106=""),"",100%-J106/D106)</f>
        <v/>
      </c>
    </row>
    <row r="107" spans="5:11" x14ac:dyDescent="0.25">
      <c r="E107" s="15" t="str">
        <f>IF(OR(DataRecebimento="",C107=""),"",C107-$F$7)</f>
        <v/>
      </c>
      <c r="F107" s="16" t="str">
        <f>IF(OR(TaxaJuros="",C107=""),"",-D107*E107*($F$8/30))</f>
        <v/>
      </c>
      <c r="G107" s="16" t="str">
        <f>IF(OR(TaxaJuros="",C107=""),"",-$F$9)</f>
        <v/>
      </c>
      <c r="H107" s="21" t="str">
        <f>IF(OR(TaxaJuros="",C107=""),"",IF(ComSemIOF=FALSE,0,IF(E107&gt;365,-(D107+F107)*365*IOFDiario,-(D107+F107)*E107*IOFDiario)))</f>
        <v/>
      </c>
      <c r="I107" s="21" t="str">
        <f>IF(OR(TaxaJuros="",C107=""),"",IF(ComSemIOF=FALSE,0,-(D107+F107)*IOFAdic))</f>
        <v/>
      </c>
      <c r="J107" s="16" t="str">
        <f>IF(OR(TaxaJuros="",C107=""),"",D107+SUM(F107:I107))</f>
        <v/>
      </c>
      <c r="K107" s="67" t="str">
        <f>IF(OR(TaxaJuros="",C107=""),"",100%-J107/D107)</f>
        <v/>
      </c>
    </row>
    <row r="108" spans="5:11" x14ac:dyDescent="0.25">
      <c r="E108" s="15" t="str">
        <f>IF(OR(DataRecebimento="",C108=""),"",C108-$F$7)</f>
        <v/>
      </c>
      <c r="F108" s="16" t="str">
        <f>IF(OR(TaxaJuros="",C108=""),"",-D108*E108*($F$8/30))</f>
        <v/>
      </c>
      <c r="G108" s="16" t="str">
        <f>IF(OR(TaxaJuros="",C108=""),"",-$F$9)</f>
        <v/>
      </c>
      <c r="H108" s="21" t="str">
        <f>IF(OR(TaxaJuros="",C108=""),"",IF(ComSemIOF=FALSE,0,IF(E108&gt;365,-(D108+F108)*365*IOFDiario,-(D108+F108)*E108*IOFDiario)))</f>
        <v/>
      </c>
      <c r="I108" s="21" t="str">
        <f>IF(OR(TaxaJuros="",C108=""),"",IF(ComSemIOF=FALSE,0,-(D108+F108)*IOFAdic))</f>
        <v/>
      </c>
      <c r="J108" s="16" t="str">
        <f>IF(OR(TaxaJuros="",C108=""),"",D108+SUM(F108:I108))</f>
        <v/>
      </c>
      <c r="K108" s="67" t="str">
        <f>IF(OR(TaxaJuros="",C108=""),"",100%-J108/D108)</f>
        <v/>
      </c>
    </row>
    <row r="109" spans="5:11" x14ac:dyDescent="0.25">
      <c r="E109" s="15" t="str">
        <f>IF(OR(DataRecebimento="",C109=""),"",C109-$F$7)</f>
        <v/>
      </c>
      <c r="F109" s="16" t="str">
        <f>IF(OR(TaxaJuros="",C109=""),"",-D109*E109*($F$8/30))</f>
        <v/>
      </c>
      <c r="G109" s="16" t="str">
        <f>IF(OR(TaxaJuros="",C109=""),"",-$F$9)</f>
        <v/>
      </c>
      <c r="H109" s="21" t="str">
        <f>IF(OR(TaxaJuros="",C109=""),"",IF(ComSemIOF=FALSE,0,IF(E109&gt;365,-(D109+F109)*365*IOFDiario,-(D109+F109)*E109*IOFDiario)))</f>
        <v/>
      </c>
      <c r="I109" s="21" t="str">
        <f>IF(OR(TaxaJuros="",C109=""),"",IF(ComSemIOF=FALSE,0,-(D109+F109)*IOFAdic))</f>
        <v/>
      </c>
      <c r="J109" s="16" t="str">
        <f>IF(OR(TaxaJuros="",C109=""),"",D109+SUM(F109:I109))</f>
        <v/>
      </c>
      <c r="K109" s="67" t="str">
        <f>IF(OR(TaxaJuros="",C109=""),"",100%-J109/D109)</f>
        <v/>
      </c>
    </row>
    <row r="110" spans="5:11" x14ac:dyDescent="0.25">
      <c r="E110" s="15" t="str">
        <f>IF(OR(DataRecebimento="",C110=""),"",C110-$F$7)</f>
        <v/>
      </c>
      <c r="F110" s="16" t="str">
        <f>IF(OR(TaxaJuros="",C110=""),"",-D110*E110*($F$8/30))</f>
        <v/>
      </c>
      <c r="G110" s="16" t="str">
        <f>IF(OR(TaxaJuros="",C110=""),"",-$F$9)</f>
        <v/>
      </c>
      <c r="H110" s="21" t="str">
        <f>IF(OR(TaxaJuros="",C110=""),"",IF(ComSemIOF=FALSE,0,IF(E110&gt;365,-(D110+F110)*365*IOFDiario,-(D110+F110)*E110*IOFDiario)))</f>
        <v/>
      </c>
      <c r="I110" s="21" t="str">
        <f>IF(OR(TaxaJuros="",C110=""),"",IF(ComSemIOF=FALSE,0,-(D110+F110)*IOFAdic))</f>
        <v/>
      </c>
      <c r="J110" s="16" t="str">
        <f>IF(OR(TaxaJuros="",C110=""),"",D110+SUM(F110:I110))</f>
        <v/>
      </c>
      <c r="K110" s="67" t="str">
        <f>IF(OR(TaxaJuros="",C110=""),"",100%-J110/D110)</f>
        <v/>
      </c>
    </row>
    <row r="111" spans="5:11" x14ac:dyDescent="0.25">
      <c r="E111" s="15" t="str">
        <f>IF(OR(DataRecebimento="",C111=""),"",C111-$F$7)</f>
        <v/>
      </c>
      <c r="F111" s="16" t="str">
        <f>IF(OR(TaxaJuros="",C111=""),"",-D111*E111*($F$8/30))</f>
        <v/>
      </c>
      <c r="G111" s="16" t="str">
        <f>IF(OR(TaxaJuros="",C111=""),"",-$F$9)</f>
        <v/>
      </c>
      <c r="H111" s="21" t="str">
        <f>IF(OR(TaxaJuros="",C111=""),"",IF(ComSemIOF=FALSE,0,IF(E111&gt;365,-(D111+F111)*365*IOFDiario,-(D111+F111)*E111*IOFDiario)))</f>
        <v/>
      </c>
      <c r="I111" s="21" t="str">
        <f>IF(OR(TaxaJuros="",C111=""),"",IF(ComSemIOF=FALSE,0,-(D111+F111)*IOFAdic))</f>
        <v/>
      </c>
      <c r="J111" s="16" t="str">
        <f>IF(OR(TaxaJuros="",C111=""),"",D111+SUM(F111:I111))</f>
        <v/>
      </c>
      <c r="K111" s="67" t="str">
        <f>IF(OR(TaxaJuros="",C111=""),"",100%-J111/D111)</f>
        <v/>
      </c>
    </row>
    <row r="112" spans="5:11" x14ac:dyDescent="0.25">
      <c r="E112" s="15" t="str">
        <f>IF(OR(DataRecebimento="",C112=""),"",C112-$F$7)</f>
        <v/>
      </c>
      <c r="F112" s="16" t="str">
        <f>IF(OR(TaxaJuros="",C112=""),"",-D112*E112*($F$8/30))</f>
        <v/>
      </c>
      <c r="G112" s="16" t="str">
        <f>IF(OR(TaxaJuros="",C112=""),"",-$F$9)</f>
        <v/>
      </c>
      <c r="H112" s="21" t="str">
        <f>IF(OR(TaxaJuros="",C112=""),"",IF(ComSemIOF=FALSE,0,IF(E112&gt;365,-(D112+F112)*365*IOFDiario,-(D112+F112)*E112*IOFDiario)))</f>
        <v/>
      </c>
      <c r="I112" s="21" t="str">
        <f>IF(OR(TaxaJuros="",C112=""),"",IF(ComSemIOF=FALSE,0,-(D112+F112)*IOFAdic))</f>
        <v/>
      </c>
      <c r="J112" s="16" t="str">
        <f>IF(OR(TaxaJuros="",C112=""),"",D112+SUM(F112:I112))</f>
        <v/>
      </c>
      <c r="K112" s="67" t="str">
        <f>IF(OR(TaxaJuros="",C112=""),"",100%-J112/D112)</f>
        <v/>
      </c>
    </row>
    <row r="113" spans="5:11" x14ac:dyDescent="0.25">
      <c r="E113" s="15" t="str">
        <f>IF(OR(DataRecebimento="",C113=""),"",C113-$F$7)</f>
        <v/>
      </c>
      <c r="F113" s="16" t="str">
        <f>IF(OR(TaxaJuros="",C113=""),"",-D113*E113*($F$8/30))</f>
        <v/>
      </c>
      <c r="G113" s="16" t="str">
        <f>IF(OR(TaxaJuros="",C113=""),"",-$F$9)</f>
        <v/>
      </c>
      <c r="H113" s="21" t="str">
        <f>IF(OR(TaxaJuros="",C113=""),"",IF(ComSemIOF=FALSE,0,IF(E113&gt;365,-(D113+F113)*365*IOFDiario,-(D113+F113)*E113*IOFDiario)))</f>
        <v/>
      </c>
      <c r="I113" s="21" t="str">
        <f>IF(OR(TaxaJuros="",C113=""),"",IF(ComSemIOF=FALSE,0,-(D113+F113)*IOFAdic))</f>
        <v/>
      </c>
      <c r="J113" s="16" t="str">
        <f>IF(OR(TaxaJuros="",C113=""),"",D113+SUM(F113:I113))</f>
        <v/>
      </c>
      <c r="K113" s="67" t="str">
        <f>IF(OR(TaxaJuros="",C113=""),"",100%-J113/D113)</f>
        <v/>
      </c>
    </row>
    <row r="114" spans="5:11" x14ac:dyDescent="0.25">
      <c r="E114" s="15" t="str">
        <f>IF(OR(DataRecebimento="",C114=""),"",C114-$F$7)</f>
        <v/>
      </c>
      <c r="F114" s="16" t="str">
        <f>IF(OR(TaxaJuros="",C114=""),"",-D114*E114*($F$8/30))</f>
        <v/>
      </c>
      <c r="G114" s="16" t="str">
        <f>IF(OR(TaxaJuros="",C114=""),"",-$F$9)</f>
        <v/>
      </c>
      <c r="H114" s="21" t="str">
        <f>IF(OR(TaxaJuros="",C114=""),"",IF(ComSemIOF=FALSE,0,IF(E114&gt;365,-(D114+F114)*365*IOFDiario,-(D114+F114)*E114*IOFDiario)))</f>
        <v/>
      </c>
      <c r="I114" s="21" t="str">
        <f>IF(OR(TaxaJuros="",C114=""),"",IF(ComSemIOF=FALSE,0,-(D114+F114)*IOFAdic))</f>
        <v/>
      </c>
      <c r="J114" s="16" t="str">
        <f>IF(OR(TaxaJuros="",C114=""),"",D114+SUM(F114:I114))</f>
        <v/>
      </c>
      <c r="K114" s="67" t="str">
        <f>IF(OR(TaxaJuros="",C114=""),"",100%-J114/D114)</f>
        <v/>
      </c>
    </row>
    <row r="115" spans="5:11" x14ac:dyDescent="0.25">
      <c r="E115" s="15" t="str">
        <f>IF(OR(DataRecebimento="",C115=""),"",C115-$F$7)</f>
        <v/>
      </c>
      <c r="F115" s="16" t="str">
        <f>IF(OR(TaxaJuros="",C115=""),"",-D115*E115*($F$8/30))</f>
        <v/>
      </c>
      <c r="G115" s="16" t="str">
        <f>IF(OR(TaxaJuros="",C115=""),"",-$F$9)</f>
        <v/>
      </c>
      <c r="H115" s="21" t="str">
        <f>IF(OR(TaxaJuros="",C115=""),"",IF(ComSemIOF=FALSE,0,IF(E115&gt;365,-(D115+F115)*365*IOFDiario,-(D115+F115)*E115*IOFDiario)))</f>
        <v/>
      </c>
      <c r="I115" s="21" t="str">
        <f>IF(OR(TaxaJuros="",C115=""),"",IF(ComSemIOF=FALSE,0,-(D115+F115)*IOFAdic))</f>
        <v/>
      </c>
      <c r="J115" s="16" t="str">
        <f>IF(OR(TaxaJuros="",C115=""),"",D115+SUM(F115:I115))</f>
        <v/>
      </c>
      <c r="K115" s="67" t="str">
        <f>IF(OR(TaxaJuros="",C115=""),"",100%-J115/D115)</f>
        <v/>
      </c>
    </row>
    <row r="116" spans="5:11" x14ac:dyDescent="0.25">
      <c r="E116" s="15" t="str">
        <f>IF(OR(DataRecebimento="",C116=""),"",C116-$F$7)</f>
        <v/>
      </c>
      <c r="F116" s="16" t="str">
        <f>IF(OR(TaxaJuros="",C116=""),"",-D116*E116*($F$8/30))</f>
        <v/>
      </c>
      <c r="G116" s="16" t="str">
        <f>IF(OR(TaxaJuros="",C116=""),"",-$F$9)</f>
        <v/>
      </c>
      <c r="H116" s="21" t="str">
        <f>IF(OR(TaxaJuros="",C116=""),"",IF(ComSemIOF=FALSE,0,IF(E116&gt;365,-(D116+F116)*365*IOFDiario,-(D116+F116)*E116*IOFDiario)))</f>
        <v/>
      </c>
      <c r="I116" s="21" t="str">
        <f>IF(OR(TaxaJuros="",C116=""),"",IF(ComSemIOF=FALSE,0,-(D116+F116)*IOFAdic))</f>
        <v/>
      </c>
      <c r="J116" s="16" t="str">
        <f>IF(OR(TaxaJuros="",C116=""),"",D116+SUM(F116:I116))</f>
        <v/>
      </c>
      <c r="K116" s="67" t="str">
        <f>IF(OR(TaxaJuros="",C116=""),"",100%-J116/D116)</f>
        <v/>
      </c>
    </row>
    <row r="117" spans="5:11" x14ac:dyDescent="0.25">
      <c r="E117" s="15" t="str">
        <f>IF(OR(DataRecebimento="",C117=""),"",C117-$F$7)</f>
        <v/>
      </c>
      <c r="F117" s="16" t="str">
        <f>IF(OR(TaxaJuros="",C117=""),"",-D117*E117*($F$8/30))</f>
        <v/>
      </c>
      <c r="G117" s="16" t="str">
        <f>IF(OR(TaxaJuros="",C117=""),"",-$F$9)</f>
        <v/>
      </c>
      <c r="H117" s="21" t="str">
        <f>IF(OR(TaxaJuros="",C117=""),"",IF(ComSemIOF=FALSE,0,IF(E117&gt;365,-(D117+F117)*365*IOFDiario,-(D117+F117)*E117*IOFDiario)))</f>
        <v/>
      </c>
      <c r="I117" s="21" t="str">
        <f>IF(OR(TaxaJuros="",C117=""),"",IF(ComSemIOF=FALSE,0,-(D117+F117)*IOFAdic))</f>
        <v/>
      </c>
      <c r="J117" s="16" t="str">
        <f>IF(OR(TaxaJuros="",C117=""),"",D117+SUM(F117:I117))</f>
        <v/>
      </c>
      <c r="K117" s="67" t="str">
        <f>IF(OR(TaxaJuros="",C117=""),"",100%-J117/D117)</f>
        <v/>
      </c>
    </row>
    <row r="118" spans="5:11" x14ac:dyDescent="0.25">
      <c r="E118" s="15" t="str">
        <f>IF(OR(DataRecebimento="",C118=""),"",C118-$F$7)</f>
        <v/>
      </c>
      <c r="F118" s="16" t="str">
        <f>IF(OR(TaxaJuros="",C118=""),"",-D118*E118*($F$8/30))</f>
        <v/>
      </c>
      <c r="G118" s="16" t="str">
        <f>IF(OR(TaxaJuros="",C118=""),"",-$F$9)</f>
        <v/>
      </c>
      <c r="H118" s="21" t="str">
        <f>IF(OR(TaxaJuros="",C118=""),"",IF(ComSemIOF=FALSE,0,IF(E118&gt;365,-(D118+F118)*365*IOFDiario,-(D118+F118)*E118*IOFDiario)))</f>
        <v/>
      </c>
      <c r="I118" s="21" t="str">
        <f>IF(OR(TaxaJuros="",C118=""),"",IF(ComSemIOF=FALSE,0,-(D118+F118)*IOFAdic))</f>
        <v/>
      </c>
      <c r="J118" s="16" t="str">
        <f>IF(OR(TaxaJuros="",C118=""),"",D118+SUM(F118:I118))</f>
        <v/>
      </c>
      <c r="K118" s="67" t="str">
        <f>IF(OR(TaxaJuros="",C118=""),"",100%-J118/D118)</f>
        <v/>
      </c>
    </row>
    <row r="119" spans="5:11" x14ac:dyDescent="0.25">
      <c r="E119" s="15" t="str">
        <f>IF(OR(DataRecebimento="",C119=""),"",C119-$F$7)</f>
        <v/>
      </c>
      <c r="F119" s="16" t="str">
        <f>IF(OR(TaxaJuros="",C119=""),"",-D119*E119*($F$8/30))</f>
        <v/>
      </c>
      <c r="G119" s="16" t="str">
        <f>IF(OR(TaxaJuros="",C119=""),"",-$F$9)</f>
        <v/>
      </c>
      <c r="H119" s="21" t="str">
        <f>IF(OR(TaxaJuros="",C119=""),"",IF(ComSemIOF=FALSE,0,IF(E119&gt;365,-(D119+F119)*365*IOFDiario,-(D119+F119)*E119*IOFDiario)))</f>
        <v/>
      </c>
      <c r="I119" s="21" t="str">
        <f>IF(OR(TaxaJuros="",C119=""),"",IF(ComSemIOF=FALSE,0,-(D119+F119)*IOFAdic))</f>
        <v/>
      </c>
      <c r="J119" s="16" t="str">
        <f>IF(OR(TaxaJuros="",C119=""),"",D119+SUM(F119:I119))</f>
        <v/>
      </c>
      <c r="K119" s="67" t="str">
        <f>IF(OR(TaxaJuros="",C119=""),"",100%-J119/D119)</f>
        <v/>
      </c>
    </row>
    <row r="120" spans="5:11" x14ac:dyDescent="0.25">
      <c r="E120" s="15" t="str">
        <f>IF(OR(DataRecebimento="",C120=""),"",C120-$F$7)</f>
        <v/>
      </c>
      <c r="F120" s="16" t="str">
        <f>IF(OR(TaxaJuros="",C120=""),"",-D120*E120*($F$8/30))</f>
        <v/>
      </c>
      <c r="G120" s="16" t="str">
        <f>IF(OR(TaxaJuros="",C120=""),"",-$F$9)</f>
        <v/>
      </c>
      <c r="H120" s="21" t="str">
        <f>IF(OR(TaxaJuros="",C120=""),"",IF(ComSemIOF=FALSE,0,IF(E120&gt;365,-(D120+F120)*365*IOFDiario,-(D120+F120)*E120*IOFDiario)))</f>
        <v/>
      </c>
      <c r="I120" s="21" t="str">
        <f>IF(OR(TaxaJuros="",C120=""),"",IF(ComSemIOF=FALSE,0,-(D120+F120)*IOFAdic))</f>
        <v/>
      </c>
      <c r="J120" s="16" t="str">
        <f>IF(OR(TaxaJuros="",C120=""),"",D120+SUM(F120:I120))</f>
        <v/>
      </c>
      <c r="K120" s="67" t="str">
        <f>IF(OR(TaxaJuros="",C120=""),"",100%-J120/D120)</f>
        <v/>
      </c>
    </row>
    <row r="121" spans="5:11" x14ac:dyDescent="0.25">
      <c r="E121" s="15" t="str">
        <f>IF(OR(DataRecebimento="",C121=""),"",C121-$F$7)</f>
        <v/>
      </c>
      <c r="F121" s="16" t="str">
        <f>IF(OR(TaxaJuros="",C121=""),"",-D121*E121*($F$8/30))</f>
        <v/>
      </c>
      <c r="G121" s="16" t="str">
        <f>IF(OR(TaxaJuros="",C121=""),"",-$F$9)</f>
        <v/>
      </c>
      <c r="H121" s="21" t="str">
        <f>IF(OR(TaxaJuros="",C121=""),"",IF(ComSemIOF=FALSE,0,IF(E121&gt;365,-(D121+F121)*365*IOFDiario,-(D121+F121)*E121*IOFDiario)))</f>
        <v/>
      </c>
      <c r="I121" s="21" t="str">
        <f>IF(OR(TaxaJuros="",C121=""),"",IF(ComSemIOF=FALSE,0,-(D121+F121)*IOFAdic))</f>
        <v/>
      </c>
      <c r="J121" s="16" t="str">
        <f>IF(OR(TaxaJuros="",C121=""),"",D121+SUM(F121:I121))</f>
        <v/>
      </c>
      <c r="K121" s="67" t="str">
        <f>IF(OR(TaxaJuros="",C121=""),"",100%-J121/D121)</f>
        <v/>
      </c>
    </row>
    <row r="122" spans="5:11" x14ac:dyDescent="0.25">
      <c r="E122" s="15" t="str">
        <f>IF(OR(DataRecebimento="",C122=""),"",C122-$F$7)</f>
        <v/>
      </c>
      <c r="F122" s="16" t="str">
        <f>IF(OR(TaxaJuros="",C122=""),"",-D122*E122*($F$8/30))</f>
        <v/>
      </c>
      <c r="G122" s="16" t="str">
        <f>IF(OR(TaxaJuros="",C122=""),"",-$F$9)</f>
        <v/>
      </c>
      <c r="H122" s="21" t="str">
        <f>IF(OR(TaxaJuros="",C122=""),"",IF(ComSemIOF=FALSE,0,IF(E122&gt;365,-(D122+F122)*365*IOFDiario,-(D122+F122)*E122*IOFDiario)))</f>
        <v/>
      </c>
      <c r="I122" s="21" t="str">
        <f>IF(OR(TaxaJuros="",C122=""),"",IF(ComSemIOF=FALSE,0,-(D122+F122)*IOFAdic))</f>
        <v/>
      </c>
      <c r="J122" s="16" t="str">
        <f>IF(OR(TaxaJuros="",C122=""),"",D122+SUM(F122:I122))</f>
        <v/>
      </c>
      <c r="K122" s="67" t="str">
        <f>IF(OR(TaxaJuros="",C122=""),"",100%-J122/D122)</f>
        <v/>
      </c>
    </row>
    <row r="123" spans="5:11" x14ac:dyDescent="0.25">
      <c r="E123" s="15" t="str">
        <f>IF(OR(DataRecebimento="",C123=""),"",C123-$F$7)</f>
        <v/>
      </c>
      <c r="F123" s="16" t="str">
        <f>IF(OR(TaxaJuros="",C123=""),"",-D123*E123*($F$8/30))</f>
        <v/>
      </c>
      <c r="G123" s="16" t="str">
        <f>IF(OR(TaxaJuros="",C123=""),"",-$F$9)</f>
        <v/>
      </c>
      <c r="H123" s="21" t="str">
        <f>IF(OR(TaxaJuros="",C123=""),"",IF(ComSemIOF=FALSE,0,IF(E123&gt;365,-(D123+F123)*365*IOFDiario,-(D123+F123)*E123*IOFDiario)))</f>
        <v/>
      </c>
      <c r="I123" s="21" t="str">
        <f>IF(OR(TaxaJuros="",C123=""),"",IF(ComSemIOF=FALSE,0,-(D123+F123)*IOFAdic))</f>
        <v/>
      </c>
      <c r="J123" s="16" t="str">
        <f>IF(OR(TaxaJuros="",C123=""),"",D123+SUM(F123:I123))</f>
        <v/>
      </c>
      <c r="K123" s="67" t="str">
        <f>IF(OR(TaxaJuros="",C123=""),"",100%-J123/D123)</f>
        <v/>
      </c>
    </row>
    <row r="124" spans="5:11" x14ac:dyDescent="0.25">
      <c r="E124" s="15" t="str">
        <f>IF(OR(DataRecebimento="",C124=""),"",C124-$F$7)</f>
        <v/>
      </c>
      <c r="F124" s="16" t="str">
        <f>IF(OR(TaxaJuros="",C124=""),"",-D124*E124*($F$8/30))</f>
        <v/>
      </c>
      <c r="G124" s="16" t="str">
        <f>IF(OR(TaxaJuros="",C124=""),"",-$F$9)</f>
        <v/>
      </c>
      <c r="H124" s="21" t="str">
        <f>IF(OR(TaxaJuros="",C124=""),"",IF(ComSemIOF=FALSE,0,IF(E124&gt;365,-(D124+F124)*365*IOFDiario,-(D124+F124)*E124*IOFDiario)))</f>
        <v/>
      </c>
      <c r="I124" s="21" t="str">
        <f>IF(OR(TaxaJuros="",C124=""),"",IF(ComSemIOF=FALSE,0,-(D124+F124)*IOFAdic))</f>
        <v/>
      </c>
      <c r="J124" s="16" t="str">
        <f>IF(OR(TaxaJuros="",C124=""),"",D124+SUM(F124:I124))</f>
        <v/>
      </c>
      <c r="K124" s="67" t="str">
        <f>IF(OR(TaxaJuros="",C124=""),"",100%-J124/D124)</f>
        <v/>
      </c>
    </row>
    <row r="125" spans="5:11" x14ac:dyDescent="0.25">
      <c r="E125" s="15" t="str">
        <f>IF(OR(DataRecebimento="",C125=""),"",C125-$F$7)</f>
        <v/>
      </c>
      <c r="F125" s="16" t="str">
        <f>IF(OR(TaxaJuros="",C125=""),"",-D125*E125*($F$8/30))</f>
        <v/>
      </c>
      <c r="G125" s="16" t="str">
        <f>IF(OR(TaxaJuros="",C125=""),"",-$F$9)</f>
        <v/>
      </c>
      <c r="H125" s="21" t="str">
        <f>IF(OR(TaxaJuros="",C125=""),"",IF(ComSemIOF=FALSE,0,IF(E125&gt;365,-(D125+F125)*365*IOFDiario,-(D125+F125)*E125*IOFDiario)))</f>
        <v/>
      </c>
      <c r="I125" s="21" t="str">
        <f>IF(OR(TaxaJuros="",C125=""),"",IF(ComSemIOF=FALSE,0,-(D125+F125)*IOFAdic))</f>
        <v/>
      </c>
      <c r="J125" s="16" t="str">
        <f>IF(OR(TaxaJuros="",C125=""),"",D125+SUM(F125:I125))</f>
        <v/>
      </c>
      <c r="K125" s="67" t="str">
        <f>IF(OR(TaxaJuros="",C125=""),"",100%-J125/D125)</f>
        <v/>
      </c>
    </row>
    <row r="126" spans="5:11" x14ac:dyDescent="0.25">
      <c r="E126" s="15" t="str">
        <f>IF(OR(DataRecebimento="",C126=""),"",C126-$F$7)</f>
        <v/>
      </c>
      <c r="F126" s="16" t="str">
        <f>IF(OR(TaxaJuros="",C126=""),"",-D126*E126*($F$8/30))</f>
        <v/>
      </c>
      <c r="G126" s="16" t="str">
        <f>IF(OR(TaxaJuros="",C126=""),"",-$F$9)</f>
        <v/>
      </c>
      <c r="H126" s="21" t="str">
        <f>IF(OR(TaxaJuros="",C126=""),"",IF(ComSemIOF=FALSE,0,IF(E126&gt;365,-(D126+F126)*365*IOFDiario,-(D126+F126)*E126*IOFDiario)))</f>
        <v/>
      </c>
      <c r="I126" s="21" t="str">
        <f>IF(OR(TaxaJuros="",C126=""),"",IF(ComSemIOF=FALSE,0,-(D126+F126)*IOFAdic))</f>
        <v/>
      </c>
      <c r="J126" s="16" t="str">
        <f>IF(OR(TaxaJuros="",C126=""),"",D126+SUM(F126:I126))</f>
        <v/>
      </c>
      <c r="K126" s="67" t="str">
        <f>IF(OR(TaxaJuros="",C126=""),"",100%-J126/D126)</f>
        <v/>
      </c>
    </row>
    <row r="127" spans="5:11" x14ac:dyDescent="0.25">
      <c r="E127" s="15" t="str">
        <f>IF(OR(DataRecebimento="",C127=""),"",C127-$F$7)</f>
        <v/>
      </c>
      <c r="F127" s="16" t="str">
        <f>IF(OR(TaxaJuros="",C127=""),"",-D127*E127*($F$8/30))</f>
        <v/>
      </c>
      <c r="G127" s="16" t="str">
        <f>IF(OR(TaxaJuros="",C127=""),"",-$F$9)</f>
        <v/>
      </c>
      <c r="H127" s="21" t="str">
        <f>IF(OR(TaxaJuros="",C127=""),"",IF(ComSemIOF=FALSE,0,IF(E127&gt;365,-(D127+F127)*365*IOFDiario,-(D127+F127)*E127*IOFDiario)))</f>
        <v/>
      </c>
      <c r="I127" s="21" t="str">
        <f>IF(OR(TaxaJuros="",C127=""),"",IF(ComSemIOF=FALSE,0,-(D127+F127)*IOFAdic))</f>
        <v/>
      </c>
      <c r="J127" s="16" t="str">
        <f>IF(OR(TaxaJuros="",C127=""),"",D127+SUM(F127:I127))</f>
        <v/>
      </c>
      <c r="K127" s="67" t="str">
        <f>IF(OR(TaxaJuros="",C127=""),"",100%-J127/D127)</f>
        <v/>
      </c>
    </row>
    <row r="128" spans="5:11" x14ac:dyDescent="0.25">
      <c r="E128" s="15" t="str">
        <f>IF(OR(DataRecebimento="",C128=""),"",C128-$F$7)</f>
        <v/>
      </c>
      <c r="F128" s="16" t="str">
        <f>IF(OR(TaxaJuros="",C128=""),"",-D128*E128*($F$8/30))</f>
        <v/>
      </c>
      <c r="G128" s="16" t="str">
        <f>IF(OR(TaxaJuros="",C128=""),"",-$F$9)</f>
        <v/>
      </c>
      <c r="H128" s="21" t="str">
        <f>IF(OR(TaxaJuros="",C128=""),"",IF(ComSemIOF=FALSE,0,IF(E128&gt;365,-(D128+F128)*365*IOFDiario,-(D128+F128)*E128*IOFDiario)))</f>
        <v/>
      </c>
      <c r="I128" s="21" t="str">
        <f>IF(OR(TaxaJuros="",C128=""),"",IF(ComSemIOF=FALSE,0,-(D128+F128)*IOFAdic))</f>
        <v/>
      </c>
      <c r="J128" s="16" t="str">
        <f>IF(OR(TaxaJuros="",C128=""),"",D128+SUM(F128:I128))</f>
        <v/>
      </c>
      <c r="K128" s="67" t="str">
        <f>IF(OR(TaxaJuros="",C128=""),"",100%-J128/D128)</f>
        <v/>
      </c>
    </row>
    <row r="129" spans="5:11" x14ac:dyDescent="0.25">
      <c r="E129" s="15" t="str">
        <f>IF(OR(DataRecebimento="",C129=""),"",C129-$F$7)</f>
        <v/>
      </c>
      <c r="F129" s="16" t="str">
        <f>IF(OR(TaxaJuros="",C129=""),"",-D129*E129*($F$8/30))</f>
        <v/>
      </c>
      <c r="G129" s="16" t="str">
        <f>IF(OR(TaxaJuros="",C129=""),"",-$F$9)</f>
        <v/>
      </c>
      <c r="H129" s="21" t="str">
        <f>IF(OR(TaxaJuros="",C129=""),"",IF(ComSemIOF=FALSE,0,IF(E129&gt;365,-(D129+F129)*365*IOFDiario,-(D129+F129)*E129*IOFDiario)))</f>
        <v/>
      </c>
      <c r="I129" s="21" t="str">
        <f>IF(OR(TaxaJuros="",C129=""),"",IF(ComSemIOF=FALSE,0,-(D129+F129)*IOFAdic))</f>
        <v/>
      </c>
      <c r="J129" s="16" t="str">
        <f>IF(OR(TaxaJuros="",C129=""),"",D129+SUM(F129:I129))</f>
        <v/>
      </c>
      <c r="K129" s="67" t="str">
        <f>IF(OR(TaxaJuros="",C129=""),"",100%-J129/D129)</f>
        <v/>
      </c>
    </row>
    <row r="130" spans="5:11" x14ac:dyDescent="0.25">
      <c r="E130" s="15" t="str">
        <f>IF(OR(DataRecebimento="",C130=""),"",C130-$F$7)</f>
        <v/>
      </c>
      <c r="F130" s="16" t="str">
        <f>IF(OR(TaxaJuros="",C130=""),"",-D130*E130*($F$8/30))</f>
        <v/>
      </c>
      <c r="G130" s="16" t="str">
        <f>IF(OR(TaxaJuros="",C130=""),"",-$F$9)</f>
        <v/>
      </c>
      <c r="H130" s="21" t="str">
        <f>IF(OR(TaxaJuros="",C130=""),"",IF(ComSemIOF=FALSE,0,IF(E130&gt;365,-(D130+F130)*365*IOFDiario,-(D130+F130)*E130*IOFDiario)))</f>
        <v/>
      </c>
      <c r="I130" s="21" t="str">
        <f>IF(OR(TaxaJuros="",C130=""),"",IF(ComSemIOF=FALSE,0,-(D130+F130)*IOFAdic))</f>
        <v/>
      </c>
      <c r="J130" s="16" t="str">
        <f>IF(OR(TaxaJuros="",C130=""),"",D130+SUM(F130:I130))</f>
        <v/>
      </c>
      <c r="K130" s="67" t="str">
        <f>IF(OR(TaxaJuros="",C130=""),"",100%-J130/D130)</f>
        <v/>
      </c>
    </row>
    <row r="131" spans="5:11" x14ac:dyDescent="0.25">
      <c r="E131" s="15" t="str">
        <f>IF(OR(DataRecebimento="",C131=""),"",C131-$F$7)</f>
        <v/>
      </c>
      <c r="F131" s="16" t="str">
        <f>IF(OR(TaxaJuros="",C131=""),"",-D131*E131*($F$8/30))</f>
        <v/>
      </c>
      <c r="G131" s="16" t="str">
        <f>IF(OR(TaxaJuros="",C131=""),"",-$F$9)</f>
        <v/>
      </c>
      <c r="H131" s="21" t="str">
        <f>IF(OR(TaxaJuros="",C131=""),"",IF(ComSemIOF=FALSE,0,IF(E131&gt;365,-(D131+F131)*365*IOFDiario,-(D131+F131)*E131*IOFDiario)))</f>
        <v/>
      </c>
      <c r="I131" s="21" t="str">
        <f>IF(OR(TaxaJuros="",C131=""),"",IF(ComSemIOF=FALSE,0,-(D131+F131)*IOFAdic))</f>
        <v/>
      </c>
      <c r="J131" s="16" t="str">
        <f>IF(OR(TaxaJuros="",C131=""),"",D131+SUM(F131:I131))</f>
        <v/>
      </c>
      <c r="K131" s="67" t="str">
        <f>IF(OR(TaxaJuros="",C131=""),"",100%-J131/D131)</f>
        <v/>
      </c>
    </row>
    <row r="132" spans="5:11" x14ac:dyDescent="0.25">
      <c r="E132" s="15" t="str">
        <f>IF(OR(DataRecebimento="",C132=""),"",C132-$F$7)</f>
        <v/>
      </c>
      <c r="F132" s="16" t="str">
        <f>IF(OR(TaxaJuros="",C132=""),"",-D132*E132*($F$8/30))</f>
        <v/>
      </c>
      <c r="G132" s="16" t="str">
        <f>IF(OR(TaxaJuros="",C132=""),"",-$F$9)</f>
        <v/>
      </c>
      <c r="H132" s="21" t="str">
        <f>IF(OR(TaxaJuros="",C132=""),"",IF(ComSemIOF=FALSE,0,IF(E132&gt;365,-(D132+F132)*365*IOFDiario,-(D132+F132)*E132*IOFDiario)))</f>
        <v/>
      </c>
      <c r="I132" s="21" t="str">
        <f>IF(OR(TaxaJuros="",C132=""),"",IF(ComSemIOF=FALSE,0,-(D132+F132)*IOFAdic))</f>
        <v/>
      </c>
      <c r="J132" s="16" t="str">
        <f>IF(OR(TaxaJuros="",C132=""),"",D132+SUM(F132:I132))</f>
        <v/>
      </c>
      <c r="K132" s="67" t="str">
        <f>IF(OR(TaxaJuros="",C132=""),"",100%-J132/D132)</f>
        <v/>
      </c>
    </row>
    <row r="133" spans="5:11" x14ac:dyDescent="0.25">
      <c r="E133" s="15" t="str">
        <f>IF(OR(DataRecebimento="",C133=""),"",C133-$F$7)</f>
        <v/>
      </c>
      <c r="F133" s="16" t="str">
        <f>IF(OR(TaxaJuros="",C133=""),"",-D133*E133*($F$8/30))</f>
        <v/>
      </c>
      <c r="G133" s="16" t="str">
        <f>IF(OR(TaxaJuros="",C133=""),"",-$F$9)</f>
        <v/>
      </c>
      <c r="H133" s="21" t="str">
        <f>IF(OR(TaxaJuros="",C133=""),"",IF(ComSemIOF=FALSE,0,IF(E133&gt;365,-(D133+F133)*365*IOFDiario,-(D133+F133)*E133*IOFDiario)))</f>
        <v/>
      </c>
      <c r="I133" s="21" t="str">
        <f>IF(OR(TaxaJuros="",C133=""),"",IF(ComSemIOF=FALSE,0,-(D133+F133)*IOFAdic))</f>
        <v/>
      </c>
      <c r="J133" s="16" t="str">
        <f>IF(OR(TaxaJuros="",C133=""),"",D133+SUM(F133:I133))</f>
        <v/>
      </c>
      <c r="K133" s="67" t="str">
        <f>IF(OR(TaxaJuros="",C133=""),"",100%-J133/D133)</f>
        <v/>
      </c>
    </row>
    <row r="134" spans="5:11" x14ac:dyDescent="0.25">
      <c r="E134" s="15" t="str">
        <f>IF(OR(DataRecebimento="",C134=""),"",C134-$F$7)</f>
        <v/>
      </c>
      <c r="F134" s="16" t="str">
        <f>IF(OR(TaxaJuros="",C134=""),"",-D134*E134*($F$8/30))</f>
        <v/>
      </c>
      <c r="G134" s="16" t="str">
        <f>IF(OR(TaxaJuros="",C134=""),"",-$F$9)</f>
        <v/>
      </c>
      <c r="H134" s="21" t="str">
        <f>IF(OR(TaxaJuros="",C134=""),"",IF(ComSemIOF=FALSE,0,IF(E134&gt;365,-(D134+F134)*365*IOFDiario,-(D134+F134)*E134*IOFDiario)))</f>
        <v/>
      </c>
      <c r="I134" s="21" t="str">
        <f>IF(OR(TaxaJuros="",C134=""),"",IF(ComSemIOF=FALSE,0,-(D134+F134)*IOFAdic))</f>
        <v/>
      </c>
      <c r="J134" s="16" t="str">
        <f>IF(OR(TaxaJuros="",C134=""),"",D134+SUM(F134:I134))</f>
        <v/>
      </c>
      <c r="K134" s="67" t="str">
        <f>IF(OR(TaxaJuros="",C134=""),"",100%-J134/D134)</f>
        <v/>
      </c>
    </row>
    <row r="135" spans="5:11" x14ac:dyDescent="0.25">
      <c r="E135" s="15" t="str">
        <f>IF(OR(DataRecebimento="",C135=""),"",C135-$F$7)</f>
        <v/>
      </c>
      <c r="F135" s="16" t="str">
        <f>IF(OR(TaxaJuros="",C135=""),"",-D135*E135*($F$8/30))</f>
        <v/>
      </c>
      <c r="G135" s="16" t="str">
        <f>IF(OR(TaxaJuros="",C135=""),"",-$F$9)</f>
        <v/>
      </c>
      <c r="H135" s="21" t="str">
        <f>IF(OR(TaxaJuros="",C135=""),"",IF(ComSemIOF=FALSE,0,IF(E135&gt;365,-(D135+F135)*365*IOFDiario,-(D135+F135)*E135*IOFDiario)))</f>
        <v/>
      </c>
      <c r="I135" s="21" t="str">
        <f>IF(OR(TaxaJuros="",C135=""),"",IF(ComSemIOF=FALSE,0,-(D135+F135)*IOFAdic))</f>
        <v/>
      </c>
      <c r="J135" s="16" t="str">
        <f>IF(OR(TaxaJuros="",C135=""),"",D135+SUM(F135:I135))</f>
        <v/>
      </c>
      <c r="K135" s="67" t="str">
        <f>IF(OR(TaxaJuros="",C135=""),"",100%-J135/D135)</f>
        <v/>
      </c>
    </row>
    <row r="136" spans="5:11" x14ac:dyDescent="0.25">
      <c r="E136" s="15" t="str">
        <f>IF(OR(DataRecebimento="",C136=""),"",C136-$F$7)</f>
        <v/>
      </c>
      <c r="F136" s="16" t="str">
        <f>IF(OR(TaxaJuros="",C136=""),"",-D136*E136*($F$8/30))</f>
        <v/>
      </c>
      <c r="G136" s="16" t="str">
        <f>IF(OR(TaxaJuros="",C136=""),"",-$F$9)</f>
        <v/>
      </c>
      <c r="H136" s="21" t="str">
        <f>IF(OR(TaxaJuros="",C136=""),"",IF(ComSemIOF=FALSE,0,IF(E136&gt;365,-(D136+F136)*365*IOFDiario,-(D136+F136)*E136*IOFDiario)))</f>
        <v/>
      </c>
      <c r="I136" s="21" t="str">
        <f>IF(OR(TaxaJuros="",C136=""),"",IF(ComSemIOF=FALSE,0,-(D136+F136)*IOFAdic))</f>
        <v/>
      </c>
      <c r="J136" s="16" t="str">
        <f>IF(OR(TaxaJuros="",C136=""),"",D136+SUM(F136:I136))</f>
        <v/>
      </c>
      <c r="K136" s="67" t="str">
        <f>IF(OR(TaxaJuros="",C136=""),"",100%-J136/D136)</f>
        <v/>
      </c>
    </row>
    <row r="137" spans="5:11" x14ac:dyDescent="0.25">
      <c r="E137" s="15" t="str">
        <f>IF(OR(DataRecebimento="",C137=""),"",C137-$F$7)</f>
        <v/>
      </c>
      <c r="F137" s="16" t="str">
        <f>IF(OR(TaxaJuros="",C137=""),"",-D137*E137*($F$8/30))</f>
        <v/>
      </c>
      <c r="G137" s="16" t="str">
        <f>IF(OR(TaxaJuros="",C137=""),"",-$F$9)</f>
        <v/>
      </c>
      <c r="H137" s="21" t="str">
        <f>IF(OR(TaxaJuros="",C137=""),"",IF(ComSemIOF=FALSE,0,IF(E137&gt;365,-(D137+F137)*365*IOFDiario,-(D137+F137)*E137*IOFDiario)))</f>
        <v/>
      </c>
      <c r="I137" s="21" t="str">
        <f>IF(OR(TaxaJuros="",C137=""),"",IF(ComSemIOF=FALSE,0,-(D137+F137)*IOFAdic))</f>
        <v/>
      </c>
      <c r="J137" s="16" t="str">
        <f>IF(OR(TaxaJuros="",C137=""),"",D137+SUM(F137:I137))</f>
        <v/>
      </c>
      <c r="K137" s="67" t="str">
        <f>IF(OR(TaxaJuros="",C137=""),"",100%-J137/D137)</f>
        <v/>
      </c>
    </row>
    <row r="138" spans="5:11" x14ac:dyDescent="0.25">
      <c r="E138" s="15" t="str">
        <f>IF(OR(DataRecebimento="",C138=""),"",C138-$F$7)</f>
        <v/>
      </c>
      <c r="F138" s="16" t="str">
        <f>IF(OR(TaxaJuros="",C138=""),"",-D138*E138*($F$8/30))</f>
        <v/>
      </c>
      <c r="G138" s="16" t="str">
        <f>IF(OR(TaxaJuros="",C138=""),"",-$F$9)</f>
        <v/>
      </c>
      <c r="H138" s="21" t="str">
        <f>IF(OR(TaxaJuros="",C138=""),"",IF(ComSemIOF=FALSE,0,IF(E138&gt;365,-(D138+F138)*365*IOFDiario,-(D138+F138)*E138*IOFDiario)))</f>
        <v/>
      </c>
      <c r="I138" s="21" t="str">
        <f>IF(OR(TaxaJuros="",C138=""),"",IF(ComSemIOF=FALSE,0,-(D138+F138)*IOFAdic))</f>
        <v/>
      </c>
      <c r="J138" s="16" t="str">
        <f>IF(OR(TaxaJuros="",C138=""),"",D138+SUM(F138:I138))</f>
        <v/>
      </c>
      <c r="K138" s="67" t="str">
        <f>IF(OR(TaxaJuros="",C138=""),"",100%-J138/D138)</f>
        <v/>
      </c>
    </row>
    <row r="139" spans="5:11" x14ac:dyDescent="0.25">
      <c r="E139" s="15" t="str">
        <f>IF(OR(DataRecebimento="",C139=""),"",C139-$F$7)</f>
        <v/>
      </c>
      <c r="F139" s="16" t="str">
        <f>IF(OR(TaxaJuros="",C139=""),"",-D139*E139*($F$8/30))</f>
        <v/>
      </c>
      <c r="G139" s="16" t="str">
        <f>IF(OR(TaxaJuros="",C139=""),"",-$F$9)</f>
        <v/>
      </c>
      <c r="H139" s="21" t="str">
        <f>IF(OR(TaxaJuros="",C139=""),"",IF(ComSemIOF=FALSE,0,IF(E139&gt;365,-(D139+F139)*365*IOFDiario,-(D139+F139)*E139*IOFDiario)))</f>
        <v/>
      </c>
      <c r="I139" s="21" t="str">
        <f>IF(OR(TaxaJuros="",C139=""),"",IF(ComSemIOF=FALSE,0,-(D139+F139)*IOFAdic))</f>
        <v/>
      </c>
      <c r="J139" s="16" t="str">
        <f>IF(OR(TaxaJuros="",C139=""),"",D139+SUM(F139:I139))</f>
        <v/>
      </c>
      <c r="K139" s="67" t="str">
        <f>IF(OR(TaxaJuros="",C139=""),"",100%-J139/D139)</f>
        <v/>
      </c>
    </row>
    <row r="140" spans="5:11" x14ac:dyDescent="0.25">
      <c r="E140" s="15" t="str">
        <f>IF(OR(DataRecebimento="",C140=""),"",C140-$F$7)</f>
        <v/>
      </c>
      <c r="F140" s="16" t="str">
        <f>IF(OR(TaxaJuros="",C140=""),"",-D140*E140*($F$8/30))</f>
        <v/>
      </c>
      <c r="G140" s="16" t="str">
        <f>IF(OR(TaxaJuros="",C140=""),"",-$F$9)</f>
        <v/>
      </c>
      <c r="H140" s="21" t="str">
        <f>IF(OR(TaxaJuros="",C140=""),"",IF(ComSemIOF=FALSE,0,IF(E140&gt;365,-(D140+F140)*365*IOFDiario,-(D140+F140)*E140*IOFDiario)))</f>
        <v/>
      </c>
      <c r="I140" s="21" t="str">
        <f>IF(OR(TaxaJuros="",C140=""),"",IF(ComSemIOF=FALSE,0,-(D140+F140)*IOFAdic))</f>
        <v/>
      </c>
      <c r="J140" s="16" t="str">
        <f>IF(OR(TaxaJuros="",C140=""),"",D140+SUM(F140:I140))</f>
        <v/>
      </c>
      <c r="K140" s="67" t="str">
        <f>IF(OR(TaxaJuros="",C140=""),"",100%-J140/D140)</f>
        <v/>
      </c>
    </row>
    <row r="141" spans="5:11" x14ac:dyDescent="0.25">
      <c r="E141" s="15" t="str">
        <f>IF(OR(DataRecebimento="",C141=""),"",C141-$F$7)</f>
        <v/>
      </c>
      <c r="F141" s="16" t="str">
        <f>IF(OR(TaxaJuros="",C141=""),"",-D141*E141*($F$8/30))</f>
        <v/>
      </c>
      <c r="G141" s="16" t="str">
        <f>IF(OR(TaxaJuros="",C141=""),"",-$F$9)</f>
        <v/>
      </c>
      <c r="H141" s="21" t="str">
        <f>IF(OR(TaxaJuros="",C141=""),"",IF(ComSemIOF=FALSE,0,IF(E141&gt;365,-(D141+F141)*365*IOFDiario,-(D141+F141)*E141*IOFDiario)))</f>
        <v/>
      </c>
      <c r="I141" s="21" t="str">
        <f>IF(OR(TaxaJuros="",C141=""),"",IF(ComSemIOF=FALSE,0,-(D141+F141)*IOFAdic))</f>
        <v/>
      </c>
      <c r="J141" s="16" t="str">
        <f>IF(OR(TaxaJuros="",C141=""),"",D141+SUM(F141:I141))</f>
        <v/>
      </c>
      <c r="K141" s="67" t="str">
        <f>IF(OR(TaxaJuros="",C141=""),"",100%-J141/D141)</f>
        <v/>
      </c>
    </row>
    <row r="142" spans="5:11" x14ac:dyDescent="0.25">
      <c r="E142" s="15" t="str">
        <f>IF(OR(DataRecebimento="",C142=""),"",C142-$F$7)</f>
        <v/>
      </c>
      <c r="F142" s="16" t="str">
        <f>IF(OR(TaxaJuros="",C142=""),"",-D142*E142*($F$8/30))</f>
        <v/>
      </c>
      <c r="G142" s="16" t="str">
        <f>IF(OR(TaxaJuros="",C142=""),"",-$F$9)</f>
        <v/>
      </c>
      <c r="H142" s="21" t="str">
        <f>IF(OR(TaxaJuros="",C142=""),"",IF(ComSemIOF=FALSE,0,IF(E142&gt;365,-(D142+F142)*365*IOFDiario,-(D142+F142)*E142*IOFDiario)))</f>
        <v/>
      </c>
      <c r="I142" s="21" t="str">
        <f>IF(OR(TaxaJuros="",C142=""),"",IF(ComSemIOF=FALSE,0,-(D142+F142)*IOFAdic))</f>
        <v/>
      </c>
      <c r="J142" s="16" t="str">
        <f>IF(OR(TaxaJuros="",C142=""),"",D142+SUM(F142:I142))</f>
        <v/>
      </c>
      <c r="K142" s="67" t="str">
        <f>IF(OR(TaxaJuros="",C142=""),"",100%-J142/D142)</f>
        <v/>
      </c>
    </row>
    <row r="143" spans="5:11" x14ac:dyDescent="0.25">
      <c r="E143" s="15" t="str">
        <f>IF(OR(DataRecebimento="",C143=""),"",C143-$F$7)</f>
        <v/>
      </c>
      <c r="F143" s="16" t="str">
        <f>IF(OR(TaxaJuros="",C143=""),"",-D143*E143*($F$8/30))</f>
        <v/>
      </c>
      <c r="G143" s="16" t="str">
        <f>IF(OR(TaxaJuros="",C143=""),"",-$F$9)</f>
        <v/>
      </c>
      <c r="H143" s="21" t="str">
        <f>IF(OR(TaxaJuros="",C143=""),"",IF(ComSemIOF=FALSE,0,IF(E143&gt;365,-(D143+F143)*365*IOFDiario,-(D143+F143)*E143*IOFDiario)))</f>
        <v/>
      </c>
      <c r="I143" s="21" t="str">
        <f>IF(OR(TaxaJuros="",C143=""),"",IF(ComSemIOF=FALSE,0,-(D143+F143)*IOFAdic))</f>
        <v/>
      </c>
      <c r="J143" s="16" t="str">
        <f>IF(OR(TaxaJuros="",C143=""),"",D143+SUM(F143:I143))</f>
        <v/>
      </c>
      <c r="K143" s="67" t="str">
        <f>IF(OR(TaxaJuros="",C143=""),"",100%-J143/D143)</f>
        <v/>
      </c>
    </row>
    <row r="144" spans="5:11" x14ac:dyDescent="0.25">
      <c r="E144" s="15" t="str">
        <f>IF(OR(DataRecebimento="",C144=""),"",C144-$F$7)</f>
        <v/>
      </c>
      <c r="F144" s="16" t="str">
        <f>IF(OR(TaxaJuros="",C144=""),"",-D144*E144*($F$8/30))</f>
        <v/>
      </c>
      <c r="G144" s="16" t="str">
        <f>IF(OR(TaxaJuros="",C144=""),"",-$F$9)</f>
        <v/>
      </c>
      <c r="H144" s="21" t="str">
        <f>IF(OR(TaxaJuros="",C144=""),"",IF(ComSemIOF=FALSE,0,IF(E144&gt;365,-(D144+F144)*365*IOFDiario,-(D144+F144)*E144*IOFDiario)))</f>
        <v/>
      </c>
      <c r="I144" s="21" t="str">
        <f>IF(OR(TaxaJuros="",C144=""),"",IF(ComSemIOF=FALSE,0,-(D144+F144)*IOFAdic))</f>
        <v/>
      </c>
      <c r="J144" s="16" t="str">
        <f>IF(OR(TaxaJuros="",C144=""),"",D144+SUM(F144:I144))</f>
        <v/>
      </c>
      <c r="K144" s="67" t="str">
        <f>IF(OR(TaxaJuros="",C144=""),"",100%-J144/D144)</f>
        <v/>
      </c>
    </row>
    <row r="145" spans="5:11" x14ac:dyDescent="0.25">
      <c r="E145" s="15" t="str">
        <f>IF(OR(DataRecebimento="",C145=""),"",C145-$F$7)</f>
        <v/>
      </c>
      <c r="F145" s="16" t="str">
        <f>IF(OR(TaxaJuros="",C145=""),"",-D145*E145*($F$8/30))</f>
        <v/>
      </c>
      <c r="G145" s="16" t="str">
        <f>IF(OR(TaxaJuros="",C145=""),"",-$F$9)</f>
        <v/>
      </c>
      <c r="H145" s="21" t="str">
        <f>IF(OR(TaxaJuros="",C145=""),"",IF(ComSemIOF=FALSE,0,IF(E145&gt;365,-(D145+F145)*365*IOFDiario,-(D145+F145)*E145*IOFDiario)))</f>
        <v/>
      </c>
      <c r="I145" s="21" t="str">
        <f>IF(OR(TaxaJuros="",C145=""),"",IF(ComSemIOF=FALSE,0,-(D145+F145)*IOFAdic))</f>
        <v/>
      </c>
      <c r="J145" s="16" t="str">
        <f>IF(OR(TaxaJuros="",C145=""),"",D145+SUM(F145:I145))</f>
        <v/>
      </c>
      <c r="K145" s="67" t="str">
        <f>IF(OR(TaxaJuros="",C145=""),"",100%-J145/D145)</f>
        <v/>
      </c>
    </row>
    <row r="146" spans="5:11" x14ac:dyDescent="0.25">
      <c r="E146" s="15" t="str">
        <f>IF(OR(DataRecebimento="",C146=""),"",C146-$F$7)</f>
        <v/>
      </c>
      <c r="F146" s="16" t="str">
        <f>IF(OR(TaxaJuros="",C146=""),"",-D146*E146*($F$8/30))</f>
        <v/>
      </c>
      <c r="G146" s="16" t="str">
        <f>IF(OR(TaxaJuros="",C146=""),"",-$F$9)</f>
        <v/>
      </c>
      <c r="H146" s="21" t="str">
        <f>IF(OR(TaxaJuros="",C146=""),"",IF(ComSemIOF=FALSE,0,IF(E146&gt;365,-(D146+F146)*365*IOFDiario,-(D146+F146)*E146*IOFDiario)))</f>
        <v/>
      </c>
      <c r="I146" s="21" t="str">
        <f>IF(OR(TaxaJuros="",C146=""),"",IF(ComSemIOF=FALSE,0,-(D146+F146)*IOFAdic))</f>
        <v/>
      </c>
      <c r="J146" s="16" t="str">
        <f>IF(OR(TaxaJuros="",C146=""),"",D146+SUM(F146:I146))</f>
        <v/>
      </c>
      <c r="K146" s="67" t="str">
        <f>IF(OR(TaxaJuros="",C146=""),"",100%-J146/D146)</f>
        <v/>
      </c>
    </row>
    <row r="147" spans="5:11" x14ac:dyDescent="0.25">
      <c r="E147" s="15" t="str">
        <f>IF(OR(DataRecebimento="",C147=""),"",C147-$F$7)</f>
        <v/>
      </c>
      <c r="F147" s="16" t="str">
        <f>IF(OR(TaxaJuros="",C147=""),"",-D147*E147*($F$8/30))</f>
        <v/>
      </c>
      <c r="G147" s="16" t="str">
        <f>IF(OR(TaxaJuros="",C147=""),"",-$F$9)</f>
        <v/>
      </c>
      <c r="H147" s="21" t="str">
        <f>IF(OR(TaxaJuros="",C147=""),"",IF(ComSemIOF=FALSE,0,IF(E147&gt;365,-(D147+F147)*365*IOFDiario,-(D147+F147)*E147*IOFDiario)))</f>
        <v/>
      </c>
      <c r="I147" s="21" t="str">
        <f>IF(OR(TaxaJuros="",C147=""),"",IF(ComSemIOF=FALSE,0,-(D147+F147)*IOFAdic))</f>
        <v/>
      </c>
      <c r="J147" s="16" t="str">
        <f>IF(OR(TaxaJuros="",C147=""),"",D147+SUM(F147:I147))</f>
        <v/>
      </c>
      <c r="K147" s="67" t="str">
        <f>IF(OR(TaxaJuros="",C147=""),"",100%-J147/D147)</f>
        <v/>
      </c>
    </row>
    <row r="148" spans="5:11" x14ac:dyDescent="0.25">
      <c r="E148" s="15" t="str">
        <f>IF(OR(DataRecebimento="",C148=""),"",C148-$F$7)</f>
        <v/>
      </c>
      <c r="F148" s="16" t="str">
        <f>IF(OR(TaxaJuros="",C148=""),"",-D148*E148*($F$8/30))</f>
        <v/>
      </c>
      <c r="G148" s="16" t="str">
        <f>IF(OR(TaxaJuros="",C148=""),"",-$F$9)</f>
        <v/>
      </c>
      <c r="H148" s="21" t="str">
        <f>IF(OR(TaxaJuros="",C148=""),"",IF(ComSemIOF=FALSE,0,IF(E148&gt;365,-(D148+F148)*365*IOFDiario,-(D148+F148)*E148*IOFDiario)))</f>
        <v/>
      </c>
      <c r="I148" s="21" t="str">
        <f>IF(OR(TaxaJuros="",C148=""),"",IF(ComSemIOF=FALSE,0,-(D148+F148)*IOFAdic))</f>
        <v/>
      </c>
      <c r="J148" s="16" t="str">
        <f>IF(OR(TaxaJuros="",C148=""),"",D148+SUM(F148:I148))</f>
        <v/>
      </c>
      <c r="K148" s="67" t="str">
        <f>IF(OR(TaxaJuros="",C148=""),"",100%-J148/D148)</f>
        <v/>
      </c>
    </row>
    <row r="149" spans="5:11" x14ac:dyDescent="0.25">
      <c r="E149" s="15" t="str">
        <f>IF(OR(DataRecebimento="",C149=""),"",C149-$F$7)</f>
        <v/>
      </c>
      <c r="F149" s="16" t="str">
        <f>IF(OR(TaxaJuros="",C149=""),"",-D149*E149*($F$8/30))</f>
        <v/>
      </c>
      <c r="G149" s="16" t="str">
        <f>IF(OR(TaxaJuros="",C149=""),"",-$F$9)</f>
        <v/>
      </c>
      <c r="H149" s="21" t="str">
        <f>IF(OR(TaxaJuros="",C149=""),"",IF(ComSemIOF=FALSE,0,IF(E149&gt;365,-(D149+F149)*365*IOFDiario,-(D149+F149)*E149*IOFDiario)))</f>
        <v/>
      </c>
      <c r="I149" s="21" t="str">
        <f>IF(OR(TaxaJuros="",C149=""),"",IF(ComSemIOF=FALSE,0,-(D149+F149)*IOFAdic))</f>
        <v/>
      </c>
      <c r="J149" s="16" t="str">
        <f>IF(OR(TaxaJuros="",C149=""),"",D149+SUM(F149:I149))</f>
        <v/>
      </c>
      <c r="K149" s="67" t="str">
        <f>IF(OR(TaxaJuros="",C149=""),"",100%-J149/D149)</f>
        <v/>
      </c>
    </row>
    <row r="150" spans="5:11" x14ac:dyDescent="0.25">
      <c r="E150" s="15" t="str">
        <f>IF(OR(DataRecebimento="",C150=""),"",C150-$F$7)</f>
        <v/>
      </c>
      <c r="F150" s="16" t="str">
        <f>IF(OR(TaxaJuros="",C150=""),"",-D150*E150*($F$8/30))</f>
        <v/>
      </c>
      <c r="G150" s="16" t="str">
        <f>IF(OR(TaxaJuros="",C150=""),"",-$F$9)</f>
        <v/>
      </c>
      <c r="H150" s="21" t="str">
        <f>IF(OR(TaxaJuros="",C150=""),"",IF(ComSemIOF=FALSE,0,IF(E150&gt;365,-(D150+F150)*365*IOFDiario,-(D150+F150)*E150*IOFDiario)))</f>
        <v/>
      </c>
      <c r="I150" s="21" t="str">
        <f>IF(OR(TaxaJuros="",C150=""),"",IF(ComSemIOF=FALSE,0,-(D150+F150)*IOFAdic))</f>
        <v/>
      </c>
      <c r="J150" s="16" t="str">
        <f>IF(OR(TaxaJuros="",C150=""),"",D150+SUM(F150:I150))</f>
        <v/>
      </c>
      <c r="K150" s="67" t="str">
        <f>IF(OR(TaxaJuros="",C150=""),"",100%-J150/D150)</f>
        <v/>
      </c>
    </row>
    <row r="151" spans="5:11" x14ac:dyDescent="0.25">
      <c r="E151" s="15" t="str">
        <f>IF(OR(DataRecebimento="",C151=""),"",C151-$F$7)</f>
        <v/>
      </c>
      <c r="F151" s="16" t="str">
        <f>IF(OR(TaxaJuros="",C151=""),"",-D151*E151*($F$8/30))</f>
        <v/>
      </c>
      <c r="G151" s="16" t="str">
        <f>IF(OR(TaxaJuros="",C151=""),"",-$F$9)</f>
        <v/>
      </c>
      <c r="H151" s="21" t="str">
        <f>IF(OR(TaxaJuros="",C151=""),"",IF(ComSemIOF=FALSE,0,IF(E151&gt;365,-(D151+F151)*365*IOFDiario,-(D151+F151)*E151*IOFDiario)))</f>
        <v/>
      </c>
      <c r="I151" s="21" t="str">
        <f>IF(OR(TaxaJuros="",C151=""),"",IF(ComSemIOF=FALSE,0,-(D151+F151)*IOFAdic))</f>
        <v/>
      </c>
      <c r="J151" s="16" t="str">
        <f>IF(OR(TaxaJuros="",C151=""),"",D151+SUM(F151:I151))</f>
        <v/>
      </c>
      <c r="K151" s="67" t="str">
        <f>IF(OR(TaxaJuros="",C151=""),"",100%-J151/D151)</f>
        <v/>
      </c>
    </row>
    <row r="152" spans="5:11" x14ac:dyDescent="0.25">
      <c r="E152" s="15" t="str">
        <f>IF(OR(DataRecebimento="",C152=""),"",C152-$F$7)</f>
        <v/>
      </c>
      <c r="F152" s="16" t="str">
        <f>IF(OR(TaxaJuros="",C152=""),"",-D152*E152*($F$8/30))</f>
        <v/>
      </c>
      <c r="G152" s="16" t="str">
        <f>IF(OR(TaxaJuros="",C152=""),"",-$F$9)</f>
        <v/>
      </c>
      <c r="H152" s="21" t="str">
        <f>IF(OR(TaxaJuros="",C152=""),"",IF(ComSemIOF=FALSE,0,IF(E152&gt;365,-(D152+F152)*365*IOFDiario,-(D152+F152)*E152*IOFDiario)))</f>
        <v/>
      </c>
      <c r="I152" s="21" t="str">
        <f>IF(OR(TaxaJuros="",C152=""),"",IF(ComSemIOF=FALSE,0,-(D152+F152)*IOFAdic))</f>
        <v/>
      </c>
      <c r="J152" s="16" t="str">
        <f>IF(OR(TaxaJuros="",C152=""),"",D152+SUM(F152:I152))</f>
        <v/>
      </c>
      <c r="K152" s="67" t="str">
        <f>IF(OR(TaxaJuros="",C152=""),"",100%-J152/D152)</f>
        <v/>
      </c>
    </row>
    <row r="153" spans="5:11" x14ac:dyDescent="0.25">
      <c r="E153" s="15" t="str">
        <f>IF(OR(DataRecebimento="",C153=""),"",C153-$F$7)</f>
        <v/>
      </c>
      <c r="F153" s="16" t="str">
        <f>IF(OR(TaxaJuros="",C153=""),"",-D153*E153*($F$8/30))</f>
        <v/>
      </c>
      <c r="G153" s="16" t="str">
        <f>IF(OR(TaxaJuros="",C153=""),"",-$F$9)</f>
        <v/>
      </c>
      <c r="H153" s="21" t="str">
        <f>IF(OR(TaxaJuros="",C153=""),"",IF(ComSemIOF=FALSE,0,IF(E153&gt;365,-(D153+F153)*365*IOFDiario,-(D153+F153)*E153*IOFDiario)))</f>
        <v/>
      </c>
      <c r="I153" s="21" t="str">
        <f>IF(OR(TaxaJuros="",C153=""),"",IF(ComSemIOF=FALSE,0,-(D153+F153)*IOFAdic))</f>
        <v/>
      </c>
      <c r="J153" s="16" t="str">
        <f>IF(OR(TaxaJuros="",C153=""),"",D153+SUM(F153:I153))</f>
        <v/>
      </c>
      <c r="K153" s="67" t="str">
        <f>IF(OR(TaxaJuros="",C153=""),"",100%-J153/D153)</f>
        <v/>
      </c>
    </row>
    <row r="154" spans="5:11" x14ac:dyDescent="0.25">
      <c r="E154" s="15" t="str">
        <f>IF(OR(DataRecebimento="",C154=""),"",C154-$F$7)</f>
        <v/>
      </c>
      <c r="F154" s="16" t="str">
        <f>IF(OR(TaxaJuros="",C154=""),"",-D154*E154*($F$8/30))</f>
        <v/>
      </c>
      <c r="G154" s="16" t="str">
        <f>IF(OR(TaxaJuros="",C154=""),"",-$F$9)</f>
        <v/>
      </c>
      <c r="H154" s="21" t="str">
        <f>IF(OR(TaxaJuros="",C154=""),"",IF(ComSemIOF=FALSE,0,IF(E154&gt;365,-(D154+F154)*365*IOFDiario,-(D154+F154)*E154*IOFDiario)))</f>
        <v/>
      </c>
      <c r="I154" s="21" t="str">
        <f>IF(OR(TaxaJuros="",C154=""),"",IF(ComSemIOF=FALSE,0,-(D154+F154)*IOFAdic))</f>
        <v/>
      </c>
      <c r="J154" s="16" t="str">
        <f>IF(OR(TaxaJuros="",C154=""),"",D154+SUM(F154:I154))</f>
        <v/>
      </c>
      <c r="K154" s="67" t="str">
        <f>IF(OR(TaxaJuros="",C154=""),"",100%-J154/D154)</f>
        <v/>
      </c>
    </row>
    <row r="155" spans="5:11" x14ac:dyDescent="0.25">
      <c r="E155" s="15" t="str">
        <f>IF(OR(DataRecebimento="",C155=""),"",C155-$F$7)</f>
        <v/>
      </c>
      <c r="F155" s="16" t="str">
        <f>IF(OR(TaxaJuros="",C155=""),"",-D155*E155*($F$8/30))</f>
        <v/>
      </c>
      <c r="G155" s="16" t="str">
        <f>IF(OR(TaxaJuros="",C155=""),"",-$F$9)</f>
        <v/>
      </c>
      <c r="H155" s="21" t="str">
        <f>IF(OR(TaxaJuros="",C155=""),"",IF(ComSemIOF=FALSE,0,IF(E155&gt;365,-(D155+F155)*365*IOFDiario,-(D155+F155)*E155*IOFDiario)))</f>
        <v/>
      </c>
      <c r="I155" s="21" t="str">
        <f>IF(OR(TaxaJuros="",C155=""),"",IF(ComSemIOF=FALSE,0,-(D155+F155)*IOFAdic))</f>
        <v/>
      </c>
      <c r="J155" s="16" t="str">
        <f>IF(OR(TaxaJuros="",C155=""),"",D155+SUM(F155:I155))</f>
        <v/>
      </c>
      <c r="K155" s="67" t="str">
        <f>IF(OR(TaxaJuros="",C155=""),"",100%-J155/D155)</f>
        <v/>
      </c>
    </row>
    <row r="156" spans="5:11" x14ac:dyDescent="0.25">
      <c r="E156" s="15" t="str">
        <f>IF(OR(DataRecebimento="",C156=""),"",C156-$F$7)</f>
        <v/>
      </c>
      <c r="F156" s="16" t="str">
        <f>IF(OR(TaxaJuros="",C156=""),"",-D156*E156*($F$8/30))</f>
        <v/>
      </c>
      <c r="G156" s="16" t="str">
        <f>IF(OR(TaxaJuros="",C156=""),"",-$F$9)</f>
        <v/>
      </c>
      <c r="H156" s="21" t="str">
        <f>IF(OR(TaxaJuros="",C156=""),"",IF(ComSemIOF=FALSE,0,IF(E156&gt;365,-(D156+F156)*365*IOFDiario,-(D156+F156)*E156*IOFDiario)))</f>
        <v/>
      </c>
      <c r="I156" s="21" t="str">
        <f>IF(OR(TaxaJuros="",C156=""),"",IF(ComSemIOF=FALSE,0,-(D156+F156)*IOFAdic))</f>
        <v/>
      </c>
      <c r="J156" s="16" t="str">
        <f>IF(OR(TaxaJuros="",C156=""),"",D156+SUM(F156:I156))</f>
        <v/>
      </c>
      <c r="K156" s="67" t="str">
        <f>IF(OR(TaxaJuros="",C156=""),"",100%-J156/D156)</f>
        <v/>
      </c>
    </row>
    <row r="157" spans="5:11" x14ac:dyDescent="0.25">
      <c r="E157" s="15" t="str">
        <f>IF(OR(DataRecebimento="",C157=""),"",C157-$F$7)</f>
        <v/>
      </c>
      <c r="F157" s="16" t="str">
        <f>IF(OR(TaxaJuros="",C157=""),"",-D157*E157*($F$8/30))</f>
        <v/>
      </c>
      <c r="G157" s="16" t="str">
        <f>IF(OR(TaxaJuros="",C157=""),"",-$F$9)</f>
        <v/>
      </c>
      <c r="H157" s="21" t="str">
        <f>IF(OR(TaxaJuros="",C157=""),"",IF(ComSemIOF=FALSE,0,IF(E157&gt;365,-(D157+F157)*365*IOFDiario,-(D157+F157)*E157*IOFDiario)))</f>
        <v/>
      </c>
      <c r="I157" s="21" t="str">
        <f>IF(OR(TaxaJuros="",C157=""),"",IF(ComSemIOF=FALSE,0,-(D157+F157)*IOFAdic))</f>
        <v/>
      </c>
      <c r="J157" s="16" t="str">
        <f>IF(OR(TaxaJuros="",C157=""),"",D157+SUM(F157:I157))</f>
        <v/>
      </c>
      <c r="K157" s="67" t="str">
        <f>IF(OR(TaxaJuros="",C157=""),"",100%-J157/D157)</f>
        <v/>
      </c>
    </row>
    <row r="158" spans="5:11" x14ac:dyDescent="0.25">
      <c r="E158" s="15" t="str">
        <f>IF(OR(DataRecebimento="",C158=""),"",C158-$F$7)</f>
        <v/>
      </c>
      <c r="F158" s="16" t="str">
        <f>IF(OR(TaxaJuros="",C158=""),"",-D158*E158*($F$8/30))</f>
        <v/>
      </c>
      <c r="G158" s="16" t="str">
        <f>IF(OR(TaxaJuros="",C158=""),"",-$F$9)</f>
        <v/>
      </c>
      <c r="H158" s="21" t="str">
        <f>IF(OR(TaxaJuros="",C158=""),"",IF(ComSemIOF=FALSE,0,IF(E158&gt;365,-(D158+F158)*365*IOFDiario,-(D158+F158)*E158*IOFDiario)))</f>
        <v/>
      </c>
      <c r="I158" s="21" t="str">
        <f>IF(OR(TaxaJuros="",C158=""),"",IF(ComSemIOF=FALSE,0,-(D158+F158)*IOFAdic))</f>
        <v/>
      </c>
      <c r="J158" s="16" t="str">
        <f>IF(OR(TaxaJuros="",C158=""),"",D158+SUM(F158:I158))</f>
        <v/>
      </c>
      <c r="K158" s="67" t="str">
        <f>IF(OR(TaxaJuros="",C158=""),"",100%-J158/D158)</f>
        <v/>
      </c>
    </row>
    <row r="159" spans="5:11" x14ac:dyDescent="0.25">
      <c r="E159" s="15" t="str">
        <f>IF(OR(DataRecebimento="",C159=""),"",C159-$F$7)</f>
        <v/>
      </c>
      <c r="F159" s="16" t="str">
        <f>IF(OR(TaxaJuros="",C159=""),"",-D159*E159*($F$8/30))</f>
        <v/>
      </c>
      <c r="G159" s="16" t="str">
        <f>IF(OR(TaxaJuros="",C159=""),"",-$F$9)</f>
        <v/>
      </c>
      <c r="H159" s="21" t="str">
        <f>IF(OR(TaxaJuros="",C159=""),"",IF(ComSemIOF=FALSE,0,IF(E159&gt;365,-(D159+F159)*365*IOFDiario,-(D159+F159)*E159*IOFDiario)))</f>
        <v/>
      </c>
      <c r="I159" s="21" t="str">
        <f>IF(OR(TaxaJuros="",C159=""),"",IF(ComSemIOF=FALSE,0,-(D159+F159)*IOFAdic))</f>
        <v/>
      </c>
      <c r="J159" s="16" t="str">
        <f>IF(OR(TaxaJuros="",C159=""),"",D159+SUM(F159:I159))</f>
        <v/>
      </c>
      <c r="K159" s="67" t="str">
        <f>IF(OR(TaxaJuros="",C159=""),"",100%-J159/D159)</f>
        <v/>
      </c>
    </row>
    <row r="160" spans="5:11" x14ac:dyDescent="0.25">
      <c r="E160" s="15" t="str">
        <f>IF(OR(DataRecebimento="",C160=""),"",C160-$F$7)</f>
        <v/>
      </c>
      <c r="F160" s="16" t="str">
        <f>IF(OR(TaxaJuros="",C160=""),"",-D160*E160*($F$8/30))</f>
        <v/>
      </c>
      <c r="G160" s="16" t="str">
        <f>IF(OR(TaxaJuros="",C160=""),"",-$F$9)</f>
        <v/>
      </c>
      <c r="H160" s="21" t="str">
        <f>IF(OR(TaxaJuros="",C160=""),"",IF(ComSemIOF=FALSE,0,IF(E160&gt;365,-(D160+F160)*365*IOFDiario,-(D160+F160)*E160*IOFDiario)))</f>
        <v/>
      </c>
      <c r="I160" s="21" t="str">
        <f>IF(OR(TaxaJuros="",C160=""),"",IF(ComSemIOF=FALSE,0,-(D160+F160)*IOFAdic))</f>
        <v/>
      </c>
      <c r="J160" s="16" t="str">
        <f>IF(OR(TaxaJuros="",C160=""),"",D160+SUM(F160:I160))</f>
        <v/>
      </c>
      <c r="K160" s="67" t="str">
        <f>IF(OR(TaxaJuros="",C160=""),"",100%-J160/D160)</f>
        <v/>
      </c>
    </row>
    <row r="161" spans="5:11" x14ac:dyDescent="0.25">
      <c r="E161" s="15" t="str">
        <f>IF(OR(DataRecebimento="",C161=""),"",C161-$F$7)</f>
        <v/>
      </c>
      <c r="F161" s="16" t="str">
        <f>IF(OR(TaxaJuros="",C161=""),"",-D161*E161*($F$8/30))</f>
        <v/>
      </c>
      <c r="G161" s="16" t="str">
        <f>IF(OR(TaxaJuros="",C161=""),"",-$F$9)</f>
        <v/>
      </c>
      <c r="H161" s="21" t="str">
        <f>IF(OR(TaxaJuros="",C161=""),"",IF(ComSemIOF=FALSE,0,IF(E161&gt;365,-(D161+F161)*365*IOFDiario,-(D161+F161)*E161*IOFDiario)))</f>
        <v/>
      </c>
      <c r="I161" s="21" t="str">
        <f>IF(OR(TaxaJuros="",C161=""),"",IF(ComSemIOF=FALSE,0,-(D161+F161)*IOFAdic))</f>
        <v/>
      </c>
      <c r="J161" s="16" t="str">
        <f>IF(OR(TaxaJuros="",C161=""),"",D161+SUM(F161:I161))</f>
        <v/>
      </c>
      <c r="K161" s="67" t="str">
        <f>IF(OR(TaxaJuros="",C161=""),"",100%-J161/D161)</f>
        <v/>
      </c>
    </row>
    <row r="162" spans="5:11" x14ac:dyDescent="0.25">
      <c r="E162" s="15" t="str">
        <f>IF(OR(DataRecebimento="",C162=""),"",C162-$F$7)</f>
        <v/>
      </c>
      <c r="F162" s="16" t="str">
        <f>IF(OR(TaxaJuros="",C162=""),"",-D162*E162*($F$8/30))</f>
        <v/>
      </c>
      <c r="G162" s="16" t="str">
        <f>IF(OR(TaxaJuros="",C162=""),"",-$F$9)</f>
        <v/>
      </c>
      <c r="H162" s="21" t="str">
        <f>IF(OR(TaxaJuros="",C162=""),"",IF(ComSemIOF=FALSE,0,IF(E162&gt;365,-(D162+F162)*365*IOFDiario,-(D162+F162)*E162*IOFDiario)))</f>
        <v/>
      </c>
      <c r="I162" s="21" t="str">
        <f>IF(OR(TaxaJuros="",C162=""),"",IF(ComSemIOF=FALSE,0,-(D162+F162)*IOFAdic))</f>
        <v/>
      </c>
      <c r="J162" s="16" t="str">
        <f>IF(OR(TaxaJuros="",C162=""),"",D162+SUM(F162:I162))</f>
        <v/>
      </c>
      <c r="K162" s="67" t="str">
        <f>IF(OR(TaxaJuros="",C162=""),"",100%-J162/D162)</f>
        <v/>
      </c>
    </row>
    <row r="163" spans="5:11" x14ac:dyDescent="0.25">
      <c r="E163" s="15" t="str">
        <f>IF(OR(DataRecebimento="",C163=""),"",C163-$F$7)</f>
        <v/>
      </c>
      <c r="F163" s="16" t="str">
        <f>IF(OR(TaxaJuros="",C163=""),"",-D163*E163*($F$8/30))</f>
        <v/>
      </c>
      <c r="G163" s="16" t="str">
        <f>IF(OR(TaxaJuros="",C163=""),"",-$F$9)</f>
        <v/>
      </c>
      <c r="H163" s="21" t="str">
        <f>IF(OR(TaxaJuros="",C163=""),"",IF(ComSemIOF=FALSE,0,IF(E163&gt;365,-(D163+F163)*365*IOFDiario,-(D163+F163)*E163*IOFDiario)))</f>
        <v/>
      </c>
      <c r="I163" s="21" t="str">
        <f>IF(OR(TaxaJuros="",C163=""),"",IF(ComSemIOF=FALSE,0,-(D163+F163)*IOFAdic))</f>
        <v/>
      </c>
      <c r="J163" s="16" t="str">
        <f>IF(OR(TaxaJuros="",C163=""),"",D163+SUM(F163:I163))</f>
        <v/>
      </c>
      <c r="K163" s="67" t="str">
        <f>IF(OR(TaxaJuros="",C163=""),"",100%-J163/D163)</f>
        <v/>
      </c>
    </row>
    <row r="164" spans="5:11" x14ac:dyDescent="0.25">
      <c r="E164" s="15" t="str">
        <f>IF(OR(DataRecebimento="",C164=""),"",C164-$F$7)</f>
        <v/>
      </c>
      <c r="F164" s="16" t="str">
        <f>IF(OR(TaxaJuros="",C164=""),"",-D164*E164*($F$8/30))</f>
        <v/>
      </c>
      <c r="G164" s="16" t="str">
        <f>IF(OR(TaxaJuros="",C164=""),"",-$F$9)</f>
        <v/>
      </c>
      <c r="H164" s="21" t="str">
        <f>IF(OR(TaxaJuros="",C164=""),"",IF(ComSemIOF=FALSE,0,IF(E164&gt;365,-(D164+F164)*365*IOFDiario,-(D164+F164)*E164*IOFDiario)))</f>
        <v/>
      </c>
      <c r="I164" s="21" t="str">
        <f>IF(OR(TaxaJuros="",C164=""),"",IF(ComSemIOF=FALSE,0,-(D164+F164)*IOFAdic))</f>
        <v/>
      </c>
      <c r="J164" s="16" t="str">
        <f>IF(OR(TaxaJuros="",C164=""),"",D164+SUM(F164:I164))</f>
        <v/>
      </c>
      <c r="K164" s="67" t="str">
        <f>IF(OR(TaxaJuros="",C164=""),"",100%-J164/D164)</f>
        <v/>
      </c>
    </row>
    <row r="165" spans="5:11" x14ac:dyDescent="0.25">
      <c r="E165" s="15" t="str">
        <f>IF(OR(DataRecebimento="",C165=""),"",C165-$F$7)</f>
        <v/>
      </c>
      <c r="F165" s="16" t="str">
        <f>IF(OR(TaxaJuros="",C165=""),"",-D165*E165*($F$8/30))</f>
        <v/>
      </c>
      <c r="G165" s="16" t="str">
        <f>IF(OR(TaxaJuros="",C165=""),"",-$F$9)</f>
        <v/>
      </c>
      <c r="H165" s="21" t="str">
        <f>IF(OR(TaxaJuros="",C165=""),"",IF(ComSemIOF=FALSE,0,IF(E165&gt;365,-(D165+F165)*365*IOFDiario,-(D165+F165)*E165*IOFDiario)))</f>
        <v/>
      </c>
      <c r="I165" s="21" t="str">
        <f>IF(OR(TaxaJuros="",C165=""),"",IF(ComSemIOF=FALSE,0,-(D165+F165)*IOFAdic))</f>
        <v/>
      </c>
      <c r="J165" s="16" t="str">
        <f>IF(OR(TaxaJuros="",C165=""),"",D165+SUM(F165:I165))</f>
        <v/>
      </c>
      <c r="K165" s="67" t="str">
        <f>IF(OR(TaxaJuros="",C165=""),"",100%-J165/D165)</f>
        <v/>
      </c>
    </row>
    <row r="166" spans="5:11" x14ac:dyDescent="0.25">
      <c r="E166" s="15" t="str">
        <f>IF(OR(DataRecebimento="",C166=""),"",C166-$F$7)</f>
        <v/>
      </c>
      <c r="F166" s="16" t="str">
        <f>IF(OR(TaxaJuros="",C166=""),"",-D166*E166*($F$8/30))</f>
        <v/>
      </c>
      <c r="G166" s="16" t="str">
        <f>IF(OR(TaxaJuros="",C166=""),"",-$F$9)</f>
        <v/>
      </c>
      <c r="H166" s="21" t="str">
        <f>IF(OR(TaxaJuros="",C166=""),"",IF(ComSemIOF=FALSE,0,IF(E166&gt;365,-(D166+F166)*365*IOFDiario,-(D166+F166)*E166*IOFDiario)))</f>
        <v/>
      </c>
      <c r="I166" s="21" t="str">
        <f>IF(OR(TaxaJuros="",C166=""),"",IF(ComSemIOF=FALSE,0,-(D166+F166)*IOFAdic))</f>
        <v/>
      </c>
      <c r="J166" s="16" t="str">
        <f>IF(OR(TaxaJuros="",C166=""),"",D166+SUM(F166:I166))</f>
        <v/>
      </c>
      <c r="K166" s="67" t="str">
        <f>IF(OR(TaxaJuros="",C166=""),"",100%-J166/D166)</f>
        <v/>
      </c>
    </row>
    <row r="167" spans="5:11" x14ac:dyDescent="0.25">
      <c r="E167" s="15" t="str">
        <f>IF(OR(DataRecebimento="",C167=""),"",C167-$F$7)</f>
        <v/>
      </c>
      <c r="F167" s="16" t="str">
        <f>IF(OR(TaxaJuros="",C167=""),"",-D167*E167*($F$8/30))</f>
        <v/>
      </c>
      <c r="G167" s="16" t="str">
        <f>IF(OR(TaxaJuros="",C167=""),"",-$F$9)</f>
        <v/>
      </c>
      <c r="H167" s="21" t="str">
        <f>IF(OR(TaxaJuros="",C167=""),"",IF(ComSemIOF=FALSE,0,IF(E167&gt;365,-(D167+F167)*365*IOFDiario,-(D167+F167)*E167*IOFDiario)))</f>
        <v/>
      </c>
      <c r="I167" s="21" t="str">
        <f>IF(OR(TaxaJuros="",C167=""),"",IF(ComSemIOF=FALSE,0,-(D167+F167)*IOFAdic))</f>
        <v/>
      </c>
      <c r="J167" s="16" t="str">
        <f>IF(OR(TaxaJuros="",C167=""),"",D167+SUM(F167:I167))</f>
        <v/>
      </c>
      <c r="K167" s="67" t="str">
        <f>IF(OR(TaxaJuros="",C167=""),"",100%-J167/D167)</f>
        <v/>
      </c>
    </row>
    <row r="168" spans="5:11" x14ac:dyDescent="0.25">
      <c r="E168" s="15" t="str">
        <f>IF(OR(DataRecebimento="",C168=""),"",C168-$F$7)</f>
        <v/>
      </c>
      <c r="F168" s="16" t="str">
        <f>IF(OR(TaxaJuros="",C168=""),"",-D168*E168*($F$8/30))</f>
        <v/>
      </c>
      <c r="G168" s="16" t="str">
        <f>IF(OR(TaxaJuros="",C168=""),"",-$F$9)</f>
        <v/>
      </c>
      <c r="H168" s="21" t="str">
        <f>IF(OR(TaxaJuros="",C168=""),"",IF(ComSemIOF=FALSE,0,IF(E168&gt;365,-(D168+F168)*365*IOFDiario,-(D168+F168)*E168*IOFDiario)))</f>
        <v/>
      </c>
      <c r="I168" s="21" t="str">
        <f>IF(OR(TaxaJuros="",C168=""),"",IF(ComSemIOF=FALSE,0,-(D168+F168)*IOFAdic))</f>
        <v/>
      </c>
      <c r="J168" s="16" t="str">
        <f>IF(OR(TaxaJuros="",C168=""),"",D168+SUM(F168:I168))</f>
        <v/>
      </c>
      <c r="K168" s="67" t="str">
        <f>IF(OR(TaxaJuros="",C168=""),"",100%-J168/D168)</f>
        <v/>
      </c>
    </row>
    <row r="169" spans="5:11" x14ac:dyDescent="0.25">
      <c r="E169" s="15" t="str">
        <f>IF(OR(DataRecebimento="",C169=""),"",C169-$F$7)</f>
        <v/>
      </c>
      <c r="F169" s="16" t="str">
        <f>IF(OR(TaxaJuros="",C169=""),"",-D169*E169*($F$8/30))</f>
        <v/>
      </c>
      <c r="G169" s="16" t="str">
        <f>IF(OR(TaxaJuros="",C169=""),"",-$F$9)</f>
        <v/>
      </c>
      <c r="H169" s="21" t="str">
        <f>IF(OR(TaxaJuros="",C169=""),"",IF(ComSemIOF=FALSE,0,IF(E169&gt;365,-(D169+F169)*365*IOFDiario,-(D169+F169)*E169*IOFDiario)))</f>
        <v/>
      </c>
      <c r="I169" s="21" t="str">
        <f>IF(OR(TaxaJuros="",C169=""),"",IF(ComSemIOF=FALSE,0,-(D169+F169)*IOFAdic))</f>
        <v/>
      </c>
      <c r="J169" s="16" t="str">
        <f>IF(OR(TaxaJuros="",C169=""),"",D169+SUM(F169:I169))</f>
        <v/>
      </c>
      <c r="K169" s="67" t="str">
        <f>IF(OR(TaxaJuros="",C169=""),"",100%-J169/D169)</f>
        <v/>
      </c>
    </row>
    <row r="170" spans="5:11" x14ac:dyDescent="0.25">
      <c r="E170" s="15" t="str">
        <f>IF(OR(DataRecebimento="",C170=""),"",C170-$F$7)</f>
        <v/>
      </c>
      <c r="F170" s="16" t="str">
        <f>IF(OR(TaxaJuros="",C170=""),"",-D170*E170*($F$8/30))</f>
        <v/>
      </c>
      <c r="G170" s="16" t="str">
        <f>IF(OR(TaxaJuros="",C170=""),"",-$F$9)</f>
        <v/>
      </c>
      <c r="H170" s="21" t="str">
        <f>IF(OR(TaxaJuros="",C170=""),"",IF(ComSemIOF=FALSE,0,IF(E170&gt;365,-(D170+F170)*365*IOFDiario,-(D170+F170)*E170*IOFDiario)))</f>
        <v/>
      </c>
      <c r="I170" s="21" t="str">
        <f>IF(OR(TaxaJuros="",C170=""),"",IF(ComSemIOF=FALSE,0,-(D170+F170)*IOFAdic))</f>
        <v/>
      </c>
      <c r="J170" s="16" t="str">
        <f>IF(OR(TaxaJuros="",C170=""),"",D170+SUM(F170:I170))</f>
        <v/>
      </c>
      <c r="K170" s="67" t="str">
        <f>IF(OR(TaxaJuros="",C170=""),"",100%-J170/D170)</f>
        <v/>
      </c>
    </row>
    <row r="171" spans="5:11" x14ac:dyDescent="0.25">
      <c r="E171" s="15" t="str">
        <f>IF(OR(DataRecebimento="",C171=""),"",C171-$F$7)</f>
        <v/>
      </c>
      <c r="F171" s="16" t="str">
        <f>IF(OR(TaxaJuros="",C171=""),"",-D171*E171*($F$8/30))</f>
        <v/>
      </c>
      <c r="G171" s="16" t="str">
        <f>IF(OR(TaxaJuros="",C171=""),"",-$F$9)</f>
        <v/>
      </c>
      <c r="H171" s="21" t="str">
        <f>IF(OR(TaxaJuros="",C171=""),"",IF(ComSemIOF=FALSE,0,IF(E171&gt;365,-(D171+F171)*365*IOFDiario,-(D171+F171)*E171*IOFDiario)))</f>
        <v/>
      </c>
      <c r="I171" s="21" t="str">
        <f>IF(OR(TaxaJuros="",C171=""),"",IF(ComSemIOF=FALSE,0,-(D171+F171)*IOFAdic))</f>
        <v/>
      </c>
      <c r="J171" s="16" t="str">
        <f>IF(OR(TaxaJuros="",C171=""),"",D171+SUM(F171:I171))</f>
        <v/>
      </c>
      <c r="K171" s="67" t="str">
        <f>IF(OR(TaxaJuros="",C171=""),"",100%-J171/D171)</f>
        <v/>
      </c>
    </row>
    <row r="172" spans="5:11" x14ac:dyDescent="0.25">
      <c r="E172" s="15" t="str">
        <f>IF(OR(DataRecebimento="",C172=""),"",C172-$F$7)</f>
        <v/>
      </c>
      <c r="F172" s="16" t="str">
        <f>IF(OR(TaxaJuros="",C172=""),"",-D172*E172*($F$8/30))</f>
        <v/>
      </c>
      <c r="G172" s="16" t="str">
        <f>IF(OR(TaxaJuros="",C172=""),"",-$F$9)</f>
        <v/>
      </c>
      <c r="H172" s="21" t="str">
        <f>IF(OR(TaxaJuros="",C172=""),"",IF(ComSemIOF=FALSE,0,IF(E172&gt;365,-(D172+F172)*365*IOFDiario,-(D172+F172)*E172*IOFDiario)))</f>
        <v/>
      </c>
      <c r="I172" s="21" t="str">
        <f>IF(OR(TaxaJuros="",C172=""),"",IF(ComSemIOF=FALSE,0,-(D172+F172)*IOFAdic))</f>
        <v/>
      </c>
      <c r="J172" s="16" t="str">
        <f>IF(OR(TaxaJuros="",C172=""),"",D172+SUM(F172:I172))</f>
        <v/>
      </c>
      <c r="K172" s="67" t="str">
        <f>IF(OR(TaxaJuros="",C172=""),"",100%-J172/D172)</f>
        <v/>
      </c>
    </row>
    <row r="173" spans="5:11" x14ac:dyDescent="0.25">
      <c r="E173" s="15" t="str">
        <f>IF(OR(DataRecebimento="",C173=""),"",C173-$F$7)</f>
        <v/>
      </c>
      <c r="F173" s="16" t="str">
        <f>IF(OR(TaxaJuros="",C173=""),"",-D173*E173*($F$8/30))</f>
        <v/>
      </c>
      <c r="G173" s="16" t="str">
        <f>IF(OR(TaxaJuros="",C173=""),"",-$F$9)</f>
        <v/>
      </c>
      <c r="H173" s="21" t="str">
        <f>IF(OR(TaxaJuros="",C173=""),"",IF(ComSemIOF=FALSE,0,IF(E173&gt;365,-(D173+F173)*365*IOFDiario,-(D173+F173)*E173*IOFDiario)))</f>
        <v/>
      </c>
      <c r="I173" s="21" t="str">
        <f>IF(OR(TaxaJuros="",C173=""),"",IF(ComSemIOF=FALSE,0,-(D173+F173)*IOFAdic))</f>
        <v/>
      </c>
      <c r="J173" s="16" t="str">
        <f>IF(OR(TaxaJuros="",C173=""),"",D173+SUM(F173:I173))</f>
        <v/>
      </c>
      <c r="K173" s="67" t="str">
        <f>IF(OR(TaxaJuros="",C173=""),"",100%-J173/D173)</f>
        <v/>
      </c>
    </row>
    <row r="174" spans="5:11" x14ac:dyDescent="0.25">
      <c r="E174" s="15" t="str">
        <f>IF(OR(DataRecebimento="",C174=""),"",C174-$F$7)</f>
        <v/>
      </c>
      <c r="F174" s="16" t="str">
        <f>IF(OR(TaxaJuros="",C174=""),"",-D174*E174*($F$8/30))</f>
        <v/>
      </c>
      <c r="G174" s="16" t="str">
        <f>IF(OR(TaxaJuros="",C174=""),"",-$F$9)</f>
        <v/>
      </c>
      <c r="H174" s="21" t="str">
        <f>IF(OR(TaxaJuros="",C174=""),"",IF(ComSemIOF=FALSE,0,IF(E174&gt;365,-(D174+F174)*365*IOFDiario,-(D174+F174)*E174*IOFDiario)))</f>
        <v/>
      </c>
      <c r="I174" s="21" t="str">
        <f>IF(OR(TaxaJuros="",C174=""),"",IF(ComSemIOF=FALSE,0,-(D174+F174)*IOFAdic))</f>
        <v/>
      </c>
      <c r="J174" s="16" t="str">
        <f>IF(OR(TaxaJuros="",C174=""),"",D174+SUM(F174:I174))</f>
        <v/>
      </c>
      <c r="K174" s="67" t="str">
        <f>IF(OR(TaxaJuros="",C174=""),"",100%-J174/D174)</f>
        <v/>
      </c>
    </row>
    <row r="175" spans="5:11" x14ac:dyDescent="0.25">
      <c r="E175" s="15" t="str">
        <f>IF(OR(DataRecebimento="",C175=""),"",C175-$F$7)</f>
        <v/>
      </c>
      <c r="F175" s="16" t="str">
        <f>IF(OR(TaxaJuros="",C175=""),"",-D175*E175*($F$8/30))</f>
        <v/>
      </c>
      <c r="G175" s="16" t="str">
        <f>IF(OR(TaxaJuros="",C175=""),"",-$F$9)</f>
        <v/>
      </c>
      <c r="H175" s="21" t="str">
        <f>IF(OR(TaxaJuros="",C175=""),"",IF(ComSemIOF=FALSE,0,IF(E175&gt;365,-(D175+F175)*365*IOFDiario,-(D175+F175)*E175*IOFDiario)))</f>
        <v/>
      </c>
      <c r="I175" s="21" t="str">
        <f>IF(OR(TaxaJuros="",C175=""),"",IF(ComSemIOF=FALSE,0,-(D175+F175)*IOFAdic))</f>
        <v/>
      </c>
      <c r="J175" s="16" t="str">
        <f>IF(OR(TaxaJuros="",C175=""),"",D175+SUM(F175:I175))</f>
        <v/>
      </c>
      <c r="K175" s="67" t="str">
        <f>IF(OR(TaxaJuros="",C175=""),"",100%-J175/D175)</f>
        <v/>
      </c>
    </row>
    <row r="176" spans="5:11" x14ac:dyDescent="0.25">
      <c r="E176" s="15" t="str">
        <f>IF(OR(DataRecebimento="",C176=""),"",C176-$F$7)</f>
        <v/>
      </c>
      <c r="F176" s="16" t="str">
        <f>IF(OR(TaxaJuros="",C176=""),"",-D176*E176*($F$8/30))</f>
        <v/>
      </c>
      <c r="G176" s="16" t="str">
        <f>IF(OR(TaxaJuros="",C176=""),"",-$F$9)</f>
        <v/>
      </c>
      <c r="H176" s="21" t="str">
        <f>IF(OR(TaxaJuros="",C176=""),"",IF(ComSemIOF=FALSE,0,IF(E176&gt;365,-(D176+F176)*365*IOFDiario,-(D176+F176)*E176*IOFDiario)))</f>
        <v/>
      </c>
      <c r="I176" s="21" t="str">
        <f>IF(OR(TaxaJuros="",C176=""),"",IF(ComSemIOF=FALSE,0,-(D176+F176)*IOFAdic))</f>
        <v/>
      </c>
      <c r="J176" s="16" t="str">
        <f>IF(OR(TaxaJuros="",C176=""),"",D176+SUM(F176:I176))</f>
        <v/>
      </c>
      <c r="K176" s="67" t="str">
        <f>IF(OR(TaxaJuros="",C176=""),"",100%-J176/D176)</f>
        <v/>
      </c>
    </row>
    <row r="177" spans="5:11" x14ac:dyDescent="0.25">
      <c r="E177" s="15" t="str">
        <f>IF(OR(DataRecebimento="",C177=""),"",C177-$F$7)</f>
        <v/>
      </c>
      <c r="F177" s="16" t="str">
        <f>IF(OR(TaxaJuros="",C177=""),"",-D177*E177*($F$8/30))</f>
        <v/>
      </c>
      <c r="G177" s="16" t="str">
        <f>IF(OR(TaxaJuros="",C177=""),"",-$F$9)</f>
        <v/>
      </c>
      <c r="H177" s="21" t="str">
        <f>IF(OR(TaxaJuros="",C177=""),"",IF(ComSemIOF=FALSE,0,IF(E177&gt;365,-(D177+F177)*365*IOFDiario,-(D177+F177)*E177*IOFDiario)))</f>
        <v/>
      </c>
      <c r="I177" s="21" t="str">
        <f>IF(OR(TaxaJuros="",C177=""),"",IF(ComSemIOF=FALSE,0,-(D177+F177)*IOFAdic))</f>
        <v/>
      </c>
      <c r="J177" s="16" t="str">
        <f>IF(OR(TaxaJuros="",C177=""),"",D177+SUM(F177:I177))</f>
        <v/>
      </c>
      <c r="K177" s="67" t="str">
        <f>IF(OR(TaxaJuros="",C177=""),"",100%-J177/D177)</f>
        <v/>
      </c>
    </row>
    <row r="178" spans="5:11" x14ac:dyDescent="0.25">
      <c r="E178" s="15" t="str">
        <f>IF(OR(DataRecebimento="",C178=""),"",C178-$F$7)</f>
        <v/>
      </c>
      <c r="F178" s="16" t="str">
        <f>IF(OR(TaxaJuros="",C178=""),"",-D178*E178*($F$8/30))</f>
        <v/>
      </c>
      <c r="G178" s="16" t="str">
        <f>IF(OR(TaxaJuros="",C178=""),"",-$F$9)</f>
        <v/>
      </c>
      <c r="H178" s="21" t="str">
        <f>IF(OR(TaxaJuros="",C178=""),"",IF(ComSemIOF=FALSE,0,IF(E178&gt;365,-(D178+F178)*365*IOFDiario,-(D178+F178)*E178*IOFDiario)))</f>
        <v/>
      </c>
      <c r="I178" s="21" t="str">
        <f>IF(OR(TaxaJuros="",C178=""),"",IF(ComSemIOF=FALSE,0,-(D178+F178)*IOFAdic))</f>
        <v/>
      </c>
      <c r="J178" s="16" t="str">
        <f>IF(OR(TaxaJuros="",C178=""),"",D178+SUM(F178:I178))</f>
        <v/>
      </c>
      <c r="K178" s="67" t="str">
        <f>IF(OR(TaxaJuros="",C178=""),"",100%-J178/D178)</f>
        <v/>
      </c>
    </row>
    <row r="179" spans="5:11" x14ac:dyDescent="0.25">
      <c r="E179" s="15" t="str">
        <f>IF(OR(DataRecebimento="",C179=""),"",C179-$F$7)</f>
        <v/>
      </c>
      <c r="F179" s="16" t="str">
        <f>IF(OR(TaxaJuros="",C179=""),"",-D179*E179*($F$8/30))</f>
        <v/>
      </c>
      <c r="G179" s="16" t="str">
        <f>IF(OR(TaxaJuros="",C179=""),"",-$F$9)</f>
        <v/>
      </c>
      <c r="H179" s="21" t="str">
        <f>IF(OR(TaxaJuros="",C179=""),"",IF(ComSemIOF=FALSE,0,IF(E179&gt;365,-(D179+F179)*365*IOFDiario,-(D179+F179)*E179*IOFDiario)))</f>
        <v/>
      </c>
      <c r="I179" s="21" t="str">
        <f>IF(OR(TaxaJuros="",C179=""),"",IF(ComSemIOF=FALSE,0,-(D179+F179)*IOFAdic))</f>
        <v/>
      </c>
      <c r="J179" s="16" t="str">
        <f>IF(OR(TaxaJuros="",C179=""),"",D179+SUM(F179:I179))</f>
        <v/>
      </c>
      <c r="K179" s="67" t="str">
        <f>IF(OR(TaxaJuros="",C179=""),"",100%-J179/D179)</f>
        <v/>
      </c>
    </row>
    <row r="180" spans="5:11" x14ac:dyDescent="0.25">
      <c r="E180" s="15" t="str">
        <f>IF(OR(DataRecebimento="",C180=""),"",C180-$F$7)</f>
        <v/>
      </c>
      <c r="F180" s="16" t="str">
        <f>IF(OR(TaxaJuros="",C180=""),"",-D180*E180*($F$8/30))</f>
        <v/>
      </c>
      <c r="G180" s="16" t="str">
        <f>IF(OR(TaxaJuros="",C180=""),"",-$F$9)</f>
        <v/>
      </c>
      <c r="H180" s="21" t="str">
        <f>IF(OR(TaxaJuros="",C180=""),"",IF(ComSemIOF=FALSE,0,IF(E180&gt;365,-(D180+F180)*365*IOFDiario,-(D180+F180)*E180*IOFDiario)))</f>
        <v/>
      </c>
      <c r="I180" s="21" t="str">
        <f>IF(OR(TaxaJuros="",C180=""),"",IF(ComSemIOF=FALSE,0,-(D180+F180)*IOFAdic))</f>
        <v/>
      </c>
      <c r="J180" s="16" t="str">
        <f>IF(OR(TaxaJuros="",C180=""),"",D180+SUM(F180:I180))</f>
        <v/>
      </c>
      <c r="K180" s="67" t="str">
        <f>IF(OR(TaxaJuros="",C180=""),"",100%-J180/D180)</f>
        <v/>
      </c>
    </row>
    <row r="181" spans="5:11" x14ac:dyDescent="0.25">
      <c r="E181" s="15" t="str">
        <f>IF(OR(DataRecebimento="",C181=""),"",C181-$F$7)</f>
        <v/>
      </c>
      <c r="F181" s="16" t="str">
        <f>IF(OR(TaxaJuros="",C181=""),"",-D181*E181*($F$8/30))</f>
        <v/>
      </c>
      <c r="G181" s="16" t="str">
        <f>IF(OR(TaxaJuros="",C181=""),"",-$F$9)</f>
        <v/>
      </c>
      <c r="H181" s="21" t="str">
        <f>IF(OR(TaxaJuros="",C181=""),"",IF(ComSemIOF=FALSE,0,IF(E181&gt;365,-(D181+F181)*365*IOFDiario,-(D181+F181)*E181*IOFDiario)))</f>
        <v/>
      </c>
      <c r="I181" s="21" t="str">
        <f>IF(OR(TaxaJuros="",C181=""),"",IF(ComSemIOF=FALSE,0,-(D181+F181)*IOFAdic))</f>
        <v/>
      </c>
      <c r="J181" s="16" t="str">
        <f>IF(OR(TaxaJuros="",C181=""),"",D181+SUM(F181:I181))</f>
        <v/>
      </c>
      <c r="K181" s="67" t="str">
        <f>IF(OR(TaxaJuros="",C181=""),"",100%-J181/D181)</f>
        <v/>
      </c>
    </row>
    <row r="182" spans="5:11" x14ac:dyDescent="0.25">
      <c r="E182" s="15" t="str">
        <f>IF(OR(DataRecebimento="",C182=""),"",C182-$F$7)</f>
        <v/>
      </c>
      <c r="F182" s="16" t="str">
        <f>IF(OR(TaxaJuros="",C182=""),"",-D182*E182*($F$8/30))</f>
        <v/>
      </c>
      <c r="G182" s="16" t="str">
        <f>IF(OR(TaxaJuros="",C182=""),"",-$F$9)</f>
        <v/>
      </c>
      <c r="H182" s="21" t="str">
        <f>IF(OR(TaxaJuros="",C182=""),"",IF(ComSemIOF=FALSE,0,IF(E182&gt;365,-(D182+F182)*365*IOFDiario,-(D182+F182)*E182*IOFDiario)))</f>
        <v/>
      </c>
      <c r="I182" s="21" t="str">
        <f>IF(OR(TaxaJuros="",C182=""),"",IF(ComSemIOF=FALSE,0,-(D182+F182)*IOFAdic))</f>
        <v/>
      </c>
      <c r="J182" s="16" t="str">
        <f>IF(OR(TaxaJuros="",C182=""),"",D182+SUM(F182:I182))</f>
        <v/>
      </c>
      <c r="K182" s="67" t="str">
        <f>IF(OR(TaxaJuros="",C182=""),"",100%-J182/D182)</f>
        <v/>
      </c>
    </row>
    <row r="183" spans="5:11" x14ac:dyDescent="0.25">
      <c r="E183" s="15" t="str">
        <f>IF(OR(DataRecebimento="",C183=""),"",C183-$F$7)</f>
        <v/>
      </c>
      <c r="F183" s="16" t="str">
        <f>IF(OR(TaxaJuros="",C183=""),"",-D183*E183*($F$8/30))</f>
        <v/>
      </c>
      <c r="G183" s="16" t="str">
        <f>IF(OR(TaxaJuros="",C183=""),"",-$F$9)</f>
        <v/>
      </c>
      <c r="H183" s="21" t="str">
        <f>IF(OR(TaxaJuros="",C183=""),"",IF(ComSemIOF=FALSE,0,IF(E183&gt;365,-(D183+F183)*365*IOFDiario,-(D183+F183)*E183*IOFDiario)))</f>
        <v/>
      </c>
      <c r="I183" s="21" t="str">
        <f>IF(OR(TaxaJuros="",C183=""),"",IF(ComSemIOF=FALSE,0,-(D183+F183)*IOFAdic))</f>
        <v/>
      </c>
      <c r="J183" s="16" t="str">
        <f>IF(OR(TaxaJuros="",C183=""),"",D183+SUM(F183:I183))</f>
        <v/>
      </c>
      <c r="K183" s="67" t="str">
        <f>IF(OR(TaxaJuros="",C183=""),"",100%-J183/D183)</f>
        <v/>
      </c>
    </row>
    <row r="184" spans="5:11" x14ac:dyDescent="0.25">
      <c r="E184" s="15" t="str">
        <f>IF(OR(DataRecebimento="",C184=""),"",C184-$F$7)</f>
        <v/>
      </c>
      <c r="F184" s="16" t="str">
        <f>IF(OR(TaxaJuros="",C184=""),"",-D184*E184*($F$8/30))</f>
        <v/>
      </c>
      <c r="G184" s="16" t="str">
        <f>IF(OR(TaxaJuros="",C184=""),"",-$F$9)</f>
        <v/>
      </c>
      <c r="H184" s="21" t="str">
        <f>IF(OR(TaxaJuros="",C184=""),"",IF(ComSemIOF=FALSE,0,IF(E184&gt;365,-(D184+F184)*365*IOFDiario,-(D184+F184)*E184*IOFDiario)))</f>
        <v/>
      </c>
      <c r="I184" s="21" t="str">
        <f>IF(OR(TaxaJuros="",C184=""),"",IF(ComSemIOF=FALSE,0,-(D184+F184)*IOFAdic))</f>
        <v/>
      </c>
      <c r="J184" s="16" t="str">
        <f>IF(OR(TaxaJuros="",C184=""),"",D184+SUM(F184:I184))</f>
        <v/>
      </c>
      <c r="K184" s="67" t="str">
        <f>IF(OR(TaxaJuros="",C184=""),"",100%-J184/D184)</f>
        <v/>
      </c>
    </row>
    <row r="185" spans="5:11" x14ac:dyDescent="0.25">
      <c r="E185" s="15" t="str">
        <f>IF(OR(DataRecebimento="",C185=""),"",C185-$F$7)</f>
        <v/>
      </c>
      <c r="F185" s="16" t="str">
        <f>IF(OR(TaxaJuros="",C185=""),"",-D185*E185*($F$8/30))</f>
        <v/>
      </c>
      <c r="G185" s="16" t="str">
        <f>IF(OR(TaxaJuros="",C185=""),"",-$F$9)</f>
        <v/>
      </c>
      <c r="H185" s="21" t="str">
        <f>IF(OR(TaxaJuros="",C185=""),"",IF(ComSemIOF=FALSE,0,IF(E185&gt;365,-(D185+F185)*365*IOFDiario,-(D185+F185)*E185*IOFDiario)))</f>
        <v/>
      </c>
      <c r="I185" s="21" t="str">
        <f>IF(OR(TaxaJuros="",C185=""),"",IF(ComSemIOF=FALSE,0,-(D185+F185)*IOFAdic))</f>
        <v/>
      </c>
      <c r="J185" s="16" t="str">
        <f>IF(OR(TaxaJuros="",C185=""),"",D185+SUM(F185:I185))</f>
        <v/>
      </c>
      <c r="K185" s="67" t="str">
        <f>IF(OR(TaxaJuros="",C185=""),"",100%-J185/D185)</f>
        <v/>
      </c>
    </row>
    <row r="186" spans="5:11" x14ac:dyDescent="0.25">
      <c r="E186" s="15" t="str">
        <f>IF(OR(DataRecebimento="",C186=""),"",C186-$F$7)</f>
        <v/>
      </c>
      <c r="F186" s="16" t="str">
        <f>IF(OR(TaxaJuros="",C186=""),"",-D186*E186*($F$8/30))</f>
        <v/>
      </c>
      <c r="G186" s="16" t="str">
        <f>IF(OR(TaxaJuros="",C186=""),"",-$F$9)</f>
        <v/>
      </c>
      <c r="H186" s="21" t="str">
        <f>IF(OR(TaxaJuros="",C186=""),"",IF(ComSemIOF=FALSE,0,IF(E186&gt;365,-(D186+F186)*365*IOFDiario,-(D186+F186)*E186*IOFDiario)))</f>
        <v/>
      </c>
      <c r="I186" s="21" t="str">
        <f>IF(OR(TaxaJuros="",C186=""),"",IF(ComSemIOF=FALSE,0,-(D186+F186)*IOFAdic))</f>
        <v/>
      </c>
      <c r="J186" s="16" t="str">
        <f>IF(OR(TaxaJuros="",C186=""),"",D186+SUM(F186:I186))</f>
        <v/>
      </c>
      <c r="K186" s="67" t="str">
        <f>IF(OR(TaxaJuros="",C186=""),"",100%-J186/D186)</f>
        <v/>
      </c>
    </row>
    <row r="187" spans="5:11" x14ac:dyDescent="0.25">
      <c r="E187" s="15" t="str">
        <f>IF(OR(DataRecebimento="",C187=""),"",C187-$F$7)</f>
        <v/>
      </c>
      <c r="F187" s="16" t="str">
        <f>IF(OR(TaxaJuros="",C187=""),"",-D187*E187*($F$8/30))</f>
        <v/>
      </c>
      <c r="G187" s="16" t="str">
        <f>IF(OR(TaxaJuros="",C187=""),"",-$F$9)</f>
        <v/>
      </c>
      <c r="H187" s="21" t="str">
        <f>IF(OR(TaxaJuros="",C187=""),"",IF(ComSemIOF=FALSE,0,IF(E187&gt;365,-(D187+F187)*365*IOFDiario,-(D187+F187)*E187*IOFDiario)))</f>
        <v/>
      </c>
      <c r="I187" s="21" t="str">
        <f>IF(OR(TaxaJuros="",C187=""),"",IF(ComSemIOF=FALSE,0,-(D187+F187)*IOFAdic))</f>
        <v/>
      </c>
      <c r="J187" s="16" t="str">
        <f>IF(OR(TaxaJuros="",C187=""),"",D187+SUM(F187:I187))</f>
        <v/>
      </c>
      <c r="K187" s="67" t="str">
        <f>IF(OR(TaxaJuros="",C187=""),"",100%-J187/D187)</f>
        <v/>
      </c>
    </row>
    <row r="188" spans="5:11" x14ac:dyDescent="0.25">
      <c r="E188" s="15" t="str">
        <f>IF(OR(DataRecebimento="",C188=""),"",C188-$F$7)</f>
        <v/>
      </c>
      <c r="F188" s="16" t="str">
        <f>IF(OR(TaxaJuros="",C188=""),"",-D188*E188*($F$8/30))</f>
        <v/>
      </c>
      <c r="G188" s="16" t="str">
        <f>IF(OR(TaxaJuros="",C188=""),"",-$F$9)</f>
        <v/>
      </c>
      <c r="H188" s="21" t="str">
        <f>IF(OR(TaxaJuros="",C188=""),"",IF(ComSemIOF=FALSE,0,IF(E188&gt;365,-(D188+F188)*365*IOFDiario,-(D188+F188)*E188*IOFDiario)))</f>
        <v/>
      </c>
      <c r="I188" s="21" t="str">
        <f>IF(OR(TaxaJuros="",C188=""),"",IF(ComSemIOF=FALSE,0,-(D188+F188)*IOFAdic))</f>
        <v/>
      </c>
      <c r="J188" s="16" t="str">
        <f>IF(OR(TaxaJuros="",C188=""),"",D188+SUM(F188:I188))</f>
        <v/>
      </c>
      <c r="K188" s="67" t="str">
        <f>IF(OR(TaxaJuros="",C188=""),"",100%-J188/D188)</f>
        <v/>
      </c>
    </row>
    <row r="189" spans="5:11" x14ac:dyDescent="0.25">
      <c r="E189" s="15" t="str">
        <f>IF(OR(DataRecebimento="",C189=""),"",C189-$F$7)</f>
        <v/>
      </c>
      <c r="F189" s="16" t="str">
        <f>IF(OR(TaxaJuros="",C189=""),"",-D189*E189*($F$8/30))</f>
        <v/>
      </c>
      <c r="G189" s="16" t="str">
        <f>IF(OR(TaxaJuros="",C189=""),"",-$F$9)</f>
        <v/>
      </c>
      <c r="H189" s="21" t="str">
        <f>IF(OR(TaxaJuros="",C189=""),"",IF(ComSemIOF=FALSE,0,IF(E189&gt;365,-(D189+F189)*365*IOFDiario,-(D189+F189)*E189*IOFDiario)))</f>
        <v/>
      </c>
      <c r="I189" s="21" t="str">
        <f>IF(OR(TaxaJuros="",C189=""),"",IF(ComSemIOF=FALSE,0,-(D189+F189)*IOFAdic))</f>
        <v/>
      </c>
      <c r="J189" s="16" t="str">
        <f>IF(OR(TaxaJuros="",C189=""),"",D189+SUM(F189:I189))</f>
        <v/>
      </c>
      <c r="K189" s="67" t="str">
        <f>IF(OR(TaxaJuros="",C189=""),"",100%-J189/D189)</f>
        <v/>
      </c>
    </row>
    <row r="190" spans="5:11" x14ac:dyDescent="0.25">
      <c r="E190" s="15" t="str">
        <f>IF(OR(DataRecebimento="",C190=""),"",C190-$F$7)</f>
        <v/>
      </c>
      <c r="F190" s="16" t="str">
        <f>IF(OR(TaxaJuros="",C190=""),"",-D190*E190*($F$8/30))</f>
        <v/>
      </c>
      <c r="G190" s="16" t="str">
        <f>IF(OR(TaxaJuros="",C190=""),"",-$F$9)</f>
        <v/>
      </c>
      <c r="H190" s="21" t="str">
        <f>IF(OR(TaxaJuros="",C190=""),"",IF(ComSemIOF=FALSE,0,IF(E190&gt;365,-(D190+F190)*365*IOFDiario,-(D190+F190)*E190*IOFDiario)))</f>
        <v/>
      </c>
      <c r="I190" s="21" t="str">
        <f>IF(OR(TaxaJuros="",C190=""),"",IF(ComSemIOF=FALSE,0,-(D190+F190)*IOFAdic))</f>
        <v/>
      </c>
      <c r="J190" s="16" t="str">
        <f>IF(OR(TaxaJuros="",C190=""),"",D190+SUM(F190:I190))</f>
        <v/>
      </c>
      <c r="K190" s="67" t="str">
        <f>IF(OR(TaxaJuros="",C190=""),"",100%-J190/D190)</f>
        <v/>
      </c>
    </row>
    <row r="191" spans="5:11" x14ac:dyDescent="0.25">
      <c r="E191" s="15" t="str">
        <f>IF(OR(DataRecebimento="",C191=""),"",C191-$F$7)</f>
        <v/>
      </c>
      <c r="F191" s="16" t="str">
        <f>IF(OR(TaxaJuros="",C191=""),"",-D191*E191*($F$8/30))</f>
        <v/>
      </c>
      <c r="G191" s="16" t="str">
        <f>IF(OR(TaxaJuros="",C191=""),"",-$F$9)</f>
        <v/>
      </c>
      <c r="H191" s="21" t="str">
        <f>IF(OR(TaxaJuros="",C191=""),"",IF(ComSemIOF=FALSE,0,IF(E191&gt;365,-(D191+F191)*365*IOFDiario,-(D191+F191)*E191*IOFDiario)))</f>
        <v/>
      </c>
      <c r="I191" s="21" t="str">
        <f>IF(OR(TaxaJuros="",C191=""),"",IF(ComSemIOF=FALSE,0,-(D191+F191)*IOFAdic))</f>
        <v/>
      </c>
      <c r="J191" s="16" t="str">
        <f>IF(OR(TaxaJuros="",C191=""),"",D191+SUM(F191:I191))</f>
        <v/>
      </c>
      <c r="K191" s="67" t="str">
        <f>IF(OR(TaxaJuros="",C191=""),"",100%-J191/D191)</f>
        <v/>
      </c>
    </row>
    <row r="192" spans="5:11" x14ac:dyDescent="0.25">
      <c r="E192" s="15" t="str">
        <f>IF(OR(DataRecebimento="",C192=""),"",C192-$F$7)</f>
        <v/>
      </c>
      <c r="F192" s="16" t="str">
        <f>IF(OR(TaxaJuros="",C192=""),"",-D192*E192*($F$8/30))</f>
        <v/>
      </c>
      <c r="G192" s="16" t="str">
        <f>IF(OR(TaxaJuros="",C192=""),"",-$F$9)</f>
        <v/>
      </c>
      <c r="H192" s="21" t="str">
        <f>IF(OR(TaxaJuros="",C192=""),"",IF(ComSemIOF=FALSE,0,IF(E192&gt;365,-(D192+F192)*365*IOFDiario,-(D192+F192)*E192*IOFDiario)))</f>
        <v/>
      </c>
      <c r="I192" s="21" t="str">
        <f>IF(OR(TaxaJuros="",C192=""),"",IF(ComSemIOF=FALSE,0,-(D192+F192)*IOFAdic))</f>
        <v/>
      </c>
      <c r="J192" s="16" t="str">
        <f>IF(OR(TaxaJuros="",C192=""),"",D192+SUM(F192:I192))</f>
        <v/>
      </c>
      <c r="K192" s="67" t="str">
        <f>IF(OR(TaxaJuros="",C192=""),"",100%-J192/D192)</f>
        <v/>
      </c>
    </row>
    <row r="193" spans="5:11" x14ac:dyDescent="0.25">
      <c r="E193" s="15" t="str">
        <f>IF(OR(DataRecebimento="",C193=""),"",C193-$F$7)</f>
        <v/>
      </c>
      <c r="F193" s="16" t="str">
        <f>IF(OR(TaxaJuros="",C193=""),"",-D193*E193*($F$8/30))</f>
        <v/>
      </c>
      <c r="G193" s="16" t="str">
        <f>IF(OR(TaxaJuros="",C193=""),"",-$F$9)</f>
        <v/>
      </c>
      <c r="H193" s="21" t="str">
        <f>IF(OR(TaxaJuros="",C193=""),"",IF(ComSemIOF=FALSE,0,IF(E193&gt;365,-(D193+F193)*365*IOFDiario,-(D193+F193)*E193*IOFDiario)))</f>
        <v/>
      </c>
      <c r="I193" s="21" t="str">
        <f>IF(OR(TaxaJuros="",C193=""),"",IF(ComSemIOF=FALSE,0,-(D193+F193)*IOFAdic))</f>
        <v/>
      </c>
      <c r="J193" s="16" t="str">
        <f>IF(OR(TaxaJuros="",C193=""),"",D193+SUM(F193:I193))</f>
        <v/>
      </c>
      <c r="K193" s="67" t="str">
        <f>IF(OR(TaxaJuros="",C193=""),"",100%-J193/D193)</f>
        <v/>
      </c>
    </row>
    <row r="194" spans="5:11" x14ac:dyDescent="0.25">
      <c r="E194" s="15" t="str">
        <f>IF(OR(DataRecebimento="",C194=""),"",C194-$F$7)</f>
        <v/>
      </c>
      <c r="F194" s="16" t="str">
        <f>IF(OR(TaxaJuros="",C194=""),"",-D194*E194*($F$8/30))</f>
        <v/>
      </c>
      <c r="G194" s="16" t="str">
        <f>IF(OR(TaxaJuros="",C194=""),"",-$F$9)</f>
        <v/>
      </c>
      <c r="H194" s="21" t="str">
        <f>IF(OR(TaxaJuros="",C194=""),"",IF(ComSemIOF=FALSE,0,IF(E194&gt;365,-(D194+F194)*365*IOFDiario,-(D194+F194)*E194*IOFDiario)))</f>
        <v/>
      </c>
      <c r="I194" s="21" t="str">
        <f>IF(OR(TaxaJuros="",C194=""),"",IF(ComSemIOF=FALSE,0,-(D194+F194)*IOFAdic))</f>
        <v/>
      </c>
      <c r="J194" s="16" t="str">
        <f>IF(OR(TaxaJuros="",C194=""),"",D194+SUM(F194:I194))</f>
        <v/>
      </c>
      <c r="K194" s="67" t="str">
        <f>IF(OR(TaxaJuros="",C194=""),"",100%-J194/D194)</f>
        <v/>
      </c>
    </row>
    <row r="195" spans="5:11" x14ac:dyDescent="0.25">
      <c r="E195" s="15" t="str">
        <f>IF(OR(DataRecebimento="",C195=""),"",C195-$F$7)</f>
        <v/>
      </c>
      <c r="F195" s="16" t="str">
        <f>IF(OR(TaxaJuros="",C195=""),"",-D195*E195*($F$8/30))</f>
        <v/>
      </c>
      <c r="G195" s="16" t="str">
        <f>IF(OR(TaxaJuros="",C195=""),"",-$F$9)</f>
        <v/>
      </c>
      <c r="H195" s="21" t="str">
        <f>IF(OR(TaxaJuros="",C195=""),"",IF(ComSemIOF=FALSE,0,IF(E195&gt;365,-(D195+F195)*365*IOFDiario,-(D195+F195)*E195*IOFDiario)))</f>
        <v/>
      </c>
      <c r="I195" s="21" t="str">
        <f>IF(OR(TaxaJuros="",C195=""),"",IF(ComSemIOF=FALSE,0,-(D195+F195)*IOFAdic))</f>
        <v/>
      </c>
      <c r="J195" s="16" t="str">
        <f>IF(OR(TaxaJuros="",C195=""),"",D195+SUM(F195:I195))</f>
        <v/>
      </c>
      <c r="K195" s="67" t="str">
        <f>IF(OR(TaxaJuros="",C195=""),"",100%-J195/D195)</f>
        <v/>
      </c>
    </row>
    <row r="196" spans="5:11" x14ac:dyDescent="0.25">
      <c r="E196" s="15" t="str">
        <f>IF(OR(DataRecebimento="",C196=""),"",C196-$F$7)</f>
        <v/>
      </c>
      <c r="F196" s="16" t="str">
        <f>IF(OR(TaxaJuros="",C196=""),"",-D196*E196*($F$8/30))</f>
        <v/>
      </c>
      <c r="G196" s="16" t="str">
        <f>IF(OR(TaxaJuros="",C196=""),"",-$F$9)</f>
        <v/>
      </c>
      <c r="H196" s="21" t="str">
        <f>IF(OR(TaxaJuros="",C196=""),"",IF(ComSemIOF=FALSE,0,IF(E196&gt;365,-(D196+F196)*365*IOFDiario,-(D196+F196)*E196*IOFDiario)))</f>
        <v/>
      </c>
      <c r="I196" s="21" t="str">
        <f>IF(OR(TaxaJuros="",C196=""),"",IF(ComSemIOF=FALSE,0,-(D196+F196)*IOFAdic))</f>
        <v/>
      </c>
      <c r="J196" s="16" t="str">
        <f>IF(OR(TaxaJuros="",C196=""),"",D196+SUM(F196:I196))</f>
        <v/>
      </c>
      <c r="K196" s="67" t="str">
        <f>IF(OR(TaxaJuros="",C196=""),"",100%-J196/D196)</f>
        <v/>
      </c>
    </row>
    <row r="197" spans="5:11" x14ac:dyDescent="0.25">
      <c r="E197" s="15" t="str">
        <f>IF(OR(DataRecebimento="",C197=""),"",C197-$F$7)</f>
        <v/>
      </c>
      <c r="F197" s="16" t="str">
        <f>IF(OR(TaxaJuros="",C197=""),"",-D197*E197*($F$8/30))</f>
        <v/>
      </c>
      <c r="G197" s="16" t="str">
        <f>IF(OR(TaxaJuros="",C197=""),"",-$F$9)</f>
        <v/>
      </c>
      <c r="H197" s="21" t="str">
        <f>IF(OR(TaxaJuros="",C197=""),"",IF(ComSemIOF=FALSE,0,IF(E197&gt;365,-(D197+F197)*365*IOFDiario,-(D197+F197)*E197*IOFDiario)))</f>
        <v/>
      </c>
      <c r="I197" s="21" t="str">
        <f>IF(OR(TaxaJuros="",C197=""),"",IF(ComSemIOF=FALSE,0,-(D197+F197)*IOFAdic))</f>
        <v/>
      </c>
      <c r="J197" s="16" t="str">
        <f>IF(OR(TaxaJuros="",C197=""),"",D197+SUM(F197:I197))</f>
        <v/>
      </c>
      <c r="K197" s="67" t="str">
        <f>IF(OR(TaxaJuros="",C197=""),"",100%-J197/D197)</f>
        <v/>
      </c>
    </row>
    <row r="198" spans="5:11" x14ac:dyDescent="0.25">
      <c r="E198" s="15" t="str">
        <f>IF(OR(DataRecebimento="",C198=""),"",C198-$F$7)</f>
        <v/>
      </c>
      <c r="F198" s="16" t="str">
        <f>IF(OR(TaxaJuros="",C198=""),"",-D198*E198*($F$8/30))</f>
        <v/>
      </c>
      <c r="G198" s="16" t="str">
        <f>IF(OR(TaxaJuros="",C198=""),"",-$F$9)</f>
        <v/>
      </c>
      <c r="H198" s="21" t="str">
        <f>IF(OR(TaxaJuros="",C198=""),"",IF(ComSemIOF=FALSE,0,IF(E198&gt;365,-(D198+F198)*365*IOFDiario,-(D198+F198)*E198*IOFDiario)))</f>
        <v/>
      </c>
      <c r="I198" s="21" t="str">
        <f>IF(OR(TaxaJuros="",C198=""),"",IF(ComSemIOF=FALSE,0,-(D198+F198)*IOFAdic))</f>
        <v/>
      </c>
      <c r="J198" s="16" t="str">
        <f>IF(OR(TaxaJuros="",C198=""),"",D198+SUM(F198:I198))</f>
        <v/>
      </c>
      <c r="K198" s="67" t="str">
        <f>IF(OR(TaxaJuros="",C198=""),"",100%-J198/D198)</f>
        <v/>
      </c>
    </row>
    <row r="199" spans="5:11" x14ac:dyDescent="0.25">
      <c r="E199" s="15" t="str">
        <f>IF(OR(DataRecebimento="",C199=""),"",C199-$F$7)</f>
        <v/>
      </c>
      <c r="F199" s="16" t="str">
        <f>IF(OR(TaxaJuros="",C199=""),"",-D199*E199*($F$8/30))</f>
        <v/>
      </c>
      <c r="G199" s="16" t="str">
        <f>IF(OR(TaxaJuros="",C199=""),"",-$F$9)</f>
        <v/>
      </c>
      <c r="H199" s="21" t="str">
        <f>IF(OR(TaxaJuros="",C199=""),"",IF(ComSemIOF=FALSE,0,IF(E199&gt;365,-(D199+F199)*365*IOFDiario,-(D199+F199)*E199*IOFDiario)))</f>
        <v/>
      </c>
      <c r="I199" s="21" t="str">
        <f>IF(OR(TaxaJuros="",C199=""),"",IF(ComSemIOF=FALSE,0,-(D199+F199)*IOFAdic))</f>
        <v/>
      </c>
      <c r="J199" s="16" t="str">
        <f>IF(OR(TaxaJuros="",C199=""),"",D199+SUM(F199:I199))</f>
        <v/>
      </c>
      <c r="K199" s="67" t="str">
        <f>IF(OR(TaxaJuros="",C199=""),"",100%-J199/D199)</f>
        <v/>
      </c>
    </row>
    <row r="200" spans="5:11" x14ac:dyDescent="0.25">
      <c r="E200" s="15" t="str">
        <f>IF(OR(DataRecebimento="",C200=""),"",C200-$F$7)</f>
        <v/>
      </c>
      <c r="F200" s="16" t="str">
        <f>IF(OR(TaxaJuros="",C200=""),"",-D200*E200*($F$8/30))</f>
        <v/>
      </c>
      <c r="G200" s="16" t="str">
        <f>IF(OR(TaxaJuros="",C200=""),"",-$F$9)</f>
        <v/>
      </c>
      <c r="H200" s="21" t="str">
        <f>IF(OR(TaxaJuros="",C200=""),"",IF(ComSemIOF=FALSE,0,IF(E200&gt;365,-(D200+F200)*365*IOFDiario,-(D200+F200)*E200*IOFDiario)))</f>
        <v/>
      </c>
      <c r="I200" s="21" t="str">
        <f>IF(OR(TaxaJuros="",C200=""),"",IF(ComSemIOF=FALSE,0,-(D200+F200)*IOFAdic))</f>
        <v/>
      </c>
      <c r="J200" s="16" t="str">
        <f>IF(OR(TaxaJuros="",C200=""),"",D200+SUM(F200:I200))</f>
        <v/>
      </c>
      <c r="K200" s="67" t="str">
        <f>IF(OR(TaxaJuros="",C200=""),"",100%-J200/D200)</f>
        <v/>
      </c>
    </row>
    <row r="201" spans="5:11" x14ac:dyDescent="0.25">
      <c r="E201" s="15" t="str">
        <f>IF(OR(DataRecebimento="",C201=""),"",C201-$F$7)</f>
        <v/>
      </c>
      <c r="F201" s="16" t="str">
        <f>IF(OR(TaxaJuros="",C201=""),"",-D201*E201*($F$8/30))</f>
        <v/>
      </c>
      <c r="G201" s="16" t="str">
        <f>IF(OR(TaxaJuros="",C201=""),"",-$F$9)</f>
        <v/>
      </c>
      <c r="H201" s="21" t="str">
        <f>IF(OR(TaxaJuros="",C201=""),"",IF(ComSemIOF=FALSE,0,IF(E201&gt;365,-(D201+F201)*365*IOFDiario,-(D201+F201)*E201*IOFDiario)))</f>
        <v/>
      </c>
      <c r="I201" s="21" t="str">
        <f>IF(OR(TaxaJuros="",C201=""),"",IF(ComSemIOF=FALSE,0,-(D201+F201)*IOFAdic))</f>
        <v/>
      </c>
      <c r="J201" s="16" t="str">
        <f>IF(OR(TaxaJuros="",C201=""),"",D201+SUM(F201:I201))</f>
        <v/>
      </c>
      <c r="K201" s="67" t="str">
        <f>IF(OR(TaxaJuros="",C201=""),"",100%-J201/D201)</f>
        <v/>
      </c>
    </row>
    <row r="202" spans="5:11" x14ac:dyDescent="0.25">
      <c r="E202" s="15" t="str">
        <f>IF(OR(DataRecebimento="",C202=""),"",C202-$F$7)</f>
        <v/>
      </c>
      <c r="F202" s="16" t="str">
        <f>IF(OR(TaxaJuros="",C202=""),"",-D202*E202*($F$8/30))</f>
        <v/>
      </c>
      <c r="G202" s="16" t="str">
        <f>IF(OR(TaxaJuros="",C202=""),"",-$F$9)</f>
        <v/>
      </c>
      <c r="H202" s="21" t="str">
        <f>IF(OR(TaxaJuros="",C202=""),"",IF(ComSemIOF=FALSE,0,IF(E202&gt;365,-(D202+F202)*365*IOFDiario,-(D202+F202)*E202*IOFDiario)))</f>
        <v/>
      </c>
      <c r="I202" s="21" t="str">
        <f>IF(OR(TaxaJuros="",C202=""),"",IF(ComSemIOF=FALSE,0,-(D202+F202)*IOFAdic))</f>
        <v/>
      </c>
      <c r="J202" s="16" t="str">
        <f>IF(OR(TaxaJuros="",C202=""),"",D202+SUM(F202:I202))</f>
        <v/>
      </c>
      <c r="K202" s="67" t="str">
        <f>IF(OR(TaxaJuros="",C202=""),"",100%-J202/D202)</f>
        <v/>
      </c>
    </row>
    <row r="203" spans="5:11" x14ac:dyDescent="0.25">
      <c r="E203" s="15" t="str">
        <f>IF(OR(DataRecebimento="",C203=""),"",C203-$F$7)</f>
        <v/>
      </c>
      <c r="F203" s="16" t="str">
        <f>IF(OR(TaxaJuros="",C203=""),"",-D203*E203*($F$8/30))</f>
        <v/>
      </c>
      <c r="G203" s="16" t="str">
        <f>IF(OR(TaxaJuros="",C203=""),"",-$F$9)</f>
        <v/>
      </c>
      <c r="H203" s="21" t="str">
        <f>IF(OR(TaxaJuros="",C203=""),"",IF(ComSemIOF=FALSE,0,IF(E203&gt;365,-(D203+F203)*365*IOFDiario,-(D203+F203)*E203*IOFDiario)))</f>
        <v/>
      </c>
      <c r="I203" s="21" t="str">
        <f>IF(OR(TaxaJuros="",C203=""),"",IF(ComSemIOF=FALSE,0,-(D203+F203)*IOFAdic))</f>
        <v/>
      </c>
      <c r="J203" s="16" t="str">
        <f>IF(OR(TaxaJuros="",C203=""),"",D203+SUM(F203:I203))</f>
        <v/>
      </c>
      <c r="K203" s="67" t="str">
        <f>IF(OR(TaxaJuros="",C203=""),"",100%-J203/D203)</f>
        <v/>
      </c>
    </row>
    <row r="204" spans="5:11" x14ac:dyDescent="0.25">
      <c r="E204" s="15" t="str">
        <f>IF(OR(DataRecebimento="",C204=""),"",C204-$F$7)</f>
        <v/>
      </c>
      <c r="F204" s="16" t="str">
        <f>IF(OR(TaxaJuros="",C204=""),"",-D204*E204*($F$8/30))</f>
        <v/>
      </c>
      <c r="G204" s="16" t="str">
        <f>IF(OR(TaxaJuros="",C204=""),"",-$F$9)</f>
        <v/>
      </c>
      <c r="H204" s="21" t="str">
        <f>IF(OR(TaxaJuros="",C204=""),"",IF(ComSemIOF=FALSE,0,IF(E204&gt;365,-(D204+F204)*365*IOFDiario,-(D204+F204)*E204*IOFDiario)))</f>
        <v/>
      </c>
      <c r="I204" s="21" t="str">
        <f>IF(OR(TaxaJuros="",C204=""),"",IF(ComSemIOF=FALSE,0,-(D204+F204)*IOFAdic))</f>
        <v/>
      </c>
      <c r="J204" s="16" t="str">
        <f>IF(OR(TaxaJuros="",C204=""),"",D204+SUM(F204:I204))</f>
        <v/>
      </c>
      <c r="K204" s="67" t="str">
        <f>IF(OR(TaxaJuros="",C204=""),"",100%-J204/D204)</f>
        <v/>
      </c>
    </row>
    <row r="205" spans="5:11" x14ac:dyDescent="0.25">
      <c r="E205" s="15" t="str">
        <f>IF(OR(DataRecebimento="",C205=""),"",C205-$F$7)</f>
        <v/>
      </c>
      <c r="F205" s="16" t="str">
        <f>IF(OR(TaxaJuros="",C205=""),"",-D205*E205*($F$8/30))</f>
        <v/>
      </c>
      <c r="G205" s="16" t="str">
        <f>IF(OR(TaxaJuros="",C205=""),"",-$F$9)</f>
        <v/>
      </c>
      <c r="H205" s="21" t="str">
        <f>IF(OR(TaxaJuros="",C205=""),"",IF(ComSemIOF=FALSE,0,IF(E205&gt;365,-(D205+F205)*365*IOFDiario,-(D205+F205)*E205*IOFDiario)))</f>
        <v/>
      </c>
      <c r="I205" s="21" t="str">
        <f>IF(OR(TaxaJuros="",C205=""),"",IF(ComSemIOF=FALSE,0,-(D205+F205)*IOFAdic))</f>
        <v/>
      </c>
      <c r="J205" s="16" t="str">
        <f>IF(OR(TaxaJuros="",C205=""),"",D205+SUM(F205:I205))</f>
        <v/>
      </c>
      <c r="K205" s="67" t="str">
        <f>IF(OR(TaxaJuros="",C205=""),"",100%-J205/D205)</f>
        <v/>
      </c>
    </row>
    <row r="206" spans="5:11" x14ac:dyDescent="0.25">
      <c r="E206" s="15" t="str">
        <f>IF(OR(DataRecebimento="",C206=""),"",C206-$F$7)</f>
        <v/>
      </c>
      <c r="F206" s="16" t="str">
        <f>IF(OR(TaxaJuros="",C206=""),"",-D206*E206*($F$8/30))</f>
        <v/>
      </c>
      <c r="G206" s="16" t="str">
        <f>IF(OR(TaxaJuros="",C206=""),"",-$F$9)</f>
        <v/>
      </c>
      <c r="H206" s="21" t="str">
        <f>IF(OR(TaxaJuros="",C206=""),"",IF(ComSemIOF=FALSE,0,IF(E206&gt;365,-(D206+F206)*365*IOFDiario,-(D206+F206)*E206*IOFDiario)))</f>
        <v/>
      </c>
      <c r="I206" s="21" t="str">
        <f>IF(OR(TaxaJuros="",C206=""),"",IF(ComSemIOF=FALSE,0,-(D206+F206)*IOFAdic))</f>
        <v/>
      </c>
      <c r="J206" s="16" t="str">
        <f>IF(OR(TaxaJuros="",C206=""),"",D206+SUM(F206:I206))</f>
        <v/>
      </c>
      <c r="K206" s="67" t="str">
        <f>IF(OR(TaxaJuros="",C206=""),"",100%-J206/D206)</f>
        <v/>
      </c>
    </row>
    <row r="207" spans="5:11" x14ac:dyDescent="0.25">
      <c r="E207" s="15" t="str">
        <f>IF(OR(DataRecebimento="",C207=""),"",C207-$F$7)</f>
        <v/>
      </c>
      <c r="F207" s="16" t="str">
        <f>IF(OR(TaxaJuros="",C207=""),"",-D207*E207*($F$8/30))</f>
        <v/>
      </c>
      <c r="G207" s="16" t="str">
        <f>IF(OR(TaxaJuros="",C207=""),"",-$F$9)</f>
        <v/>
      </c>
      <c r="H207" s="21" t="str">
        <f>IF(OR(TaxaJuros="",C207=""),"",IF(ComSemIOF=FALSE,0,IF(E207&gt;365,-(D207+F207)*365*IOFDiario,-(D207+F207)*E207*IOFDiario)))</f>
        <v/>
      </c>
      <c r="I207" s="21" t="str">
        <f>IF(OR(TaxaJuros="",C207=""),"",IF(ComSemIOF=FALSE,0,-(D207+F207)*IOFAdic))</f>
        <v/>
      </c>
      <c r="J207" s="16" t="str">
        <f>IF(OR(TaxaJuros="",C207=""),"",D207+SUM(F207:I207))</f>
        <v/>
      </c>
      <c r="K207" s="67" t="str">
        <f>IF(OR(TaxaJuros="",C207=""),"",100%-J207/D207)</f>
        <v/>
      </c>
    </row>
    <row r="208" spans="5:11" x14ac:dyDescent="0.25">
      <c r="E208" s="15" t="str">
        <f>IF(OR(DataRecebimento="",C208=""),"",C208-$F$7)</f>
        <v/>
      </c>
      <c r="F208" s="16" t="str">
        <f>IF(OR(TaxaJuros="",C208=""),"",-D208*E208*($F$8/30))</f>
        <v/>
      </c>
      <c r="G208" s="16" t="str">
        <f>IF(OR(TaxaJuros="",C208=""),"",-$F$9)</f>
        <v/>
      </c>
      <c r="H208" s="21" t="str">
        <f>IF(OR(TaxaJuros="",C208=""),"",IF(ComSemIOF=FALSE,0,IF(E208&gt;365,-(D208+F208)*365*IOFDiario,-(D208+F208)*E208*IOFDiario)))</f>
        <v/>
      </c>
      <c r="I208" s="21" t="str">
        <f>IF(OR(TaxaJuros="",C208=""),"",IF(ComSemIOF=FALSE,0,-(D208+F208)*IOFAdic))</f>
        <v/>
      </c>
      <c r="J208" s="16" t="str">
        <f>IF(OR(TaxaJuros="",C208=""),"",D208+SUM(F208:I208))</f>
        <v/>
      </c>
      <c r="K208" s="67" t="str">
        <f>IF(OR(TaxaJuros="",C208=""),"",100%-J208/D208)</f>
        <v/>
      </c>
    </row>
    <row r="209" spans="5:11" x14ac:dyDescent="0.25">
      <c r="E209" s="15" t="str">
        <f>IF(OR(DataRecebimento="",C209=""),"",C209-$F$7)</f>
        <v/>
      </c>
      <c r="F209" s="16" t="str">
        <f>IF(OR(TaxaJuros="",C209=""),"",-D209*E209*($F$8/30))</f>
        <v/>
      </c>
      <c r="G209" s="16" t="str">
        <f>IF(OR(TaxaJuros="",C209=""),"",-$F$9)</f>
        <v/>
      </c>
      <c r="H209" s="21" t="str">
        <f>IF(OR(TaxaJuros="",C209=""),"",IF(ComSemIOF=FALSE,0,IF(E209&gt;365,-(D209+F209)*365*IOFDiario,-(D209+F209)*E209*IOFDiario)))</f>
        <v/>
      </c>
      <c r="I209" s="21" t="str">
        <f>IF(OR(TaxaJuros="",C209=""),"",IF(ComSemIOF=FALSE,0,-(D209+F209)*IOFAdic))</f>
        <v/>
      </c>
      <c r="J209" s="16" t="str">
        <f>IF(OR(TaxaJuros="",C209=""),"",D209+SUM(F209:I209))</f>
        <v/>
      </c>
      <c r="K209" s="67" t="str">
        <f>IF(OR(TaxaJuros="",C209=""),"",100%-J209/D209)</f>
        <v/>
      </c>
    </row>
    <row r="210" spans="5:11" x14ac:dyDescent="0.25">
      <c r="E210" s="15" t="str">
        <f>IF(OR(DataRecebimento="",C210=""),"",C210-$F$7)</f>
        <v/>
      </c>
      <c r="F210" s="16" t="str">
        <f>IF(OR(TaxaJuros="",C210=""),"",-D210*E210*($F$8/30))</f>
        <v/>
      </c>
      <c r="G210" s="16" t="str">
        <f>IF(OR(TaxaJuros="",C210=""),"",-$F$9)</f>
        <v/>
      </c>
      <c r="H210" s="21" t="str">
        <f>IF(OR(TaxaJuros="",C210=""),"",IF(ComSemIOF=FALSE,0,IF(E210&gt;365,-(D210+F210)*365*IOFDiario,-(D210+F210)*E210*IOFDiario)))</f>
        <v/>
      </c>
      <c r="I210" s="21" t="str">
        <f>IF(OR(TaxaJuros="",C210=""),"",IF(ComSemIOF=FALSE,0,-(D210+F210)*IOFAdic))</f>
        <v/>
      </c>
      <c r="J210" s="16" t="str">
        <f>IF(OR(TaxaJuros="",C210=""),"",D210+SUM(F210:I210))</f>
        <v/>
      </c>
      <c r="K210" s="67" t="str">
        <f>IF(OR(TaxaJuros="",C210=""),"",100%-J210/D210)</f>
        <v/>
      </c>
    </row>
    <row r="211" spans="5:11" x14ac:dyDescent="0.25">
      <c r="E211" s="15" t="str">
        <f>IF(OR(DataRecebimento="",C211=""),"",C211-$F$7)</f>
        <v/>
      </c>
      <c r="F211" s="16" t="str">
        <f>IF(OR(TaxaJuros="",C211=""),"",-D211*E211*($F$8/30))</f>
        <v/>
      </c>
      <c r="G211" s="16" t="str">
        <f>IF(OR(TaxaJuros="",C211=""),"",-$F$9)</f>
        <v/>
      </c>
      <c r="H211" s="21" t="str">
        <f>IF(OR(TaxaJuros="",C211=""),"",IF(ComSemIOF=FALSE,0,IF(E211&gt;365,-(D211+F211)*365*IOFDiario,-(D211+F211)*E211*IOFDiario)))</f>
        <v/>
      </c>
      <c r="I211" s="21" t="str">
        <f>IF(OR(TaxaJuros="",C211=""),"",IF(ComSemIOF=FALSE,0,-(D211+F211)*IOFAdic))</f>
        <v/>
      </c>
      <c r="J211" s="16" t="str">
        <f>IF(OR(TaxaJuros="",C211=""),"",D211+SUM(F211:I211))</f>
        <v/>
      </c>
      <c r="K211" s="67" t="str">
        <f>IF(OR(TaxaJuros="",C211=""),"",100%-J211/D211)</f>
        <v/>
      </c>
    </row>
    <row r="212" spans="5:11" x14ac:dyDescent="0.25">
      <c r="E212" s="15" t="str">
        <f>IF(OR(DataRecebimento="",C212=""),"",C212-$F$7)</f>
        <v/>
      </c>
      <c r="F212" s="16" t="str">
        <f>IF(OR(TaxaJuros="",C212=""),"",-D212*E212*($F$8/30))</f>
        <v/>
      </c>
      <c r="G212" s="16" t="str">
        <f>IF(OR(TaxaJuros="",C212=""),"",-$F$9)</f>
        <v/>
      </c>
      <c r="H212" s="21" t="str">
        <f>IF(OR(TaxaJuros="",C212=""),"",IF(ComSemIOF=FALSE,0,IF(E212&gt;365,-(D212+F212)*365*IOFDiario,-(D212+F212)*E212*IOFDiario)))</f>
        <v/>
      </c>
      <c r="I212" s="21" t="str">
        <f>IF(OR(TaxaJuros="",C212=""),"",IF(ComSemIOF=FALSE,0,-(D212+F212)*IOFAdic))</f>
        <v/>
      </c>
      <c r="J212" s="16" t="str">
        <f>IF(OR(TaxaJuros="",C212=""),"",D212+SUM(F212:I212))</f>
        <v/>
      </c>
      <c r="K212" s="67" t="str">
        <f>IF(OR(TaxaJuros="",C212=""),"",100%-J212/D212)</f>
        <v/>
      </c>
    </row>
    <row r="213" spans="5:11" x14ac:dyDescent="0.25">
      <c r="E213" s="15" t="str">
        <f>IF(OR(DataRecebimento="",C213=""),"",C213-$F$7)</f>
        <v/>
      </c>
      <c r="F213" s="16" t="str">
        <f>IF(OR(TaxaJuros="",C213=""),"",-D213*E213*($F$8/30))</f>
        <v/>
      </c>
      <c r="G213" s="16" t="str">
        <f>IF(OR(TaxaJuros="",C213=""),"",-$F$9)</f>
        <v/>
      </c>
      <c r="H213" s="21" t="str">
        <f>IF(OR(TaxaJuros="",C213=""),"",IF(ComSemIOF=FALSE,0,IF(E213&gt;365,-(D213+F213)*365*IOFDiario,-(D213+F213)*E213*IOFDiario)))</f>
        <v/>
      </c>
      <c r="I213" s="21" t="str">
        <f>IF(OR(TaxaJuros="",C213=""),"",IF(ComSemIOF=FALSE,0,-(D213+F213)*IOFAdic))</f>
        <v/>
      </c>
      <c r="J213" s="16" t="str">
        <f>IF(OR(TaxaJuros="",C213=""),"",D213+SUM(F213:I213))</f>
        <v/>
      </c>
      <c r="K213" s="67" t="str">
        <f>IF(OR(TaxaJuros="",C213=""),"",100%-J213/D213)</f>
        <v/>
      </c>
    </row>
    <row r="214" spans="5:11" x14ac:dyDescent="0.25">
      <c r="E214" s="15" t="str">
        <f>IF(OR(DataRecebimento="",C214=""),"",C214-$F$7)</f>
        <v/>
      </c>
      <c r="F214" s="16" t="str">
        <f>IF(OR(TaxaJuros="",C214=""),"",-D214*E214*($F$8/30))</f>
        <v/>
      </c>
      <c r="G214" s="16" t="str">
        <f>IF(OR(TaxaJuros="",C214=""),"",-$F$9)</f>
        <v/>
      </c>
      <c r="H214" s="21" t="str">
        <f>IF(OR(TaxaJuros="",C214=""),"",IF(ComSemIOF=FALSE,0,IF(E214&gt;365,-(D214+F214)*365*IOFDiario,-(D214+F214)*E214*IOFDiario)))</f>
        <v/>
      </c>
      <c r="I214" s="21" t="str">
        <f>IF(OR(TaxaJuros="",C214=""),"",IF(ComSemIOF=FALSE,0,-(D214+F214)*IOFAdic))</f>
        <v/>
      </c>
      <c r="J214" s="16" t="str">
        <f>IF(OR(TaxaJuros="",C214=""),"",D214+SUM(F214:I214))</f>
        <v/>
      </c>
      <c r="K214" s="67" t="str">
        <f>IF(OR(TaxaJuros="",C214=""),"",100%-J214/D214)</f>
        <v/>
      </c>
    </row>
    <row r="215" spans="5:11" x14ac:dyDescent="0.25">
      <c r="E215" s="15" t="str">
        <f>IF(OR(DataRecebimento="",C215=""),"",C215-$F$7)</f>
        <v/>
      </c>
      <c r="F215" s="16" t="str">
        <f>IF(OR(TaxaJuros="",C215=""),"",-D215*E215*($F$8/30))</f>
        <v/>
      </c>
      <c r="G215" s="16" t="str">
        <f>IF(OR(TaxaJuros="",C215=""),"",-$F$9)</f>
        <v/>
      </c>
      <c r="H215" s="21" t="str">
        <f>IF(OR(TaxaJuros="",C215=""),"",IF(ComSemIOF=FALSE,0,IF(E215&gt;365,-(D215+F215)*365*IOFDiario,-(D215+F215)*E215*IOFDiario)))</f>
        <v/>
      </c>
      <c r="I215" s="21" t="str">
        <f>IF(OR(TaxaJuros="",C215=""),"",IF(ComSemIOF=FALSE,0,-(D215+F215)*IOFAdic))</f>
        <v/>
      </c>
      <c r="J215" s="16" t="str">
        <f>IF(OR(TaxaJuros="",C215=""),"",D215+SUM(F215:I215))</f>
        <v/>
      </c>
      <c r="K215" s="67" t="str">
        <f>IF(OR(TaxaJuros="",C215=""),"",100%-J215/D215)</f>
        <v/>
      </c>
    </row>
    <row r="216" spans="5:11" x14ac:dyDescent="0.25">
      <c r="E216" s="15" t="str">
        <f>IF(OR(DataRecebimento="",C216=""),"",C216-$F$7)</f>
        <v/>
      </c>
      <c r="F216" s="16" t="str">
        <f>IF(OR(TaxaJuros="",C216=""),"",-D216*E216*($F$8/30))</f>
        <v/>
      </c>
      <c r="G216" s="16" t="str">
        <f>IF(OR(TaxaJuros="",C216=""),"",-$F$9)</f>
        <v/>
      </c>
      <c r="H216" s="21" t="str">
        <f>IF(OR(TaxaJuros="",C216=""),"",IF(ComSemIOF=FALSE,0,IF(E216&gt;365,-(D216+F216)*365*IOFDiario,-(D216+F216)*E216*IOFDiario)))</f>
        <v/>
      </c>
      <c r="I216" s="21" t="str">
        <f>IF(OR(TaxaJuros="",C216=""),"",IF(ComSemIOF=FALSE,0,-(D216+F216)*IOFAdic))</f>
        <v/>
      </c>
      <c r="J216" s="16" t="str">
        <f>IF(OR(TaxaJuros="",C216=""),"",D216+SUM(F216:I216))</f>
        <v/>
      </c>
      <c r="K216" s="67" t="str">
        <f>IF(OR(TaxaJuros="",C216=""),"",100%-J216/D216)</f>
        <v/>
      </c>
    </row>
    <row r="217" spans="5:11" x14ac:dyDescent="0.25">
      <c r="E217" s="15" t="str">
        <f>IF(OR(DataRecebimento="",C217=""),"",C217-$F$7)</f>
        <v/>
      </c>
      <c r="F217" s="16" t="str">
        <f>IF(OR(TaxaJuros="",C217=""),"",-D217*E217*($F$8/30))</f>
        <v/>
      </c>
      <c r="G217" s="16" t="str">
        <f>IF(OR(TaxaJuros="",C217=""),"",-$F$9)</f>
        <v/>
      </c>
      <c r="H217" s="21" t="str">
        <f>IF(OR(TaxaJuros="",C217=""),"",IF(ComSemIOF=FALSE,0,IF(E217&gt;365,-(D217+F217)*365*IOFDiario,-(D217+F217)*E217*IOFDiario)))</f>
        <v/>
      </c>
      <c r="I217" s="21" t="str">
        <f>IF(OR(TaxaJuros="",C217=""),"",IF(ComSemIOF=FALSE,0,-(D217+F217)*IOFAdic))</f>
        <v/>
      </c>
      <c r="J217" s="16" t="str">
        <f>IF(OR(TaxaJuros="",C217=""),"",D217+SUM(F217:I217))</f>
        <v/>
      </c>
      <c r="K217" s="67" t="str">
        <f>IF(OR(TaxaJuros="",C217=""),"",100%-J217/D217)</f>
        <v/>
      </c>
    </row>
    <row r="218" spans="5:11" x14ac:dyDescent="0.25">
      <c r="E218" s="15" t="str">
        <f>IF(OR(DataRecebimento="",C218=""),"",C218-$F$7)</f>
        <v/>
      </c>
      <c r="F218" s="16" t="str">
        <f>IF(OR(TaxaJuros="",C218=""),"",-D218*E218*($F$8/30))</f>
        <v/>
      </c>
      <c r="G218" s="16" t="str">
        <f>IF(OR(TaxaJuros="",C218=""),"",-$F$9)</f>
        <v/>
      </c>
      <c r="H218" s="21" t="str">
        <f>IF(OR(TaxaJuros="",C218=""),"",IF(ComSemIOF=FALSE,0,IF(E218&gt;365,-(D218+F218)*365*IOFDiario,-(D218+F218)*E218*IOFDiario)))</f>
        <v/>
      </c>
      <c r="I218" s="21" t="str">
        <f>IF(OR(TaxaJuros="",C218=""),"",IF(ComSemIOF=FALSE,0,-(D218+F218)*IOFAdic))</f>
        <v/>
      </c>
      <c r="J218" s="16" t="str">
        <f>IF(OR(TaxaJuros="",C218=""),"",D218+SUM(F218:I218))</f>
        <v/>
      </c>
      <c r="K218" s="67" t="str">
        <f>IF(OR(TaxaJuros="",C218=""),"",100%-J218/D218)</f>
        <v/>
      </c>
    </row>
    <row r="219" spans="5:11" x14ac:dyDescent="0.25">
      <c r="E219" s="15" t="str">
        <f>IF(OR(DataRecebimento="",C219=""),"",C219-$F$7)</f>
        <v/>
      </c>
      <c r="F219" s="16" t="str">
        <f>IF(OR(TaxaJuros="",C219=""),"",-D219*E219*($F$8/30))</f>
        <v/>
      </c>
      <c r="G219" s="16" t="str">
        <f>IF(OR(TaxaJuros="",C219=""),"",-$F$9)</f>
        <v/>
      </c>
      <c r="H219" s="21" t="str">
        <f>IF(OR(TaxaJuros="",C219=""),"",IF(ComSemIOF=FALSE,0,IF(E219&gt;365,-(D219+F219)*365*IOFDiario,-(D219+F219)*E219*IOFDiario)))</f>
        <v/>
      </c>
      <c r="I219" s="21" t="str">
        <f>IF(OR(TaxaJuros="",C219=""),"",IF(ComSemIOF=FALSE,0,-(D219+F219)*IOFAdic))</f>
        <v/>
      </c>
      <c r="J219" s="16" t="str">
        <f>IF(OR(TaxaJuros="",C219=""),"",D219+SUM(F219:I219))</f>
        <v/>
      </c>
      <c r="K219" s="67" t="str">
        <f>IF(OR(TaxaJuros="",C219=""),"",100%-J219/D219)</f>
        <v/>
      </c>
    </row>
    <row r="220" spans="5:11" x14ac:dyDescent="0.25">
      <c r="E220" s="15" t="str">
        <f>IF(OR(DataRecebimento="",C220=""),"",C220-$F$7)</f>
        <v/>
      </c>
      <c r="F220" s="16" t="str">
        <f>IF(OR(TaxaJuros="",C220=""),"",-D220*E220*($F$8/30))</f>
        <v/>
      </c>
      <c r="G220" s="16" t="str">
        <f>IF(OR(TaxaJuros="",C220=""),"",-$F$9)</f>
        <v/>
      </c>
      <c r="H220" s="21" t="str">
        <f>IF(OR(TaxaJuros="",C220=""),"",IF(ComSemIOF=FALSE,0,IF(E220&gt;365,-(D220+F220)*365*IOFDiario,-(D220+F220)*E220*IOFDiario)))</f>
        <v/>
      </c>
      <c r="I220" s="21" t="str">
        <f>IF(OR(TaxaJuros="",C220=""),"",IF(ComSemIOF=FALSE,0,-(D220+F220)*IOFAdic))</f>
        <v/>
      </c>
      <c r="J220" s="16" t="str">
        <f>IF(OR(TaxaJuros="",C220=""),"",D220+SUM(F220:I220))</f>
        <v/>
      </c>
      <c r="K220" s="67" t="str">
        <f>IF(OR(TaxaJuros="",C220=""),"",100%-J220/D220)</f>
        <v/>
      </c>
    </row>
    <row r="221" spans="5:11" x14ac:dyDescent="0.25">
      <c r="E221" s="15" t="str">
        <f>IF(OR(DataRecebimento="",C221=""),"",C221-$F$7)</f>
        <v/>
      </c>
      <c r="F221" s="16" t="str">
        <f>IF(OR(TaxaJuros="",C221=""),"",-D221*E221*($F$8/30))</f>
        <v/>
      </c>
      <c r="G221" s="16" t="str">
        <f>IF(OR(TaxaJuros="",C221=""),"",-$F$9)</f>
        <v/>
      </c>
      <c r="H221" s="21" t="str">
        <f>IF(OR(TaxaJuros="",C221=""),"",IF(ComSemIOF=FALSE,0,IF(E221&gt;365,-(D221+F221)*365*IOFDiario,-(D221+F221)*E221*IOFDiario)))</f>
        <v/>
      </c>
      <c r="I221" s="21" t="str">
        <f>IF(OR(TaxaJuros="",C221=""),"",IF(ComSemIOF=FALSE,0,-(D221+F221)*IOFAdic))</f>
        <v/>
      </c>
      <c r="J221" s="16" t="str">
        <f>IF(OR(TaxaJuros="",C221=""),"",D221+SUM(F221:I221))</f>
        <v/>
      </c>
      <c r="K221" s="67" t="str">
        <f>IF(OR(TaxaJuros="",C221=""),"",100%-J221/D221)</f>
        <v/>
      </c>
    </row>
    <row r="222" spans="5:11" x14ac:dyDescent="0.25">
      <c r="E222" s="15" t="str">
        <f>IF(OR(DataRecebimento="",C222=""),"",C222-$F$7)</f>
        <v/>
      </c>
      <c r="F222" s="16" t="str">
        <f>IF(OR(TaxaJuros="",C222=""),"",-D222*E222*($F$8/30))</f>
        <v/>
      </c>
      <c r="G222" s="16" t="str">
        <f>IF(OR(TaxaJuros="",C222=""),"",-$F$9)</f>
        <v/>
      </c>
      <c r="H222" s="21" t="str">
        <f>IF(OR(TaxaJuros="",C222=""),"",IF(ComSemIOF=FALSE,0,IF(E222&gt;365,-(D222+F222)*365*IOFDiario,-(D222+F222)*E222*IOFDiario)))</f>
        <v/>
      </c>
      <c r="I222" s="21" t="str">
        <f>IF(OR(TaxaJuros="",C222=""),"",IF(ComSemIOF=FALSE,0,-(D222+F222)*IOFAdic))</f>
        <v/>
      </c>
      <c r="J222" s="16" t="str">
        <f>IF(OR(TaxaJuros="",C222=""),"",D222+SUM(F222:I222))</f>
        <v/>
      </c>
      <c r="K222" s="67" t="str">
        <f>IF(OR(TaxaJuros="",C222=""),"",100%-J222/D222)</f>
        <v/>
      </c>
    </row>
    <row r="223" spans="5:11" x14ac:dyDescent="0.25">
      <c r="E223" s="15" t="str">
        <f>IF(OR(DataRecebimento="",C223=""),"",C223-$F$7)</f>
        <v/>
      </c>
      <c r="F223" s="16" t="str">
        <f>IF(OR(TaxaJuros="",C223=""),"",-D223*E223*($F$8/30))</f>
        <v/>
      </c>
      <c r="G223" s="16" t="str">
        <f>IF(OR(TaxaJuros="",C223=""),"",-$F$9)</f>
        <v/>
      </c>
      <c r="H223" s="21" t="str">
        <f>IF(OR(TaxaJuros="",C223=""),"",IF(ComSemIOF=FALSE,0,IF(E223&gt;365,-(D223+F223)*365*IOFDiario,-(D223+F223)*E223*IOFDiario)))</f>
        <v/>
      </c>
      <c r="I223" s="21" t="str">
        <f>IF(OR(TaxaJuros="",C223=""),"",IF(ComSemIOF=FALSE,0,-(D223+F223)*IOFAdic))</f>
        <v/>
      </c>
      <c r="J223" s="16" t="str">
        <f>IF(OR(TaxaJuros="",C223=""),"",D223+SUM(F223:I223))</f>
        <v/>
      </c>
      <c r="K223" s="67" t="str">
        <f>IF(OR(TaxaJuros="",C223=""),"",100%-J223/D223)</f>
        <v/>
      </c>
    </row>
    <row r="224" spans="5:11" x14ac:dyDescent="0.25">
      <c r="E224" s="15" t="str">
        <f>IF(OR(DataRecebimento="",C224=""),"",C224-$F$7)</f>
        <v/>
      </c>
      <c r="F224" s="16" t="str">
        <f>IF(OR(TaxaJuros="",C224=""),"",-D224*E224*($F$8/30))</f>
        <v/>
      </c>
      <c r="G224" s="16" t="str">
        <f>IF(OR(TaxaJuros="",C224=""),"",-$F$9)</f>
        <v/>
      </c>
      <c r="H224" s="21" t="str">
        <f>IF(OR(TaxaJuros="",C224=""),"",IF(ComSemIOF=FALSE,0,IF(E224&gt;365,-(D224+F224)*365*IOFDiario,-(D224+F224)*E224*IOFDiario)))</f>
        <v/>
      </c>
      <c r="I224" s="21" t="str">
        <f>IF(OR(TaxaJuros="",C224=""),"",IF(ComSemIOF=FALSE,0,-(D224+F224)*IOFAdic))</f>
        <v/>
      </c>
      <c r="J224" s="16" t="str">
        <f>IF(OR(TaxaJuros="",C224=""),"",D224+SUM(F224:I224))</f>
        <v/>
      </c>
      <c r="K224" s="67" t="str">
        <f>IF(OR(TaxaJuros="",C224=""),"",100%-J224/D224)</f>
        <v/>
      </c>
    </row>
    <row r="225" spans="5:11" x14ac:dyDescent="0.25">
      <c r="E225" s="15" t="str">
        <f>IF(OR(DataRecebimento="",C225=""),"",C225-$F$7)</f>
        <v/>
      </c>
      <c r="F225" s="16" t="str">
        <f>IF(OR(TaxaJuros="",C225=""),"",-D225*E225*($F$8/30))</f>
        <v/>
      </c>
      <c r="G225" s="16" t="str">
        <f>IF(OR(TaxaJuros="",C225=""),"",-$F$9)</f>
        <v/>
      </c>
      <c r="H225" s="21" t="str">
        <f>IF(OR(TaxaJuros="",C225=""),"",IF(ComSemIOF=FALSE,0,IF(E225&gt;365,-(D225+F225)*365*IOFDiario,-(D225+F225)*E225*IOFDiario)))</f>
        <v/>
      </c>
      <c r="I225" s="21" t="str">
        <f>IF(OR(TaxaJuros="",C225=""),"",IF(ComSemIOF=FALSE,0,-(D225+F225)*IOFAdic))</f>
        <v/>
      </c>
      <c r="J225" s="16" t="str">
        <f>IF(OR(TaxaJuros="",C225=""),"",D225+SUM(F225:I225))</f>
        <v/>
      </c>
      <c r="K225" s="67" t="str">
        <f>IF(OR(TaxaJuros="",C225=""),"",100%-J225/D225)</f>
        <v/>
      </c>
    </row>
    <row r="226" spans="5:11" x14ac:dyDescent="0.25">
      <c r="E226" s="15" t="str">
        <f>IF(OR(DataRecebimento="",C226=""),"",C226-$F$7)</f>
        <v/>
      </c>
      <c r="F226" s="16" t="str">
        <f>IF(OR(TaxaJuros="",C226=""),"",-D226*E226*($F$8/30))</f>
        <v/>
      </c>
      <c r="G226" s="16" t="str">
        <f>IF(OR(TaxaJuros="",C226=""),"",-$F$9)</f>
        <v/>
      </c>
      <c r="H226" s="21" t="str">
        <f>IF(OR(TaxaJuros="",C226=""),"",IF(ComSemIOF=FALSE,0,IF(E226&gt;365,-(D226+F226)*365*IOFDiario,-(D226+F226)*E226*IOFDiario)))</f>
        <v/>
      </c>
      <c r="I226" s="21" t="str">
        <f>IF(OR(TaxaJuros="",C226=""),"",IF(ComSemIOF=FALSE,0,-(D226+F226)*IOFAdic))</f>
        <v/>
      </c>
      <c r="J226" s="16" t="str">
        <f>IF(OR(TaxaJuros="",C226=""),"",D226+SUM(F226:I226))</f>
        <v/>
      </c>
      <c r="K226" s="67" t="str">
        <f>IF(OR(TaxaJuros="",C226=""),"",100%-J226/D226)</f>
        <v/>
      </c>
    </row>
    <row r="227" spans="5:11" x14ac:dyDescent="0.25">
      <c r="E227" s="15" t="str">
        <f>IF(OR(DataRecebimento="",C227=""),"",C227-$F$7)</f>
        <v/>
      </c>
      <c r="F227" s="16" t="str">
        <f>IF(OR(TaxaJuros="",C227=""),"",-D227*E227*($F$8/30))</f>
        <v/>
      </c>
      <c r="G227" s="16" t="str">
        <f>IF(OR(TaxaJuros="",C227=""),"",-$F$9)</f>
        <v/>
      </c>
      <c r="H227" s="21" t="str">
        <f>IF(OR(TaxaJuros="",C227=""),"",IF(ComSemIOF=FALSE,0,IF(E227&gt;365,-(D227+F227)*365*IOFDiario,-(D227+F227)*E227*IOFDiario)))</f>
        <v/>
      </c>
      <c r="I227" s="21" t="str">
        <f>IF(OR(TaxaJuros="",C227=""),"",IF(ComSemIOF=FALSE,0,-(D227+F227)*IOFAdic))</f>
        <v/>
      </c>
      <c r="J227" s="16" t="str">
        <f>IF(OR(TaxaJuros="",C227=""),"",D227+SUM(F227:I227))</f>
        <v/>
      </c>
      <c r="K227" s="67" t="str">
        <f>IF(OR(TaxaJuros="",C227=""),"",100%-J227/D227)</f>
        <v/>
      </c>
    </row>
    <row r="228" spans="5:11" x14ac:dyDescent="0.25">
      <c r="E228" s="15" t="str">
        <f>IF(OR(DataRecebimento="",C228=""),"",C228-$F$7)</f>
        <v/>
      </c>
      <c r="F228" s="16" t="str">
        <f>IF(OR(TaxaJuros="",C228=""),"",-D228*E228*($F$8/30))</f>
        <v/>
      </c>
      <c r="G228" s="16" t="str">
        <f>IF(OR(TaxaJuros="",C228=""),"",-$F$9)</f>
        <v/>
      </c>
      <c r="H228" s="21" t="str">
        <f>IF(OR(TaxaJuros="",C228=""),"",IF(ComSemIOF=FALSE,0,IF(E228&gt;365,-(D228+F228)*365*IOFDiario,-(D228+F228)*E228*IOFDiario)))</f>
        <v/>
      </c>
      <c r="I228" s="21" t="str">
        <f>IF(OR(TaxaJuros="",C228=""),"",IF(ComSemIOF=FALSE,0,-(D228+F228)*IOFAdic))</f>
        <v/>
      </c>
      <c r="J228" s="16" t="str">
        <f>IF(OR(TaxaJuros="",C228=""),"",D228+SUM(F228:I228))</f>
        <v/>
      </c>
      <c r="K228" s="67" t="str">
        <f>IF(OR(TaxaJuros="",C228=""),"",100%-J228/D228)</f>
        <v/>
      </c>
    </row>
    <row r="229" spans="5:11" x14ac:dyDescent="0.25">
      <c r="E229" s="15" t="str">
        <f>IF(OR(DataRecebimento="",C229=""),"",C229-$F$7)</f>
        <v/>
      </c>
      <c r="F229" s="16" t="str">
        <f>IF(OR(TaxaJuros="",C229=""),"",-D229*E229*($F$8/30))</f>
        <v/>
      </c>
      <c r="G229" s="16" t="str">
        <f>IF(OR(TaxaJuros="",C229=""),"",-$F$9)</f>
        <v/>
      </c>
      <c r="H229" s="21" t="str">
        <f>IF(OR(TaxaJuros="",C229=""),"",IF(ComSemIOF=FALSE,0,IF(E229&gt;365,-(D229+F229)*365*IOFDiario,-(D229+F229)*E229*IOFDiario)))</f>
        <v/>
      </c>
      <c r="I229" s="21" t="str">
        <f>IF(OR(TaxaJuros="",C229=""),"",IF(ComSemIOF=FALSE,0,-(D229+F229)*IOFAdic))</f>
        <v/>
      </c>
      <c r="J229" s="16" t="str">
        <f>IF(OR(TaxaJuros="",C229=""),"",D229+SUM(F229:I229))</f>
        <v/>
      </c>
      <c r="K229" s="67" t="str">
        <f>IF(OR(TaxaJuros="",C229=""),"",100%-J229/D229)</f>
        <v/>
      </c>
    </row>
    <row r="230" spans="5:11" x14ac:dyDescent="0.25">
      <c r="E230" s="15" t="str">
        <f>IF(OR(DataRecebimento="",C230=""),"",C230-$F$7)</f>
        <v/>
      </c>
      <c r="F230" s="16" t="str">
        <f>IF(OR(TaxaJuros="",C230=""),"",-D230*E230*($F$8/30))</f>
        <v/>
      </c>
      <c r="G230" s="16" t="str">
        <f>IF(OR(TaxaJuros="",C230=""),"",-$F$9)</f>
        <v/>
      </c>
      <c r="H230" s="21" t="str">
        <f>IF(OR(TaxaJuros="",C230=""),"",IF(ComSemIOF=FALSE,0,IF(E230&gt;365,-(D230+F230)*365*IOFDiario,-(D230+F230)*E230*IOFDiario)))</f>
        <v/>
      </c>
      <c r="I230" s="21" t="str">
        <f>IF(OR(TaxaJuros="",C230=""),"",IF(ComSemIOF=FALSE,0,-(D230+F230)*IOFAdic))</f>
        <v/>
      </c>
      <c r="J230" s="16" t="str">
        <f>IF(OR(TaxaJuros="",C230=""),"",D230+SUM(F230:I230))</f>
        <v/>
      </c>
      <c r="K230" s="67" t="str">
        <f>IF(OR(TaxaJuros="",C230=""),"",100%-J230/D230)</f>
        <v/>
      </c>
    </row>
    <row r="231" spans="5:11" x14ac:dyDescent="0.25">
      <c r="E231" s="15" t="str">
        <f>IF(OR(DataRecebimento="",C231=""),"",C231-$F$7)</f>
        <v/>
      </c>
      <c r="F231" s="16" t="str">
        <f>IF(OR(TaxaJuros="",C231=""),"",-D231*E231*($F$8/30))</f>
        <v/>
      </c>
      <c r="G231" s="16" t="str">
        <f>IF(OR(TaxaJuros="",C231=""),"",-$F$9)</f>
        <v/>
      </c>
      <c r="H231" s="21" t="str">
        <f>IF(OR(TaxaJuros="",C231=""),"",IF(ComSemIOF=FALSE,0,IF(E231&gt;365,-(D231+F231)*365*IOFDiario,-(D231+F231)*E231*IOFDiario)))</f>
        <v/>
      </c>
      <c r="I231" s="21" t="str">
        <f>IF(OR(TaxaJuros="",C231=""),"",IF(ComSemIOF=FALSE,0,-(D231+F231)*IOFAdic))</f>
        <v/>
      </c>
      <c r="J231" s="16" t="str">
        <f>IF(OR(TaxaJuros="",C231=""),"",D231+SUM(F231:I231))</f>
        <v/>
      </c>
      <c r="K231" s="67" t="str">
        <f>IF(OR(TaxaJuros="",C231=""),"",100%-J231/D231)</f>
        <v/>
      </c>
    </row>
    <row r="232" spans="5:11" x14ac:dyDescent="0.25">
      <c r="E232" s="15" t="str">
        <f>IF(OR(DataRecebimento="",C232=""),"",C232-$F$7)</f>
        <v/>
      </c>
      <c r="F232" s="16" t="str">
        <f>IF(OR(TaxaJuros="",C232=""),"",-D232*E232*($F$8/30))</f>
        <v/>
      </c>
      <c r="G232" s="16" t="str">
        <f>IF(OR(TaxaJuros="",C232=""),"",-$F$9)</f>
        <v/>
      </c>
      <c r="H232" s="21" t="str">
        <f>IF(OR(TaxaJuros="",C232=""),"",IF(ComSemIOF=FALSE,0,IF(E232&gt;365,-(D232+F232)*365*IOFDiario,-(D232+F232)*E232*IOFDiario)))</f>
        <v/>
      </c>
      <c r="I232" s="21" t="str">
        <f>IF(OR(TaxaJuros="",C232=""),"",IF(ComSemIOF=FALSE,0,-(D232+F232)*IOFAdic))</f>
        <v/>
      </c>
      <c r="J232" s="16" t="str">
        <f>IF(OR(TaxaJuros="",C232=""),"",D232+SUM(F232:I232))</f>
        <v/>
      </c>
      <c r="K232" s="67" t="str">
        <f>IF(OR(TaxaJuros="",C232=""),"",100%-J232/D232)</f>
        <v/>
      </c>
    </row>
    <row r="233" spans="5:11" x14ac:dyDescent="0.25">
      <c r="E233" s="15" t="str">
        <f>IF(OR(DataRecebimento="",C233=""),"",C233-$F$7)</f>
        <v/>
      </c>
      <c r="F233" s="16" t="str">
        <f>IF(OR(TaxaJuros="",C233=""),"",-D233*E233*($F$8/30))</f>
        <v/>
      </c>
      <c r="G233" s="16" t="str">
        <f>IF(OR(TaxaJuros="",C233=""),"",-$F$9)</f>
        <v/>
      </c>
      <c r="H233" s="21" t="str">
        <f>IF(OR(TaxaJuros="",C233=""),"",IF(ComSemIOF=FALSE,0,IF(E233&gt;365,-(D233+F233)*365*IOFDiario,-(D233+F233)*E233*IOFDiario)))</f>
        <v/>
      </c>
      <c r="I233" s="21" t="str">
        <f>IF(OR(TaxaJuros="",C233=""),"",IF(ComSemIOF=FALSE,0,-(D233+F233)*IOFAdic))</f>
        <v/>
      </c>
      <c r="J233" s="16" t="str">
        <f>IF(OR(TaxaJuros="",C233=""),"",D233+SUM(F233:I233))</f>
        <v/>
      </c>
      <c r="K233" s="67" t="str">
        <f>IF(OR(TaxaJuros="",C233=""),"",100%-J233/D233)</f>
        <v/>
      </c>
    </row>
    <row r="234" spans="5:11" x14ac:dyDescent="0.25">
      <c r="E234" s="15" t="str">
        <f>IF(OR(DataRecebimento="",C234=""),"",C234-$F$7)</f>
        <v/>
      </c>
      <c r="F234" s="16" t="str">
        <f>IF(OR(TaxaJuros="",C234=""),"",-D234*E234*($F$8/30))</f>
        <v/>
      </c>
      <c r="G234" s="16" t="str">
        <f>IF(OR(TaxaJuros="",C234=""),"",-$F$9)</f>
        <v/>
      </c>
      <c r="H234" s="21" t="str">
        <f>IF(OR(TaxaJuros="",C234=""),"",IF(ComSemIOF=FALSE,0,IF(E234&gt;365,-(D234+F234)*365*IOFDiario,-(D234+F234)*E234*IOFDiario)))</f>
        <v/>
      </c>
      <c r="I234" s="21" t="str">
        <f>IF(OR(TaxaJuros="",C234=""),"",IF(ComSemIOF=FALSE,0,-(D234+F234)*IOFAdic))</f>
        <v/>
      </c>
      <c r="J234" s="16" t="str">
        <f>IF(OR(TaxaJuros="",C234=""),"",D234+SUM(F234:I234))</f>
        <v/>
      </c>
      <c r="K234" s="67" t="str">
        <f>IF(OR(TaxaJuros="",C234=""),"",100%-J234/D234)</f>
        <v/>
      </c>
    </row>
    <row r="235" spans="5:11" x14ac:dyDescent="0.25">
      <c r="E235" s="15" t="str">
        <f>IF(OR(DataRecebimento="",C235=""),"",C235-$F$7)</f>
        <v/>
      </c>
      <c r="F235" s="16" t="str">
        <f>IF(OR(TaxaJuros="",C235=""),"",-D235*E235*($F$8/30))</f>
        <v/>
      </c>
      <c r="G235" s="16" t="str">
        <f>IF(OR(TaxaJuros="",C235=""),"",-$F$9)</f>
        <v/>
      </c>
      <c r="H235" s="21" t="str">
        <f>IF(OR(TaxaJuros="",C235=""),"",IF(ComSemIOF=FALSE,0,IF(E235&gt;365,-(D235+F235)*365*IOFDiario,-(D235+F235)*E235*IOFDiario)))</f>
        <v/>
      </c>
      <c r="I235" s="21" t="str">
        <f>IF(OR(TaxaJuros="",C235=""),"",IF(ComSemIOF=FALSE,0,-(D235+F235)*IOFAdic))</f>
        <v/>
      </c>
      <c r="J235" s="16" t="str">
        <f>IF(OR(TaxaJuros="",C235=""),"",D235+SUM(F235:I235))</f>
        <v/>
      </c>
      <c r="K235" s="67" t="str">
        <f>IF(OR(TaxaJuros="",C235=""),"",100%-J235/D235)</f>
        <v/>
      </c>
    </row>
    <row r="236" spans="5:11" x14ac:dyDescent="0.25">
      <c r="E236" s="15" t="str">
        <f>IF(OR(DataRecebimento="",C236=""),"",C236-$F$7)</f>
        <v/>
      </c>
      <c r="F236" s="16" t="str">
        <f>IF(OR(TaxaJuros="",C236=""),"",-D236*E236*($F$8/30))</f>
        <v/>
      </c>
      <c r="G236" s="16" t="str">
        <f>IF(OR(TaxaJuros="",C236=""),"",-$F$9)</f>
        <v/>
      </c>
      <c r="H236" s="21" t="str">
        <f>IF(OR(TaxaJuros="",C236=""),"",IF(ComSemIOF=FALSE,0,IF(E236&gt;365,-(D236+F236)*365*IOFDiario,-(D236+F236)*E236*IOFDiario)))</f>
        <v/>
      </c>
      <c r="I236" s="21" t="str">
        <f>IF(OR(TaxaJuros="",C236=""),"",IF(ComSemIOF=FALSE,0,-(D236+F236)*IOFAdic))</f>
        <v/>
      </c>
      <c r="J236" s="16" t="str">
        <f>IF(OR(TaxaJuros="",C236=""),"",D236+SUM(F236:I236))</f>
        <v/>
      </c>
      <c r="K236" s="67" t="str">
        <f>IF(OR(TaxaJuros="",C236=""),"",100%-J236/D236)</f>
        <v/>
      </c>
    </row>
    <row r="237" spans="5:11" x14ac:dyDescent="0.25">
      <c r="E237" s="15" t="str">
        <f>IF(OR(DataRecebimento="",C237=""),"",C237-$F$7)</f>
        <v/>
      </c>
      <c r="F237" s="16" t="str">
        <f>IF(OR(TaxaJuros="",C237=""),"",-D237*E237*($F$8/30))</f>
        <v/>
      </c>
      <c r="G237" s="16" t="str">
        <f>IF(OR(TaxaJuros="",C237=""),"",-$F$9)</f>
        <v/>
      </c>
      <c r="H237" s="21" t="str">
        <f>IF(OR(TaxaJuros="",C237=""),"",IF(ComSemIOF=FALSE,0,IF(E237&gt;365,-(D237+F237)*365*IOFDiario,-(D237+F237)*E237*IOFDiario)))</f>
        <v/>
      </c>
      <c r="I237" s="21" t="str">
        <f>IF(OR(TaxaJuros="",C237=""),"",IF(ComSemIOF=FALSE,0,-(D237+F237)*IOFAdic))</f>
        <v/>
      </c>
      <c r="J237" s="16" t="str">
        <f>IF(OR(TaxaJuros="",C237=""),"",D237+SUM(F237:I237))</f>
        <v/>
      </c>
      <c r="K237" s="67" t="str">
        <f>IF(OR(TaxaJuros="",C237=""),"",100%-J237/D237)</f>
        <v/>
      </c>
    </row>
    <row r="238" spans="5:11" x14ac:dyDescent="0.25">
      <c r="E238" s="15" t="str">
        <f>IF(OR(DataRecebimento="",C238=""),"",C238-$F$7)</f>
        <v/>
      </c>
      <c r="F238" s="16" t="str">
        <f>IF(OR(TaxaJuros="",C238=""),"",-D238*E238*($F$8/30))</f>
        <v/>
      </c>
      <c r="G238" s="16" t="str">
        <f>IF(OR(TaxaJuros="",C238=""),"",-$F$9)</f>
        <v/>
      </c>
      <c r="H238" s="21" t="str">
        <f>IF(OR(TaxaJuros="",C238=""),"",IF(ComSemIOF=FALSE,0,IF(E238&gt;365,-(D238+F238)*365*IOFDiario,-(D238+F238)*E238*IOFDiario)))</f>
        <v/>
      </c>
      <c r="I238" s="21" t="str">
        <f>IF(OR(TaxaJuros="",C238=""),"",IF(ComSemIOF=FALSE,0,-(D238+F238)*IOFAdic))</f>
        <v/>
      </c>
      <c r="J238" s="16" t="str">
        <f>IF(OR(TaxaJuros="",C238=""),"",D238+SUM(F238:I238))</f>
        <v/>
      </c>
      <c r="K238" s="67" t="str">
        <f>IF(OR(TaxaJuros="",C238=""),"",100%-J238/D238)</f>
        <v/>
      </c>
    </row>
    <row r="239" spans="5:11" x14ac:dyDescent="0.25">
      <c r="E239" s="15" t="str">
        <f>IF(OR(DataRecebimento="",C239=""),"",C239-$F$7)</f>
        <v/>
      </c>
      <c r="F239" s="16" t="str">
        <f>IF(OR(TaxaJuros="",C239=""),"",-D239*E239*($F$8/30))</f>
        <v/>
      </c>
      <c r="G239" s="16" t="str">
        <f>IF(OR(TaxaJuros="",C239=""),"",-$F$9)</f>
        <v/>
      </c>
      <c r="H239" s="21" t="str">
        <f>IF(OR(TaxaJuros="",C239=""),"",IF(ComSemIOF=FALSE,0,IF(E239&gt;365,-(D239+F239)*365*IOFDiario,-(D239+F239)*E239*IOFDiario)))</f>
        <v/>
      </c>
      <c r="I239" s="21" t="str">
        <f>IF(OR(TaxaJuros="",C239=""),"",IF(ComSemIOF=FALSE,0,-(D239+F239)*IOFAdic))</f>
        <v/>
      </c>
      <c r="J239" s="16" t="str">
        <f>IF(OR(TaxaJuros="",C239=""),"",D239+SUM(F239:I239))</f>
        <v/>
      </c>
      <c r="K239" s="67" t="str">
        <f>IF(OR(TaxaJuros="",C239=""),"",100%-J239/D239)</f>
        <v/>
      </c>
    </row>
    <row r="240" spans="5:11" x14ac:dyDescent="0.25">
      <c r="E240" s="15" t="str">
        <f>IF(OR(DataRecebimento="",C240=""),"",C240-$F$7)</f>
        <v/>
      </c>
      <c r="F240" s="16" t="str">
        <f>IF(OR(TaxaJuros="",C240=""),"",-D240*E240*($F$8/30))</f>
        <v/>
      </c>
      <c r="G240" s="16" t="str">
        <f>IF(OR(TaxaJuros="",C240=""),"",-$F$9)</f>
        <v/>
      </c>
      <c r="H240" s="21" t="str">
        <f>IF(OR(TaxaJuros="",C240=""),"",IF(ComSemIOF=FALSE,0,IF(E240&gt;365,-(D240+F240)*365*IOFDiario,-(D240+F240)*E240*IOFDiario)))</f>
        <v/>
      </c>
      <c r="I240" s="21" t="str">
        <f>IF(OR(TaxaJuros="",C240=""),"",IF(ComSemIOF=FALSE,0,-(D240+F240)*IOFAdic))</f>
        <v/>
      </c>
      <c r="J240" s="16" t="str">
        <f>IF(OR(TaxaJuros="",C240=""),"",D240+SUM(F240:I240))</f>
        <v/>
      </c>
      <c r="K240" s="67" t="str">
        <f>IF(OR(TaxaJuros="",C240=""),"",100%-J240/D240)</f>
        <v/>
      </c>
    </row>
    <row r="241" spans="5:11" x14ac:dyDescent="0.25">
      <c r="E241" s="15" t="str">
        <f>IF(OR(DataRecebimento="",C241=""),"",C241-$F$7)</f>
        <v/>
      </c>
      <c r="F241" s="16" t="str">
        <f>IF(OR(TaxaJuros="",C241=""),"",-D241*E241*($F$8/30))</f>
        <v/>
      </c>
      <c r="G241" s="16" t="str">
        <f>IF(OR(TaxaJuros="",C241=""),"",-$F$9)</f>
        <v/>
      </c>
      <c r="H241" s="21" t="str">
        <f>IF(OR(TaxaJuros="",C241=""),"",IF(ComSemIOF=FALSE,0,IF(E241&gt;365,-(D241+F241)*365*IOFDiario,-(D241+F241)*E241*IOFDiario)))</f>
        <v/>
      </c>
      <c r="I241" s="21" t="str">
        <f>IF(OR(TaxaJuros="",C241=""),"",IF(ComSemIOF=FALSE,0,-(D241+F241)*IOFAdic))</f>
        <v/>
      </c>
      <c r="J241" s="16" t="str">
        <f>IF(OR(TaxaJuros="",C241=""),"",D241+SUM(F241:I241))</f>
        <v/>
      </c>
      <c r="K241" s="67" t="str">
        <f>IF(OR(TaxaJuros="",C241=""),"",100%-J241/D241)</f>
        <v/>
      </c>
    </row>
    <row r="242" spans="5:11" x14ac:dyDescent="0.25">
      <c r="E242" s="15" t="str">
        <f>IF(OR(DataRecebimento="",C242=""),"",C242-$F$7)</f>
        <v/>
      </c>
      <c r="F242" s="16" t="str">
        <f>IF(OR(TaxaJuros="",C242=""),"",-D242*E242*($F$8/30))</f>
        <v/>
      </c>
      <c r="G242" s="16" t="str">
        <f>IF(OR(TaxaJuros="",C242=""),"",-$F$9)</f>
        <v/>
      </c>
      <c r="H242" s="21" t="str">
        <f>IF(OR(TaxaJuros="",C242=""),"",IF(ComSemIOF=FALSE,0,IF(E242&gt;365,-(D242+F242)*365*IOFDiario,-(D242+F242)*E242*IOFDiario)))</f>
        <v/>
      </c>
      <c r="I242" s="21" t="str">
        <f>IF(OR(TaxaJuros="",C242=""),"",IF(ComSemIOF=FALSE,0,-(D242+F242)*IOFAdic))</f>
        <v/>
      </c>
      <c r="J242" s="16" t="str">
        <f>IF(OR(TaxaJuros="",C242=""),"",D242+SUM(F242:I242))</f>
        <v/>
      </c>
      <c r="K242" s="67" t="str">
        <f>IF(OR(TaxaJuros="",C242=""),"",100%-J242/D242)</f>
        <v/>
      </c>
    </row>
    <row r="243" spans="5:11" x14ac:dyDescent="0.25">
      <c r="E243" s="15" t="str">
        <f>IF(OR(DataRecebimento="",C243=""),"",C243-$F$7)</f>
        <v/>
      </c>
      <c r="F243" s="16" t="str">
        <f>IF(OR(TaxaJuros="",C243=""),"",-D243*E243*($F$8/30))</f>
        <v/>
      </c>
      <c r="G243" s="16" t="str">
        <f>IF(OR(TaxaJuros="",C243=""),"",-$F$9)</f>
        <v/>
      </c>
      <c r="H243" s="21" t="str">
        <f>IF(OR(TaxaJuros="",C243=""),"",IF(ComSemIOF=FALSE,0,IF(E243&gt;365,-(D243+F243)*365*IOFDiario,-(D243+F243)*E243*IOFDiario)))</f>
        <v/>
      </c>
      <c r="I243" s="21" t="str">
        <f>IF(OR(TaxaJuros="",C243=""),"",IF(ComSemIOF=FALSE,0,-(D243+F243)*IOFAdic))</f>
        <v/>
      </c>
      <c r="J243" s="16" t="str">
        <f>IF(OR(TaxaJuros="",C243=""),"",D243+SUM(F243:I243))</f>
        <v/>
      </c>
      <c r="K243" s="67" t="str">
        <f>IF(OR(TaxaJuros="",C243=""),"",100%-J243/D243)</f>
        <v/>
      </c>
    </row>
    <row r="244" spans="5:11" x14ac:dyDescent="0.25">
      <c r="E244" s="15" t="str">
        <f>IF(OR(DataRecebimento="",C244=""),"",C244-$F$7)</f>
        <v/>
      </c>
      <c r="F244" s="16" t="str">
        <f>IF(OR(TaxaJuros="",C244=""),"",-D244*E244*($F$8/30))</f>
        <v/>
      </c>
      <c r="G244" s="16" t="str">
        <f>IF(OR(TaxaJuros="",C244=""),"",-$F$9)</f>
        <v/>
      </c>
      <c r="H244" s="21" t="str">
        <f>IF(OR(TaxaJuros="",C244=""),"",IF(ComSemIOF=FALSE,0,IF(E244&gt;365,-(D244+F244)*365*IOFDiario,-(D244+F244)*E244*IOFDiario)))</f>
        <v/>
      </c>
      <c r="I244" s="21" t="str">
        <f>IF(OR(TaxaJuros="",C244=""),"",IF(ComSemIOF=FALSE,0,-(D244+F244)*IOFAdic))</f>
        <v/>
      </c>
      <c r="J244" s="16" t="str">
        <f>IF(OR(TaxaJuros="",C244=""),"",D244+SUM(F244:I244))</f>
        <v/>
      </c>
      <c r="K244" s="67" t="str">
        <f>IF(OR(TaxaJuros="",C244=""),"",100%-J244/D244)</f>
        <v/>
      </c>
    </row>
    <row r="245" spans="5:11" x14ac:dyDescent="0.25">
      <c r="E245" s="15" t="str">
        <f>IF(OR(DataRecebimento="",C245=""),"",C245-$F$7)</f>
        <v/>
      </c>
      <c r="F245" s="16" t="str">
        <f>IF(OR(TaxaJuros="",C245=""),"",-D245*E245*($F$8/30))</f>
        <v/>
      </c>
      <c r="G245" s="16" t="str">
        <f>IF(OR(TaxaJuros="",C245=""),"",-$F$9)</f>
        <v/>
      </c>
      <c r="H245" s="21" t="str">
        <f>IF(OR(TaxaJuros="",C245=""),"",IF(ComSemIOF=FALSE,0,IF(E245&gt;365,-(D245+F245)*365*IOFDiario,-(D245+F245)*E245*IOFDiario)))</f>
        <v/>
      </c>
      <c r="I245" s="21" t="str">
        <f>IF(OR(TaxaJuros="",C245=""),"",IF(ComSemIOF=FALSE,0,-(D245+F245)*IOFAdic))</f>
        <v/>
      </c>
      <c r="J245" s="16" t="str">
        <f>IF(OR(TaxaJuros="",C245=""),"",D245+SUM(F245:I245))</f>
        <v/>
      </c>
      <c r="K245" s="67" t="str">
        <f>IF(OR(TaxaJuros="",C245=""),"",100%-J245/D245)</f>
        <v/>
      </c>
    </row>
    <row r="246" spans="5:11" x14ac:dyDescent="0.25">
      <c r="E246" s="15" t="str">
        <f>IF(OR(DataRecebimento="",C246=""),"",C246-$F$7)</f>
        <v/>
      </c>
      <c r="F246" s="16" t="str">
        <f>IF(OR(TaxaJuros="",C246=""),"",-D246*E246*($F$8/30))</f>
        <v/>
      </c>
      <c r="G246" s="16" t="str">
        <f>IF(OR(TaxaJuros="",C246=""),"",-$F$9)</f>
        <v/>
      </c>
      <c r="H246" s="21" t="str">
        <f>IF(OR(TaxaJuros="",C246=""),"",IF(ComSemIOF=FALSE,0,IF(E246&gt;365,-(D246+F246)*365*IOFDiario,-(D246+F246)*E246*IOFDiario)))</f>
        <v/>
      </c>
      <c r="I246" s="21" t="str">
        <f>IF(OR(TaxaJuros="",C246=""),"",IF(ComSemIOF=FALSE,0,-(D246+F246)*IOFAdic))</f>
        <v/>
      </c>
      <c r="J246" s="16" t="str">
        <f>IF(OR(TaxaJuros="",C246=""),"",D246+SUM(F246:I246))</f>
        <v/>
      </c>
      <c r="K246" s="67" t="str">
        <f>IF(OR(TaxaJuros="",C246=""),"",100%-J246/D246)</f>
        <v/>
      </c>
    </row>
    <row r="247" spans="5:11" x14ac:dyDescent="0.25">
      <c r="E247" s="15" t="str">
        <f>IF(OR(DataRecebimento="",C247=""),"",C247-$F$7)</f>
        <v/>
      </c>
      <c r="F247" s="16" t="str">
        <f>IF(OR(TaxaJuros="",C247=""),"",-D247*E247*($F$8/30))</f>
        <v/>
      </c>
      <c r="G247" s="16" t="str">
        <f>IF(OR(TaxaJuros="",C247=""),"",-$F$9)</f>
        <v/>
      </c>
      <c r="H247" s="21" t="str">
        <f>IF(OR(TaxaJuros="",C247=""),"",IF(ComSemIOF=FALSE,0,IF(E247&gt;365,-(D247+F247)*365*IOFDiario,-(D247+F247)*E247*IOFDiario)))</f>
        <v/>
      </c>
      <c r="I247" s="21" t="str">
        <f>IF(OR(TaxaJuros="",C247=""),"",IF(ComSemIOF=FALSE,0,-(D247+F247)*IOFAdic))</f>
        <v/>
      </c>
      <c r="J247" s="16" t="str">
        <f>IF(OR(TaxaJuros="",C247=""),"",D247+SUM(F247:I247))</f>
        <v/>
      </c>
      <c r="K247" s="67" t="str">
        <f>IF(OR(TaxaJuros="",C247=""),"",100%-J247/D247)</f>
        <v/>
      </c>
    </row>
    <row r="248" spans="5:11" x14ac:dyDescent="0.25">
      <c r="E248" s="15" t="str">
        <f>IF(OR(DataRecebimento="",C248=""),"",C248-$F$7)</f>
        <v/>
      </c>
      <c r="F248" s="16" t="str">
        <f>IF(OR(TaxaJuros="",C248=""),"",-D248*E248*($F$8/30))</f>
        <v/>
      </c>
      <c r="G248" s="16" t="str">
        <f>IF(OR(TaxaJuros="",C248=""),"",-$F$9)</f>
        <v/>
      </c>
      <c r="H248" s="21" t="str">
        <f>IF(OR(TaxaJuros="",C248=""),"",IF(ComSemIOF=FALSE,0,IF(E248&gt;365,-(D248+F248)*365*IOFDiario,-(D248+F248)*E248*IOFDiario)))</f>
        <v/>
      </c>
      <c r="I248" s="21" t="str">
        <f>IF(OR(TaxaJuros="",C248=""),"",IF(ComSemIOF=FALSE,0,-(D248+F248)*IOFAdic))</f>
        <v/>
      </c>
      <c r="J248" s="16" t="str">
        <f>IF(OR(TaxaJuros="",C248=""),"",D248+SUM(F248:I248))</f>
        <v/>
      </c>
      <c r="K248" s="67" t="str">
        <f>IF(OR(TaxaJuros="",C248=""),"",100%-J248/D248)</f>
        <v/>
      </c>
    </row>
    <row r="249" spans="5:11" x14ac:dyDescent="0.25">
      <c r="E249" s="15" t="str">
        <f>IF(OR(DataRecebimento="",C249=""),"",C249-$F$7)</f>
        <v/>
      </c>
      <c r="F249" s="16" t="str">
        <f>IF(OR(TaxaJuros="",C249=""),"",-D249*E249*($F$8/30))</f>
        <v/>
      </c>
      <c r="G249" s="16" t="str">
        <f>IF(OR(TaxaJuros="",C249=""),"",-$F$9)</f>
        <v/>
      </c>
      <c r="H249" s="21" t="str">
        <f>IF(OR(TaxaJuros="",C249=""),"",IF(ComSemIOF=FALSE,0,IF(E249&gt;365,-(D249+F249)*365*IOFDiario,-(D249+F249)*E249*IOFDiario)))</f>
        <v/>
      </c>
      <c r="I249" s="21" t="str">
        <f>IF(OR(TaxaJuros="",C249=""),"",IF(ComSemIOF=FALSE,0,-(D249+F249)*IOFAdic))</f>
        <v/>
      </c>
      <c r="J249" s="16" t="str">
        <f>IF(OR(TaxaJuros="",C249=""),"",D249+SUM(F249:I249))</f>
        <v/>
      </c>
      <c r="K249" s="67" t="str">
        <f>IF(OR(TaxaJuros="",C249=""),"",100%-J249/D249)</f>
        <v/>
      </c>
    </row>
    <row r="250" spans="5:11" x14ac:dyDescent="0.25">
      <c r="E250" s="15" t="str">
        <f>IF(OR(DataRecebimento="",C250=""),"",C250-$F$7)</f>
        <v/>
      </c>
      <c r="F250" s="16" t="str">
        <f>IF(OR(TaxaJuros="",C250=""),"",-D250*E250*($F$8/30))</f>
        <v/>
      </c>
      <c r="G250" s="16" t="str">
        <f>IF(OR(TaxaJuros="",C250=""),"",-$F$9)</f>
        <v/>
      </c>
      <c r="H250" s="21" t="str">
        <f>IF(OR(TaxaJuros="",C250=""),"",IF(ComSemIOF=FALSE,0,IF(E250&gt;365,-(D250+F250)*365*IOFDiario,-(D250+F250)*E250*IOFDiario)))</f>
        <v/>
      </c>
      <c r="I250" s="21" t="str">
        <f>IF(OR(TaxaJuros="",C250=""),"",IF(ComSemIOF=FALSE,0,-(D250+F250)*IOFAdic))</f>
        <v/>
      </c>
      <c r="J250" s="16" t="str">
        <f>IF(OR(TaxaJuros="",C250=""),"",D250+SUM(F250:I250))</f>
        <v/>
      </c>
      <c r="K250" s="67" t="str">
        <f>IF(OR(TaxaJuros="",C250=""),"",100%-J250/D250)</f>
        <v/>
      </c>
    </row>
    <row r="251" spans="5:11" x14ac:dyDescent="0.25">
      <c r="E251" s="15" t="str">
        <f>IF(OR(DataRecebimento="",C251=""),"",C251-$F$7)</f>
        <v/>
      </c>
      <c r="F251" s="16" t="str">
        <f>IF(OR(TaxaJuros="",C251=""),"",-D251*E251*($F$8/30))</f>
        <v/>
      </c>
      <c r="G251" s="16" t="str">
        <f>IF(OR(TaxaJuros="",C251=""),"",-$F$9)</f>
        <v/>
      </c>
      <c r="H251" s="21" t="str">
        <f>IF(OR(TaxaJuros="",C251=""),"",IF(ComSemIOF=FALSE,0,IF(E251&gt;365,-(D251+F251)*365*IOFDiario,-(D251+F251)*E251*IOFDiario)))</f>
        <v/>
      </c>
      <c r="I251" s="21" t="str">
        <f>IF(OR(TaxaJuros="",C251=""),"",IF(ComSemIOF=FALSE,0,-(D251+F251)*IOFAdic))</f>
        <v/>
      </c>
      <c r="J251" s="16" t="str">
        <f>IF(OR(TaxaJuros="",C251=""),"",D251+SUM(F251:I251))</f>
        <v/>
      </c>
      <c r="K251" s="67" t="str">
        <f>IF(OR(TaxaJuros="",C251=""),"",100%-J251/D251)</f>
        <v/>
      </c>
    </row>
    <row r="252" spans="5:11" x14ac:dyDescent="0.25">
      <c r="E252" s="15" t="str">
        <f>IF(OR(DataRecebimento="",C252=""),"",C252-$F$7)</f>
        <v/>
      </c>
      <c r="F252" s="16" t="str">
        <f>IF(OR(TaxaJuros="",C252=""),"",-D252*E252*($F$8/30))</f>
        <v/>
      </c>
      <c r="G252" s="16" t="str">
        <f>IF(OR(TaxaJuros="",C252=""),"",-$F$9)</f>
        <v/>
      </c>
      <c r="H252" s="21" t="str">
        <f>IF(OR(TaxaJuros="",C252=""),"",IF(ComSemIOF=FALSE,0,IF(E252&gt;365,-(D252+F252)*365*IOFDiario,-(D252+F252)*E252*IOFDiario)))</f>
        <v/>
      </c>
      <c r="I252" s="21" t="str">
        <f>IF(OR(TaxaJuros="",C252=""),"",IF(ComSemIOF=FALSE,0,-(D252+F252)*IOFAdic))</f>
        <v/>
      </c>
      <c r="J252" s="16" t="str">
        <f>IF(OR(TaxaJuros="",C252=""),"",D252+SUM(F252:I252))</f>
        <v/>
      </c>
      <c r="K252" s="67" t="str">
        <f>IF(OR(TaxaJuros="",C252=""),"",100%-J252/D252)</f>
        <v/>
      </c>
    </row>
    <row r="253" spans="5:11" x14ac:dyDescent="0.25">
      <c r="E253" s="15" t="str">
        <f>IF(OR(DataRecebimento="",C253=""),"",C253-$F$7)</f>
        <v/>
      </c>
      <c r="F253" s="16" t="str">
        <f>IF(OR(TaxaJuros="",C253=""),"",-D253*E253*($F$8/30))</f>
        <v/>
      </c>
      <c r="G253" s="16" t="str">
        <f>IF(OR(TaxaJuros="",C253=""),"",-$F$9)</f>
        <v/>
      </c>
      <c r="H253" s="21" t="str">
        <f>IF(OR(TaxaJuros="",C253=""),"",IF(ComSemIOF=FALSE,0,IF(E253&gt;365,-(D253+F253)*365*IOFDiario,-(D253+F253)*E253*IOFDiario)))</f>
        <v/>
      </c>
      <c r="I253" s="21" t="str">
        <f>IF(OR(TaxaJuros="",C253=""),"",IF(ComSemIOF=FALSE,0,-(D253+F253)*IOFAdic))</f>
        <v/>
      </c>
      <c r="J253" s="16" t="str">
        <f>IF(OR(TaxaJuros="",C253=""),"",D253+SUM(F253:I253))</f>
        <v/>
      </c>
      <c r="K253" s="67" t="str">
        <f>IF(OR(TaxaJuros="",C253=""),"",100%-J253/D253)</f>
        <v/>
      </c>
    </row>
    <row r="254" spans="5:11" x14ac:dyDescent="0.25">
      <c r="E254" s="15" t="str">
        <f>IF(OR(DataRecebimento="",C254=""),"",C254-$F$7)</f>
        <v/>
      </c>
      <c r="F254" s="16" t="str">
        <f>IF(OR(TaxaJuros="",C254=""),"",-D254*E254*($F$8/30))</f>
        <v/>
      </c>
      <c r="G254" s="16" t="str">
        <f>IF(OR(TaxaJuros="",C254=""),"",-$F$9)</f>
        <v/>
      </c>
      <c r="H254" s="21" t="str">
        <f>IF(OR(TaxaJuros="",C254=""),"",IF(ComSemIOF=FALSE,0,IF(E254&gt;365,-(D254+F254)*365*IOFDiario,-(D254+F254)*E254*IOFDiario)))</f>
        <v/>
      </c>
      <c r="I254" s="21" t="str">
        <f>IF(OR(TaxaJuros="",C254=""),"",IF(ComSemIOF=FALSE,0,-(D254+F254)*IOFAdic))</f>
        <v/>
      </c>
      <c r="J254" s="16" t="str">
        <f>IF(OR(TaxaJuros="",C254=""),"",D254+SUM(F254:I254))</f>
        <v/>
      </c>
      <c r="K254" s="67" t="str">
        <f>IF(OR(TaxaJuros="",C254=""),"",100%-J254/D254)</f>
        <v/>
      </c>
    </row>
    <row r="255" spans="5:11" x14ac:dyDescent="0.25">
      <c r="E255" s="15" t="str">
        <f>IF(OR(DataRecebimento="",C255=""),"",C255-$F$7)</f>
        <v/>
      </c>
      <c r="F255" s="16" t="str">
        <f>IF(OR(TaxaJuros="",C255=""),"",-D255*E255*($F$8/30))</f>
        <v/>
      </c>
      <c r="G255" s="16" t="str">
        <f>IF(OR(TaxaJuros="",C255=""),"",-$F$9)</f>
        <v/>
      </c>
      <c r="H255" s="21" t="str">
        <f>IF(OR(TaxaJuros="",C255=""),"",IF(ComSemIOF=FALSE,0,IF(E255&gt;365,-(D255+F255)*365*IOFDiario,-(D255+F255)*E255*IOFDiario)))</f>
        <v/>
      </c>
      <c r="I255" s="21" t="str">
        <f>IF(OR(TaxaJuros="",C255=""),"",IF(ComSemIOF=FALSE,0,-(D255+F255)*IOFAdic))</f>
        <v/>
      </c>
      <c r="J255" s="16" t="str">
        <f>IF(OR(TaxaJuros="",C255=""),"",D255+SUM(F255:I255))</f>
        <v/>
      </c>
      <c r="K255" s="67" t="str">
        <f>IF(OR(TaxaJuros="",C255=""),"",100%-J255/D255)</f>
        <v/>
      </c>
    </row>
    <row r="256" spans="5:11" x14ac:dyDescent="0.25">
      <c r="E256" s="15" t="str">
        <f>IF(OR(DataRecebimento="",C256=""),"",C256-$F$7)</f>
        <v/>
      </c>
      <c r="F256" s="16" t="str">
        <f>IF(OR(TaxaJuros="",C256=""),"",-D256*E256*($F$8/30))</f>
        <v/>
      </c>
      <c r="G256" s="16" t="str">
        <f>IF(OR(TaxaJuros="",C256=""),"",-$F$9)</f>
        <v/>
      </c>
      <c r="H256" s="21" t="str">
        <f>IF(OR(TaxaJuros="",C256=""),"",IF(ComSemIOF=FALSE,0,IF(E256&gt;365,-(D256+F256)*365*IOFDiario,-(D256+F256)*E256*IOFDiario)))</f>
        <v/>
      </c>
      <c r="I256" s="21" t="str">
        <f>IF(OR(TaxaJuros="",C256=""),"",IF(ComSemIOF=FALSE,0,-(D256+F256)*IOFAdic))</f>
        <v/>
      </c>
      <c r="J256" s="16" t="str">
        <f>IF(OR(TaxaJuros="",C256=""),"",D256+SUM(F256:I256))</f>
        <v/>
      </c>
      <c r="K256" s="67" t="str">
        <f>IF(OR(TaxaJuros="",C256=""),"",100%-J256/D256)</f>
        <v/>
      </c>
    </row>
    <row r="257" spans="5:11" x14ac:dyDescent="0.25">
      <c r="E257" s="15" t="str">
        <f>IF(OR(DataRecebimento="",C257=""),"",C257-$F$7)</f>
        <v/>
      </c>
      <c r="F257" s="16" t="str">
        <f>IF(OR(TaxaJuros="",C257=""),"",-D257*E257*($F$8/30))</f>
        <v/>
      </c>
      <c r="G257" s="16" t="str">
        <f>IF(OR(TaxaJuros="",C257=""),"",-$F$9)</f>
        <v/>
      </c>
      <c r="H257" s="21" t="str">
        <f>IF(OR(TaxaJuros="",C257=""),"",IF(ComSemIOF=FALSE,0,IF(E257&gt;365,-(D257+F257)*365*IOFDiario,-(D257+F257)*E257*IOFDiario)))</f>
        <v/>
      </c>
      <c r="I257" s="21" t="str">
        <f>IF(OR(TaxaJuros="",C257=""),"",IF(ComSemIOF=FALSE,0,-(D257+F257)*IOFAdic))</f>
        <v/>
      </c>
      <c r="J257" s="16" t="str">
        <f>IF(OR(TaxaJuros="",C257=""),"",D257+SUM(F257:I257))</f>
        <v/>
      </c>
      <c r="K257" s="67" t="str">
        <f>IF(OR(TaxaJuros="",C257=""),"",100%-J257/D257)</f>
        <v/>
      </c>
    </row>
    <row r="258" spans="5:11" x14ac:dyDescent="0.25">
      <c r="E258" s="15" t="str">
        <f>IF(OR(DataRecebimento="",C258=""),"",C258-$F$7)</f>
        <v/>
      </c>
      <c r="F258" s="16" t="str">
        <f>IF(OR(TaxaJuros="",C258=""),"",-D258*E258*($F$8/30))</f>
        <v/>
      </c>
      <c r="G258" s="16" t="str">
        <f>IF(OR(TaxaJuros="",C258=""),"",-$F$9)</f>
        <v/>
      </c>
      <c r="H258" s="21" t="str">
        <f>IF(OR(TaxaJuros="",C258=""),"",IF(ComSemIOF=FALSE,0,IF(E258&gt;365,-(D258+F258)*365*IOFDiario,-(D258+F258)*E258*IOFDiario)))</f>
        <v/>
      </c>
      <c r="I258" s="21" t="str">
        <f>IF(OR(TaxaJuros="",C258=""),"",IF(ComSemIOF=FALSE,0,-(D258+F258)*IOFAdic))</f>
        <v/>
      </c>
      <c r="J258" s="16" t="str">
        <f>IF(OR(TaxaJuros="",C258=""),"",D258+SUM(F258:I258))</f>
        <v/>
      </c>
      <c r="K258" s="67" t="str">
        <f>IF(OR(TaxaJuros="",C258=""),"",100%-J258/D258)</f>
        <v/>
      </c>
    </row>
    <row r="259" spans="5:11" x14ac:dyDescent="0.25">
      <c r="E259" s="15" t="str">
        <f>IF(OR(DataRecebimento="",C259=""),"",C259-$F$7)</f>
        <v/>
      </c>
      <c r="F259" s="16" t="str">
        <f>IF(OR(TaxaJuros="",C259=""),"",-D259*E259*($F$8/30))</f>
        <v/>
      </c>
      <c r="G259" s="16" t="str">
        <f>IF(OR(TaxaJuros="",C259=""),"",-$F$9)</f>
        <v/>
      </c>
      <c r="H259" s="21" t="str">
        <f>IF(OR(TaxaJuros="",C259=""),"",IF(ComSemIOF=FALSE,0,IF(E259&gt;365,-(D259+F259)*365*IOFDiario,-(D259+F259)*E259*IOFDiario)))</f>
        <v/>
      </c>
      <c r="I259" s="21" t="str">
        <f>IF(OR(TaxaJuros="",C259=""),"",IF(ComSemIOF=FALSE,0,-(D259+F259)*IOFAdic))</f>
        <v/>
      </c>
      <c r="J259" s="16" t="str">
        <f>IF(OR(TaxaJuros="",C259=""),"",D259+SUM(F259:I259))</f>
        <v/>
      </c>
      <c r="K259" s="67" t="str">
        <f>IF(OR(TaxaJuros="",C259=""),"",100%-J259/D259)</f>
        <v/>
      </c>
    </row>
    <row r="260" spans="5:11" x14ac:dyDescent="0.25">
      <c r="E260" s="15" t="str">
        <f>IF(OR(DataRecebimento="",C260=""),"",C260-$F$7)</f>
        <v/>
      </c>
      <c r="F260" s="16" t="str">
        <f>IF(OR(TaxaJuros="",C260=""),"",-D260*E260*($F$8/30))</f>
        <v/>
      </c>
      <c r="G260" s="16" t="str">
        <f>IF(OR(TaxaJuros="",C260=""),"",-$F$9)</f>
        <v/>
      </c>
      <c r="H260" s="21" t="str">
        <f>IF(OR(TaxaJuros="",C260=""),"",IF(ComSemIOF=FALSE,0,IF(E260&gt;365,-(D260+F260)*365*IOFDiario,-(D260+F260)*E260*IOFDiario)))</f>
        <v/>
      </c>
      <c r="I260" s="21" t="str">
        <f>IF(OR(TaxaJuros="",C260=""),"",IF(ComSemIOF=FALSE,0,-(D260+F260)*IOFAdic))</f>
        <v/>
      </c>
      <c r="J260" s="16" t="str">
        <f>IF(OR(TaxaJuros="",C260=""),"",D260+SUM(F260:I260))</f>
        <v/>
      </c>
      <c r="K260" s="67" t="str">
        <f>IF(OR(TaxaJuros="",C260=""),"",100%-J260/D260)</f>
        <v/>
      </c>
    </row>
    <row r="261" spans="5:11" x14ac:dyDescent="0.25">
      <c r="E261" s="15" t="str">
        <f>IF(OR(DataRecebimento="",C261=""),"",C261-$F$7)</f>
        <v/>
      </c>
      <c r="F261" s="16" t="str">
        <f>IF(OR(TaxaJuros="",C261=""),"",-D261*E261*($F$8/30))</f>
        <v/>
      </c>
      <c r="G261" s="16" t="str">
        <f>IF(OR(TaxaJuros="",C261=""),"",-$F$9)</f>
        <v/>
      </c>
      <c r="H261" s="21" t="str">
        <f>IF(OR(TaxaJuros="",C261=""),"",IF(ComSemIOF=FALSE,0,IF(E261&gt;365,-(D261+F261)*365*IOFDiario,-(D261+F261)*E261*IOFDiario)))</f>
        <v/>
      </c>
      <c r="I261" s="21" t="str">
        <f>IF(OR(TaxaJuros="",C261=""),"",IF(ComSemIOF=FALSE,0,-(D261+F261)*IOFAdic))</f>
        <v/>
      </c>
      <c r="J261" s="16" t="str">
        <f>IF(OR(TaxaJuros="",C261=""),"",D261+SUM(F261:I261))</f>
        <v/>
      </c>
      <c r="K261" s="67" t="str">
        <f>IF(OR(TaxaJuros="",C261=""),"",100%-J261/D261)</f>
        <v/>
      </c>
    </row>
    <row r="262" spans="5:11" x14ac:dyDescent="0.25">
      <c r="E262" s="15" t="str">
        <f>IF(OR(DataRecebimento="",C262=""),"",C262-$F$7)</f>
        <v/>
      </c>
      <c r="F262" s="16" t="str">
        <f>IF(OR(TaxaJuros="",C262=""),"",-D262*E262*($F$8/30))</f>
        <v/>
      </c>
      <c r="G262" s="16" t="str">
        <f>IF(OR(TaxaJuros="",C262=""),"",-$F$9)</f>
        <v/>
      </c>
      <c r="H262" s="21" t="str">
        <f>IF(OR(TaxaJuros="",C262=""),"",IF(ComSemIOF=FALSE,0,IF(E262&gt;365,-(D262+F262)*365*IOFDiario,-(D262+F262)*E262*IOFDiario)))</f>
        <v/>
      </c>
      <c r="I262" s="21" t="str">
        <f>IF(OR(TaxaJuros="",C262=""),"",IF(ComSemIOF=FALSE,0,-(D262+F262)*IOFAdic))</f>
        <v/>
      </c>
      <c r="J262" s="16" t="str">
        <f>IF(OR(TaxaJuros="",C262=""),"",D262+SUM(F262:I262))</f>
        <v/>
      </c>
      <c r="K262" s="67" t="str">
        <f>IF(OR(TaxaJuros="",C262=""),"",100%-J262/D262)</f>
        <v/>
      </c>
    </row>
    <row r="263" spans="5:11" x14ac:dyDescent="0.25">
      <c r="E263" s="15" t="str">
        <f>IF(OR(DataRecebimento="",C263=""),"",C263-$F$7)</f>
        <v/>
      </c>
      <c r="F263" s="16" t="str">
        <f>IF(OR(TaxaJuros="",C263=""),"",-D263*E263*($F$8/30))</f>
        <v/>
      </c>
      <c r="G263" s="16" t="str">
        <f>IF(OR(TaxaJuros="",C263=""),"",-$F$9)</f>
        <v/>
      </c>
      <c r="H263" s="21" t="str">
        <f>IF(OR(TaxaJuros="",C263=""),"",IF(ComSemIOF=FALSE,0,IF(E263&gt;365,-(D263+F263)*365*IOFDiario,-(D263+F263)*E263*IOFDiario)))</f>
        <v/>
      </c>
      <c r="I263" s="21" t="str">
        <f>IF(OR(TaxaJuros="",C263=""),"",IF(ComSemIOF=FALSE,0,-(D263+F263)*IOFAdic))</f>
        <v/>
      </c>
      <c r="J263" s="16" t="str">
        <f>IF(OR(TaxaJuros="",C263=""),"",D263+SUM(F263:I263))</f>
        <v/>
      </c>
      <c r="K263" s="67" t="str">
        <f>IF(OR(TaxaJuros="",C263=""),"",100%-J263/D263)</f>
        <v/>
      </c>
    </row>
    <row r="264" spans="5:11" x14ac:dyDescent="0.25">
      <c r="E264" s="15" t="str">
        <f>IF(OR(DataRecebimento="",C264=""),"",C264-$F$7)</f>
        <v/>
      </c>
      <c r="F264" s="16" t="str">
        <f>IF(OR(TaxaJuros="",C264=""),"",-D264*E264*($F$8/30))</f>
        <v/>
      </c>
      <c r="G264" s="16" t="str">
        <f>IF(OR(TaxaJuros="",C264=""),"",-$F$9)</f>
        <v/>
      </c>
      <c r="H264" s="21" t="str">
        <f>IF(OR(TaxaJuros="",C264=""),"",IF(ComSemIOF=FALSE,0,IF(E264&gt;365,-(D264+F264)*365*IOFDiario,-(D264+F264)*E264*IOFDiario)))</f>
        <v/>
      </c>
      <c r="I264" s="21" t="str">
        <f>IF(OR(TaxaJuros="",C264=""),"",IF(ComSemIOF=FALSE,0,-(D264+F264)*IOFAdic))</f>
        <v/>
      </c>
      <c r="J264" s="16" t="str">
        <f>IF(OR(TaxaJuros="",C264=""),"",D264+SUM(F264:I264))</f>
        <v/>
      </c>
      <c r="K264" s="67" t="str">
        <f>IF(OR(TaxaJuros="",C264=""),"",100%-J264/D264)</f>
        <v/>
      </c>
    </row>
    <row r="265" spans="5:11" x14ac:dyDescent="0.25">
      <c r="E265" s="15" t="str">
        <f>IF(OR(DataRecebimento="",C265=""),"",C265-$F$7)</f>
        <v/>
      </c>
      <c r="F265" s="16" t="str">
        <f>IF(OR(TaxaJuros="",C265=""),"",-D265*E265*($F$8/30))</f>
        <v/>
      </c>
      <c r="G265" s="16" t="str">
        <f>IF(OR(TaxaJuros="",C265=""),"",-$F$9)</f>
        <v/>
      </c>
      <c r="H265" s="21" t="str">
        <f>IF(OR(TaxaJuros="",C265=""),"",IF(ComSemIOF=FALSE,0,IF(E265&gt;365,-(D265+F265)*365*IOFDiario,-(D265+F265)*E265*IOFDiario)))</f>
        <v/>
      </c>
      <c r="I265" s="21" t="str">
        <f>IF(OR(TaxaJuros="",C265=""),"",IF(ComSemIOF=FALSE,0,-(D265+F265)*IOFAdic))</f>
        <v/>
      </c>
      <c r="J265" s="16" t="str">
        <f>IF(OR(TaxaJuros="",C265=""),"",D265+SUM(F265:I265))</f>
        <v/>
      </c>
      <c r="K265" s="67" t="str">
        <f>IF(OR(TaxaJuros="",C265=""),"",100%-J265/D265)</f>
        <v/>
      </c>
    </row>
    <row r="266" spans="5:11" x14ac:dyDescent="0.25">
      <c r="E266" s="15" t="str">
        <f>IF(OR(DataRecebimento="",C266=""),"",C266-$F$7)</f>
        <v/>
      </c>
      <c r="F266" s="16" t="str">
        <f>IF(OR(TaxaJuros="",C266=""),"",-D266*E266*($F$8/30))</f>
        <v/>
      </c>
      <c r="G266" s="16" t="str">
        <f>IF(OR(TaxaJuros="",C266=""),"",-$F$9)</f>
        <v/>
      </c>
      <c r="H266" s="21" t="str">
        <f>IF(OR(TaxaJuros="",C266=""),"",IF(ComSemIOF=FALSE,0,IF(E266&gt;365,-(D266+F266)*365*IOFDiario,-(D266+F266)*E266*IOFDiario)))</f>
        <v/>
      </c>
      <c r="I266" s="21" t="str">
        <f>IF(OR(TaxaJuros="",C266=""),"",IF(ComSemIOF=FALSE,0,-(D266+F266)*IOFAdic))</f>
        <v/>
      </c>
      <c r="J266" s="16" t="str">
        <f>IF(OR(TaxaJuros="",C266=""),"",D266+SUM(F266:I266))</f>
        <v/>
      </c>
      <c r="K266" s="67" t="str">
        <f>IF(OR(TaxaJuros="",C266=""),"",100%-J266/D266)</f>
        <v/>
      </c>
    </row>
    <row r="267" spans="5:11" x14ac:dyDescent="0.25">
      <c r="E267" s="15" t="str">
        <f>IF(OR(DataRecebimento="",C267=""),"",C267-$F$7)</f>
        <v/>
      </c>
      <c r="F267" s="16" t="str">
        <f>IF(OR(TaxaJuros="",C267=""),"",-D267*E267*($F$8/30))</f>
        <v/>
      </c>
      <c r="G267" s="16" t="str">
        <f>IF(OR(TaxaJuros="",C267=""),"",-$F$9)</f>
        <v/>
      </c>
      <c r="H267" s="21" t="str">
        <f>IF(OR(TaxaJuros="",C267=""),"",IF(ComSemIOF=FALSE,0,IF(E267&gt;365,-(D267+F267)*365*IOFDiario,-(D267+F267)*E267*IOFDiario)))</f>
        <v/>
      </c>
      <c r="I267" s="21" t="str">
        <f>IF(OR(TaxaJuros="",C267=""),"",IF(ComSemIOF=FALSE,0,-(D267+F267)*IOFAdic))</f>
        <v/>
      </c>
      <c r="J267" s="16" t="str">
        <f>IF(OR(TaxaJuros="",C267=""),"",D267+SUM(F267:I267))</f>
        <v/>
      </c>
      <c r="K267" s="67" t="str">
        <f>IF(OR(TaxaJuros="",C267=""),"",100%-J267/D267)</f>
        <v/>
      </c>
    </row>
    <row r="268" spans="5:11" x14ac:dyDescent="0.25">
      <c r="E268" s="15" t="str">
        <f>IF(OR(DataRecebimento="",C268=""),"",C268-$F$7)</f>
        <v/>
      </c>
      <c r="F268" s="16" t="str">
        <f>IF(OR(TaxaJuros="",C268=""),"",-D268*E268*($F$8/30))</f>
        <v/>
      </c>
      <c r="G268" s="16" t="str">
        <f>IF(OR(TaxaJuros="",C268=""),"",-$F$9)</f>
        <v/>
      </c>
      <c r="H268" s="21" t="str">
        <f>IF(OR(TaxaJuros="",C268=""),"",IF(ComSemIOF=FALSE,0,IF(E268&gt;365,-(D268+F268)*365*IOFDiario,-(D268+F268)*E268*IOFDiario)))</f>
        <v/>
      </c>
      <c r="I268" s="21" t="str">
        <f>IF(OR(TaxaJuros="",C268=""),"",IF(ComSemIOF=FALSE,0,-(D268+F268)*IOFAdic))</f>
        <v/>
      </c>
      <c r="J268" s="16" t="str">
        <f>IF(OR(TaxaJuros="",C268=""),"",D268+SUM(F268:I268))</f>
        <v/>
      </c>
      <c r="K268" s="67" t="str">
        <f>IF(OR(TaxaJuros="",C268=""),"",100%-J268/D268)</f>
        <v/>
      </c>
    </row>
    <row r="269" spans="5:11" x14ac:dyDescent="0.25">
      <c r="E269" s="15" t="str">
        <f>IF(OR(DataRecebimento="",C269=""),"",C269-$F$7)</f>
        <v/>
      </c>
      <c r="F269" s="16" t="str">
        <f>IF(OR(TaxaJuros="",C269=""),"",-D269*E269*($F$8/30))</f>
        <v/>
      </c>
      <c r="G269" s="16" t="str">
        <f>IF(OR(TaxaJuros="",C269=""),"",-$F$9)</f>
        <v/>
      </c>
      <c r="H269" s="21" t="str">
        <f>IF(OR(TaxaJuros="",C269=""),"",IF(ComSemIOF=FALSE,0,IF(E269&gt;365,-(D269+F269)*365*IOFDiario,-(D269+F269)*E269*IOFDiario)))</f>
        <v/>
      </c>
      <c r="I269" s="21" t="str">
        <f>IF(OR(TaxaJuros="",C269=""),"",IF(ComSemIOF=FALSE,0,-(D269+F269)*IOFAdic))</f>
        <v/>
      </c>
      <c r="J269" s="16" t="str">
        <f>IF(OR(TaxaJuros="",C269=""),"",D269+SUM(F269:I269))</f>
        <v/>
      </c>
      <c r="K269" s="67" t="str">
        <f>IF(OR(TaxaJuros="",C269=""),"",100%-J269/D269)</f>
        <v/>
      </c>
    </row>
    <row r="270" spans="5:11" x14ac:dyDescent="0.25">
      <c r="E270" s="15" t="str">
        <f>IF(OR(DataRecebimento="",C270=""),"",C270-$F$7)</f>
        <v/>
      </c>
      <c r="F270" s="16" t="str">
        <f>IF(OR(TaxaJuros="",C270=""),"",-D270*E270*($F$8/30))</f>
        <v/>
      </c>
      <c r="G270" s="16" t="str">
        <f>IF(OR(TaxaJuros="",C270=""),"",-$F$9)</f>
        <v/>
      </c>
      <c r="H270" s="21" t="str">
        <f>IF(OR(TaxaJuros="",C270=""),"",IF(ComSemIOF=FALSE,0,IF(E270&gt;365,-(D270+F270)*365*IOFDiario,-(D270+F270)*E270*IOFDiario)))</f>
        <v/>
      </c>
      <c r="I270" s="21" t="str">
        <f>IF(OR(TaxaJuros="",C270=""),"",IF(ComSemIOF=FALSE,0,-(D270+F270)*IOFAdic))</f>
        <v/>
      </c>
      <c r="J270" s="16" t="str">
        <f>IF(OR(TaxaJuros="",C270=""),"",D270+SUM(F270:I270))</f>
        <v/>
      </c>
      <c r="K270" s="67" t="str">
        <f>IF(OR(TaxaJuros="",C270=""),"",100%-J270/D270)</f>
        <v/>
      </c>
    </row>
    <row r="271" spans="5:11" x14ac:dyDescent="0.25">
      <c r="E271" s="15" t="str">
        <f>IF(OR(DataRecebimento="",C271=""),"",C271-$F$7)</f>
        <v/>
      </c>
      <c r="F271" s="16" t="str">
        <f>IF(OR(TaxaJuros="",C271=""),"",-D271*E271*($F$8/30))</f>
        <v/>
      </c>
      <c r="G271" s="16" t="str">
        <f>IF(OR(TaxaJuros="",C271=""),"",-$F$9)</f>
        <v/>
      </c>
      <c r="H271" s="21" t="str">
        <f>IF(OR(TaxaJuros="",C271=""),"",IF(ComSemIOF=FALSE,0,IF(E271&gt;365,-(D271+F271)*365*IOFDiario,-(D271+F271)*E271*IOFDiario)))</f>
        <v/>
      </c>
      <c r="I271" s="21" t="str">
        <f>IF(OR(TaxaJuros="",C271=""),"",IF(ComSemIOF=FALSE,0,-(D271+F271)*IOFAdic))</f>
        <v/>
      </c>
      <c r="J271" s="16" t="str">
        <f>IF(OR(TaxaJuros="",C271=""),"",D271+SUM(F271:I271))</f>
        <v/>
      </c>
      <c r="K271" s="67" t="str">
        <f>IF(OR(TaxaJuros="",C271=""),"",100%-J271/D271)</f>
        <v/>
      </c>
    </row>
    <row r="272" spans="5:11" x14ac:dyDescent="0.25">
      <c r="E272" s="15" t="str">
        <f>IF(OR(DataRecebimento="",C272=""),"",C272-$F$7)</f>
        <v/>
      </c>
      <c r="F272" s="16" t="str">
        <f>IF(OR(TaxaJuros="",C272=""),"",-D272*E272*($F$8/30))</f>
        <v/>
      </c>
      <c r="G272" s="16" t="str">
        <f>IF(OR(TaxaJuros="",C272=""),"",-$F$9)</f>
        <v/>
      </c>
      <c r="H272" s="21" t="str">
        <f>IF(OR(TaxaJuros="",C272=""),"",IF(ComSemIOF=FALSE,0,IF(E272&gt;365,-(D272+F272)*365*IOFDiario,-(D272+F272)*E272*IOFDiario)))</f>
        <v/>
      </c>
      <c r="I272" s="21" t="str">
        <f>IF(OR(TaxaJuros="",C272=""),"",IF(ComSemIOF=FALSE,0,-(D272+F272)*IOFAdic))</f>
        <v/>
      </c>
      <c r="J272" s="16" t="str">
        <f>IF(OR(TaxaJuros="",C272=""),"",D272+SUM(F272:I272))</f>
        <v/>
      </c>
      <c r="K272" s="67" t="str">
        <f>IF(OR(TaxaJuros="",C272=""),"",100%-J272/D272)</f>
        <v/>
      </c>
    </row>
    <row r="273" spans="5:11" x14ac:dyDescent="0.25">
      <c r="E273" s="15" t="str">
        <f>IF(OR(DataRecebimento="",C273=""),"",C273-$F$7)</f>
        <v/>
      </c>
      <c r="F273" s="16" t="str">
        <f>IF(OR(TaxaJuros="",C273=""),"",-D273*E273*($F$8/30))</f>
        <v/>
      </c>
      <c r="G273" s="16" t="str">
        <f>IF(OR(TaxaJuros="",C273=""),"",-$F$9)</f>
        <v/>
      </c>
      <c r="H273" s="21" t="str">
        <f>IF(OR(TaxaJuros="",C273=""),"",IF(ComSemIOF=FALSE,0,IF(E273&gt;365,-(D273+F273)*365*IOFDiario,-(D273+F273)*E273*IOFDiario)))</f>
        <v/>
      </c>
      <c r="I273" s="21" t="str">
        <f>IF(OR(TaxaJuros="",C273=""),"",IF(ComSemIOF=FALSE,0,-(D273+F273)*IOFAdic))</f>
        <v/>
      </c>
      <c r="J273" s="16" t="str">
        <f>IF(OR(TaxaJuros="",C273=""),"",D273+SUM(F273:I273))</f>
        <v/>
      </c>
      <c r="K273" s="67" t="str">
        <f>IF(OR(TaxaJuros="",C273=""),"",100%-J273/D273)</f>
        <v/>
      </c>
    </row>
    <row r="274" spans="5:11" x14ac:dyDescent="0.25">
      <c r="E274" s="15" t="str">
        <f>IF(OR(DataRecebimento="",C274=""),"",C274-$F$7)</f>
        <v/>
      </c>
      <c r="F274" s="16" t="str">
        <f>IF(OR(TaxaJuros="",C274=""),"",-D274*E274*($F$8/30))</f>
        <v/>
      </c>
      <c r="G274" s="16" t="str">
        <f>IF(OR(TaxaJuros="",C274=""),"",-$F$9)</f>
        <v/>
      </c>
      <c r="H274" s="21" t="str">
        <f>IF(OR(TaxaJuros="",C274=""),"",IF(ComSemIOF=FALSE,0,IF(E274&gt;365,-(D274+F274)*365*IOFDiario,-(D274+F274)*E274*IOFDiario)))</f>
        <v/>
      </c>
      <c r="I274" s="21" t="str">
        <f>IF(OR(TaxaJuros="",C274=""),"",IF(ComSemIOF=FALSE,0,-(D274+F274)*IOFAdic))</f>
        <v/>
      </c>
      <c r="J274" s="16" t="str">
        <f>IF(OR(TaxaJuros="",C274=""),"",D274+SUM(F274:I274))</f>
        <v/>
      </c>
      <c r="K274" s="67" t="str">
        <f>IF(OR(TaxaJuros="",C274=""),"",100%-J274/D274)</f>
        <v/>
      </c>
    </row>
    <row r="275" spans="5:11" x14ac:dyDescent="0.25">
      <c r="E275" s="15" t="str">
        <f>IF(OR(DataRecebimento="",C275=""),"",C275-$F$7)</f>
        <v/>
      </c>
      <c r="F275" s="16" t="str">
        <f>IF(OR(TaxaJuros="",C275=""),"",-D275*E275*($F$8/30))</f>
        <v/>
      </c>
      <c r="G275" s="16" t="str">
        <f>IF(OR(TaxaJuros="",C275=""),"",-$F$9)</f>
        <v/>
      </c>
      <c r="H275" s="21" t="str">
        <f>IF(OR(TaxaJuros="",C275=""),"",IF(ComSemIOF=FALSE,0,IF(E275&gt;365,-(D275+F275)*365*IOFDiario,-(D275+F275)*E275*IOFDiario)))</f>
        <v/>
      </c>
      <c r="I275" s="21" t="str">
        <f>IF(OR(TaxaJuros="",C275=""),"",IF(ComSemIOF=FALSE,0,-(D275+F275)*IOFAdic))</f>
        <v/>
      </c>
      <c r="J275" s="16" t="str">
        <f>IF(OR(TaxaJuros="",C275=""),"",D275+SUM(F275:I275))</f>
        <v/>
      </c>
      <c r="K275" s="67" t="str">
        <f>IF(OR(TaxaJuros="",C275=""),"",100%-J275/D275)</f>
        <v/>
      </c>
    </row>
    <row r="276" spans="5:11" x14ac:dyDescent="0.25">
      <c r="E276" s="15" t="str">
        <f>IF(OR(DataRecebimento="",C276=""),"",C276-$F$7)</f>
        <v/>
      </c>
      <c r="F276" s="16" t="str">
        <f>IF(OR(TaxaJuros="",C276=""),"",-D276*E276*($F$8/30))</f>
        <v/>
      </c>
      <c r="G276" s="16" t="str">
        <f>IF(OR(TaxaJuros="",C276=""),"",-$F$9)</f>
        <v/>
      </c>
      <c r="H276" s="21" t="str">
        <f>IF(OR(TaxaJuros="",C276=""),"",IF(ComSemIOF=FALSE,0,IF(E276&gt;365,-(D276+F276)*365*IOFDiario,-(D276+F276)*E276*IOFDiario)))</f>
        <v/>
      </c>
      <c r="I276" s="21" t="str">
        <f>IF(OR(TaxaJuros="",C276=""),"",IF(ComSemIOF=FALSE,0,-(D276+F276)*IOFAdic))</f>
        <v/>
      </c>
      <c r="J276" s="16" t="str">
        <f>IF(OR(TaxaJuros="",C276=""),"",D276+SUM(F276:I276))</f>
        <v/>
      </c>
      <c r="K276" s="67" t="str">
        <f>IF(OR(TaxaJuros="",C276=""),"",100%-J276/D276)</f>
        <v/>
      </c>
    </row>
    <row r="277" spans="5:11" x14ac:dyDescent="0.25">
      <c r="E277" s="15" t="str">
        <f>IF(OR(DataRecebimento="",C277=""),"",C277-$F$7)</f>
        <v/>
      </c>
      <c r="F277" s="16" t="str">
        <f>IF(OR(TaxaJuros="",C277=""),"",-D277*E277*($F$8/30))</f>
        <v/>
      </c>
      <c r="G277" s="16" t="str">
        <f>IF(OR(TaxaJuros="",C277=""),"",-$F$9)</f>
        <v/>
      </c>
      <c r="H277" s="21" t="str">
        <f>IF(OR(TaxaJuros="",C277=""),"",IF(ComSemIOF=FALSE,0,IF(E277&gt;365,-(D277+F277)*365*IOFDiario,-(D277+F277)*E277*IOFDiario)))</f>
        <v/>
      </c>
      <c r="I277" s="21" t="str">
        <f>IF(OR(TaxaJuros="",C277=""),"",IF(ComSemIOF=FALSE,0,-(D277+F277)*IOFAdic))</f>
        <v/>
      </c>
      <c r="J277" s="16" t="str">
        <f>IF(OR(TaxaJuros="",C277=""),"",D277+SUM(F277:I277))</f>
        <v/>
      </c>
      <c r="K277" s="67" t="str">
        <f>IF(OR(TaxaJuros="",C277=""),"",100%-J277/D277)</f>
        <v/>
      </c>
    </row>
    <row r="278" spans="5:11" x14ac:dyDescent="0.25">
      <c r="E278" s="15" t="str">
        <f>IF(OR(DataRecebimento="",C278=""),"",C278-$F$7)</f>
        <v/>
      </c>
      <c r="F278" s="16" t="str">
        <f>IF(OR(TaxaJuros="",C278=""),"",-D278*E278*($F$8/30))</f>
        <v/>
      </c>
      <c r="G278" s="16" t="str">
        <f>IF(OR(TaxaJuros="",C278=""),"",-$F$9)</f>
        <v/>
      </c>
      <c r="H278" s="21" t="str">
        <f>IF(OR(TaxaJuros="",C278=""),"",IF(ComSemIOF=FALSE,0,IF(E278&gt;365,-(D278+F278)*365*IOFDiario,-(D278+F278)*E278*IOFDiario)))</f>
        <v/>
      </c>
      <c r="I278" s="21" t="str">
        <f>IF(OR(TaxaJuros="",C278=""),"",IF(ComSemIOF=FALSE,0,-(D278+F278)*IOFAdic))</f>
        <v/>
      </c>
      <c r="J278" s="16" t="str">
        <f>IF(OR(TaxaJuros="",C278=""),"",D278+SUM(F278:I278))</f>
        <v/>
      </c>
      <c r="K278" s="67" t="str">
        <f>IF(OR(TaxaJuros="",C278=""),"",100%-J278/D278)</f>
        <v/>
      </c>
    </row>
    <row r="279" spans="5:11" x14ac:dyDescent="0.25">
      <c r="E279" s="15" t="str">
        <f>IF(OR(DataRecebimento="",C279=""),"",C279-$F$7)</f>
        <v/>
      </c>
      <c r="F279" s="16" t="str">
        <f>IF(OR(TaxaJuros="",C279=""),"",-D279*E279*($F$8/30))</f>
        <v/>
      </c>
      <c r="G279" s="16" t="str">
        <f>IF(OR(TaxaJuros="",C279=""),"",-$F$9)</f>
        <v/>
      </c>
      <c r="H279" s="21" t="str">
        <f>IF(OR(TaxaJuros="",C279=""),"",IF(ComSemIOF=FALSE,0,IF(E279&gt;365,-(D279+F279)*365*IOFDiario,-(D279+F279)*E279*IOFDiario)))</f>
        <v/>
      </c>
      <c r="I279" s="21" t="str">
        <f>IF(OR(TaxaJuros="",C279=""),"",IF(ComSemIOF=FALSE,0,-(D279+F279)*IOFAdic))</f>
        <v/>
      </c>
      <c r="J279" s="16" t="str">
        <f>IF(OR(TaxaJuros="",C279=""),"",D279+SUM(F279:I279))</f>
        <v/>
      </c>
      <c r="K279" s="67" t="str">
        <f>IF(OR(TaxaJuros="",C279=""),"",100%-J279/D279)</f>
        <v/>
      </c>
    </row>
    <row r="280" spans="5:11" x14ac:dyDescent="0.25">
      <c r="E280" s="15" t="str">
        <f>IF(OR(DataRecebimento="",C280=""),"",C280-$F$7)</f>
        <v/>
      </c>
      <c r="F280" s="16" t="str">
        <f>IF(OR(TaxaJuros="",C280=""),"",-D280*E280*($F$8/30))</f>
        <v/>
      </c>
      <c r="G280" s="16" t="str">
        <f>IF(OR(TaxaJuros="",C280=""),"",-$F$9)</f>
        <v/>
      </c>
      <c r="H280" s="21" t="str">
        <f>IF(OR(TaxaJuros="",C280=""),"",IF(ComSemIOF=FALSE,0,IF(E280&gt;365,-(D280+F280)*365*IOFDiario,-(D280+F280)*E280*IOFDiario)))</f>
        <v/>
      </c>
      <c r="I280" s="21" t="str">
        <f>IF(OR(TaxaJuros="",C280=""),"",IF(ComSemIOF=FALSE,0,-(D280+F280)*IOFAdic))</f>
        <v/>
      </c>
      <c r="J280" s="16" t="str">
        <f>IF(OR(TaxaJuros="",C280=""),"",D280+SUM(F280:I280))</f>
        <v/>
      </c>
      <c r="K280" s="67" t="str">
        <f>IF(OR(TaxaJuros="",C280=""),"",100%-J280/D280)</f>
        <v/>
      </c>
    </row>
    <row r="281" spans="5:11" x14ac:dyDescent="0.25">
      <c r="E281" s="15" t="str">
        <f>IF(OR(DataRecebimento="",C281=""),"",C281-$F$7)</f>
        <v/>
      </c>
      <c r="F281" s="16" t="str">
        <f>IF(OR(TaxaJuros="",C281=""),"",-D281*E281*($F$8/30))</f>
        <v/>
      </c>
      <c r="G281" s="16" t="str">
        <f>IF(OR(TaxaJuros="",C281=""),"",-$F$9)</f>
        <v/>
      </c>
      <c r="H281" s="21" t="str">
        <f>IF(OR(TaxaJuros="",C281=""),"",IF(ComSemIOF=FALSE,0,IF(E281&gt;365,-(D281+F281)*365*IOFDiario,-(D281+F281)*E281*IOFDiario)))</f>
        <v/>
      </c>
      <c r="I281" s="21" t="str">
        <f>IF(OR(TaxaJuros="",C281=""),"",IF(ComSemIOF=FALSE,0,-(D281+F281)*IOFAdic))</f>
        <v/>
      </c>
      <c r="J281" s="16" t="str">
        <f>IF(OR(TaxaJuros="",C281=""),"",D281+SUM(F281:I281))</f>
        <v/>
      </c>
      <c r="K281" s="67" t="str">
        <f>IF(OR(TaxaJuros="",C281=""),"",100%-J281/D281)</f>
        <v/>
      </c>
    </row>
    <row r="282" spans="5:11" x14ac:dyDescent="0.25">
      <c r="E282" s="15" t="str">
        <f>IF(OR(DataRecebimento="",C282=""),"",C282-$F$7)</f>
        <v/>
      </c>
      <c r="F282" s="16" t="str">
        <f>IF(OR(TaxaJuros="",C282=""),"",-D282*E282*($F$8/30))</f>
        <v/>
      </c>
      <c r="G282" s="16" t="str">
        <f>IF(OR(TaxaJuros="",C282=""),"",-$F$9)</f>
        <v/>
      </c>
      <c r="H282" s="21" t="str">
        <f>IF(OR(TaxaJuros="",C282=""),"",IF(ComSemIOF=FALSE,0,IF(E282&gt;365,-(D282+F282)*365*IOFDiario,-(D282+F282)*E282*IOFDiario)))</f>
        <v/>
      </c>
      <c r="I282" s="21" t="str">
        <f>IF(OR(TaxaJuros="",C282=""),"",IF(ComSemIOF=FALSE,0,-(D282+F282)*IOFAdic))</f>
        <v/>
      </c>
      <c r="J282" s="16" t="str">
        <f>IF(OR(TaxaJuros="",C282=""),"",D282+SUM(F282:I282))</f>
        <v/>
      </c>
      <c r="K282" s="67" t="str">
        <f>IF(OR(TaxaJuros="",C282=""),"",100%-J282/D282)</f>
        <v/>
      </c>
    </row>
    <row r="283" spans="5:11" x14ac:dyDescent="0.25">
      <c r="E283" s="15" t="str">
        <f>IF(OR(DataRecebimento="",C283=""),"",C283-$F$7)</f>
        <v/>
      </c>
      <c r="F283" s="16" t="str">
        <f>IF(OR(TaxaJuros="",C283=""),"",-D283*E283*($F$8/30))</f>
        <v/>
      </c>
      <c r="G283" s="16" t="str">
        <f>IF(OR(TaxaJuros="",C283=""),"",-$F$9)</f>
        <v/>
      </c>
      <c r="H283" s="21" t="str">
        <f>IF(OR(TaxaJuros="",C283=""),"",IF(ComSemIOF=FALSE,0,IF(E283&gt;365,-(D283+F283)*365*IOFDiario,-(D283+F283)*E283*IOFDiario)))</f>
        <v/>
      </c>
      <c r="I283" s="21" t="str">
        <f>IF(OR(TaxaJuros="",C283=""),"",IF(ComSemIOF=FALSE,0,-(D283+F283)*IOFAdic))</f>
        <v/>
      </c>
      <c r="J283" s="16" t="str">
        <f>IF(OR(TaxaJuros="",C283=""),"",D283+SUM(F283:I283))</f>
        <v/>
      </c>
      <c r="K283" s="67" t="str">
        <f>IF(OR(TaxaJuros="",C283=""),"",100%-J283/D283)</f>
        <v/>
      </c>
    </row>
    <row r="284" spans="5:11" x14ac:dyDescent="0.25">
      <c r="E284" s="15" t="str">
        <f>IF(OR(DataRecebimento="",C284=""),"",C284-$F$7)</f>
        <v/>
      </c>
      <c r="F284" s="16" t="str">
        <f>IF(OR(TaxaJuros="",C284=""),"",-D284*E284*($F$8/30))</f>
        <v/>
      </c>
      <c r="G284" s="16" t="str">
        <f>IF(OR(TaxaJuros="",C284=""),"",-$F$9)</f>
        <v/>
      </c>
      <c r="H284" s="21" t="str">
        <f>IF(OR(TaxaJuros="",C284=""),"",IF(ComSemIOF=FALSE,0,IF(E284&gt;365,-(D284+F284)*365*IOFDiario,-(D284+F284)*E284*IOFDiario)))</f>
        <v/>
      </c>
      <c r="I284" s="21" t="str">
        <f>IF(OR(TaxaJuros="",C284=""),"",IF(ComSemIOF=FALSE,0,-(D284+F284)*IOFAdic))</f>
        <v/>
      </c>
      <c r="J284" s="16" t="str">
        <f>IF(OR(TaxaJuros="",C284=""),"",D284+SUM(F284:I284))</f>
        <v/>
      </c>
      <c r="K284" s="67" t="str">
        <f>IF(OR(TaxaJuros="",C284=""),"",100%-J284/D284)</f>
        <v/>
      </c>
    </row>
    <row r="285" spans="5:11" x14ac:dyDescent="0.25">
      <c r="E285" s="15" t="str">
        <f>IF(OR(DataRecebimento="",C285=""),"",C285-$F$7)</f>
        <v/>
      </c>
      <c r="F285" s="16" t="str">
        <f>IF(OR(TaxaJuros="",C285=""),"",-D285*E285*($F$8/30))</f>
        <v/>
      </c>
      <c r="G285" s="16" t="str">
        <f>IF(OR(TaxaJuros="",C285=""),"",-$F$9)</f>
        <v/>
      </c>
      <c r="H285" s="21" t="str">
        <f>IF(OR(TaxaJuros="",C285=""),"",IF(ComSemIOF=FALSE,0,IF(E285&gt;365,-(D285+F285)*365*IOFDiario,-(D285+F285)*E285*IOFDiario)))</f>
        <v/>
      </c>
      <c r="I285" s="21" t="str">
        <f>IF(OR(TaxaJuros="",C285=""),"",IF(ComSemIOF=FALSE,0,-(D285+F285)*IOFAdic))</f>
        <v/>
      </c>
      <c r="J285" s="16" t="str">
        <f>IF(OR(TaxaJuros="",C285=""),"",D285+SUM(F285:I285))</f>
        <v/>
      </c>
      <c r="K285" s="67" t="str">
        <f>IF(OR(TaxaJuros="",C285=""),"",100%-J285/D285)</f>
        <v/>
      </c>
    </row>
    <row r="286" spans="5:11" x14ac:dyDescent="0.25">
      <c r="E286" s="15" t="str">
        <f>IF(OR(DataRecebimento="",C286=""),"",C286-$F$7)</f>
        <v/>
      </c>
      <c r="F286" s="16" t="str">
        <f>IF(OR(TaxaJuros="",C286=""),"",-D286*E286*($F$8/30))</f>
        <v/>
      </c>
      <c r="G286" s="16" t="str">
        <f>IF(OR(TaxaJuros="",C286=""),"",-$F$9)</f>
        <v/>
      </c>
      <c r="H286" s="21" t="str">
        <f>IF(OR(TaxaJuros="",C286=""),"",IF(ComSemIOF=FALSE,0,IF(E286&gt;365,-(D286+F286)*365*IOFDiario,-(D286+F286)*E286*IOFDiario)))</f>
        <v/>
      </c>
      <c r="I286" s="21" t="str">
        <f>IF(OR(TaxaJuros="",C286=""),"",IF(ComSemIOF=FALSE,0,-(D286+F286)*IOFAdic))</f>
        <v/>
      </c>
      <c r="J286" s="16" t="str">
        <f>IF(OR(TaxaJuros="",C286=""),"",D286+SUM(F286:I286))</f>
        <v/>
      </c>
      <c r="K286" s="67" t="str">
        <f>IF(OR(TaxaJuros="",C286=""),"",100%-J286/D286)</f>
        <v/>
      </c>
    </row>
    <row r="287" spans="5:11" x14ac:dyDescent="0.25">
      <c r="E287" s="15" t="str">
        <f>IF(OR(DataRecebimento="",C287=""),"",C287-$F$7)</f>
        <v/>
      </c>
      <c r="F287" s="16" t="str">
        <f>IF(OR(TaxaJuros="",C287=""),"",-D287*E287*($F$8/30))</f>
        <v/>
      </c>
      <c r="G287" s="16" t="str">
        <f>IF(OR(TaxaJuros="",C287=""),"",-$F$9)</f>
        <v/>
      </c>
      <c r="H287" s="21" t="str">
        <f>IF(OR(TaxaJuros="",C287=""),"",IF(ComSemIOF=FALSE,0,IF(E287&gt;365,-(D287+F287)*365*IOFDiario,-(D287+F287)*E287*IOFDiario)))</f>
        <v/>
      </c>
      <c r="I287" s="21" t="str">
        <f>IF(OR(TaxaJuros="",C287=""),"",IF(ComSemIOF=FALSE,0,-(D287+F287)*IOFAdic))</f>
        <v/>
      </c>
      <c r="J287" s="16" t="str">
        <f>IF(OR(TaxaJuros="",C287=""),"",D287+SUM(F287:I287))</f>
        <v/>
      </c>
      <c r="K287" s="67" t="str">
        <f>IF(OR(TaxaJuros="",C287=""),"",100%-J287/D287)</f>
        <v/>
      </c>
    </row>
    <row r="288" spans="5:11" x14ac:dyDescent="0.25">
      <c r="E288" s="15" t="str">
        <f>IF(OR(DataRecebimento="",C288=""),"",C288-$F$7)</f>
        <v/>
      </c>
      <c r="F288" s="16" t="str">
        <f>IF(OR(TaxaJuros="",C288=""),"",-D288*E288*($F$8/30))</f>
        <v/>
      </c>
      <c r="G288" s="16" t="str">
        <f>IF(OR(TaxaJuros="",C288=""),"",-$F$9)</f>
        <v/>
      </c>
      <c r="H288" s="21" t="str">
        <f>IF(OR(TaxaJuros="",C288=""),"",IF(ComSemIOF=FALSE,0,IF(E288&gt;365,-(D288+F288)*365*IOFDiario,-(D288+F288)*E288*IOFDiario)))</f>
        <v/>
      </c>
      <c r="I288" s="21" t="str">
        <f>IF(OR(TaxaJuros="",C288=""),"",IF(ComSemIOF=FALSE,0,-(D288+F288)*IOFAdic))</f>
        <v/>
      </c>
      <c r="J288" s="16" t="str">
        <f>IF(OR(TaxaJuros="",C288=""),"",D288+SUM(F288:I288))</f>
        <v/>
      </c>
      <c r="K288" s="67" t="str">
        <f>IF(OR(TaxaJuros="",C288=""),"",100%-J288/D288)</f>
        <v/>
      </c>
    </row>
    <row r="289" spans="5:11" x14ac:dyDescent="0.25">
      <c r="E289" s="15" t="str">
        <f>IF(OR(DataRecebimento="",C289=""),"",C289-$F$7)</f>
        <v/>
      </c>
      <c r="F289" s="16" t="str">
        <f>IF(OR(TaxaJuros="",C289=""),"",-D289*E289*($F$8/30))</f>
        <v/>
      </c>
      <c r="G289" s="16" t="str">
        <f>IF(OR(TaxaJuros="",C289=""),"",-$F$9)</f>
        <v/>
      </c>
      <c r="H289" s="21" t="str">
        <f>IF(OR(TaxaJuros="",C289=""),"",IF(ComSemIOF=FALSE,0,IF(E289&gt;365,-(D289+F289)*365*IOFDiario,-(D289+F289)*E289*IOFDiario)))</f>
        <v/>
      </c>
      <c r="I289" s="21" t="str">
        <f>IF(OR(TaxaJuros="",C289=""),"",IF(ComSemIOF=FALSE,0,-(D289+F289)*IOFAdic))</f>
        <v/>
      </c>
      <c r="J289" s="16" t="str">
        <f>IF(OR(TaxaJuros="",C289=""),"",D289+SUM(F289:I289))</f>
        <v/>
      </c>
      <c r="K289" s="67" t="str">
        <f>IF(OR(TaxaJuros="",C289=""),"",100%-J289/D289)</f>
        <v/>
      </c>
    </row>
    <row r="290" spans="5:11" x14ac:dyDescent="0.25">
      <c r="E290" s="15" t="str">
        <f>IF(OR(DataRecebimento="",C290=""),"",C290-$F$7)</f>
        <v/>
      </c>
      <c r="F290" s="16" t="str">
        <f>IF(OR(TaxaJuros="",C290=""),"",-D290*E290*($F$8/30))</f>
        <v/>
      </c>
      <c r="G290" s="16" t="str">
        <f>IF(OR(TaxaJuros="",C290=""),"",-$F$9)</f>
        <v/>
      </c>
      <c r="H290" s="21" t="str">
        <f>IF(OR(TaxaJuros="",C290=""),"",IF(ComSemIOF=FALSE,0,IF(E290&gt;365,-(D290+F290)*365*IOFDiario,-(D290+F290)*E290*IOFDiario)))</f>
        <v/>
      </c>
      <c r="I290" s="21" t="str">
        <f>IF(OR(TaxaJuros="",C290=""),"",IF(ComSemIOF=FALSE,0,-(D290+F290)*IOFAdic))</f>
        <v/>
      </c>
      <c r="J290" s="16" t="str">
        <f>IF(OR(TaxaJuros="",C290=""),"",D290+SUM(F290:I290))</f>
        <v/>
      </c>
      <c r="K290" s="67" t="str">
        <f>IF(OR(TaxaJuros="",C290=""),"",100%-J290/D290)</f>
        <v/>
      </c>
    </row>
    <row r="291" spans="5:11" x14ac:dyDescent="0.25">
      <c r="E291" s="15" t="str">
        <f>IF(OR(DataRecebimento="",C291=""),"",C291-$F$7)</f>
        <v/>
      </c>
      <c r="F291" s="16" t="str">
        <f>IF(OR(TaxaJuros="",C291=""),"",-D291*E291*($F$8/30))</f>
        <v/>
      </c>
      <c r="G291" s="16" t="str">
        <f>IF(OR(TaxaJuros="",C291=""),"",-$F$9)</f>
        <v/>
      </c>
      <c r="H291" s="21" t="str">
        <f>IF(OR(TaxaJuros="",C291=""),"",IF(ComSemIOF=FALSE,0,IF(E291&gt;365,-(D291+F291)*365*IOFDiario,-(D291+F291)*E291*IOFDiario)))</f>
        <v/>
      </c>
      <c r="I291" s="21" t="str">
        <f>IF(OR(TaxaJuros="",C291=""),"",IF(ComSemIOF=FALSE,0,-(D291+F291)*IOFAdic))</f>
        <v/>
      </c>
      <c r="J291" s="16" t="str">
        <f>IF(OR(TaxaJuros="",C291=""),"",D291+SUM(F291:I291))</f>
        <v/>
      </c>
      <c r="K291" s="67" t="str">
        <f>IF(OR(TaxaJuros="",C291=""),"",100%-J291/D291)</f>
        <v/>
      </c>
    </row>
    <row r="292" spans="5:11" x14ac:dyDescent="0.25">
      <c r="E292" s="15" t="str">
        <f>IF(OR(DataRecebimento="",C292=""),"",C292-$F$7)</f>
        <v/>
      </c>
      <c r="F292" s="16" t="str">
        <f>IF(OR(TaxaJuros="",C292=""),"",-D292*E292*($F$8/30))</f>
        <v/>
      </c>
      <c r="G292" s="16" t="str">
        <f>IF(OR(TaxaJuros="",C292=""),"",-$F$9)</f>
        <v/>
      </c>
      <c r="H292" s="21" t="str">
        <f>IF(OR(TaxaJuros="",C292=""),"",IF(ComSemIOF=FALSE,0,IF(E292&gt;365,-(D292+F292)*365*IOFDiario,-(D292+F292)*E292*IOFDiario)))</f>
        <v/>
      </c>
      <c r="I292" s="21" t="str">
        <f>IF(OR(TaxaJuros="",C292=""),"",IF(ComSemIOF=FALSE,0,-(D292+F292)*IOFAdic))</f>
        <v/>
      </c>
      <c r="J292" s="16" t="str">
        <f>IF(OR(TaxaJuros="",C292=""),"",D292+SUM(F292:I292))</f>
        <v/>
      </c>
      <c r="K292" s="67" t="str">
        <f>IF(OR(TaxaJuros="",C292=""),"",100%-J292/D292)</f>
        <v/>
      </c>
    </row>
    <row r="293" spans="5:11" x14ac:dyDescent="0.25">
      <c r="E293" s="15" t="str">
        <f>IF(OR(DataRecebimento="",C293=""),"",C293-$F$7)</f>
        <v/>
      </c>
      <c r="F293" s="16" t="str">
        <f>IF(OR(TaxaJuros="",C293=""),"",-D293*E293*($F$8/30))</f>
        <v/>
      </c>
      <c r="G293" s="16" t="str">
        <f>IF(OR(TaxaJuros="",C293=""),"",-$F$9)</f>
        <v/>
      </c>
      <c r="H293" s="21" t="str">
        <f>IF(OR(TaxaJuros="",C293=""),"",IF(ComSemIOF=FALSE,0,IF(E293&gt;365,-(D293+F293)*365*IOFDiario,-(D293+F293)*E293*IOFDiario)))</f>
        <v/>
      </c>
      <c r="I293" s="21" t="str">
        <f>IF(OR(TaxaJuros="",C293=""),"",IF(ComSemIOF=FALSE,0,-(D293+F293)*IOFAdic))</f>
        <v/>
      </c>
      <c r="J293" s="16" t="str">
        <f>IF(OR(TaxaJuros="",C293=""),"",D293+SUM(F293:I293))</f>
        <v/>
      </c>
      <c r="K293" s="67" t="str">
        <f>IF(OR(TaxaJuros="",C293=""),"",100%-J293/D293)</f>
        <v/>
      </c>
    </row>
    <row r="294" spans="5:11" x14ac:dyDescent="0.25">
      <c r="E294" s="15" t="str">
        <f>IF(OR(DataRecebimento="",C294=""),"",C294-$F$7)</f>
        <v/>
      </c>
      <c r="F294" s="16" t="str">
        <f>IF(OR(TaxaJuros="",C294=""),"",-D294*E294*($F$8/30))</f>
        <v/>
      </c>
      <c r="G294" s="16" t="str">
        <f>IF(OR(TaxaJuros="",C294=""),"",-$F$9)</f>
        <v/>
      </c>
      <c r="H294" s="21" t="str">
        <f>IF(OR(TaxaJuros="",C294=""),"",IF(ComSemIOF=FALSE,0,IF(E294&gt;365,-(D294+F294)*365*IOFDiario,-(D294+F294)*E294*IOFDiario)))</f>
        <v/>
      </c>
      <c r="I294" s="21" t="str">
        <f>IF(OR(TaxaJuros="",C294=""),"",IF(ComSemIOF=FALSE,0,-(D294+F294)*IOFAdic))</f>
        <v/>
      </c>
      <c r="J294" s="16" t="str">
        <f>IF(OR(TaxaJuros="",C294=""),"",D294+SUM(F294:I294))</f>
        <v/>
      </c>
      <c r="K294" s="67" t="str">
        <f>IF(OR(TaxaJuros="",C294=""),"",100%-J294/D294)</f>
        <v/>
      </c>
    </row>
    <row r="295" spans="5:11" x14ac:dyDescent="0.25">
      <c r="E295" s="15" t="str">
        <f>IF(OR(DataRecebimento="",C295=""),"",C295-$F$7)</f>
        <v/>
      </c>
      <c r="F295" s="16" t="str">
        <f>IF(OR(TaxaJuros="",C295=""),"",-D295*E295*($F$8/30))</f>
        <v/>
      </c>
      <c r="G295" s="16" t="str">
        <f>IF(OR(TaxaJuros="",C295=""),"",-$F$9)</f>
        <v/>
      </c>
      <c r="H295" s="21" t="str">
        <f>IF(OR(TaxaJuros="",C295=""),"",IF(ComSemIOF=FALSE,0,IF(E295&gt;365,-(D295+F295)*365*IOFDiario,-(D295+F295)*E295*IOFDiario)))</f>
        <v/>
      </c>
      <c r="I295" s="21" t="str">
        <f>IF(OR(TaxaJuros="",C295=""),"",IF(ComSemIOF=FALSE,0,-(D295+F295)*IOFAdic))</f>
        <v/>
      </c>
      <c r="J295" s="16" t="str">
        <f>IF(OR(TaxaJuros="",C295=""),"",D295+SUM(F295:I295))</f>
        <v/>
      </c>
      <c r="K295" s="67" t="str">
        <f>IF(OR(TaxaJuros="",C295=""),"",100%-J295/D295)</f>
        <v/>
      </c>
    </row>
    <row r="296" spans="5:11" x14ac:dyDescent="0.25">
      <c r="E296" s="15" t="str">
        <f>IF(OR(DataRecebimento="",C296=""),"",C296-$F$7)</f>
        <v/>
      </c>
      <c r="F296" s="16" t="str">
        <f>IF(OR(TaxaJuros="",C296=""),"",-D296*E296*($F$8/30))</f>
        <v/>
      </c>
      <c r="G296" s="16" t="str">
        <f>IF(OR(TaxaJuros="",C296=""),"",-$F$9)</f>
        <v/>
      </c>
      <c r="H296" s="21" t="str">
        <f>IF(OR(TaxaJuros="",C296=""),"",IF(ComSemIOF=FALSE,0,IF(E296&gt;365,-(D296+F296)*365*IOFDiario,-(D296+F296)*E296*IOFDiario)))</f>
        <v/>
      </c>
      <c r="I296" s="21" t="str">
        <f>IF(OR(TaxaJuros="",C296=""),"",IF(ComSemIOF=FALSE,0,-(D296+F296)*IOFAdic))</f>
        <v/>
      </c>
      <c r="J296" s="16" t="str">
        <f>IF(OR(TaxaJuros="",C296=""),"",D296+SUM(F296:I296))</f>
        <v/>
      </c>
      <c r="K296" s="67" t="str">
        <f>IF(OR(TaxaJuros="",C296=""),"",100%-J296/D296)</f>
        <v/>
      </c>
    </row>
    <row r="297" spans="5:11" x14ac:dyDescent="0.25">
      <c r="E297" s="15" t="str">
        <f>IF(OR(DataRecebimento="",C297=""),"",C297-$F$7)</f>
        <v/>
      </c>
      <c r="F297" s="16" t="str">
        <f>IF(OR(TaxaJuros="",C297=""),"",-D297*E297*($F$8/30))</f>
        <v/>
      </c>
      <c r="G297" s="16" t="str">
        <f>IF(OR(TaxaJuros="",C297=""),"",-$F$9)</f>
        <v/>
      </c>
      <c r="H297" s="21" t="str">
        <f>IF(OR(TaxaJuros="",C297=""),"",IF(ComSemIOF=FALSE,0,IF(E297&gt;365,-(D297+F297)*365*IOFDiario,-(D297+F297)*E297*IOFDiario)))</f>
        <v/>
      </c>
      <c r="I297" s="21" t="str">
        <f>IF(OR(TaxaJuros="",C297=""),"",IF(ComSemIOF=FALSE,0,-(D297+F297)*IOFAdic))</f>
        <v/>
      </c>
      <c r="J297" s="16" t="str">
        <f>IF(OR(TaxaJuros="",C297=""),"",D297+SUM(F297:I297))</f>
        <v/>
      </c>
      <c r="K297" s="67" t="str">
        <f>IF(OR(TaxaJuros="",C297=""),"",100%-J297/D297)</f>
        <v/>
      </c>
    </row>
    <row r="298" spans="5:11" x14ac:dyDescent="0.25">
      <c r="E298" s="15" t="str">
        <f>IF(OR(DataRecebimento="",C298=""),"",C298-$F$7)</f>
        <v/>
      </c>
      <c r="F298" s="16" t="str">
        <f>IF(OR(TaxaJuros="",C298=""),"",-D298*E298*($F$8/30))</f>
        <v/>
      </c>
      <c r="G298" s="16" t="str">
        <f>IF(OR(TaxaJuros="",C298=""),"",-$F$9)</f>
        <v/>
      </c>
      <c r="H298" s="21" t="str">
        <f>IF(OR(TaxaJuros="",C298=""),"",IF(ComSemIOF=FALSE,0,IF(E298&gt;365,-(D298+F298)*365*IOFDiario,-(D298+F298)*E298*IOFDiario)))</f>
        <v/>
      </c>
      <c r="I298" s="21" t="str">
        <f>IF(OR(TaxaJuros="",C298=""),"",IF(ComSemIOF=FALSE,0,-(D298+F298)*IOFAdic))</f>
        <v/>
      </c>
      <c r="J298" s="16" t="str">
        <f>IF(OR(TaxaJuros="",C298=""),"",D298+SUM(F298:I298))</f>
        <v/>
      </c>
      <c r="K298" s="67" t="str">
        <f>IF(OR(TaxaJuros="",C298=""),"",100%-J298/D298)</f>
        <v/>
      </c>
    </row>
    <row r="299" spans="5:11" x14ac:dyDescent="0.25">
      <c r="E299" s="15" t="str">
        <f>IF(OR(DataRecebimento="",C299=""),"",C299-$F$7)</f>
        <v/>
      </c>
      <c r="F299" s="16" t="str">
        <f>IF(OR(TaxaJuros="",C299=""),"",-D299*E299*($F$8/30))</f>
        <v/>
      </c>
      <c r="G299" s="16" t="str">
        <f>IF(OR(TaxaJuros="",C299=""),"",-$F$9)</f>
        <v/>
      </c>
      <c r="H299" s="21" t="str">
        <f>IF(OR(TaxaJuros="",C299=""),"",IF(ComSemIOF=FALSE,0,IF(E299&gt;365,-(D299+F299)*365*IOFDiario,-(D299+F299)*E299*IOFDiario)))</f>
        <v/>
      </c>
      <c r="I299" s="21" t="str">
        <f>IF(OR(TaxaJuros="",C299=""),"",IF(ComSemIOF=FALSE,0,-(D299+F299)*IOFAdic))</f>
        <v/>
      </c>
      <c r="J299" s="16" t="str">
        <f>IF(OR(TaxaJuros="",C299=""),"",D299+SUM(F299:I299))</f>
        <v/>
      </c>
      <c r="K299" s="67" t="str">
        <f>IF(OR(TaxaJuros="",C299=""),"",100%-J299/D299)</f>
        <v/>
      </c>
    </row>
    <row r="300" spans="5:11" x14ac:dyDescent="0.25">
      <c r="E300" s="15" t="str">
        <f>IF(OR(DataRecebimento="",C300=""),"",C300-$F$7)</f>
        <v/>
      </c>
      <c r="F300" s="16" t="str">
        <f>IF(OR(TaxaJuros="",C300=""),"",-D300*E300*($F$8/30))</f>
        <v/>
      </c>
      <c r="G300" s="16" t="str">
        <f>IF(OR(TaxaJuros="",C300=""),"",-$F$9)</f>
        <v/>
      </c>
      <c r="H300" s="21" t="str">
        <f>IF(OR(TaxaJuros="",C300=""),"",IF(ComSemIOF=FALSE,0,IF(E300&gt;365,-(D300+F300)*365*IOFDiario,-(D300+F300)*E300*IOFDiario)))</f>
        <v/>
      </c>
      <c r="I300" s="21" t="str">
        <f>IF(OR(TaxaJuros="",C300=""),"",IF(ComSemIOF=FALSE,0,-(D300+F300)*IOFAdic))</f>
        <v/>
      </c>
      <c r="J300" s="16" t="str">
        <f>IF(OR(TaxaJuros="",C300=""),"",D300+SUM(F300:I300))</f>
        <v/>
      </c>
      <c r="K300" s="67" t="str">
        <f>IF(OR(TaxaJuros="",C300=""),"",100%-J300/D300)</f>
        <v/>
      </c>
    </row>
    <row r="301" spans="5:11" x14ac:dyDescent="0.25">
      <c r="E301" s="15" t="str">
        <f>IF(OR(DataRecebimento="",C301=""),"",C301-$F$7)</f>
        <v/>
      </c>
      <c r="F301" s="16" t="str">
        <f>IF(OR(TaxaJuros="",C301=""),"",-D301*E301*($F$8/30))</f>
        <v/>
      </c>
      <c r="G301" s="16" t="str">
        <f>IF(OR(TaxaJuros="",C301=""),"",-$F$9)</f>
        <v/>
      </c>
      <c r="H301" s="21" t="str">
        <f>IF(OR(TaxaJuros="",C301=""),"",IF(ComSemIOF=FALSE,0,IF(E301&gt;365,-(D301+F301)*365*IOFDiario,-(D301+F301)*E301*IOFDiario)))</f>
        <v/>
      </c>
      <c r="I301" s="21" t="str">
        <f>IF(OR(TaxaJuros="",C301=""),"",IF(ComSemIOF=FALSE,0,-(D301+F301)*IOFAdic))</f>
        <v/>
      </c>
      <c r="J301" s="16" t="str">
        <f>IF(OR(TaxaJuros="",C301=""),"",D301+SUM(F301:I301))</f>
        <v/>
      </c>
      <c r="K301" s="67" t="str">
        <f>IF(OR(TaxaJuros="",C301=""),"",100%-J301/D301)</f>
        <v/>
      </c>
    </row>
    <row r="302" spans="5:11" x14ac:dyDescent="0.25">
      <c r="E302" s="15" t="str">
        <f>IF(OR(DataRecebimento="",C302=""),"",C302-$F$7)</f>
        <v/>
      </c>
      <c r="F302" s="16" t="str">
        <f>IF(OR(TaxaJuros="",C302=""),"",-D302*E302*($F$8/30))</f>
        <v/>
      </c>
      <c r="G302" s="16" t="str">
        <f>IF(OR(TaxaJuros="",C302=""),"",-$F$9)</f>
        <v/>
      </c>
      <c r="H302" s="21" t="str">
        <f>IF(OR(TaxaJuros="",C302=""),"",IF(ComSemIOF=FALSE,0,IF(E302&gt;365,-(D302+F302)*365*IOFDiario,-(D302+F302)*E302*IOFDiario)))</f>
        <v/>
      </c>
      <c r="I302" s="21" t="str">
        <f>IF(OR(TaxaJuros="",C302=""),"",IF(ComSemIOF=FALSE,0,-(D302+F302)*IOFAdic))</f>
        <v/>
      </c>
      <c r="J302" s="16" t="str">
        <f>IF(OR(TaxaJuros="",C302=""),"",D302+SUM(F302:I302))</f>
        <v/>
      </c>
      <c r="K302" s="67" t="str">
        <f>IF(OR(TaxaJuros="",C302=""),"",100%-J302/D302)</f>
        <v/>
      </c>
    </row>
    <row r="303" spans="5:11" x14ac:dyDescent="0.25">
      <c r="E303" s="15" t="str">
        <f>IF(OR(DataRecebimento="",C303=""),"",C303-$F$7)</f>
        <v/>
      </c>
      <c r="F303" s="16" t="str">
        <f>IF(OR(TaxaJuros="",C303=""),"",-D303*E303*($F$8/30))</f>
        <v/>
      </c>
      <c r="G303" s="16" t="str">
        <f>IF(OR(TaxaJuros="",C303=""),"",-$F$9)</f>
        <v/>
      </c>
      <c r="H303" s="21" t="str">
        <f>IF(OR(TaxaJuros="",C303=""),"",IF(ComSemIOF=FALSE,0,IF(E303&gt;365,-(D303+F303)*365*IOFDiario,-(D303+F303)*E303*IOFDiario)))</f>
        <v/>
      </c>
      <c r="I303" s="21" t="str">
        <f>IF(OR(TaxaJuros="",C303=""),"",IF(ComSemIOF=FALSE,0,-(D303+F303)*IOFAdic))</f>
        <v/>
      </c>
      <c r="J303" s="16" t="str">
        <f>IF(OR(TaxaJuros="",C303=""),"",D303+SUM(F303:I303))</f>
        <v/>
      </c>
      <c r="K303" s="67" t="str">
        <f>IF(OR(TaxaJuros="",C303=""),"",100%-J303/D303)</f>
        <v/>
      </c>
    </row>
    <row r="304" spans="5:11" x14ac:dyDescent="0.25">
      <c r="E304" s="15" t="str">
        <f>IF(OR(DataRecebimento="",C304=""),"",C304-$F$7)</f>
        <v/>
      </c>
      <c r="F304" s="16" t="str">
        <f>IF(OR(TaxaJuros="",C304=""),"",-D304*E304*($F$8/30))</f>
        <v/>
      </c>
      <c r="G304" s="16" t="str">
        <f>IF(OR(TaxaJuros="",C304=""),"",-$F$9)</f>
        <v/>
      </c>
      <c r="H304" s="21" t="str">
        <f>IF(OR(TaxaJuros="",C304=""),"",IF(ComSemIOF=FALSE,0,IF(E304&gt;365,-(D304+F304)*365*IOFDiario,-(D304+F304)*E304*IOFDiario)))</f>
        <v/>
      </c>
      <c r="I304" s="21" t="str">
        <f>IF(OR(TaxaJuros="",C304=""),"",IF(ComSemIOF=FALSE,0,-(D304+F304)*IOFAdic))</f>
        <v/>
      </c>
      <c r="J304" s="16" t="str">
        <f>IF(OR(TaxaJuros="",C304=""),"",D304+SUM(F304:I304))</f>
        <v/>
      </c>
      <c r="K304" s="67" t="str">
        <f>IF(OR(TaxaJuros="",C304=""),"",100%-J304/D304)</f>
        <v/>
      </c>
    </row>
    <row r="305" spans="5:11" x14ac:dyDescent="0.25">
      <c r="E305" s="15" t="str">
        <f>IF(OR(DataRecebimento="",C305=""),"",C305-$F$7)</f>
        <v/>
      </c>
      <c r="F305" s="16" t="str">
        <f>IF(OR(TaxaJuros="",C305=""),"",-D305*E305*($F$8/30))</f>
        <v/>
      </c>
      <c r="G305" s="16" t="str">
        <f>IF(OR(TaxaJuros="",C305=""),"",-$F$9)</f>
        <v/>
      </c>
      <c r="H305" s="21" t="str">
        <f>IF(OR(TaxaJuros="",C305=""),"",IF(ComSemIOF=FALSE,0,IF(E305&gt;365,-(D305+F305)*365*IOFDiario,-(D305+F305)*E305*IOFDiario)))</f>
        <v/>
      </c>
      <c r="I305" s="21" t="str">
        <f>IF(OR(TaxaJuros="",C305=""),"",IF(ComSemIOF=FALSE,0,-(D305+F305)*IOFAdic))</f>
        <v/>
      </c>
      <c r="J305" s="16" t="str">
        <f>IF(OR(TaxaJuros="",C305=""),"",D305+SUM(F305:I305))</f>
        <v/>
      </c>
      <c r="K305" s="67" t="str">
        <f>IF(OR(TaxaJuros="",C305=""),"",100%-J305/D305)</f>
        <v/>
      </c>
    </row>
    <row r="306" spans="5:11" x14ac:dyDescent="0.25">
      <c r="E306" s="15" t="str">
        <f>IF(OR(DataRecebimento="",C306=""),"",C306-$F$7)</f>
        <v/>
      </c>
      <c r="F306" s="16" t="str">
        <f>IF(OR(TaxaJuros="",C306=""),"",-D306*E306*($F$8/30))</f>
        <v/>
      </c>
      <c r="G306" s="16" t="str">
        <f>IF(OR(TaxaJuros="",C306=""),"",-$F$9)</f>
        <v/>
      </c>
      <c r="H306" s="21" t="str">
        <f>IF(OR(TaxaJuros="",C306=""),"",IF(ComSemIOF=FALSE,0,IF(E306&gt;365,-(D306+F306)*365*IOFDiario,-(D306+F306)*E306*IOFDiario)))</f>
        <v/>
      </c>
      <c r="I306" s="21" t="str">
        <f>IF(OR(TaxaJuros="",C306=""),"",IF(ComSemIOF=FALSE,0,-(D306+F306)*IOFAdic))</f>
        <v/>
      </c>
      <c r="J306" s="16" t="str">
        <f>IF(OR(TaxaJuros="",C306=""),"",D306+SUM(F306:I306))</f>
        <v/>
      </c>
      <c r="K306" s="67" t="str">
        <f>IF(OR(TaxaJuros="",C306=""),"",100%-J306/D306)</f>
        <v/>
      </c>
    </row>
    <row r="307" spans="5:11" x14ac:dyDescent="0.25">
      <c r="E307" s="15" t="str">
        <f>IF(OR(DataRecebimento="",C307=""),"",C307-$F$7)</f>
        <v/>
      </c>
      <c r="F307" s="16" t="str">
        <f>IF(OR(TaxaJuros="",C307=""),"",-D307*E307*($F$8/30))</f>
        <v/>
      </c>
      <c r="G307" s="16" t="str">
        <f>IF(OR(TaxaJuros="",C307=""),"",-$F$9)</f>
        <v/>
      </c>
      <c r="H307" s="21" t="str">
        <f>IF(OR(TaxaJuros="",C307=""),"",IF(ComSemIOF=FALSE,0,IF(E307&gt;365,-(D307+F307)*365*IOFDiario,-(D307+F307)*E307*IOFDiario)))</f>
        <v/>
      </c>
      <c r="I307" s="21" t="str">
        <f>IF(OR(TaxaJuros="",C307=""),"",IF(ComSemIOF=FALSE,0,-(D307+F307)*IOFAdic))</f>
        <v/>
      </c>
      <c r="J307" s="16" t="str">
        <f>IF(OR(TaxaJuros="",C307=""),"",D307+SUM(F307:I307))</f>
        <v/>
      </c>
      <c r="K307" s="67" t="str">
        <f>IF(OR(TaxaJuros="",C307=""),"",100%-J307/D307)</f>
        <v/>
      </c>
    </row>
    <row r="308" spans="5:11" x14ac:dyDescent="0.25">
      <c r="E308" s="15" t="str">
        <f>IF(OR(DataRecebimento="",C308=""),"",C308-$F$7)</f>
        <v/>
      </c>
      <c r="F308" s="16" t="str">
        <f>IF(OR(TaxaJuros="",C308=""),"",-D308*E308*($F$8/30))</f>
        <v/>
      </c>
      <c r="G308" s="16" t="str">
        <f>IF(OR(TaxaJuros="",C308=""),"",-$F$9)</f>
        <v/>
      </c>
      <c r="H308" s="21" t="str">
        <f>IF(OR(TaxaJuros="",C308=""),"",IF(ComSemIOF=FALSE,0,IF(E308&gt;365,-(D308+F308)*365*IOFDiario,-(D308+F308)*E308*IOFDiario)))</f>
        <v/>
      </c>
      <c r="I308" s="21" t="str">
        <f>IF(OR(TaxaJuros="",C308=""),"",IF(ComSemIOF=FALSE,0,-(D308+F308)*IOFAdic))</f>
        <v/>
      </c>
      <c r="J308" s="16" t="str">
        <f>IF(OR(TaxaJuros="",C308=""),"",D308+SUM(F308:I308))</f>
        <v/>
      </c>
      <c r="K308" s="67" t="str">
        <f>IF(OR(TaxaJuros="",C308=""),"",100%-J308/D308)</f>
        <v/>
      </c>
    </row>
    <row r="309" spans="5:11" x14ac:dyDescent="0.25">
      <c r="E309" s="15" t="str">
        <f>IF(OR(DataRecebimento="",C309=""),"",C309-$F$7)</f>
        <v/>
      </c>
      <c r="F309" s="16" t="str">
        <f>IF(OR(TaxaJuros="",C309=""),"",-D309*E309*($F$8/30))</f>
        <v/>
      </c>
      <c r="G309" s="16" t="str">
        <f>IF(OR(TaxaJuros="",C309=""),"",-$F$9)</f>
        <v/>
      </c>
      <c r="H309" s="21" t="str">
        <f>IF(OR(TaxaJuros="",C309=""),"",IF(ComSemIOF=FALSE,0,IF(E309&gt;365,-(D309+F309)*365*IOFDiario,-(D309+F309)*E309*IOFDiario)))</f>
        <v/>
      </c>
      <c r="I309" s="21" t="str">
        <f>IF(OR(TaxaJuros="",C309=""),"",IF(ComSemIOF=FALSE,0,-(D309+F309)*IOFAdic))</f>
        <v/>
      </c>
      <c r="J309" s="16" t="str">
        <f>IF(OR(TaxaJuros="",C309=""),"",D309+SUM(F309:I309))</f>
        <v/>
      </c>
      <c r="K309" s="67" t="str">
        <f>IF(OR(TaxaJuros="",C309=""),"",100%-J309/D309)</f>
        <v/>
      </c>
    </row>
    <row r="310" spans="5:11" x14ac:dyDescent="0.25">
      <c r="E310" s="15" t="str">
        <f>IF(OR(DataRecebimento="",C310=""),"",C310-$F$7)</f>
        <v/>
      </c>
      <c r="F310" s="16" t="str">
        <f>IF(OR(TaxaJuros="",C310=""),"",-D310*E310*($F$8/30))</f>
        <v/>
      </c>
      <c r="G310" s="16" t="str">
        <f>IF(OR(TaxaJuros="",C310=""),"",-$F$9)</f>
        <v/>
      </c>
      <c r="H310" s="21" t="str">
        <f>IF(OR(TaxaJuros="",C310=""),"",IF(ComSemIOF=FALSE,0,IF(E310&gt;365,-(D310+F310)*365*IOFDiario,-(D310+F310)*E310*IOFDiario)))</f>
        <v/>
      </c>
      <c r="I310" s="21" t="str">
        <f>IF(OR(TaxaJuros="",C310=""),"",IF(ComSemIOF=FALSE,0,-(D310+F310)*IOFAdic))</f>
        <v/>
      </c>
      <c r="J310" s="16" t="str">
        <f>IF(OR(TaxaJuros="",C310=""),"",D310+SUM(F310:I310))</f>
        <v/>
      </c>
      <c r="K310" s="67" t="str">
        <f>IF(OR(TaxaJuros="",C310=""),"",100%-J310/D310)</f>
        <v/>
      </c>
    </row>
    <row r="311" spans="5:11" x14ac:dyDescent="0.25">
      <c r="E311" s="15" t="str">
        <f>IF(OR(DataRecebimento="",C311=""),"",C311-$F$7)</f>
        <v/>
      </c>
      <c r="F311" s="16" t="str">
        <f>IF(OR(TaxaJuros="",C311=""),"",-D311*E311*($F$8/30))</f>
        <v/>
      </c>
      <c r="G311" s="16" t="str">
        <f>IF(OR(TaxaJuros="",C311=""),"",-$F$9)</f>
        <v/>
      </c>
      <c r="H311" s="21" t="str">
        <f>IF(OR(TaxaJuros="",C311=""),"",IF(ComSemIOF=FALSE,0,IF(E311&gt;365,-(D311+F311)*365*IOFDiario,-(D311+F311)*E311*IOFDiario)))</f>
        <v/>
      </c>
      <c r="I311" s="21" t="str">
        <f>IF(OR(TaxaJuros="",C311=""),"",IF(ComSemIOF=FALSE,0,-(D311+F311)*IOFAdic))</f>
        <v/>
      </c>
      <c r="J311" s="16" t="str">
        <f>IF(OR(TaxaJuros="",C311=""),"",D311+SUM(F311:I311))</f>
        <v/>
      </c>
      <c r="K311" s="67" t="str">
        <f>IF(OR(TaxaJuros="",C311=""),"",100%-J311/D311)</f>
        <v/>
      </c>
    </row>
    <row r="312" spans="5:11" x14ac:dyDescent="0.25">
      <c r="E312" s="15" t="str">
        <f>IF(OR(DataRecebimento="",C312=""),"",C312-$F$7)</f>
        <v/>
      </c>
      <c r="F312" s="16" t="str">
        <f>IF(OR(TaxaJuros="",C312=""),"",-D312*E312*($F$8/30))</f>
        <v/>
      </c>
      <c r="G312" s="16" t="str">
        <f>IF(OR(TaxaJuros="",C312=""),"",-$F$9)</f>
        <v/>
      </c>
      <c r="H312" s="21" t="str">
        <f>IF(OR(TaxaJuros="",C312=""),"",IF(ComSemIOF=FALSE,0,IF(E312&gt;365,-(D312+F312)*365*IOFDiario,-(D312+F312)*E312*IOFDiario)))</f>
        <v/>
      </c>
      <c r="I312" s="21" t="str">
        <f>IF(OR(TaxaJuros="",C312=""),"",IF(ComSemIOF=FALSE,0,-(D312+F312)*IOFAdic))</f>
        <v/>
      </c>
      <c r="J312" s="16" t="str">
        <f>IF(OR(TaxaJuros="",C312=""),"",D312+SUM(F312:I312))</f>
        <v/>
      </c>
      <c r="K312" s="67" t="str">
        <f>IF(OR(TaxaJuros="",C312=""),"",100%-J312/D312)</f>
        <v/>
      </c>
    </row>
    <row r="313" spans="5:11" x14ac:dyDescent="0.25">
      <c r="E313" s="15" t="str">
        <f>IF(OR(DataRecebimento="",C313=""),"",C313-$F$7)</f>
        <v/>
      </c>
      <c r="F313" s="16" t="str">
        <f>IF(OR(TaxaJuros="",C313=""),"",-D313*E313*($F$8/30))</f>
        <v/>
      </c>
      <c r="G313" s="16" t="str">
        <f>IF(OR(TaxaJuros="",C313=""),"",-$F$9)</f>
        <v/>
      </c>
      <c r="H313" s="21" t="str">
        <f>IF(OR(TaxaJuros="",C313=""),"",IF(ComSemIOF=FALSE,0,IF(E313&gt;365,-(D313+F313)*365*IOFDiario,-(D313+F313)*E313*IOFDiario)))</f>
        <v/>
      </c>
      <c r="I313" s="21" t="str">
        <f>IF(OR(TaxaJuros="",C313=""),"",IF(ComSemIOF=FALSE,0,-(D313+F313)*IOFAdic))</f>
        <v/>
      </c>
      <c r="J313" s="16" t="str">
        <f>IF(OR(TaxaJuros="",C313=""),"",D313+SUM(F313:I313))</f>
        <v/>
      </c>
      <c r="K313" s="67" t="str">
        <f>IF(OR(TaxaJuros="",C313=""),"",100%-J313/D313)</f>
        <v/>
      </c>
    </row>
    <row r="314" spans="5:11" x14ac:dyDescent="0.25">
      <c r="E314" s="15" t="str">
        <f>IF(OR(DataRecebimento="",C314=""),"",C314-$F$7)</f>
        <v/>
      </c>
      <c r="F314" s="16" t="str">
        <f>IF(OR(TaxaJuros="",C314=""),"",-D314*E314*($F$8/30))</f>
        <v/>
      </c>
      <c r="G314" s="16" t="str">
        <f>IF(OR(TaxaJuros="",C314=""),"",-$F$9)</f>
        <v/>
      </c>
      <c r="H314" s="21" t="str">
        <f>IF(OR(TaxaJuros="",C314=""),"",IF(ComSemIOF=FALSE,0,IF(E314&gt;365,-(D314+F314)*365*IOFDiario,-(D314+F314)*E314*IOFDiario)))</f>
        <v/>
      </c>
      <c r="I314" s="21" t="str">
        <f>IF(OR(TaxaJuros="",C314=""),"",IF(ComSemIOF=FALSE,0,-(D314+F314)*IOFAdic))</f>
        <v/>
      </c>
      <c r="J314" s="16" t="str">
        <f>IF(OR(TaxaJuros="",C314=""),"",D314+SUM(F314:I314))</f>
        <v/>
      </c>
      <c r="K314" s="67" t="str">
        <f>IF(OR(TaxaJuros="",C314=""),"",100%-J314/D314)</f>
        <v/>
      </c>
    </row>
    <row r="315" spans="5:11" x14ac:dyDescent="0.25">
      <c r="E315" s="15" t="str">
        <f>IF(OR(DataRecebimento="",C315=""),"",C315-$F$7)</f>
        <v/>
      </c>
      <c r="F315" s="16" t="str">
        <f>IF(OR(TaxaJuros="",C315=""),"",-D315*E315*($F$8/30))</f>
        <v/>
      </c>
      <c r="G315" s="16" t="str">
        <f>IF(OR(TaxaJuros="",C315=""),"",-$F$9)</f>
        <v/>
      </c>
      <c r="H315" s="21" t="str">
        <f>IF(OR(TaxaJuros="",C315=""),"",IF(ComSemIOF=FALSE,0,IF(E315&gt;365,-(D315+F315)*365*IOFDiario,-(D315+F315)*E315*IOFDiario)))</f>
        <v/>
      </c>
      <c r="I315" s="21" t="str">
        <f>IF(OR(TaxaJuros="",C315=""),"",IF(ComSemIOF=FALSE,0,-(D315+F315)*IOFAdic))</f>
        <v/>
      </c>
      <c r="J315" s="16" t="str">
        <f>IF(OR(TaxaJuros="",C315=""),"",D315+SUM(F315:I315))</f>
        <v/>
      </c>
      <c r="K315" s="67" t="str">
        <f>IF(OR(TaxaJuros="",C315=""),"",100%-J315/D315)</f>
        <v/>
      </c>
    </row>
    <row r="316" spans="5:11" x14ac:dyDescent="0.25">
      <c r="E316" s="15" t="str">
        <f>IF(OR(DataRecebimento="",C316=""),"",C316-$F$7)</f>
        <v/>
      </c>
      <c r="F316" s="16" t="str">
        <f>IF(OR(TaxaJuros="",C316=""),"",-D316*E316*($F$8/30))</f>
        <v/>
      </c>
      <c r="G316" s="16" t="str">
        <f>IF(OR(TaxaJuros="",C316=""),"",-$F$9)</f>
        <v/>
      </c>
      <c r="H316" s="21" t="str">
        <f>IF(OR(TaxaJuros="",C316=""),"",IF(ComSemIOF=FALSE,0,IF(E316&gt;365,-(D316+F316)*365*IOFDiario,-(D316+F316)*E316*IOFDiario)))</f>
        <v/>
      </c>
      <c r="I316" s="21" t="str">
        <f>IF(OR(TaxaJuros="",C316=""),"",IF(ComSemIOF=FALSE,0,-(D316+F316)*IOFAdic))</f>
        <v/>
      </c>
      <c r="J316" s="16" t="str">
        <f>IF(OR(TaxaJuros="",C316=""),"",D316+SUM(F316:I316))</f>
        <v/>
      </c>
      <c r="K316" s="67" t="str">
        <f>IF(OR(TaxaJuros="",C316=""),"",100%-J316/D316)</f>
        <v/>
      </c>
    </row>
    <row r="317" spans="5:11" x14ac:dyDescent="0.25">
      <c r="E317" s="15" t="str">
        <f>IF(OR(DataRecebimento="",C317=""),"",C317-$F$7)</f>
        <v/>
      </c>
      <c r="F317" s="16" t="str">
        <f>IF(OR(TaxaJuros="",C317=""),"",-D317*E317*($F$8/30))</f>
        <v/>
      </c>
      <c r="G317" s="16" t="str">
        <f>IF(OR(TaxaJuros="",C317=""),"",-$F$9)</f>
        <v/>
      </c>
      <c r="H317" s="21" t="str">
        <f>IF(OR(TaxaJuros="",C317=""),"",IF(ComSemIOF=FALSE,0,IF(E317&gt;365,-(D317+F317)*365*IOFDiario,-(D317+F317)*E317*IOFDiario)))</f>
        <v/>
      </c>
      <c r="I317" s="21" t="str">
        <f>IF(OR(TaxaJuros="",C317=""),"",IF(ComSemIOF=FALSE,0,-(D317+F317)*IOFAdic))</f>
        <v/>
      </c>
      <c r="J317" s="16" t="str">
        <f>IF(OR(TaxaJuros="",C317=""),"",D317+SUM(F317:I317))</f>
        <v/>
      </c>
      <c r="K317" s="67" t="str">
        <f>IF(OR(TaxaJuros="",C317=""),"",100%-J317/D317)</f>
        <v/>
      </c>
    </row>
    <row r="318" spans="5:11" x14ac:dyDescent="0.25">
      <c r="E318" s="15" t="str">
        <f>IF(OR(DataRecebimento="",C318=""),"",C318-$F$7)</f>
        <v/>
      </c>
      <c r="F318" s="16" t="str">
        <f>IF(OR(TaxaJuros="",C318=""),"",-D318*E318*($F$8/30))</f>
        <v/>
      </c>
      <c r="G318" s="16" t="str">
        <f>IF(OR(TaxaJuros="",C318=""),"",-$F$9)</f>
        <v/>
      </c>
      <c r="H318" s="21" t="str">
        <f>IF(OR(TaxaJuros="",C318=""),"",IF(ComSemIOF=FALSE,0,IF(E318&gt;365,-(D318+F318)*365*IOFDiario,-(D318+F318)*E318*IOFDiario)))</f>
        <v/>
      </c>
      <c r="I318" s="21" t="str">
        <f>IF(OR(TaxaJuros="",C318=""),"",IF(ComSemIOF=FALSE,0,-(D318+F318)*IOFAdic))</f>
        <v/>
      </c>
      <c r="J318" s="16" t="str">
        <f>IF(OR(TaxaJuros="",C318=""),"",D318+SUM(F318:I318))</f>
        <v/>
      </c>
      <c r="K318" s="67" t="str">
        <f>IF(OR(TaxaJuros="",C318=""),"",100%-J318/D318)</f>
        <v/>
      </c>
    </row>
    <row r="319" spans="5:11" x14ac:dyDescent="0.25">
      <c r="E319" s="15" t="str">
        <f>IF(OR(DataRecebimento="",C319=""),"",C319-$F$7)</f>
        <v/>
      </c>
      <c r="F319" s="16" t="str">
        <f>IF(OR(TaxaJuros="",C319=""),"",-D319*E319*($F$8/30))</f>
        <v/>
      </c>
      <c r="G319" s="16" t="str">
        <f>IF(OR(TaxaJuros="",C319=""),"",-$F$9)</f>
        <v/>
      </c>
      <c r="H319" s="21" t="str">
        <f>IF(OR(TaxaJuros="",C319=""),"",IF(ComSemIOF=FALSE,0,IF(E319&gt;365,-(D319+F319)*365*IOFDiario,-(D319+F319)*E319*IOFDiario)))</f>
        <v/>
      </c>
      <c r="I319" s="21" t="str">
        <f>IF(OR(TaxaJuros="",C319=""),"",IF(ComSemIOF=FALSE,0,-(D319+F319)*IOFAdic))</f>
        <v/>
      </c>
      <c r="J319" s="16" t="str">
        <f>IF(OR(TaxaJuros="",C319=""),"",D319+SUM(F319:I319))</f>
        <v/>
      </c>
      <c r="K319" s="67" t="str">
        <f>IF(OR(TaxaJuros="",C319=""),"",100%-J319/D319)</f>
        <v/>
      </c>
    </row>
    <row r="320" spans="5:11" x14ac:dyDescent="0.25">
      <c r="E320" s="15" t="str">
        <f>IF(OR(DataRecebimento="",C320=""),"",C320-$F$7)</f>
        <v/>
      </c>
      <c r="F320" s="16" t="str">
        <f>IF(OR(TaxaJuros="",C320=""),"",-D320*E320*($F$8/30))</f>
        <v/>
      </c>
      <c r="G320" s="16" t="str">
        <f>IF(OR(TaxaJuros="",C320=""),"",-$F$9)</f>
        <v/>
      </c>
      <c r="H320" s="21" t="str">
        <f>IF(OR(TaxaJuros="",C320=""),"",IF(ComSemIOF=FALSE,0,IF(E320&gt;365,-(D320+F320)*365*IOFDiario,-(D320+F320)*E320*IOFDiario)))</f>
        <v/>
      </c>
      <c r="I320" s="21" t="str">
        <f>IF(OR(TaxaJuros="",C320=""),"",IF(ComSemIOF=FALSE,0,-(D320+F320)*IOFAdic))</f>
        <v/>
      </c>
      <c r="J320" s="16" t="str">
        <f>IF(OR(TaxaJuros="",C320=""),"",D320+SUM(F320:I320))</f>
        <v/>
      </c>
      <c r="K320" s="67" t="str">
        <f>IF(OR(TaxaJuros="",C320=""),"",100%-J320/D320)</f>
        <v/>
      </c>
    </row>
    <row r="321" spans="5:11" x14ac:dyDescent="0.25">
      <c r="E321" s="15" t="str">
        <f>IF(OR(DataRecebimento="",C321=""),"",C321-$F$7)</f>
        <v/>
      </c>
      <c r="F321" s="16" t="str">
        <f>IF(OR(TaxaJuros="",C321=""),"",-D321*E321*($F$8/30))</f>
        <v/>
      </c>
      <c r="G321" s="16" t="str">
        <f>IF(OR(TaxaJuros="",C321=""),"",-$F$9)</f>
        <v/>
      </c>
      <c r="H321" s="21" t="str">
        <f>IF(OR(TaxaJuros="",C321=""),"",IF(ComSemIOF=FALSE,0,IF(E321&gt;365,-(D321+F321)*365*IOFDiario,-(D321+F321)*E321*IOFDiario)))</f>
        <v/>
      </c>
      <c r="I321" s="21" t="str">
        <f>IF(OR(TaxaJuros="",C321=""),"",IF(ComSemIOF=FALSE,0,-(D321+F321)*IOFAdic))</f>
        <v/>
      </c>
      <c r="J321" s="16" t="str">
        <f>IF(OR(TaxaJuros="",C321=""),"",D321+SUM(F321:I321))</f>
        <v/>
      </c>
      <c r="K321" s="67" t="str">
        <f>IF(OR(TaxaJuros="",C321=""),"",100%-J321/D321)</f>
        <v/>
      </c>
    </row>
    <row r="322" spans="5:11" x14ac:dyDescent="0.25">
      <c r="E322" s="15" t="str">
        <f>IF(OR(DataRecebimento="",C322=""),"",C322-$F$7)</f>
        <v/>
      </c>
      <c r="F322" s="16" t="str">
        <f>IF(OR(TaxaJuros="",C322=""),"",-D322*E322*($F$8/30))</f>
        <v/>
      </c>
      <c r="G322" s="16" t="str">
        <f>IF(OR(TaxaJuros="",C322=""),"",-$F$9)</f>
        <v/>
      </c>
      <c r="H322" s="21" t="str">
        <f>IF(OR(TaxaJuros="",C322=""),"",IF(ComSemIOF=FALSE,0,IF(E322&gt;365,-(D322+F322)*365*IOFDiario,-(D322+F322)*E322*IOFDiario)))</f>
        <v/>
      </c>
      <c r="I322" s="21" t="str">
        <f>IF(OR(TaxaJuros="",C322=""),"",IF(ComSemIOF=FALSE,0,-(D322+F322)*IOFAdic))</f>
        <v/>
      </c>
      <c r="J322" s="16" t="str">
        <f>IF(OR(TaxaJuros="",C322=""),"",D322+SUM(F322:I322))</f>
        <v/>
      </c>
      <c r="K322" s="67" t="str">
        <f>IF(OR(TaxaJuros="",C322=""),"",100%-J322/D322)</f>
        <v/>
      </c>
    </row>
    <row r="323" spans="5:11" x14ac:dyDescent="0.25">
      <c r="E323" s="15" t="str">
        <f>IF(OR(DataRecebimento="",C323=""),"",C323-$F$7)</f>
        <v/>
      </c>
      <c r="F323" s="16" t="str">
        <f>IF(OR(TaxaJuros="",C323=""),"",-D323*E323*($F$8/30))</f>
        <v/>
      </c>
      <c r="G323" s="16" t="str">
        <f>IF(OR(TaxaJuros="",C323=""),"",-$F$9)</f>
        <v/>
      </c>
      <c r="H323" s="21" t="str">
        <f>IF(OR(TaxaJuros="",C323=""),"",IF(ComSemIOF=FALSE,0,IF(E323&gt;365,-(D323+F323)*365*IOFDiario,-(D323+F323)*E323*IOFDiario)))</f>
        <v/>
      </c>
      <c r="I323" s="21" t="str">
        <f>IF(OR(TaxaJuros="",C323=""),"",IF(ComSemIOF=FALSE,0,-(D323+F323)*IOFAdic))</f>
        <v/>
      </c>
      <c r="J323" s="16" t="str">
        <f>IF(OR(TaxaJuros="",C323=""),"",D323+SUM(F323:I323))</f>
        <v/>
      </c>
      <c r="K323" s="67" t="str">
        <f>IF(OR(TaxaJuros="",C323=""),"",100%-J323/D323)</f>
        <v/>
      </c>
    </row>
    <row r="324" spans="5:11" x14ac:dyDescent="0.25">
      <c r="E324" s="15" t="str">
        <f>IF(OR(DataRecebimento="",C324=""),"",C324-$F$7)</f>
        <v/>
      </c>
      <c r="F324" s="16" t="str">
        <f>IF(OR(TaxaJuros="",C324=""),"",-D324*E324*($F$8/30))</f>
        <v/>
      </c>
      <c r="G324" s="16" t="str">
        <f>IF(OR(TaxaJuros="",C324=""),"",-$F$9)</f>
        <v/>
      </c>
      <c r="H324" s="21" t="str">
        <f>IF(OR(TaxaJuros="",C324=""),"",IF(ComSemIOF=FALSE,0,IF(E324&gt;365,-(D324+F324)*365*IOFDiario,-(D324+F324)*E324*IOFDiario)))</f>
        <v/>
      </c>
      <c r="I324" s="21" t="str">
        <f>IF(OR(TaxaJuros="",C324=""),"",IF(ComSemIOF=FALSE,0,-(D324+F324)*IOFAdic))</f>
        <v/>
      </c>
      <c r="J324" s="16" t="str">
        <f>IF(OR(TaxaJuros="",C324=""),"",D324+SUM(F324:I324))</f>
        <v/>
      </c>
      <c r="K324" s="67" t="str">
        <f>IF(OR(TaxaJuros="",C324=""),"",100%-J324/D324)</f>
        <v/>
      </c>
    </row>
    <row r="325" spans="5:11" x14ac:dyDescent="0.25">
      <c r="E325" s="15" t="str">
        <f>IF(OR(DataRecebimento="",C325=""),"",C325-$F$7)</f>
        <v/>
      </c>
      <c r="F325" s="16" t="str">
        <f>IF(OR(TaxaJuros="",C325=""),"",-D325*E325*($F$8/30))</f>
        <v/>
      </c>
      <c r="G325" s="16" t="str">
        <f>IF(OR(TaxaJuros="",C325=""),"",-$F$9)</f>
        <v/>
      </c>
      <c r="H325" s="21" t="str">
        <f>IF(OR(TaxaJuros="",C325=""),"",IF(ComSemIOF=FALSE,0,IF(E325&gt;365,-(D325+F325)*365*IOFDiario,-(D325+F325)*E325*IOFDiario)))</f>
        <v/>
      </c>
      <c r="I325" s="21" t="str">
        <f>IF(OR(TaxaJuros="",C325=""),"",IF(ComSemIOF=FALSE,0,-(D325+F325)*IOFAdic))</f>
        <v/>
      </c>
      <c r="J325" s="16" t="str">
        <f>IF(OR(TaxaJuros="",C325=""),"",D325+SUM(F325:I325))</f>
        <v/>
      </c>
      <c r="K325" s="67" t="str">
        <f>IF(OR(TaxaJuros="",C325=""),"",100%-J325/D325)</f>
        <v/>
      </c>
    </row>
    <row r="326" spans="5:11" x14ac:dyDescent="0.25">
      <c r="E326" s="15" t="str">
        <f>IF(OR(DataRecebimento="",C326=""),"",C326-$F$7)</f>
        <v/>
      </c>
      <c r="F326" s="16" t="str">
        <f>IF(OR(TaxaJuros="",C326=""),"",-D326*E326*($F$8/30))</f>
        <v/>
      </c>
      <c r="G326" s="16" t="str">
        <f>IF(OR(TaxaJuros="",C326=""),"",-$F$9)</f>
        <v/>
      </c>
      <c r="H326" s="21" t="str">
        <f>IF(OR(TaxaJuros="",C326=""),"",IF(ComSemIOF=FALSE,0,IF(E326&gt;365,-(D326+F326)*365*IOFDiario,-(D326+F326)*E326*IOFDiario)))</f>
        <v/>
      </c>
      <c r="I326" s="21" t="str">
        <f>IF(OR(TaxaJuros="",C326=""),"",IF(ComSemIOF=FALSE,0,-(D326+F326)*IOFAdic))</f>
        <v/>
      </c>
      <c r="J326" s="16" t="str">
        <f>IF(OR(TaxaJuros="",C326=""),"",D326+SUM(F326:I326))</f>
        <v/>
      </c>
      <c r="K326" s="67" t="str">
        <f>IF(OR(TaxaJuros="",C326=""),"",100%-J326/D326)</f>
        <v/>
      </c>
    </row>
    <row r="327" spans="5:11" x14ac:dyDescent="0.25">
      <c r="E327" s="15" t="str">
        <f>IF(OR(DataRecebimento="",C327=""),"",C327-$F$7)</f>
        <v/>
      </c>
      <c r="F327" s="16" t="str">
        <f>IF(OR(TaxaJuros="",C327=""),"",-D327*E327*($F$8/30))</f>
        <v/>
      </c>
      <c r="G327" s="16" t="str">
        <f>IF(OR(TaxaJuros="",C327=""),"",-$F$9)</f>
        <v/>
      </c>
      <c r="H327" s="21" t="str">
        <f>IF(OR(TaxaJuros="",C327=""),"",IF(ComSemIOF=FALSE,0,IF(E327&gt;365,-(D327+F327)*365*IOFDiario,-(D327+F327)*E327*IOFDiario)))</f>
        <v/>
      </c>
      <c r="I327" s="21" t="str">
        <f>IF(OR(TaxaJuros="",C327=""),"",IF(ComSemIOF=FALSE,0,-(D327+F327)*IOFAdic))</f>
        <v/>
      </c>
      <c r="J327" s="16" t="str">
        <f>IF(OR(TaxaJuros="",C327=""),"",D327+SUM(F327:I327))</f>
        <v/>
      </c>
      <c r="K327" s="67" t="str">
        <f>IF(OR(TaxaJuros="",C327=""),"",100%-J327/D327)</f>
        <v/>
      </c>
    </row>
    <row r="328" spans="5:11" x14ac:dyDescent="0.25">
      <c r="E328" s="15" t="str">
        <f>IF(OR(DataRecebimento="",C328=""),"",C328-$F$7)</f>
        <v/>
      </c>
      <c r="F328" s="16" t="str">
        <f>IF(OR(TaxaJuros="",C328=""),"",-D328*E328*($F$8/30))</f>
        <v/>
      </c>
      <c r="G328" s="16" t="str">
        <f>IF(OR(TaxaJuros="",C328=""),"",-$F$9)</f>
        <v/>
      </c>
      <c r="H328" s="21" t="str">
        <f>IF(OR(TaxaJuros="",C328=""),"",IF(ComSemIOF=FALSE,0,IF(E328&gt;365,-(D328+F328)*365*IOFDiario,-(D328+F328)*E328*IOFDiario)))</f>
        <v/>
      </c>
      <c r="I328" s="21" t="str">
        <f>IF(OR(TaxaJuros="",C328=""),"",IF(ComSemIOF=FALSE,0,-(D328+F328)*IOFAdic))</f>
        <v/>
      </c>
      <c r="J328" s="16" t="str">
        <f>IF(OR(TaxaJuros="",C328=""),"",D328+SUM(F328:I328))</f>
        <v/>
      </c>
      <c r="K328" s="67" t="str">
        <f>IF(OR(TaxaJuros="",C328=""),"",100%-J328/D328)</f>
        <v/>
      </c>
    </row>
    <row r="329" spans="5:11" x14ac:dyDescent="0.25">
      <c r="E329" s="15" t="str">
        <f>IF(OR(DataRecebimento="",C329=""),"",C329-$F$7)</f>
        <v/>
      </c>
      <c r="F329" s="16" t="str">
        <f>IF(OR(TaxaJuros="",C329=""),"",-D329*E329*($F$8/30))</f>
        <v/>
      </c>
      <c r="G329" s="16" t="str">
        <f>IF(OR(TaxaJuros="",C329=""),"",-$F$9)</f>
        <v/>
      </c>
      <c r="H329" s="21" t="str">
        <f>IF(OR(TaxaJuros="",C329=""),"",IF(ComSemIOF=FALSE,0,IF(E329&gt;365,-(D329+F329)*365*IOFDiario,-(D329+F329)*E329*IOFDiario)))</f>
        <v/>
      </c>
      <c r="I329" s="21" t="str">
        <f>IF(OR(TaxaJuros="",C329=""),"",IF(ComSemIOF=FALSE,0,-(D329+F329)*IOFAdic))</f>
        <v/>
      </c>
      <c r="J329" s="16" t="str">
        <f>IF(OR(TaxaJuros="",C329=""),"",D329+SUM(F329:I329))</f>
        <v/>
      </c>
      <c r="K329" s="67" t="str">
        <f>IF(OR(TaxaJuros="",C329=""),"",100%-J329/D329)</f>
        <v/>
      </c>
    </row>
    <row r="330" spans="5:11" x14ac:dyDescent="0.25">
      <c r="E330" s="15" t="str">
        <f>IF(OR(DataRecebimento="",C330=""),"",C330-$F$7)</f>
        <v/>
      </c>
      <c r="F330" s="16" t="str">
        <f>IF(OR(TaxaJuros="",C330=""),"",-D330*E330*($F$8/30))</f>
        <v/>
      </c>
      <c r="G330" s="16" t="str">
        <f>IF(OR(TaxaJuros="",C330=""),"",-$F$9)</f>
        <v/>
      </c>
      <c r="H330" s="21" t="str">
        <f>IF(OR(TaxaJuros="",C330=""),"",IF(ComSemIOF=FALSE,0,IF(E330&gt;365,-(D330+F330)*365*IOFDiario,-(D330+F330)*E330*IOFDiario)))</f>
        <v/>
      </c>
      <c r="I330" s="21" t="str">
        <f>IF(OR(TaxaJuros="",C330=""),"",IF(ComSemIOF=FALSE,0,-(D330+F330)*IOFAdic))</f>
        <v/>
      </c>
      <c r="J330" s="16" t="str">
        <f>IF(OR(TaxaJuros="",C330=""),"",D330+SUM(F330:I330))</f>
        <v/>
      </c>
      <c r="K330" s="67" t="str">
        <f>IF(OR(TaxaJuros="",C330=""),"",100%-J330/D330)</f>
        <v/>
      </c>
    </row>
    <row r="331" spans="5:11" x14ac:dyDescent="0.25">
      <c r="E331" s="15" t="str">
        <f>IF(OR(DataRecebimento="",C331=""),"",C331-$F$7)</f>
        <v/>
      </c>
      <c r="F331" s="16" t="str">
        <f>IF(OR(TaxaJuros="",C331=""),"",-D331*E331*($F$8/30))</f>
        <v/>
      </c>
      <c r="G331" s="16" t="str">
        <f>IF(OR(TaxaJuros="",C331=""),"",-$F$9)</f>
        <v/>
      </c>
      <c r="H331" s="21" t="str">
        <f>IF(OR(TaxaJuros="",C331=""),"",IF(ComSemIOF=FALSE,0,IF(E331&gt;365,-(D331+F331)*365*IOFDiario,-(D331+F331)*E331*IOFDiario)))</f>
        <v/>
      </c>
      <c r="I331" s="21" t="str">
        <f>IF(OR(TaxaJuros="",C331=""),"",IF(ComSemIOF=FALSE,0,-(D331+F331)*IOFAdic))</f>
        <v/>
      </c>
      <c r="J331" s="16" t="str">
        <f>IF(OR(TaxaJuros="",C331=""),"",D331+SUM(F331:I331))</f>
        <v/>
      </c>
      <c r="K331" s="67" t="str">
        <f>IF(OR(TaxaJuros="",C331=""),"",100%-J331/D331)</f>
        <v/>
      </c>
    </row>
    <row r="332" spans="5:11" x14ac:dyDescent="0.25">
      <c r="E332" s="15" t="str">
        <f>IF(OR(DataRecebimento="",C332=""),"",C332-$F$7)</f>
        <v/>
      </c>
      <c r="F332" s="16" t="str">
        <f>IF(OR(TaxaJuros="",C332=""),"",-D332*E332*($F$8/30))</f>
        <v/>
      </c>
      <c r="G332" s="16" t="str">
        <f>IF(OR(TaxaJuros="",C332=""),"",-$F$9)</f>
        <v/>
      </c>
      <c r="H332" s="21" t="str">
        <f>IF(OR(TaxaJuros="",C332=""),"",IF(ComSemIOF=FALSE,0,IF(E332&gt;365,-(D332+F332)*365*IOFDiario,-(D332+F332)*E332*IOFDiario)))</f>
        <v/>
      </c>
      <c r="I332" s="21" t="str">
        <f>IF(OR(TaxaJuros="",C332=""),"",IF(ComSemIOF=FALSE,0,-(D332+F332)*IOFAdic))</f>
        <v/>
      </c>
      <c r="J332" s="16" t="str">
        <f>IF(OR(TaxaJuros="",C332=""),"",D332+SUM(F332:I332))</f>
        <v/>
      </c>
      <c r="K332" s="67" t="str">
        <f>IF(OR(TaxaJuros="",C332=""),"",100%-J332/D332)</f>
        <v/>
      </c>
    </row>
    <row r="333" spans="5:11" x14ac:dyDescent="0.25">
      <c r="E333" s="15" t="str">
        <f>IF(OR(DataRecebimento="",C333=""),"",C333-$F$7)</f>
        <v/>
      </c>
      <c r="F333" s="16" t="str">
        <f>IF(OR(TaxaJuros="",C333=""),"",-D333*E333*($F$8/30))</f>
        <v/>
      </c>
      <c r="G333" s="16" t="str">
        <f>IF(OR(TaxaJuros="",C333=""),"",-$F$9)</f>
        <v/>
      </c>
      <c r="H333" s="21" t="str">
        <f>IF(OR(TaxaJuros="",C333=""),"",IF(ComSemIOF=FALSE,0,IF(E333&gt;365,-(D333+F333)*365*IOFDiario,-(D333+F333)*E333*IOFDiario)))</f>
        <v/>
      </c>
      <c r="I333" s="21" t="str">
        <f>IF(OR(TaxaJuros="",C333=""),"",IF(ComSemIOF=FALSE,0,-(D333+F333)*IOFAdic))</f>
        <v/>
      </c>
      <c r="J333" s="16" t="str">
        <f>IF(OR(TaxaJuros="",C333=""),"",D333+SUM(F333:I333))</f>
        <v/>
      </c>
      <c r="K333" s="67" t="str">
        <f>IF(OR(TaxaJuros="",C333=""),"",100%-J333/D333)</f>
        <v/>
      </c>
    </row>
    <row r="334" spans="5:11" x14ac:dyDescent="0.25">
      <c r="E334" s="15" t="str">
        <f>IF(OR(DataRecebimento="",C334=""),"",C334-$F$7)</f>
        <v/>
      </c>
      <c r="F334" s="16" t="str">
        <f>IF(OR(TaxaJuros="",C334=""),"",-D334*E334*($F$8/30))</f>
        <v/>
      </c>
      <c r="G334" s="16" t="str">
        <f>IF(OR(TaxaJuros="",C334=""),"",-$F$9)</f>
        <v/>
      </c>
      <c r="H334" s="21" t="str">
        <f>IF(OR(TaxaJuros="",C334=""),"",IF(ComSemIOF=FALSE,0,IF(E334&gt;365,-(D334+F334)*365*IOFDiario,-(D334+F334)*E334*IOFDiario)))</f>
        <v/>
      </c>
      <c r="I334" s="21" t="str">
        <f>IF(OR(TaxaJuros="",C334=""),"",IF(ComSemIOF=FALSE,0,-(D334+F334)*IOFAdic))</f>
        <v/>
      </c>
      <c r="J334" s="16" t="str">
        <f>IF(OR(TaxaJuros="",C334=""),"",D334+SUM(F334:I334))</f>
        <v/>
      </c>
      <c r="K334" s="67" t="str">
        <f>IF(OR(TaxaJuros="",C334=""),"",100%-J334/D334)</f>
        <v/>
      </c>
    </row>
    <row r="335" spans="5:11" x14ac:dyDescent="0.25">
      <c r="E335" s="15" t="str">
        <f>IF(OR(DataRecebimento="",C335=""),"",C335-$F$7)</f>
        <v/>
      </c>
      <c r="F335" s="16" t="str">
        <f>IF(OR(TaxaJuros="",C335=""),"",-D335*E335*($F$8/30))</f>
        <v/>
      </c>
      <c r="G335" s="16" t="str">
        <f>IF(OR(TaxaJuros="",C335=""),"",-$F$9)</f>
        <v/>
      </c>
      <c r="H335" s="21" t="str">
        <f>IF(OR(TaxaJuros="",C335=""),"",IF(ComSemIOF=FALSE,0,IF(E335&gt;365,-(D335+F335)*365*IOFDiario,-(D335+F335)*E335*IOFDiario)))</f>
        <v/>
      </c>
      <c r="I335" s="21" t="str">
        <f>IF(OR(TaxaJuros="",C335=""),"",IF(ComSemIOF=FALSE,0,-(D335+F335)*IOFAdic))</f>
        <v/>
      </c>
      <c r="J335" s="16" t="str">
        <f>IF(OR(TaxaJuros="",C335=""),"",D335+SUM(F335:I335))</f>
        <v/>
      </c>
      <c r="K335" s="67" t="str">
        <f>IF(OR(TaxaJuros="",C335=""),"",100%-J335/D335)</f>
        <v/>
      </c>
    </row>
    <row r="336" spans="5:11" x14ac:dyDescent="0.25">
      <c r="E336" s="15" t="str">
        <f>IF(OR(DataRecebimento="",C336=""),"",C336-$F$7)</f>
        <v/>
      </c>
      <c r="F336" s="16" t="str">
        <f>IF(OR(TaxaJuros="",C336=""),"",-D336*E336*($F$8/30))</f>
        <v/>
      </c>
      <c r="G336" s="16" t="str">
        <f>IF(OR(TaxaJuros="",C336=""),"",-$F$9)</f>
        <v/>
      </c>
      <c r="H336" s="21" t="str">
        <f>IF(OR(TaxaJuros="",C336=""),"",IF(ComSemIOF=FALSE,0,IF(E336&gt;365,-(D336+F336)*365*IOFDiario,-(D336+F336)*E336*IOFDiario)))</f>
        <v/>
      </c>
      <c r="I336" s="21" t="str">
        <f>IF(OR(TaxaJuros="",C336=""),"",IF(ComSemIOF=FALSE,0,-(D336+F336)*IOFAdic))</f>
        <v/>
      </c>
      <c r="J336" s="16" t="str">
        <f>IF(OR(TaxaJuros="",C336=""),"",D336+SUM(F336:I336))</f>
        <v/>
      </c>
      <c r="K336" s="67" t="str">
        <f>IF(OR(TaxaJuros="",C336=""),"",100%-J336/D336)</f>
        <v/>
      </c>
    </row>
    <row r="337" spans="5:11" x14ac:dyDescent="0.25">
      <c r="E337" s="15" t="str">
        <f>IF(OR(DataRecebimento="",C337=""),"",C337-$F$7)</f>
        <v/>
      </c>
      <c r="F337" s="16" t="str">
        <f>IF(OR(TaxaJuros="",C337=""),"",-D337*E337*($F$8/30))</f>
        <v/>
      </c>
      <c r="G337" s="16" t="str">
        <f>IF(OR(TaxaJuros="",C337=""),"",-$F$9)</f>
        <v/>
      </c>
      <c r="H337" s="21" t="str">
        <f>IF(OR(TaxaJuros="",C337=""),"",IF(ComSemIOF=FALSE,0,IF(E337&gt;365,-(D337+F337)*365*IOFDiario,-(D337+F337)*E337*IOFDiario)))</f>
        <v/>
      </c>
      <c r="I337" s="21" t="str">
        <f>IF(OR(TaxaJuros="",C337=""),"",IF(ComSemIOF=FALSE,0,-(D337+F337)*IOFAdic))</f>
        <v/>
      </c>
      <c r="J337" s="16" t="str">
        <f>IF(OR(TaxaJuros="",C337=""),"",D337+SUM(F337:I337))</f>
        <v/>
      </c>
      <c r="K337" s="67" t="str">
        <f>IF(OR(TaxaJuros="",C337=""),"",100%-J337/D337)</f>
        <v/>
      </c>
    </row>
    <row r="338" spans="5:11" x14ac:dyDescent="0.25">
      <c r="E338" s="15" t="str">
        <f>IF(OR(DataRecebimento="",C338=""),"",C338-$F$7)</f>
        <v/>
      </c>
      <c r="F338" s="16" t="str">
        <f>IF(OR(TaxaJuros="",C338=""),"",-D338*E338*($F$8/30))</f>
        <v/>
      </c>
      <c r="G338" s="16" t="str">
        <f>IF(OR(TaxaJuros="",C338=""),"",-$F$9)</f>
        <v/>
      </c>
      <c r="H338" s="21" t="str">
        <f>IF(OR(TaxaJuros="",C338=""),"",IF(ComSemIOF=FALSE,0,IF(E338&gt;365,-(D338+F338)*365*IOFDiario,-(D338+F338)*E338*IOFDiario)))</f>
        <v/>
      </c>
      <c r="I338" s="21" t="str">
        <f>IF(OR(TaxaJuros="",C338=""),"",IF(ComSemIOF=FALSE,0,-(D338+F338)*IOFAdic))</f>
        <v/>
      </c>
      <c r="J338" s="16" t="str">
        <f>IF(OR(TaxaJuros="",C338=""),"",D338+SUM(F338:I338))</f>
        <v/>
      </c>
      <c r="K338" s="67" t="str">
        <f>IF(OR(TaxaJuros="",C338=""),"",100%-J338/D338)</f>
        <v/>
      </c>
    </row>
    <row r="339" spans="5:11" x14ac:dyDescent="0.25">
      <c r="E339" s="15" t="str">
        <f>IF(OR(DataRecebimento="",C339=""),"",C339-$F$7)</f>
        <v/>
      </c>
      <c r="F339" s="16" t="str">
        <f>IF(OR(TaxaJuros="",C339=""),"",-D339*E339*($F$8/30))</f>
        <v/>
      </c>
      <c r="G339" s="16" t="str">
        <f>IF(OR(TaxaJuros="",C339=""),"",-$F$9)</f>
        <v/>
      </c>
      <c r="H339" s="21" t="str">
        <f>IF(OR(TaxaJuros="",C339=""),"",IF(ComSemIOF=FALSE,0,IF(E339&gt;365,-(D339+F339)*365*IOFDiario,-(D339+F339)*E339*IOFDiario)))</f>
        <v/>
      </c>
      <c r="I339" s="21" t="str">
        <f>IF(OR(TaxaJuros="",C339=""),"",IF(ComSemIOF=FALSE,0,-(D339+F339)*IOFAdic))</f>
        <v/>
      </c>
      <c r="J339" s="16" t="str">
        <f>IF(OR(TaxaJuros="",C339=""),"",D339+SUM(F339:I339))</f>
        <v/>
      </c>
      <c r="K339" s="67" t="str">
        <f>IF(OR(TaxaJuros="",C339=""),"",100%-J339/D339)</f>
        <v/>
      </c>
    </row>
    <row r="340" spans="5:11" x14ac:dyDescent="0.25">
      <c r="E340" s="15" t="str">
        <f>IF(OR(DataRecebimento="",C340=""),"",C340-$F$7)</f>
        <v/>
      </c>
      <c r="F340" s="16" t="str">
        <f>IF(OR(TaxaJuros="",C340=""),"",-D340*E340*($F$8/30))</f>
        <v/>
      </c>
      <c r="G340" s="16" t="str">
        <f>IF(OR(TaxaJuros="",C340=""),"",-$F$9)</f>
        <v/>
      </c>
      <c r="H340" s="21" t="str">
        <f>IF(OR(TaxaJuros="",C340=""),"",IF(ComSemIOF=FALSE,0,IF(E340&gt;365,-(D340+F340)*365*IOFDiario,-(D340+F340)*E340*IOFDiario)))</f>
        <v/>
      </c>
      <c r="I340" s="21" t="str">
        <f>IF(OR(TaxaJuros="",C340=""),"",IF(ComSemIOF=FALSE,0,-(D340+F340)*IOFAdic))</f>
        <v/>
      </c>
      <c r="J340" s="16" t="str">
        <f>IF(OR(TaxaJuros="",C340=""),"",D340+SUM(F340:I340))</f>
        <v/>
      </c>
      <c r="K340" s="67" t="str">
        <f>IF(OR(TaxaJuros="",C340=""),"",100%-J340/D340)</f>
        <v/>
      </c>
    </row>
    <row r="341" spans="5:11" x14ac:dyDescent="0.25">
      <c r="E341" s="15" t="str">
        <f>IF(OR(DataRecebimento="",C341=""),"",C341-$F$7)</f>
        <v/>
      </c>
      <c r="F341" s="16" t="str">
        <f>IF(OR(TaxaJuros="",C341=""),"",-D341*E341*($F$8/30))</f>
        <v/>
      </c>
      <c r="G341" s="16" t="str">
        <f>IF(OR(TaxaJuros="",C341=""),"",-$F$9)</f>
        <v/>
      </c>
      <c r="H341" s="21" t="str">
        <f>IF(OR(TaxaJuros="",C341=""),"",IF(ComSemIOF=FALSE,0,IF(E341&gt;365,-(D341+F341)*365*IOFDiario,-(D341+F341)*E341*IOFDiario)))</f>
        <v/>
      </c>
      <c r="I341" s="21" t="str">
        <f>IF(OR(TaxaJuros="",C341=""),"",IF(ComSemIOF=FALSE,0,-(D341+F341)*IOFAdic))</f>
        <v/>
      </c>
      <c r="J341" s="16" t="str">
        <f>IF(OR(TaxaJuros="",C341=""),"",D341+SUM(F341:I341))</f>
        <v/>
      </c>
      <c r="K341" s="67" t="str">
        <f>IF(OR(TaxaJuros="",C341=""),"",100%-J341/D341)</f>
        <v/>
      </c>
    </row>
    <row r="342" spans="5:11" x14ac:dyDescent="0.25">
      <c r="E342" s="15" t="str">
        <f>IF(OR(DataRecebimento="",C342=""),"",C342-$F$7)</f>
        <v/>
      </c>
      <c r="F342" s="16" t="str">
        <f>IF(OR(TaxaJuros="",C342=""),"",-D342*E342*($F$8/30))</f>
        <v/>
      </c>
      <c r="G342" s="16" t="str">
        <f>IF(OR(TaxaJuros="",C342=""),"",-$F$9)</f>
        <v/>
      </c>
      <c r="H342" s="21" t="str">
        <f>IF(OR(TaxaJuros="",C342=""),"",IF(ComSemIOF=FALSE,0,IF(E342&gt;365,-(D342+F342)*365*IOFDiario,-(D342+F342)*E342*IOFDiario)))</f>
        <v/>
      </c>
      <c r="I342" s="21" t="str">
        <f>IF(OR(TaxaJuros="",C342=""),"",IF(ComSemIOF=FALSE,0,-(D342+F342)*IOFAdic))</f>
        <v/>
      </c>
      <c r="J342" s="16" t="str">
        <f>IF(OR(TaxaJuros="",C342=""),"",D342+SUM(F342:I342))</f>
        <v/>
      </c>
      <c r="K342" s="67" t="str">
        <f>IF(OR(TaxaJuros="",C342=""),"",100%-J342/D342)</f>
        <v/>
      </c>
    </row>
    <row r="343" spans="5:11" x14ac:dyDescent="0.25">
      <c r="E343" s="15" t="str">
        <f>IF(OR(DataRecebimento="",C343=""),"",C343-$F$7)</f>
        <v/>
      </c>
      <c r="F343" s="16" t="str">
        <f>IF(OR(TaxaJuros="",C343=""),"",-D343*E343*($F$8/30))</f>
        <v/>
      </c>
      <c r="G343" s="16" t="str">
        <f>IF(OR(TaxaJuros="",C343=""),"",-$F$9)</f>
        <v/>
      </c>
      <c r="H343" s="21" t="str">
        <f>IF(OR(TaxaJuros="",C343=""),"",IF(ComSemIOF=FALSE,0,IF(E343&gt;365,-(D343+F343)*365*IOFDiario,-(D343+F343)*E343*IOFDiario)))</f>
        <v/>
      </c>
      <c r="I343" s="21" t="str">
        <f>IF(OR(TaxaJuros="",C343=""),"",IF(ComSemIOF=FALSE,0,-(D343+F343)*IOFAdic))</f>
        <v/>
      </c>
      <c r="J343" s="16" t="str">
        <f>IF(OR(TaxaJuros="",C343=""),"",D343+SUM(F343:I343))</f>
        <v/>
      </c>
      <c r="K343" s="67" t="str">
        <f>IF(OR(TaxaJuros="",C343=""),"",100%-J343/D343)</f>
        <v/>
      </c>
    </row>
    <row r="344" spans="5:11" x14ac:dyDescent="0.25">
      <c r="E344" s="15" t="str">
        <f>IF(OR(DataRecebimento="",C344=""),"",C344-$F$7)</f>
        <v/>
      </c>
      <c r="F344" s="16" t="str">
        <f>IF(OR(TaxaJuros="",C344=""),"",-D344*E344*($F$8/30))</f>
        <v/>
      </c>
      <c r="G344" s="16" t="str">
        <f>IF(OR(TaxaJuros="",C344=""),"",-$F$9)</f>
        <v/>
      </c>
      <c r="H344" s="21" t="str">
        <f>IF(OR(TaxaJuros="",C344=""),"",IF(ComSemIOF=FALSE,0,IF(E344&gt;365,-(D344+F344)*365*IOFDiario,-(D344+F344)*E344*IOFDiario)))</f>
        <v/>
      </c>
      <c r="I344" s="21" t="str">
        <f>IF(OR(TaxaJuros="",C344=""),"",IF(ComSemIOF=FALSE,0,-(D344+F344)*IOFAdic))</f>
        <v/>
      </c>
      <c r="J344" s="16" t="str">
        <f>IF(OR(TaxaJuros="",C344=""),"",D344+SUM(F344:I344))</f>
        <v/>
      </c>
      <c r="K344" s="67" t="str">
        <f>IF(OR(TaxaJuros="",C344=""),"",100%-J344/D344)</f>
        <v/>
      </c>
    </row>
    <row r="345" spans="5:11" x14ac:dyDescent="0.25">
      <c r="E345" s="15" t="str">
        <f>IF(OR(DataRecebimento="",C345=""),"",C345-$F$7)</f>
        <v/>
      </c>
      <c r="F345" s="16" t="str">
        <f>IF(OR(TaxaJuros="",C345=""),"",-D345*E345*($F$8/30))</f>
        <v/>
      </c>
      <c r="G345" s="16" t="str">
        <f>IF(OR(TaxaJuros="",C345=""),"",-$F$9)</f>
        <v/>
      </c>
      <c r="H345" s="21" t="str">
        <f>IF(OR(TaxaJuros="",C345=""),"",IF(ComSemIOF=FALSE,0,IF(E345&gt;365,-(D345+F345)*365*IOFDiario,-(D345+F345)*E345*IOFDiario)))</f>
        <v/>
      </c>
      <c r="I345" s="21" t="str">
        <f>IF(OR(TaxaJuros="",C345=""),"",IF(ComSemIOF=FALSE,0,-(D345+F345)*IOFAdic))</f>
        <v/>
      </c>
      <c r="J345" s="16" t="str">
        <f>IF(OR(TaxaJuros="",C345=""),"",D345+SUM(F345:I345))</f>
        <v/>
      </c>
      <c r="K345" s="67" t="str">
        <f>IF(OR(TaxaJuros="",C345=""),"",100%-J345/D345)</f>
        <v/>
      </c>
    </row>
    <row r="346" spans="5:11" x14ac:dyDescent="0.25">
      <c r="E346" s="15" t="str">
        <f>IF(OR(DataRecebimento="",C346=""),"",C346-$F$7)</f>
        <v/>
      </c>
      <c r="F346" s="16" t="str">
        <f>IF(OR(TaxaJuros="",C346=""),"",-D346*E346*($F$8/30))</f>
        <v/>
      </c>
      <c r="G346" s="16" t="str">
        <f>IF(OR(TaxaJuros="",C346=""),"",-$F$9)</f>
        <v/>
      </c>
      <c r="H346" s="21" t="str">
        <f>IF(OR(TaxaJuros="",C346=""),"",IF(ComSemIOF=FALSE,0,IF(E346&gt;365,-(D346+F346)*365*IOFDiario,-(D346+F346)*E346*IOFDiario)))</f>
        <v/>
      </c>
      <c r="I346" s="21" t="str">
        <f>IF(OR(TaxaJuros="",C346=""),"",IF(ComSemIOF=FALSE,0,-(D346+F346)*IOFAdic))</f>
        <v/>
      </c>
      <c r="J346" s="16" t="str">
        <f>IF(OR(TaxaJuros="",C346=""),"",D346+SUM(F346:I346))</f>
        <v/>
      </c>
      <c r="K346" s="67" t="str">
        <f>IF(OR(TaxaJuros="",C346=""),"",100%-J346/D346)</f>
        <v/>
      </c>
    </row>
    <row r="347" spans="5:11" x14ac:dyDescent="0.25">
      <c r="E347" s="15" t="str">
        <f>IF(OR(DataRecebimento="",C347=""),"",C347-$F$7)</f>
        <v/>
      </c>
      <c r="F347" s="16" t="str">
        <f>IF(OR(TaxaJuros="",C347=""),"",-D347*E347*($F$8/30))</f>
        <v/>
      </c>
      <c r="G347" s="16" t="str">
        <f>IF(OR(TaxaJuros="",C347=""),"",-$F$9)</f>
        <v/>
      </c>
      <c r="H347" s="21" t="str">
        <f>IF(OR(TaxaJuros="",C347=""),"",IF(ComSemIOF=FALSE,0,IF(E347&gt;365,-(D347+F347)*365*IOFDiario,-(D347+F347)*E347*IOFDiario)))</f>
        <v/>
      </c>
      <c r="I347" s="21" t="str">
        <f>IF(OR(TaxaJuros="",C347=""),"",IF(ComSemIOF=FALSE,0,-(D347+F347)*IOFAdic))</f>
        <v/>
      </c>
      <c r="J347" s="16" t="str">
        <f>IF(OR(TaxaJuros="",C347=""),"",D347+SUM(F347:I347))</f>
        <v/>
      </c>
      <c r="K347" s="67" t="str">
        <f>IF(OR(TaxaJuros="",C347=""),"",100%-J347/D347)</f>
        <v/>
      </c>
    </row>
    <row r="348" spans="5:11" x14ac:dyDescent="0.25">
      <c r="E348" s="15" t="str">
        <f>IF(OR(DataRecebimento="",C348=""),"",C348-$F$7)</f>
        <v/>
      </c>
      <c r="F348" s="16" t="str">
        <f>IF(OR(TaxaJuros="",C348=""),"",-D348*E348*($F$8/30))</f>
        <v/>
      </c>
      <c r="G348" s="16" t="str">
        <f>IF(OR(TaxaJuros="",C348=""),"",-$F$9)</f>
        <v/>
      </c>
      <c r="H348" s="21" t="str">
        <f>IF(OR(TaxaJuros="",C348=""),"",IF(ComSemIOF=FALSE,0,IF(E348&gt;365,-(D348+F348)*365*IOFDiario,-(D348+F348)*E348*IOFDiario)))</f>
        <v/>
      </c>
      <c r="I348" s="21" t="str">
        <f>IF(OR(TaxaJuros="",C348=""),"",IF(ComSemIOF=FALSE,0,-(D348+F348)*IOFAdic))</f>
        <v/>
      </c>
      <c r="J348" s="16" t="str">
        <f>IF(OR(TaxaJuros="",C348=""),"",D348+SUM(F348:I348))</f>
        <v/>
      </c>
      <c r="K348" s="67" t="str">
        <f>IF(OR(TaxaJuros="",C348=""),"",100%-J348/D348)</f>
        <v/>
      </c>
    </row>
    <row r="349" spans="5:11" x14ac:dyDescent="0.25">
      <c r="E349" s="15" t="str">
        <f>IF(OR(DataRecebimento="",C349=""),"",C349-$F$7)</f>
        <v/>
      </c>
      <c r="F349" s="16" t="str">
        <f>IF(OR(TaxaJuros="",C349=""),"",-D349*E349*($F$8/30))</f>
        <v/>
      </c>
      <c r="G349" s="16" t="str">
        <f>IF(OR(TaxaJuros="",C349=""),"",-$F$9)</f>
        <v/>
      </c>
      <c r="H349" s="21" t="str">
        <f>IF(OR(TaxaJuros="",C349=""),"",IF(ComSemIOF=FALSE,0,IF(E349&gt;365,-(D349+F349)*365*IOFDiario,-(D349+F349)*E349*IOFDiario)))</f>
        <v/>
      </c>
      <c r="I349" s="21" t="str">
        <f>IF(OR(TaxaJuros="",C349=""),"",IF(ComSemIOF=FALSE,0,-(D349+F349)*IOFAdic))</f>
        <v/>
      </c>
      <c r="J349" s="16" t="str">
        <f>IF(OR(TaxaJuros="",C349=""),"",D349+SUM(F349:I349))</f>
        <v/>
      </c>
      <c r="K349" s="67" t="str">
        <f>IF(OR(TaxaJuros="",C349=""),"",100%-J349/D349)</f>
        <v/>
      </c>
    </row>
    <row r="350" spans="5:11" x14ac:dyDescent="0.25">
      <c r="E350" s="15" t="str">
        <f>IF(OR(DataRecebimento="",C350=""),"",C350-$F$7)</f>
        <v/>
      </c>
      <c r="F350" s="16" t="str">
        <f>IF(OR(TaxaJuros="",C350=""),"",-D350*E350*($F$8/30))</f>
        <v/>
      </c>
      <c r="G350" s="16" t="str">
        <f>IF(OR(TaxaJuros="",C350=""),"",-$F$9)</f>
        <v/>
      </c>
      <c r="H350" s="21" t="str">
        <f>IF(OR(TaxaJuros="",C350=""),"",IF(ComSemIOF=FALSE,0,IF(E350&gt;365,-(D350+F350)*365*IOFDiario,-(D350+F350)*E350*IOFDiario)))</f>
        <v/>
      </c>
      <c r="I350" s="21" t="str">
        <f>IF(OR(TaxaJuros="",C350=""),"",IF(ComSemIOF=FALSE,0,-(D350+F350)*IOFAdic))</f>
        <v/>
      </c>
      <c r="J350" s="16" t="str">
        <f>IF(OR(TaxaJuros="",C350=""),"",D350+SUM(F350:I350))</f>
        <v/>
      </c>
      <c r="K350" s="67" t="str">
        <f>IF(OR(TaxaJuros="",C350=""),"",100%-J350/D350)</f>
        <v/>
      </c>
    </row>
    <row r="351" spans="5:11" x14ac:dyDescent="0.25">
      <c r="E351" s="15" t="str">
        <f>IF(OR(DataRecebimento="",C351=""),"",C351-$F$7)</f>
        <v/>
      </c>
      <c r="F351" s="16" t="str">
        <f>IF(OR(TaxaJuros="",C351=""),"",-D351*E351*($F$8/30))</f>
        <v/>
      </c>
      <c r="G351" s="16" t="str">
        <f>IF(OR(TaxaJuros="",C351=""),"",-$F$9)</f>
        <v/>
      </c>
      <c r="H351" s="21" t="str">
        <f>IF(OR(TaxaJuros="",C351=""),"",IF(ComSemIOF=FALSE,0,IF(E351&gt;365,-(D351+F351)*365*IOFDiario,-(D351+F351)*E351*IOFDiario)))</f>
        <v/>
      </c>
      <c r="I351" s="21" t="str">
        <f>IF(OR(TaxaJuros="",C351=""),"",IF(ComSemIOF=FALSE,0,-(D351+F351)*IOFAdic))</f>
        <v/>
      </c>
      <c r="J351" s="16" t="str">
        <f>IF(OR(TaxaJuros="",C351=""),"",D351+SUM(F351:I351))</f>
        <v/>
      </c>
      <c r="K351" s="67" t="str">
        <f>IF(OR(TaxaJuros="",C351=""),"",100%-J351/D351)</f>
        <v/>
      </c>
    </row>
    <row r="352" spans="5:11" x14ac:dyDescent="0.25">
      <c r="E352" s="15" t="str">
        <f>IF(OR(DataRecebimento="",C352=""),"",C352-$F$7)</f>
        <v/>
      </c>
      <c r="F352" s="16" t="str">
        <f>IF(OR(TaxaJuros="",C352=""),"",-D352*E352*($F$8/30))</f>
        <v/>
      </c>
      <c r="G352" s="16" t="str">
        <f>IF(OR(TaxaJuros="",C352=""),"",-$F$9)</f>
        <v/>
      </c>
      <c r="H352" s="21" t="str">
        <f>IF(OR(TaxaJuros="",C352=""),"",IF(ComSemIOF=FALSE,0,IF(E352&gt;365,-(D352+F352)*365*IOFDiario,-(D352+F352)*E352*IOFDiario)))</f>
        <v/>
      </c>
      <c r="I352" s="21" t="str">
        <f>IF(OR(TaxaJuros="",C352=""),"",IF(ComSemIOF=FALSE,0,-(D352+F352)*IOFAdic))</f>
        <v/>
      </c>
      <c r="J352" s="16" t="str">
        <f>IF(OR(TaxaJuros="",C352=""),"",D352+SUM(F352:I352))</f>
        <v/>
      </c>
      <c r="K352" s="67" t="str">
        <f>IF(OR(TaxaJuros="",C352=""),"",100%-J352/D352)</f>
        <v/>
      </c>
    </row>
    <row r="353" spans="5:11" x14ac:dyDescent="0.25">
      <c r="E353" s="15" t="str">
        <f>IF(OR(DataRecebimento="",C353=""),"",C353-$F$7)</f>
        <v/>
      </c>
      <c r="F353" s="16" t="str">
        <f>IF(OR(TaxaJuros="",C353=""),"",-D353*E353*($F$8/30))</f>
        <v/>
      </c>
      <c r="G353" s="16" t="str">
        <f>IF(OR(TaxaJuros="",C353=""),"",-$F$9)</f>
        <v/>
      </c>
      <c r="H353" s="21" t="str">
        <f>IF(OR(TaxaJuros="",C353=""),"",IF(ComSemIOF=FALSE,0,IF(E353&gt;365,-(D353+F353)*365*IOFDiario,-(D353+F353)*E353*IOFDiario)))</f>
        <v/>
      </c>
      <c r="I353" s="21" t="str">
        <f>IF(OR(TaxaJuros="",C353=""),"",IF(ComSemIOF=FALSE,0,-(D353+F353)*IOFAdic))</f>
        <v/>
      </c>
      <c r="J353" s="16" t="str">
        <f>IF(OR(TaxaJuros="",C353=""),"",D353+SUM(F353:I353))</f>
        <v/>
      </c>
      <c r="K353" s="67" t="str">
        <f>IF(OR(TaxaJuros="",C353=""),"",100%-J353/D353)</f>
        <v/>
      </c>
    </row>
    <row r="354" spans="5:11" x14ac:dyDescent="0.25">
      <c r="E354" s="15" t="str">
        <f>IF(OR(DataRecebimento="",C354=""),"",C354-$F$7)</f>
        <v/>
      </c>
      <c r="F354" s="16" t="str">
        <f>IF(OR(TaxaJuros="",C354=""),"",-D354*E354*($F$8/30))</f>
        <v/>
      </c>
      <c r="G354" s="16" t="str">
        <f>IF(OR(TaxaJuros="",C354=""),"",-$F$9)</f>
        <v/>
      </c>
      <c r="H354" s="21" t="str">
        <f>IF(OR(TaxaJuros="",C354=""),"",IF(ComSemIOF=FALSE,0,IF(E354&gt;365,-(D354+F354)*365*IOFDiario,-(D354+F354)*E354*IOFDiario)))</f>
        <v/>
      </c>
      <c r="I354" s="21" t="str">
        <f>IF(OR(TaxaJuros="",C354=""),"",IF(ComSemIOF=FALSE,0,-(D354+F354)*IOFAdic))</f>
        <v/>
      </c>
      <c r="J354" s="16" t="str">
        <f>IF(OR(TaxaJuros="",C354=""),"",D354+SUM(F354:I354))</f>
        <v/>
      </c>
      <c r="K354" s="67" t="str">
        <f>IF(OR(TaxaJuros="",C354=""),"",100%-J354/D354)</f>
        <v/>
      </c>
    </row>
    <row r="355" spans="5:11" x14ac:dyDescent="0.25">
      <c r="E355" s="15" t="str">
        <f>IF(OR(DataRecebimento="",C355=""),"",C355-$F$7)</f>
        <v/>
      </c>
      <c r="F355" s="16" t="str">
        <f>IF(OR(TaxaJuros="",C355=""),"",-D355*E355*($F$8/30))</f>
        <v/>
      </c>
      <c r="G355" s="16" t="str">
        <f>IF(OR(TaxaJuros="",C355=""),"",-$F$9)</f>
        <v/>
      </c>
      <c r="H355" s="21" t="str">
        <f>IF(OR(TaxaJuros="",C355=""),"",IF(ComSemIOF=FALSE,0,IF(E355&gt;365,-(D355+F355)*365*IOFDiario,-(D355+F355)*E355*IOFDiario)))</f>
        <v/>
      </c>
      <c r="I355" s="21" t="str">
        <f>IF(OR(TaxaJuros="",C355=""),"",IF(ComSemIOF=FALSE,0,-(D355+F355)*IOFAdic))</f>
        <v/>
      </c>
      <c r="J355" s="16" t="str">
        <f>IF(OR(TaxaJuros="",C355=""),"",D355+SUM(F355:I355))</f>
        <v/>
      </c>
      <c r="K355" s="67" t="str">
        <f>IF(OR(TaxaJuros="",C355=""),"",100%-J355/D355)</f>
        <v/>
      </c>
    </row>
    <row r="356" spans="5:11" x14ac:dyDescent="0.25">
      <c r="E356" s="15" t="str">
        <f>IF(OR(DataRecebimento="",C356=""),"",C356-$F$7)</f>
        <v/>
      </c>
      <c r="F356" s="16" t="str">
        <f>IF(OR(TaxaJuros="",C356=""),"",-D356*E356*($F$8/30))</f>
        <v/>
      </c>
      <c r="G356" s="16" t="str">
        <f>IF(OR(TaxaJuros="",C356=""),"",-$F$9)</f>
        <v/>
      </c>
      <c r="H356" s="21" t="str">
        <f>IF(OR(TaxaJuros="",C356=""),"",IF(ComSemIOF=FALSE,0,IF(E356&gt;365,-(D356+F356)*365*IOFDiario,-(D356+F356)*E356*IOFDiario)))</f>
        <v/>
      </c>
      <c r="I356" s="21" t="str">
        <f>IF(OR(TaxaJuros="",C356=""),"",IF(ComSemIOF=FALSE,0,-(D356+F356)*IOFAdic))</f>
        <v/>
      </c>
      <c r="J356" s="16" t="str">
        <f>IF(OR(TaxaJuros="",C356=""),"",D356+SUM(F356:I356))</f>
        <v/>
      </c>
      <c r="K356" s="67" t="str">
        <f>IF(OR(TaxaJuros="",C356=""),"",100%-J356/D356)</f>
        <v/>
      </c>
    </row>
    <row r="357" spans="5:11" x14ac:dyDescent="0.25">
      <c r="E357" s="15" t="str">
        <f>IF(OR(DataRecebimento="",C357=""),"",C357-$F$7)</f>
        <v/>
      </c>
      <c r="F357" s="16" t="str">
        <f>IF(OR(TaxaJuros="",C357=""),"",-D357*E357*($F$8/30))</f>
        <v/>
      </c>
      <c r="G357" s="16" t="str">
        <f>IF(OR(TaxaJuros="",C357=""),"",-$F$9)</f>
        <v/>
      </c>
      <c r="H357" s="21" t="str">
        <f>IF(OR(TaxaJuros="",C357=""),"",IF(ComSemIOF=FALSE,0,IF(E357&gt;365,-(D357+F357)*365*IOFDiario,-(D357+F357)*E357*IOFDiario)))</f>
        <v/>
      </c>
      <c r="I357" s="21" t="str">
        <f>IF(OR(TaxaJuros="",C357=""),"",IF(ComSemIOF=FALSE,0,-(D357+F357)*IOFAdic))</f>
        <v/>
      </c>
      <c r="J357" s="16" t="str">
        <f>IF(OR(TaxaJuros="",C357=""),"",D357+SUM(F357:I357))</f>
        <v/>
      </c>
      <c r="K357" s="67" t="str">
        <f>IF(OR(TaxaJuros="",C357=""),"",100%-J357/D357)</f>
        <v/>
      </c>
    </row>
    <row r="358" spans="5:11" x14ac:dyDescent="0.25">
      <c r="E358" s="15" t="str">
        <f>IF(OR(DataRecebimento="",C358=""),"",C358-$F$7)</f>
        <v/>
      </c>
      <c r="F358" s="16" t="str">
        <f>IF(OR(TaxaJuros="",C358=""),"",-D358*E358*($F$8/30))</f>
        <v/>
      </c>
      <c r="G358" s="16" t="str">
        <f>IF(OR(TaxaJuros="",C358=""),"",-$F$9)</f>
        <v/>
      </c>
      <c r="H358" s="21" t="str">
        <f>IF(OR(TaxaJuros="",C358=""),"",IF(ComSemIOF=FALSE,0,IF(E358&gt;365,-(D358+F358)*365*IOFDiario,-(D358+F358)*E358*IOFDiario)))</f>
        <v/>
      </c>
      <c r="I358" s="21" t="str">
        <f>IF(OR(TaxaJuros="",C358=""),"",IF(ComSemIOF=FALSE,0,-(D358+F358)*IOFAdic))</f>
        <v/>
      </c>
      <c r="J358" s="16" t="str">
        <f>IF(OR(TaxaJuros="",C358=""),"",D358+SUM(F358:I358))</f>
        <v/>
      </c>
      <c r="K358" s="67" t="str">
        <f>IF(OR(TaxaJuros="",C358=""),"",100%-J358/D358)</f>
        <v/>
      </c>
    </row>
    <row r="359" spans="5:11" x14ac:dyDescent="0.25">
      <c r="E359" s="15" t="str">
        <f>IF(OR(DataRecebimento="",C359=""),"",C359-$F$7)</f>
        <v/>
      </c>
      <c r="F359" s="16" t="str">
        <f>IF(OR(TaxaJuros="",C359=""),"",-D359*E359*($F$8/30))</f>
        <v/>
      </c>
      <c r="G359" s="16" t="str">
        <f>IF(OR(TaxaJuros="",C359=""),"",-$F$9)</f>
        <v/>
      </c>
      <c r="H359" s="21" t="str">
        <f>IF(OR(TaxaJuros="",C359=""),"",IF(ComSemIOF=FALSE,0,IF(E359&gt;365,-(D359+F359)*365*IOFDiario,-(D359+F359)*E359*IOFDiario)))</f>
        <v/>
      </c>
      <c r="I359" s="21" t="str">
        <f>IF(OR(TaxaJuros="",C359=""),"",IF(ComSemIOF=FALSE,0,-(D359+F359)*IOFAdic))</f>
        <v/>
      </c>
      <c r="J359" s="16" t="str">
        <f>IF(OR(TaxaJuros="",C359=""),"",D359+SUM(F359:I359))</f>
        <v/>
      </c>
      <c r="K359" s="67" t="str">
        <f>IF(OR(TaxaJuros="",C359=""),"",100%-J359/D359)</f>
        <v/>
      </c>
    </row>
    <row r="360" spans="5:11" x14ac:dyDescent="0.25">
      <c r="E360" s="15" t="str">
        <f>IF(OR(DataRecebimento="",C360=""),"",C360-$F$7)</f>
        <v/>
      </c>
      <c r="F360" s="16" t="str">
        <f>IF(OR(TaxaJuros="",C360=""),"",-D360*E360*($F$8/30))</f>
        <v/>
      </c>
      <c r="G360" s="16" t="str">
        <f>IF(OR(TaxaJuros="",C360=""),"",-$F$9)</f>
        <v/>
      </c>
      <c r="H360" s="21" t="str">
        <f>IF(OR(TaxaJuros="",C360=""),"",IF(ComSemIOF=FALSE,0,IF(E360&gt;365,-(D360+F360)*365*IOFDiario,-(D360+F360)*E360*IOFDiario)))</f>
        <v/>
      </c>
      <c r="I360" s="21" t="str">
        <f>IF(OR(TaxaJuros="",C360=""),"",IF(ComSemIOF=FALSE,0,-(D360+F360)*IOFAdic))</f>
        <v/>
      </c>
      <c r="J360" s="16" t="str">
        <f>IF(OR(TaxaJuros="",C360=""),"",D360+SUM(F360:I360))</f>
        <v/>
      </c>
      <c r="K360" s="67" t="str">
        <f>IF(OR(TaxaJuros="",C360=""),"",100%-J360/D360)</f>
        <v/>
      </c>
    </row>
    <row r="361" spans="5:11" x14ac:dyDescent="0.25">
      <c r="E361" s="15" t="str">
        <f>IF(OR(DataRecebimento="",C361=""),"",C361-$F$7)</f>
        <v/>
      </c>
      <c r="F361" s="16" t="str">
        <f>IF(OR(TaxaJuros="",C361=""),"",-D361*E361*($F$8/30))</f>
        <v/>
      </c>
      <c r="G361" s="16" t="str">
        <f>IF(OR(TaxaJuros="",C361=""),"",-$F$9)</f>
        <v/>
      </c>
      <c r="H361" s="21" t="str">
        <f>IF(OR(TaxaJuros="",C361=""),"",IF(ComSemIOF=FALSE,0,IF(E361&gt;365,-(D361+F361)*365*IOFDiario,-(D361+F361)*E361*IOFDiario)))</f>
        <v/>
      </c>
      <c r="I361" s="21" t="str">
        <f>IF(OR(TaxaJuros="",C361=""),"",IF(ComSemIOF=FALSE,0,-(D361+F361)*IOFAdic))</f>
        <v/>
      </c>
      <c r="J361" s="16" t="str">
        <f>IF(OR(TaxaJuros="",C361=""),"",D361+SUM(F361:I361))</f>
        <v/>
      </c>
      <c r="K361" s="67" t="str">
        <f>IF(OR(TaxaJuros="",C361=""),"",100%-J361/D361)</f>
        <v/>
      </c>
    </row>
    <row r="362" spans="5:11" x14ac:dyDescent="0.25">
      <c r="E362" s="15" t="str">
        <f>IF(OR(DataRecebimento="",C362=""),"",C362-$F$7)</f>
        <v/>
      </c>
      <c r="F362" s="16" t="str">
        <f>IF(OR(TaxaJuros="",C362=""),"",-D362*E362*($F$8/30))</f>
        <v/>
      </c>
      <c r="G362" s="16" t="str">
        <f>IF(OR(TaxaJuros="",C362=""),"",-$F$9)</f>
        <v/>
      </c>
      <c r="H362" s="21" t="str">
        <f>IF(OR(TaxaJuros="",C362=""),"",IF(ComSemIOF=FALSE,0,IF(E362&gt;365,-(D362+F362)*365*IOFDiario,-(D362+F362)*E362*IOFDiario)))</f>
        <v/>
      </c>
      <c r="I362" s="21" t="str">
        <f>IF(OR(TaxaJuros="",C362=""),"",IF(ComSemIOF=FALSE,0,-(D362+F362)*IOFAdic))</f>
        <v/>
      </c>
      <c r="J362" s="16" t="str">
        <f>IF(OR(TaxaJuros="",C362=""),"",D362+SUM(F362:I362))</f>
        <v/>
      </c>
      <c r="K362" s="67" t="str">
        <f>IF(OR(TaxaJuros="",C362=""),"",100%-J362/D362)</f>
        <v/>
      </c>
    </row>
    <row r="363" spans="5:11" x14ac:dyDescent="0.25">
      <c r="E363" s="15" t="str">
        <f>IF(OR(DataRecebimento="",C363=""),"",C363-$F$7)</f>
        <v/>
      </c>
      <c r="F363" s="16" t="str">
        <f>IF(OR(TaxaJuros="",C363=""),"",-D363*E363*($F$8/30))</f>
        <v/>
      </c>
      <c r="G363" s="16" t="str">
        <f>IF(OR(TaxaJuros="",C363=""),"",-$F$9)</f>
        <v/>
      </c>
      <c r="H363" s="21" t="str">
        <f>IF(OR(TaxaJuros="",C363=""),"",IF(ComSemIOF=FALSE,0,IF(E363&gt;365,-(D363+F363)*365*IOFDiario,-(D363+F363)*E363*IOFDiario)))</f>
        <v/>
      </c>
      <c r="I363" s="21" t="str">
        <f>IF(OR(TaxaJuros="",C363=""),"",IF(ComSemIOF=FALSE,0,-(D363+F363)*IOFAdic))</f>
        <v/>
      </c>
      <c r="J363" s="16" t="str">
        <f>IF(OR(TaxaJuros="",C363=""),"",D363+SUM(F363:I363))</f>
        <v/>
      </c>
      <c r="K363" s="67" t="str">
        <f>IF(OR(TaxaJuros="",C363=""),"",100%-J363/D363)</f>
        <v/>
      </c>
    </row>
    <row r="364" spans="5:11" x14ac:dyDescent="0.25">
      <c r="E364" s="15" t="str">
        <f>IF(OR(DataRecebimento="",C364=""),"",C364-$F$7)</f>
        <v/>
      </c>
      <c r="F364" s="16" t="str">
        <f>IF(OR(TaxaJuros="",C364=""),"",-D364*E364*($F$8/30))</f>
        <v/>
      </c>
      <c r="G364" s="16" t="str">
        <f>IF(OR(TaxaJuros="",C364=""),"",-$F$9)</f>
        <v/>
      </c>
      <c r="H364" s="21" t="str">
        <f>IF(OR(TaxaJuros="",C364=""),"",IF(ComSemIOF=FALSE,0,IF(E364&gt;365,-(D364+F364)*365*IOFDiario,-(D364+F364)*E364*IOFDiario)))</f>
        <v/>
      </c>
      <c r="I364" s="21" t="str">
        <f>IF(OR(TaxaJuros="",C364=""),"",IF(ComSemIOF=FALSE,0,-(D364+F364)*IOFAdic))</f>
        <v/>
      </c>
      <c r="J364" s="16" t="str">
        <f>IF(OR(TaxaJuros="",C364=""),"",D364+SUM(F364:I364))</f>
        <v/>
      </c>
      <c r="K364" s="67" t="str">
        <f>IF(OR(TaxaJuros="",C364=""),"",100%-J364/D364)</f>
        <v/>
      </c>
    </row>
    <row r="365" spans="5:11" x14ac:dyDescent="0.25">
      <c r="E365" s="15" t="str">
        <f>IF(OR(DataRecebimento="",C365=""),"",C365-$F$7)</f>
        <v/>
      </c>
      <c r="F365" s="16" t="str">
        <f>IF(OR(TaxaJuros="",C365=""),"",-D365*E365*($F$8/30))</f>
        <v/>
      </c>
      <c r="G365" s="16" t="str">
        <f>IF(OR(TaxaJuros="",C365=""),"",-$F$9)</f>
        <v/>
      </c>
      <c r="H365" s="21" t="str">
        <f>IF(OR(TaxaJuros="",C365=""),"",IF(ComSemIOF=FALSE,0,IF(E365&gt;365,-(D365+F365)*365*IOFDiario,-(D365+F365)*E365*IOFDiario)))</f>
        <v/>
      </c>
      <c r="I365" s="21" t="str">
        <f>IF(OR(TaxaJuros="",C365=""),"",IF(ComSemIOF=FALSE,0,-(D365+F365)*IOFAdic))</f>
        <v/>
      </c>
      <c r="J365" s="16" t="str">
        <f>IF(OR(TaxaJuros="",C365=""),"",D365+SUM(F365:I365))</f>
        <v/>
      </c>
      <c r="K365" s="67" t="str">
        <f>IF(OR(TaxaJuros="",C365=""),"",100%-J365/D365)</f>
        <v/>
      </c>
    </row>
    <row r="366" spans="5:11" x14ac:dyDescent="0.25">
      <c r="E366" s="15" t="str">
        <f>IF(OR(DataRecebimento="",C366=""),"",C366-$F$7)</f>
        <v/>
      </c>
      <c r="F366" s="16" t="str">
        <f>IF(OR(TaxaJuros="",C366=""),"",-D366*E366*($F$8/30))</f>
        <v/>
      </c>
      <c r="G366" s="16" t="str">
        <f>IF(OR(TaxaJuros="",C366=""),"",-$F$9)</f>
        <v/>
      </c>
      <c r="H366" s="21" t="str">
        <f>IF(OR(TaxaJuros="",C366=""),"",IF(ComSemIOF=FALSE,0,IF(E366&gt;365,-(D366+F366)*365*IOFDiario,-(D366+F366)*E366*IOFDiario)))</f>
        <v/>
      </c>
      <c r="I366" s="21" t="str">
        <f>IF(OR(TaxaJuros="",C366=""),"",IF(ComSemIOF=FALSE,0,-(D366+F366)*IOFAdic))</f>
        <v/>
      </c>
      <c r="J366" s="16" t="str">
        <f>IF(OR(TaxaJuros="",C366=""),"",D366+SUM(F366:I366))</f>
        <v/>
      </c>
      <c r="K366" s="67" t="str">
        <f>IF(OR(TaxaJuros="",C366=""),"",100%-J366/D366)</f>
        <v/>
      </c>
    </row>
    <row r="367" spans="5:11" x14ac:dyDescent="0.25">
      <c r="E367" s="15" t="str">
        <f>IF(OR(DataRecebimento="",C367=""),"",C367-$F$7)</f>
        <v/>
      </c>
      <c r="F367" s="16" t="str">
        <f>IF(OR(TaxaJuros="",C367=""),"",-D367*E367*($F$8/30))</f>
        <v/>
      </c>
      <c r="G367" s="16" t="str">
        <f>IF(OR(TaxaJuros="",C367=""),"",-$F$9)</f>
        <v/>
      </c>
      <c r="H367" s="21" t="str">
        <f>IF(OR(TaxaJuros="",C367=""),"",IF(ComSemIOF=FALSE,0,IF(E367&gt;365,-(D367+F367)*365*IOFDiario,-(D367+F367)*E367*IOFDiario)))</f>
        <v/>
      </c>
      <c r="I367" s="21" t="str">
        <f>IF(OR(TaxaJuros="",C367=""),"",IF(ComSemIOF=FALSE,0,-(D367+F367)*IOFAdic))</f>
        <v/>
      </c>
      <c r="J367" s="16" t="str">
        <f>IF(OR(TaxaJuros="",C367=""),"",D367+SUM(F367:I367))</f>
        <v/>
      </c>
      <c r="K367" s="67" t="str">
        <f>IF(OR(TaxaJuros="",C367=""),"",100%-J367/D367)</f>
        <v/>
      </c>
    </row>
    <row r="368" spans="5:11" x14ac:dyDescent="0.25">
      <c r="E368" s="15" t="str">
        <f>IF(OR(DataRecebimento="",C368=""),"",C368-$F$7)</f>
        <v/>
      </c>
      <c r="F368" s="16" t="str">
        <f>IF(OR(TaxaJuros="",C368=""),"",-D368*E368*($F$8/30))</f>
        <v/>
      </c>
      <c r="G368" s="16" t="str">
        <f>IF(OR(TaxaJuros="",C368=""),"",-$F$9)</f>
        <v/>
      </c>
      <c r="H368" s="21" t="str">
        <f>IF(OR(TaxaJuros="",C368=""),"",IF(ComSemIOF=FALSE,0,IF(E368&gt;365,-(D368+F368)*365*IOFDiario,-(D368+F368)*E368*IOFDiario)))</f>
        <v/>
      </c>
      <c r="I368" s="21" t="str">
        <f>IF(OR(TaxaJuros="",C368=""),"",IF(ComSemIOF=FALSE,0,-(D368+F368)*IOFAdic))</f>
        <v/>
      </c>
      <c r="J368" s="16" t="str">
        <f>IF(OR(TaxaJuros="",C368=""),"",D368+SUM(F368:I368))</f>
        <v/>
      </c>
      <c r="K368" s="67" t="str">
        <f>IF(OR(TaxaJuros="",C368=""),"",100%-J368/D368)</f>
        <v/>
      </c>
    </row>
    <row r="369" spans="5:11" x14ac:dyDescent="0.25">
      <c r="E369" s="15" t="str">
        <f>IF(OR(DataRecebimento="",C369=""),"",C369-$F$7)</f>
        <v/>
      </c>
      <c r="F369" s="16" t="str">
        <f>IF(OR(TaxaJuros="",C369=""),"",-D369*E369*($F$8/30))</f>
        <v/>
      </c>
      <c r="G369" s="16" t="str">
        <f>IF(OR(TaxaJuros="",C369=""),"",-$F$9)</f>
        <v/>
      </c>
      <c r="H369" s="21" t="str">
        <f>IF(OR(TaxaJuros="",C369=""),"",IF(ComSemIOF=FALSE,0,IF(E369&gt;365,-(D369+F369)*365*IOFDiario,-(D369+F369)*E369*IOFDiario)))</f>
        <v/>
      </c>
      <c r="I369" s="21" t="str">
        <f>IF(OR(TaxaJuros="",C369=""),"",IF(ComSemIOF=FALSE,0,-(D369+F369)*IOFAdic))</f>
        <v/>
      </c>
      <c r="J369" s="16" t="str">
        <f>IF(OR(TaxaJuros="",C369=""),"",D369+SUM(F369:I369))</f>
        <v/>
      </c>
      <c r="K369" s="67" t="str">
        <f>IF(OR(TaxaJuros="",C369=""),"",100%-J369/D369)</f>
        <v/>
      </c>
    </row>
    <row r="370" spans="5:11" x14ac:dyDescent="0.25">
      <c r="E370" s="15" t="str">
        <f>IF(OR(DataRecebimento="",C370=""),"",C370-$F$7)</f>
        <v/>
      </c>
      <c r="F370" s="16" t="str">
        <f>IF(OR(TaxaJuros="",C370=""),"",-D370*E370*($F$8/30))</f>
        <v/>
      </c>
      <c r="G370" s="16" t="str">
        <f>IF(OR(TaxaJuros="",C370=""),"",-$F$9)</f>
        <v/>
      </c>
      <c r="H370" s="21" t="str">
        <f>IF(OR(TaxaJuros="",C370=""),"",IF(ComSemIOF=FALSE,0,IF(E370&gt;365,-(D370+F370)*365*IOFDiario,-(D370+F370)*E370*IOFDiario)))</f>
        <v/>
      </c>
      <c r="I370" s="21" t="str">
        <f>IF(OR(TaxaJuros="",C370=""),"",IF(ComSemIOF=FALSE,0,-(D370+F370)*IOFAdic))</f>
        <v/>
      </c>
      <c r="J370" s="16" t="str">
        <f>IF(OR(TaxaJuros="",C370=""),"",D370+SUM(F370:I370))</f>
        <v/>
      </c>
      <c r="K370" s="67" t="str">
        <f>IF(OR(TaxaJuros="",C370=""),"",100%-J370/D370)</f>
        <v/>
      </c>
    </row>
    <row r="371" spans="5:11" x14ac:dyDescent="0.25">
      <c r="E371" s="15" t="str">
        <f>IF(OR(DataRecebimento="",C371=""),"",C371-$F$7)</f>
        <v/>
      </c>
      <c r="F371" s="16" t="str">
        <f>IF(OR(TaxaJuros="",C371=""),"",-D371*E371*($F$8/30))</f>
        <v/>
      </c>
      <c r="G371" s="16" t="str">
        <f>IF(OR(TaxaJuros="",C371=""),"",-$F$9)</f>
        <v/>
      </c>
      <c r="H371" s="21" t="str">
        <f>IF(OR(TaxaJuros="",C371=""),"",IF(ComSemIOF=FALSE,0,IF(E371&gt;365,-(D371+F371)*365*IOFDiario,-(D371+F371)*E371*IOFDiario)))</f>
        <v/>
      </c>
      <c r="I371" s="21" t="str">
        <f>IF(OR(TaxaJuros="",C371=""),"",IF(ComSemIOF=FALSE,0,-(D371+F371)*IOFAdic))</f>
        <v/>
      </c>
      <c r="J371" s="16" t="str">
        <f>IF(OR(TaxaJuros="",C371=""),"",D371+SUM(F371:I371))</f>
        <v/>
      </c>
      <c r="K371" s="67" t="str">
        <f>IF(OR(TaxaJuros="",C371=""),"",100%-J371/D371)</f>
        <v/>
      </c>
    </row>
    <row r="372" spans="5:11" x14ac:dyDescent="0.25">
      <c r="E372" s="15" t="str">
        <f>IF(OR(DataRecebimento="",C372=""),"",C372-$F$7)</f>
        <v/>
      </c>
      <c r="F372" s="16" t="str">
        <f>IF(OR(TaxaJuros="",C372=""),"",-D372*E372*($F$8/30))</f>
        <v/>
      </c>
      <c r="G372" s="16" t="str">
        <f>IF(OR(TaxaJuros="",C372=""),"",-$F$9)</f>
        <v/>
      </c>
      <c r="H372" s="21" t="str">
        <f>IF(OR(TaxaJuros="",C372=""),"",IF(ComSemIOF=FALSE,0,IF(E372&gt;365,-(D372+F372)*365*IOFDiario,-(D372+F372)*E372*IOFDiario)))</f>
        <v/>
      </c>
      <c r="I372" s="21" t="str">
        <f>IF(OR(TaxaJuros="",C372=""),"",IF(ComSemIOF=FALSE,0,-(D372+F372)*IOFAdic))</f>
        <v/>
      </c>
      <c r="J372" s="16" t="str">
        <f>IF(OR(TaxaJuros="",C372=""),"",D372+SUM(F372:I372))</f>
        <v/>
      </c>
      <c r="K372" s="67" t="str">
        <f>IF(OR(TaxaJuros="",C372=""),"",100%-J372/D372)</f>
        <v/>
      </c>
    </row>
    <row r="373" spans="5:11" x14ac:dyDescent="0.25">
      <c r="E373" s="15" t="str">
        <f>IF(OR(DataRecebimento="",C373=""),"",C373-$F$7)</f>
        <v/>
      </c>
      <c r="F373" s="16" t="str">
        <f>IF(OR(TaxaJuros="",C373=""),"",-D373*E373*($F$8/30))</f>
        <v/>
      </c>
      <c r="G373" s="16" t="str">
        <f>IF(OR(TaxaJuros="",C373=""),"",-$F$9)</f>
        <v/>
      </c>
      <c r="H373" s="21" t="str">
        <f>IF(OR(TaxaJuros="",C373=""),"",IF(ComSemIOF=FALSE,0,IF(E373&gt;365,-(D373+F373)*365*IOFDiario,-(D373+F373)*E373*IOFDiario)))</f>
        <v/>
      </c>
      <c r="I373" s="21" t="str">
        <f>IF(OR(TaxaJuros="",C373=""),"",IF(ComSemIOF=FALSE,0,-(D373+F373)*IOFAdic))</f>
        <v/>
      </c>
      <c r="J373" s="16" t="str">
        <f>IF(OR(TaxaJuros="",C373=""),"",D373+SUM(F373:I373))</f>
        <v/>
      </c>
      <c r="K373" s="67" t="str">
        <f>IF(OR(TaxaJuros="",C373=""),"",100%-J373/D373)</f>
        <v/>
      </c>
    </row>
    <row r="374" spans="5:11" x14ac:dyDescent="0.25">
      <c r="E374" s="15" t="str">
        <f>IF(OR(DataRecebimento="",C374=""),"",C374-$F$7)</f>
        <v/>
      </c>
      <c r="F374" s="16" t="str">
        <f>IF(OR(TaxaJuros="",C374=""),"",-D374*E374*($F$8/30))</f>
        <v/>
      </c>
      <c r="G374" s="16" t="str">
        <f>IF(OR(TaxaJuros="",C374=""),"",-$F$9)</f>
        <v/>
      </c>
      <c r="H374" s="21" t="str">
        <f>IF(OR(TaxaJuros="",C374=""),"",IF(ComSemIOF=FALSE,0,IF(E374&gt;365,-(D374+F374)*365*IOFDiario,-(D374+F374)*E374*IOFDiario)))</f>
        <v/>
      </c>
      <c r="I374" s="21" t="str">
        <f>IF(OR(TaxaJuros="",C374=""),"",IF(ComSemIOF=FALSE,0,-(D374+F374)*IOFAdic))</f>
        <v/>
      </c>
      <c r="J374" s="16" t="str">
        <f>IF(OR(TaxaJuros="",C374=""),"",D374+SUM(F374:I374))</f>
        <v/>
      </c>
      <c r="K374" s="67" t="str">
        <f>IF(OR(TaxaJuros="",C374=""),"",100%-J374/D374)</f>
        <v/>
      </c>
    </row>
    <row r="375" spans="5:11" x14ac:dyDescent="0.25">
      <c r="E375" s="15" t="str">
        <f>IF(OR(DataRecebimento="",C375=""),"",C375-$F$7)</f>
        <v/>
      </c>
      <c r="F375" s="16" t="str">
        <f>IF(OR(TaxaJuros="",C375=""),"",-D375*E375*($F$8/30))</f>
        <v/>
      </c>
      <c r="G375" s="16" t="str">
        <f>IF(OR(TaxaJuros="",C375=""),"",-$F$9)</f>
        <v/>
      </c>
      <c r="H375" s="21" t="str">
        <f>IF(OR(TaxaJuros="",C375=""),"",IF(ComSemIOF=FALSE,0,IF(E375&gt;365,-(D375+F375)*365*IOFDiario,-(D375+F375)*E375*IOFDiario)))</f>
        <v/>
      </c>
      <c r="I375" s="21" t="str">
        <f>IF(OR(TaxaJuros="",C375=""),"",IF(ComSemIOF=FALSE,0,-(D375+F375)*IOFAdic))</f>
        <v/>
      </c>
      <c r="J375" s="16" t="str">
        <f>IF(OR(TaxaJuros="",C375=""),"",D375+SUM(F375:I375))</f>
        <v/>
      </c>
      <c r="K375" s="67" t="str">
        <f>IF(OR(TaxaJuros="",C375=""),"",100%-J375/D375)</f>
        <v/>
      </c>
    </row>
    <row r="376" spans="5:11" x14ac:dyDescent="0.25">
      <c r="E376" s="15" t="str">
        <f>IF(OR(DataRecebimento="",C376=""),"",C376-$F$7)</f>
        <v/>
      </c>
      <c r="F376" s="16" t="str">
        <f>IF(OR(TaxaJuros="",C376=""),"",-D376*E376*($F$8/30))</f>
        <v/>
      </c>
      <c r="G376" s="16" t="str">
        <f>IF(OR(TaxaJuros="",C376=""),"",-$F$9)</f>
        <v/>
      </c>
      <c r="H376" s="21" t="str">
        <f>IF(OR(TaxaJuros="",C376=""),"",IF(ComSemIOF=FALSE,0,IF(E376&gt;365,-(D376+F376)*365*IOFDiario,-(D376+F376)*E376*IOFDiario)))</f>
        <v/>
      </c>
      <c r="I376" s="21" t="str">
        <f>IF(OR(TaxaJuros="",C376=""),"",IF(ComSemIOF=FALSE,0,-(D376+F376)*IOFAdic))</f>
        <v/>
      </c>
      <c r="J376" s="16" t="str">
        <f>IF(OR(TaxaJuros="",C376=""),"",D376+SUM(F376:I376))</f>
        <v/>
      </c>
      <c r="K376" s="67" t="str">
        <f>IF(OR(TaxaJuros="",C376=""),"",100%-J376/D376)</f>
        <v/>
      </c>
    </row>
    <row r="377" spans="5:11" x14ac:dyDescent="0.25">
      <c r="E377" s="15" t="str">
        <f>IF(OR(DataRecebimento="",C377=""),"",C377-$F$7)</f>
        <v/>
      </c>
      <c r="F377" s="16" t="str">
        <f>IF(OR(TaxaJuros="",C377=""),"",-D377*E377*($F$8/30))</f>
        <v/>
      </c>
      <c r="G377" s="16" t="str">
        <f>IF(OR(TaxaJuros="",C377=""),"",-$F$9)</f>
        <v/>
      </c>
      <c r="H377" s="21" t="str">
        <f>IF(OR(TaxaJuros="",C377=""),"",IF(ComSemIOF=FALSE,0,IF(E377&gt;365,-(D377+F377)*365*IOFDiario,-(D377+F377)*E377*IOFDiario)))</f>
        <v/>
      </c>
      <c r="I377" s="21" t="str">
        <f>IF(OR(TaxaJuros="",C377=""),"",IF(ComSemIOF=FALSE,0,-(D377+F377)*IOFAdic))</f>
        <v/>
      </c>
      <c r="J377" s="16" t="str">
        <f>IF(OR(TaxaJuros="",C377=""),"",D377+SUM(F377:I377))</f>
        <v/>
      </c>
      <c r="K377" s="67" t="str">
        <f>IF(OR(TaxaJuros="",C377=""),"",100%-J377/D377)</f>
        <v/>
      </c>
    </row>
    <row r="378" spans="5:11" x14ac:dyDescent="0.25">
      <c r="E378" s="15" t="str">
        <f>IF(OR(DataRecebimento="",C378=""),"",C378-$F$7)</f>
        <v/>
      </c>
      <c r="F378" s="16" t="str">
        <f>IF(OR(TaxaJuros="",C378=""),"",-D378*E378*($F$8/30))</f>
        <v/>
      </c>
      <c r="G378" s="16" t="str">
        <f>IF(OR(TaxaJuros="",C378=""),"",-$F$9)</f>
        <v/>
      </c>
      <c r="H378" s="21" t="str">
        <f>IF(OR(TaxaJuros="",C378=""),"",IF(ComSemIOF=FALSE,0,IF(E378&gt;365,-(D378+F378)*365*IOFDiario,-(D378+F378)*E378*IOFDiario)))</f>
        <v/>
      </c>
      <c r="I378" s="21" t="str">
        <f>IF(OR(TaxaJuros="",C378=""),"",IF(ComSemIOF=FALSE,0,-(D378+F378)*IOFAdic))</f>
        <v/>
      </c>
      <c r="J378" s="16" t="str">
        <f>IF(OR(TaxaJuros="",C378=""),"",D378+SUM(F378:I378))</f>
        <v/>
      </c>
      <c r="K378" s="67" t="str">
        <f>IF(OR(TaxaJuros="",C378=""),"",100%-J378/D378)</f>
        <v/>
      </c>
    </row>
    <row r="379" spans="5:11" x14ac:dyDescent="0.25">
      <c r="E379" s="15" t="str">
        <f>IF(OR(DataRecebimento="",C379=""),"",C379-$F$7)</f>
        <v/>
      </c>
      <c r="F379" s="16" t="str">
        <f>IF(OR(TaxaJuros="",C379=""),"",-D379*E379*($F$8/30))</f>
        <v/>
      </c>
      <c r="G379" s="16" t="str">
        <f>IF(OR(TaxaJuros="",C379=""),"",-$F$9)</f>
        <v/>
      </c>
      <c r="H379" s="21" t="str">
        <f>IF(OR(TaxaJuros="",C379=""),"",IF(ComSemIOF=FALSE,0,IF(E379&gt;365,-(D379+F379)*365*IOFDiario,-(D379+F379)*E379*IOFDiario)))</f>
        <v/>
      </c>
      <c r="I379" s="21" t="str">
        <f>IF(OR(TaxaJuros="",C379=""),"",IF(ComSemIOF=FALSE,0,-(D379+F379)*IOFAdic))</f>
        <v/>
      </c>
      <c r="J379" s="16" t="str">
        <f>IF(OR(TaxaJuros="",C379=""),"",D379+SUM(F379:I379))</f>
        <v/>
      </c>
      <c r="K379" s="67" t="str">
        <f>IF(OR(TaxaJuros="",C379=""),"",100%-J379/D379)</f>
        <v/>
      </c>
    </row>
    <row r="380" spans="5:11" x14ac:dyDescent="0.25">
      <c r="E380" s="15" t="str">
        <f>IF(OR(DataRecebimento="",C380=""),"",C380-$F$7)</f>
        <v/>
      </c>
      <c r="F380" s="16" t="str">
        <f>IF(OR(TaxaJuros="",C380=""),"",-D380*E380*($F$8/30))</f>
        <v/>
      </c>
      <c r="G380" s="16" t="str">
        <f>IF(OR(TaxaJuros="",C380=""),"",-$F$9)</f>
        <v/>
      </c>
      <c r="H380" s="21" t="str">
        <f>IF(OR(TaxaJuros="",C380=""),"",IF(ComSemIOF=FALSE,0,IF(E380&gt;365,-(D380+F380)*365*IOFDiario,-(D380+F380)*E380*IOFDiario)))</f>
        <v/>
      </c>
      <c r="I380" s="21" t="str">
        <f>IF(OR(TaxaJuros="",C380=""),"",IF(ComSemIOF=FALSE,0,-(D380+F380)*IOFAdic))</f>
        <v/>
      </c>
      <c r="J380" s="16" t="str">
        <f>IF(OR(TaxaJuros="",C380=""),"",D380+SUM(F380:I380))</f>
        <v/>
      </c>
      <c r="K380" s="67" t="str">
        <f>IF(OR(TaxaJuros="",C380=""),"",100%-J380/D380)</f>
        <v/>
      </c>
    </row>
    <row r="381" spans="5:11" x14ac:dyDescent="0.25">
      <c r="E381" s="15" t="str">
        <f>IF(OR(DataRecebimento="",C381=""),"",C381-$F$7)</f>
        <v/>
      </c>
      <c r="F381" s="16" t="str">
        <f>IF(OR(TaxaJuros="",C381=""),"",-D381*E381*($F$8/30))</f>
        <v/>
      </c>
      <c r="G381" s="16" t="str">
        <f>IF(OR(TaxaJuros="",C381=""),"",-$F$9)</f>
        <v/>
      </c>
      <c r="H381" s="21" t="str">
        <f>IF(OR(TaxaJuros="",C381=""),"",IF(ComSemIOF=FALSE,0,IF(E381&gt;365,-(D381+F381)*365*IOFDiario,-(D381+F381)*E381*IOFDiario)))</f>
        <v/>
      </c>
      <c r="I381" s="21" t="str">
        <f>IF(OR(TaxaJuros="",C381=""),"",IF(ComSemIOF=FALSE,0,-(D381+F381)*IOFAdic))</f>
        <v/>
      </c>
      <c r="J381" s="16" t="str">
        <f>IF(OR(TaxaJuros="",C381=""),"",D381+SUM(F381:I381))</f>
        <v/>
      </c>
      <c r="K381" s="67" t="str">
        <f>IF(OR(TaxaJuros="",C381=""),"",100%-J381/D381)</f>
        <v/>
      </c>
    </row>
    <row r="382" spans="5:11" x14ac:dyDescent="0.25">
      <c r="E382" s="15" t="str">
        <f>IF(OR(DataRecebimento="",C382=""),"",C382-$F$7)</f>
        <v/>
      </c>
      <c r="F382" s="16" t="str">
        <f>IF(OR(TaxaJuros="",C382=""),"",-D382*E382*($F$8/30))</f>
        <v/>
      </c>
      <c r="G382" s="16" t="str">
        <f>IF(OR(TaxaJuros="",C382=""),"",-$F$9)</f>
        <v/>
      </c>
      <c r="H382" s="21" t="str">
        <f>IF(OR(TaxaJuros="",C382=""),"",IF(ComSemIOF=FALSE,0,IF(E382&gt;365,-(D382+F382)*365*IOFDiario,-(D382+F382)*E382*IOFDiario)))</f>
        <v/>
      </c>
      <c r="I382" s="21" t="str">
        <f>IF(OR(TaxaJuros="",C382=""),"",IF(ComSemIOF=FALSE,0,-(D382+F382)*IOFAdic))</f>
        <v/>
      </c>
      <c r="J382" s="16" t="str">
        <f>IF(OR(TaxaJuros="",C382=""),"",D382+SUM(F382:I382))</f>
        <v/>
      </c>
      <c r="K382" s="67" t="str">
        <f>IF(OR(TaxaJuros="",C382=""),"",100%-J382/D382)</f>
        <v/>
      </c>
    </row>
    <row r="383" spans="5:11" x14ac:dyDescent="0.25">
      <c r="E383" s="15" t="str">
        <f>IF(OR(DataRecebimento="",C383=""),"",C383-$F$7)</f>
        <v/>
      </c>
      <c r="F383" s="16" t="str">
        <f>IF(OR(TaxaJuros="",C383=""),"",-D383*E383*($F$8/30))</f>
        <v/>
      </c>
      <c r="G383" s="16" t="str">
        <f>IF(OR(TaxaJuros="",C383=""),"",-$F$9)</f>
        <v/>
      </c>
      <c r="H383" s="21" t="str">
        <f>IF(OR(TaxaJuros="",C383=""),"",IF(ComSemIOF=FALSE,0,IF(E383&gt;365,-(D383+F383)*365*IOFDiario,-(D383+F383)*E383*IOFDiario)))</f>
        <v/>
      </c>
      <c r="I383" s="21" t="str">
        <f>IF(OR(TaxaJuros="",C383=""),"",IF(ComSemIOF=FALSE,0,-(D383+F383)*IOFAdic))</f>
        <v/>
      </c>
      <c r="J383" s="16" t="str">
        <f>IF(OR(TaxaJuros="",C383=""),"",D383+SUM(F383:I383))</f>
        <v/>
      </c>
      <c r="K383" s="67" t="str">
        <f>IF(OR(TaxaJuros="",C383=""),"",100%-J383/D383)</f>
        <v/>
      </c>
    </row>
    <row r="384" spans="5:11" x14ac:dyDescent="0.25">
      <c r="E384" s="15" t="str">
        <f>IF(OR(DataRecebimento="",C384=""),"",C384-$F$7)</f>
        <v/>
      </c>
      <c r="F384" s="16" t="str">
        <f>IF(OR(TaxaJuros="",C384=""),"",-D384*E384*($F$8/30))</f>
        <v/>
      </c>
      <c r="G384" s="16" t="str">
        <f>IF(OR(TaxaJuros="",C384=""),"",-$F$9)</f>
        <v/>
      </c>
      <c r="H384" s="21" t="str">
        <f>IF(OR(TaxaJuros="",C384=""),"",IF(ComSemIOF=FALSE,0,IF(E384&gt;365,-(D384+F384)*365*IOFDiario,-(D384+F384)*E384*IOFDiario)))</f>
        <v/>
      </c>
      <c r="I384" s="21" t="str">
        <f>IF(OR(TaxaJuros="",C384=""),"",IF(ComSemIOF=FALSE,0,-(D384+F384)*IOFAdic))</f>
        <v/>
      </c>
      <c r="J384" s="16" t="str">
        <f>IF(OR(TaxaJuros="",C384=""),"",D384+SUM(F384:I384))</f>
        <v/>
      </c>
      <c r="K384" s="67" t="str">
        <f>IF(OR(TaxaJuros="",C384=""),"",100%-J384/D384)</f>
        <v/>
      </c>
    </row>
    <row r="385" spans="5:11" x14ac:dyDescent="0.25">
      <c r="E385" s="15" t="str">
        <f>IF(OR(DataRecebimento="",C385=""),"",C385-$F$7)</f>
        <v/>
      </c>
      <c r="F385" s="16" t="str">
        <f>IF(OR(TaxaJuros="",C385=""),"",-D385*E385*($F$8/30))</f>
        <v/>
      </c>
      <c r="G385" s="16" t="str">
        <f>IF(OR(TaxaJuros="",C385=""),"",-$F$9)</f>
        <v/>
      </c>
      <c r="H385" s="21" t="str">
        <f>IF(OR(TaxaJuros="",C385=""),"",IF(ComSemIOF=FALSE,0,IF(E385&gt;365,-(D385+F385)*365*IOFDiario,-(D385+F385)*E385*IOFDiario)))</f>
        <v/>
      </c>
      <c r="I385" s="21" t="str">
        <f>IF(OR(TaxaJuros="",C385=""),"",IF(ComSemIOF=FALSE,0,-(D385+F385)*IOFAdic))</f>
        <v/>
      </c>
      <c r="J385" s="16" t="str">
        <f>IF(OR(TaxaJuros="",C385=""),"",D385+SUM(F385:I385))</f>
        <v/>
      </c>
      <c r="K385" s="67" t="str">
        <f>IF(OR(TaxaJuros="",C385=""),"",100%-J385/D385)</f>
        <v/>
      </c>
    </row>
    <row r="386" spans="5:11" x14ac:dyDescent="0.25">
      <c r="E386" s="15" t="str">
        <f>IF(OR(DataRecebimento="",C386=""),"",C386-$F$7)</f>
        <v/>
      </c>
      <c r="F386" s="16" t="str">
        <f>IF(OR(TaxaJuros="",C386=""),"",-D386*E386*($F$8/30))</f>
        <v/>
      </c>
      <c r="G386" s="16" t="str">
        <f>IF(OR(TaxaJuros="",C386=""),"",-$F$9)</f>
        <v/>
      </c>
      <c r="H386" s="21" t="str">
        <f>IF(OR(TaxaJuros="",C386=""),"",IF(ComSemIOF=FALSE,0,IF(E386&gt;365,-(D386+F386)*365*IOFDiario,-(D386+F386)*E386*IOFDiario)))</f>
        <v/>
      </c>
      <c r="I386" s="21" t="str">
        <f>IF(OR(TaxaJuros="",C386=""),"",IF(ComSemIOF=FALSE,0,-(D386+F386)*IOFAdic))</f>
        <v/>
      </c>
      <c r="J386" s="16" t="str">
        <f>IF(OR(TaxaJuros="",C386=""),"",D386+SUM(F386:I386))</f>
        <v/>
      </c>
      <c r="K386" s="67" t="str">
        <f>IF(OR(TaxaJuros="",C386=""),"",100%-J386/D386)</f>
        <v/>
      </c>
    </row>
    <row r="387" spans="5:11" x14ac:dyDescent="0.25">
      <c r="E387" s="15" t="str">
        <f>IF(OR(DataRecebimento="",C387=""),"",C387-$F$7)</f>
        <v/>
      </c>
      <c r="F387" s="16" t="str">
        <f>IF(OR(TaxaJuros="",C387=""),"",-D387*E387*($F$8/30))</f>
        <v/>
      </c>
      <c r="G387" s="16" t="str">
        <f>IF(OR(TaxaJuros="",C387=""),"",-$F$9)</f>
        <v/>
      </c>
      <c r="H387" s="21" t="str">
        <f>IF(OR(TaxaJuros="",C387=""),"",IF(ComSemIOF=FALSE,0,IF(E387&gt;365,-(D387+F387)*365*IOFDiario,-(D387+F387)*E387*IOFDiario)))</f>
        <v/>
      </c>
      <c r="I387" s="21" t="str">
        <f>IF(OR(TaxaJuros="",C387=""),"",IF(ComSemIOF=FALSE,0,-(D387+F387)*IOFAdic))</f>
        <v/>
      </c>
      <c r="J387" s="16" t="str">
        <f>IF(OR(TaxaJuros="",C387=""),"",D387+SUM(F387:I387))</f>
        <v/>
      </c>
      <c r="K387" s="67" t="str">
        <f>IF(OR(TaxaJuros="",C387=""),"",100%-J387/D387)</f>
        <v/>
      </c>
    </row>
    <row r="388" spans="5:11" x14ac:dyDescent="0.25">
      <c r="E388" s="15" t="str">
        <f>IF(OR(DataRecebimento="",C388=""),"",C388-$F$7)</f>
        <v/>
      </c>
      <c r="F388" s="16" t="str">
        <f>IF(OR(TaxaJuros="",C388=""),"",-D388*E388*($F$8/30))</f>
        <v/>
      </c>
      <c r="G388" s="16" t="str">
        <f>IF(OR(TaxaJuros="",C388=""),"",-$F$9)</f>
        <v/>
      </c>
      <c r="H388" s="21" t="str">
        <f>IF(OR(TaxaJuros="",C388=""),"",IF(ComSemIOF=FALSE,0,IF(E388&gt;365,-(D388+F388)*365*IOFDiario,-(D388+F388)*E388*IOFDiario)))</f>
        <v/>
      </c>
      <c r="I388" s="21" t="str">
        <f>IF(OR(TaxaJuros="",C388=""),"",IF(ComSemIOF=FALSE,0,-(D388+F388)*IOFAdic))</f>
        <v/>
      </c>
      <c r="J388" s="16" t="str">
        <f>IF(OR(TaxaJuros="",C388=""),"",D388+SUM(F388:I388))</f>
        <v/>
      </c>
      <c r="K388" s="67" t="str">
        <f>IF(OR(TaxaJuros="",C388=""),"",100%-J388/D388)</f>
        <v/>
      </c>
    </row>
    <row r="389" spans="5:11" x14ac:dyDescent="0.25">
      <c r="E389" s="15" t="str">
        <f>IF(OR(DataRecebimento="",C389=""),"",C389-$F$7)</f>
        <v/>
      </c>
      <c r="F389" s="16" t="str">
        <f>IF(OR(TaxaJuros="",C389=""),"",-D389*E389*($F$8/30))</f>
        <v/>
      </c>
      <c r="G389" s="16" t="str">
        <f>IF(OR(TaxaJuros="",C389=""),"",-$F$9)</f>
        <v/>
      </c>
      <c r="H389" s="21" t="str">
        <f>IF(OR(TaxaJuros="",C389=""),"",IF(ComSemIOF=FALSE,0,IF(E389&gt;365,-(D389+F389)*365*IOFDiario,-(D389+F389)*E389*IOFDiario)))</f>
        <v/>
      </c>
      <c r="I389" s="21" t="str">
        <f>IF(OR(TaxaJuros="",C389=""),"",IF(ComSemIOF=FALSE,0,-(D389+F389)*IOFAdic))</f>
        <v/>
      </c>
      <c r="J389" s="16" t="str">
        <f>IF(OR(TaxaJuros="",C389=""),"",D389+SUM(F389:I389))</f>
        <v/>
      </c>
      <c r="K389" s="67" t="str">
        <f>IF(OR(TaxaJuros="",C389=""),"",100%-J389/D389)</f>
        <v/>
      </c>
    </row>
    <row r="390" spans="5:11" x14ac:dyDescent="0.25">
      <c r="E390" s="15" t="str">
        <f>IF(OR(DataRecebimento="",C390=""),"",C390-$F$7)</f>
        <v/>
      </c>
      <c r="F390" s="16" t="str">
        <f>IF(OR(TaxaJuros="",C390=""),"",-D390*E390*($F$8/30))</f>
        <v/>
      </c>
      <c r="G390" s="16" t="str">
        <f>IF(OR(TaxaJuros="",C390=""),"",-$F$9)</f>
        <v/>
      </c>
      <c r="H390" s="21" t="str">
        <f>IF(OR(TaxaJuros="",C390=""),"",IF(ComSemIOF=FALSE,0,IF(E390&gt;365,-(D390+F390)*365*IOFDiario,-(D390+F390)*E390*IOFDiario)))</f>
        <v/>
      </c>
      <c r="I390" s="21" t="str">
        <f>IF(OR(TaxaJuros="",C390=""),"",IF(ComSemIOF=FALSE,0,-(D390+F390)*IOFAdic))</f>
        <v/>
      </c>
      <c r="J390" s="16" t="str">
        <f>IF(OR(TaxaJuros="",C390=""),"",D390+SUM(F390:I390))</f>
        <v/>
      </c>
      <c r="K390" s="67" t="str">
        <f>IF(OR(TaxaJuros="",C390=""),"",100%-J390/D390)</f>
        <v/>
      </c>
    </row>
    <row r="391" spans="5:11" x14ac:dyDescent="0.25">
      <c r="E391" s="15" t="str">
        <f>IF(OR(DataRecebimento="",C391=""),"",C391-$F$7)</f>
        <v/>
      </c>
      <c r="F391" s="16" t="str">
        <f>IF(OR(TaxaJuros="",C391=""),"",-D391*E391*($F$8/30))</f>
        <v/>
      </c>
      <c r="G391" s="16" t="str">
        <f>IF(OR(TaxaJuros="",C391=""),"",-$F$9)</f>
        <v/>
      </c>
      <c r="H391" s="21" t="str">
        <f>IF(OR(TaxaJuros="",C391=""),"",IF(ComSemIOF=FALSE,0,IF(E391&gt;365,-(D391+F391)*365*IOFDiario,-(D391+F391)*E391*IOFDiario)))</f>
        <v/>
      </c>
      <c r="I391" s="21" t="str">
        <f>IF(OR(TaxaJuros="",C391=""),"",IF(ComSemIOF=FALSE,0,-(D391+F391)*IOFAdic))</f>
        <v/>
      </c>
      <c r="J391" s="16" t="str">
        <f>IF(OR(TaxaJuros="",C391=""),"",D391+SUM(F391:I391))</f>
        <v/>
      </c>
      <c r="K391" s="67" t="str">
        <f>IF(OR(TaxaJuros="",C391=""),"",100%-J391/D391)</f>
        <v/>
      </c>
    </row>
    <row r="392" spans="5:11" x14ac:dyDescent="0.25">
      <c r="E392" s="15" t="str">
        <f>IF(OR(DataRecebimento="",C392=""),"",C392-$F$7)</f>
        <v/>
      </c>
      <c r="F392" s="16" t="str">
        <f>IF(OR(TaxaJuros="",C392=""),"",-D392*E392*($F$8/30))</f>
        <v/>
      </c>
      <c r="G392" s="16" t="str">
        <f>IF(OR(TaxaJuros="",C392=""),"",-$F$9)</f>
        <v/>
      </c>
      <c r="H392" s="21" t="str">
        <f>IF(OR(TaxaJuros="",C392=""),"",IF(ComSemIOF=FALSE,0,IF(E392&gt;365,-(D392+F392)*365*IOFDiario,-(D392+F392)*E392*IOFDiario)))</f>
        <v/>
      </c>
      <c r="I392" s="21" t="str">
        <f>IF(OR(TaxaJuros="",C392=""),"",IF(ComSemIOF=FALSE,0,-(D392+F392)*IOFAdic))</f>
        <v/>
      </c>
      <c r="J392" s="16" t="str">
        <f>IF(OR(TaxaJuros="",C392=""),"",D392+SUM(F392:I392))</f>
        <v/>
      </c>
      <c r="K392" s="67" t="str">
        <f>IF(OR(TaxaJuros="",C392=""),"",100%-J392/D392)</f>
        <v/>
      </c>
    </row>
    <row r="393" spans="5:11" x14ac:dyDescent="0.25">
      <c r="E393" s="15" t="str">
        <f>IF(OR(DataRecebimento="",C393=""),"",C393-$F$7)</f>
        <v/>
      </c>
      <c r="F393" s="16" t="str">
        <f>IF(OR(TaxaJuros="",C393=""),"",-D393*E393*($F$8/30))</f>
        <v/>
      </c>
      <c r="G393" s="16" t="str">
        <f>IF(OR(TaxaJuros="",C393=""),"",-$F$9)</f>
        <v/>
      </c>
      <c r="H393" s="21" t="str">
        <f>IF(OR(TaxaJuros="",C393=""),"",IF(ComSemIOF=FALSE,0,IF(E393&gt;365,-(D393+F393)*365*IOFDiario,-(D393+F393)*E393*IOFDiario)))</f>
        <v/>
      </c>
      <c r="I393" s="21" t="str">
        <f>IF(OR(TaxaJuros="",C393=""),"",IF(ComSemIOF=FALSE,0,-(D393+F393)*IOFAdic))</f>
        <v/>
      </c>
      <c r="J393" s="16" t="str">
        <f>IF(OR(TaxaJuros="",C393=""),"",D393+SUM(F393:I393))</f>
        <v/>
      </c>
      <c r="K393" s="67" t="str">
        <f>IF(OR(TaxaJuros="",C393=""),"",100%-J393/D393)</f>
        <v/>
      </c>
    </row>
    <row r="394" spans="5:11" x14ac:dyDescent="0.25">
      <c r="E394" s="15" t="str">
        <f>IF(OR(DataRecebimento="",C394=""),"",C394-$F$7)</f>
        <v/>
      </c>
      <c r="F394" s="16" t="str">
        <f>IF(OR(TaxaJuros="",C394=""),"",-D394*E394*($F$8/30))</f>
        <v/>
      </c>
      <c r="G394" s="16" t="str">
        <f>IF(OR(TaxaJuros="",C394=""),"",-$F$9)</f>
        <v/>
      </c>
      <c r="H394" s="21" t="str">
        <f>IF(OR(TaxaJuros="",C394=""),"",IF(ComSemIOF=FALSE,0,IF(E394&gt;365,-(D394+F394)*365*IOFDiario,-(D394+F394)*E394*IOFDiario)))</f>
        <v/>
      </c>
      <c r="I394" s="21" t="str">
        <f>IF(OR(TaxaJuros="",C394=""),"",IF(ComSemIOF=FALSE,0,-(D394+F394)*IOFAdic))</f>
        <v/>
      </c>
      <c r="J394" s="16" t="str">
        <f>IF(OR(TaxaJuros="",C394=""),"",D394+SUM(F394:I394))</f>
        <v/>
      </c>
      <c r="K394" s="67" t="str">
        <f>IF(OR(TaxaJuros="",C394=""),"",100%-J394/D394)</f>
        <v/>
      </c>
    </row>
    <row r="395" spans="5:11" x14ac:dyDescent="0.25">
      <c r="E395" s="15" t="str">
        <f>IF(OR(DataRecebimento="",C395=""),"",C395-$F$7)</f>
        <v/>
      </c>
      <c r="F395" s="16" t="str">
        <f>IF(OR(TaxaJuros="",C395=""),"",-D395*E395*($F$8/30))</f>
        <v/>
      </c>
      <c r="G395" s="16" t="str">
        <f>IF(OR(TaxaJuros="",C395=""),"",-$F$9)</f>
        <v/>
      </c>
      <c r="H395" s="21" t="str">
        <f>IF(OR(TaxaJuros="",C395=""),"",IF(ComSemIOF=FALSE,0,IF(E395&gt;365,-(D395+F395)*365*IOFDiario,-(D395+F395)*E395*IOFDiario)))</f>
        <v/>
      </c>
      <c r="I395" s="21" t="str">
        <f>IF(OR(TaxaJuros="",C395=""),"",IF(ComSemIOF=FALSE,0,-(D395+F395)*IOFAdic))</f>
        <v/>
      </c>
      <c r="J395" s="16" t="str">
        <f>IF(OR(TaxaJuros="",C395=""),"",D395+SUM(F395:I395))</f>
        <v/>
      </c>
      <c r="K395" s="67" t="str">
        <f>IF(OR(TaxaJuros="",C395=""),"",100%-J395/D395)</f>
        <v/>
      </c>
    </row>
    <row r="396" spans="5:11" x14ac:dyDescent="0.25">
      <c r="E396" s="15" t="str">
        <f>IF(OR(DataRecebimento="",C396=""),"",C396-$F$7)</f>
        <v/>
      </c>
      <c r="F396" s="16" t="str">
        <f>IF(OR(TaxaJuros="",C396=""),"",-D396*E396*($F$8/30))</f>
        <v/>
      </c>
      <c r="G396" s="16" t="str">
        <f>IF(OR(TaxaJuros="",C396=""),"",-$F$9)</f>
        <v/>
      </c>
      <c r="H396" s="21" t="str">
        <f>IF(OR(TaxaJuros="",C396=""),"",IF(ComSemIOF=FALSE,0,IF(E396&gt;365,-(D396+F396)*365*IOFDiario,-(D396+F396)*E396*IOFDiario)))</f>
        <v/>
      </c>
      <c r="I396" s="21" t="str">
        <f>IF(OR(TaxaJuros="",C396=""),"",IF(ComSemIOF=FALSE,0,-(D396+F396)*IOFAdic))</f>
        <v/>
      </c>
      <c r="J396" s="16" t="str">
        <f>IF(OR(TaxaJuros="",C396=""),"",D396+SUM(F396:I396))</f>
        <v/>
      </c>
      <c r="K396" s="67" t="str">
        <f>IF(OR(TaxaJuros="",C396=""),"",100%-J396/D396)</f>
        <v/>
      </c>
    </row>
    <row r="397" spans="5:11" x14ac:dyDescent="0.25">
      <c r="E397" s="15" t="str">
        <f>IF(OR(DataRecebimento="",C397=""),"",C397-$F$7)</f>
        <v/>
      </c>
      <c r="F397" s="16" t="str">
        <f>IF(OR(TaxaJuros="",C397=""),"",-D397*E397*($F$8/30))</f>
        <v/>
      </c>
      <c r="G397" s="16" t="str">
        <f>IF(OR(TaxaJuros="",C397=""),"",-$F$9)</f>
        <v/>
      </c>
      <c r="H397" s="21" t="str">
        <f>IF(OR(TaxaJuros="",C397=""),"",IF(ComSemIOF=FALSE,0,IF(E397&gt;365,-(D397+F397)*365*IOFDiario,-(D397+F397)*E397*IOFDiario)))</f>
        <v/>
      </c>
      <c r="I397" s="21" t="str">
        <f>IF(OR(TaxaJuros="",C397=""),"",IF(ComSemIOF=FALSE,0,-(D397+F397)*IOFAdic))</f>
        <v/>
      </c>
      <c r="J397" s="16" t="str">
        <f>IF(OR(TaxaJuros="",C397=""),"",D397+SUM(F397:I397))</f>
        <v/>
      </c>
      <c r="K397" s="67" t="str">
        <f>IF(OR(TaxaJuros="",C397=""),"",100%-J397/D397)</f>
        <v/>
      </c>
    </row>
    <row r="398" spans="5:11" x14ac:dyDescent="0.25">
      <c r="E398" s="15" t="str">
        <f>IF(OR(DataRecebimento="",C398=""),"",C398-$F$7)</f>
        <v/>
      </c>
      <c r="F398" s="16" t="str">
        <f>IF(OR(TaxaJuros="",C398=""),"",-D398*E398*($F$8/30))</f>
        <v/>
      </c>
      <c r="G398" s="16" t="str">
        <f>IF(OR(TaxaJuros="",C398=""),"",-$F$9)</f>
        <v/>
      </c>
      <c r="H398" s="21" t="str">
        <f>IF(OR(TaxaJuros="",C398=""),"",IF(ComSemIOF=FALSE,0,IF(E398&gt;365,-(D398+F398)*365*IOFDiario,-(D398+F398)*E398*IOFDiario)))</f>
        <v/>
      </c>
      <c r="I398" s="21" t="str">
        <f>IF(OR(TaxaJuros="",C398=""),"",IF(ComSemIOF=FALSE,0,-(D398+F398)*IOFAdic))</f>
        <v/>
      </c>
      <c r="J398" s="16" t="str">
        <f>IF(OR(TaxaJuros="",C398=""),"",D398+SUM(F398:I398))</f>
        <v/>
      </c>
      <c r="K398" s="67" t="str">
        <f>IF(OR(TaxaJuros="",C398=""),"",100%-J398/D398)</f>
        <v/>
      </c>
    </row>
    <row r="399" spans="5:11" x14ac:dyDescent="0.25">
      <c r="E399" s="15" t="str">
        <f>IF(OR(DataRecebimento="",C399=""),"",C399-$F$7)</f>
        <v/>
      </c>
      <c r="F399" s="16" t="str">
        <f>IF(OR(TaxaJuros="",C399=""),"",-D399*E399*($F$8/30))</f>
        <v/>
      </c>
      <c r="G399" s="16" t="str">
        <f>IF(OR(TaxaJuros="",C399=""),"",-$F$9)</f>
        <v/>
      </c>
      <c r="H399" s="21" t="str">
        <f>IF(OR(TaxaJuros="",C399=""),"",IF(ComSemIOF=FALSE,0,IF(E399&gt;365,-(D399+F399)*365*IOFDiario,-(D399+F399)*E399*IOFDiario)))</f>
        <v/>
      </c>
      <c r="I399" s="21" t="str">
        <f>IF(OR(TaxaJuros="",C399=""),"",IF(ComSemIOF=FALSE,0,-(D399+F399)*IOFAdic))</f>
        <v/>
      </c>
      <c r="J399" s="16" t="str">
        <f>IF(OR(TaxaJuros="",C399=""),"",D399+SUM(F399:I399))</f>
        <v/>
      </c>
      <c r="K399" s="67" t="str">
        <f>IF(OR(TaxaJuros="",C399=""),"",100%-J399/D399)</f>
        <v/>
      </c>
    </row>
    <row r="400" spans="5:11" x14ac:dyDescent="0.25">
      <c r="E400" s="15" t="str">
        <f>IF(OR(DataRecebimento="",C400=""),"",C400-$F$7)</f>
        <v/>
      </c>
      <c r="F400" s="16" t="str">
        <f>IF(OR(TaxaJuros="",C400=""),"",-D400*E400*($F$8/30))</f>
        <v/>
      </c>
      <c r="G400" s="16" t="str">
        <f>IF(OR(TaxaJuros="",C400=""),"",-$F$9)</f>
        <v/>
      </c>
      <c r="H400" s="21" t="str">
        <f>IF(OR(TaxaJuros="",C400=""),"",IF(ComSemIOF=FALSE,0,IF(E400&gt;365,-(D400+F400)*365*IOFDiario,-(D400+F400)*E400*IOFDiario)))</f>
        <v/>
      </c>
      <c r="I400" s="21" t="str">
        <f>IF(OR(TaxaJuros="",C400=""),"",IF(ComSemIOF=FALSE,0,-(D400+F400)*IOFAdic))</f>
        <v/>
      </c>
      <c r="J400" s="16" t="str">
        <f>IF(OR(TaxaJuros="",C400=""),"",D400+SUM(F400:I400))</f>
        <v/>
      </c>
      <c r="K400" s="67" t="str">
        <f>IF(OR(TaxaJuros="",C400=""),"",100%-J400/D400)</f>
        <v/>
      </c>
    </row>
    <row r="401" spans="5:11" x14ac:dyDescent="0.25">
      <c r="E401" s="15" t="str">
        <f>IF(OR(DataRecebimento="",C401=""),"",C401-$F$7)</f>
        <v/>
      </c>
      <c r="F401" s="16" t="str">
        <f>IF(OR(TaxaJuros="",C401=""),"",-D401*E401*($F$8/30))</f>
        <v/>
      </c>
      <c r="G401" s="16" t="str">
        <f>IF(OR(TaxaJuros="",C401=""),"",-$F$9)</f>
        <v/>
      </c>
      <c r="H401" s="21" t="str">
        <f>IF(OR(TaxaJuros="",C401=""),"",IF(ComSemIOF=FALSE,0,IF(E401&gt;365,-(D401+F401)*365*IOFDiario,-(D401+F401)*E401*IOFDiario)))</f>
        <v/>
      </c>
      <c r="I401" s="21" t="str">
        <f>IF(OR(TaxaJuros="",C401=""),"",IF(ComSemIOF=FALSE,0,-(D401+F401)*IOFAdic))</f>
        <v/>
      </c>
      <c r="J401" s="16" t="str">
        <f>IF(OR(TaxaJuros="",C401=""),"",D401+SUM(F401:I401))</f>
        <v/>
      </c>
      <c r="K401" s="67" t="str">
        <f>IF(OR(TaxaJuros="",C401=""),"",100%-J401/D401)</f>
        <v/>
      </c>
    </row>
    <row r="402" spans="5:11" x14ac:dyDescent="0.25">
      <c r="E402" s="15" t="str">
        <f>IF(OR(DataRecebimento="",C402=""),"",C402-$F$7)</f>
        <v/>
      </c>
      <c r="F402" s="16" t="str">
        <f>IF(OR(TaxaJuros="",C402=""),"",-D402*E402*($F$8/30))</f>
        <v/>
      </c>
      <c r="G402" s="16" t="str">
        <f>IF(OR(TaxaJuros="",C402=""),"",-$F$9)</f>
        <v/>
      </c>
      <c r="H402" s="21" t="str">
        <f>IF(OR(TaxaJuros="",C402=""),"",IF(ComSemIOF=FALSE,0,IF(E402&gt;365,-(D402+F402)*365*IOFDiario,-(D402+F402)*E402*IOFDiario)))</f>
        <v/>
      </c>
      <c r="I402" s="21" t="str">
        <f>IF(OR(TaxaJuros="",C402=""),"",IF(ComSemIOF=FALSE,0,-(D402+F402)*IOFAdic))</f>
        <v/>
      </c>
      <c r="J402" s="16" t="str">
        <f>IF(OR(TaxaJuros="",C402=""),"",D402+SUM(F402:I402))</f>
        <v/>
      </c>
      <c r="K402" s="67" t="str">
        <f>IF(OR(TaxaJuros="",C402=""),"",100%-J402/D402)</f>
        <v/>
      </c>
    </row>
    <row r="403" spans="5:11" x14ac:dyDescent="0.25">
      <c r="E403" s="15" t="str">
        <f>IF(OR(DataRecebimento="",C403=""),"",C403-$F$7)</f>
        <v/>
      </c>
      <c r="F403" s="16" t="str">
        <f>IF(OR(TaxaJuros="",C403=""),"",-D403*E403*($F$8/30))</f>
        <v/>
      </c>
      <c r="G403" s="16" t="str">
        <f>IF(OR(TaxaJuros="",C403=""),"",-$F$9)</f>
        <v/>
      </c>
      <c r="H403" s="21" t="str">
        <f>IF(OR(TaxaJuros="",C403=""),"",IF(ComSemIOF=FALSE,0,IF(E403&gt;365,-(D403+F403)*365*IOFDiario,-(D403+F403)*E403*IOFDiario)))</f>
        <v/>
      </c>
      <c r="I403" s="21" t="str">
        <f>IF(OR(TaxaJuros="",C403=""),"",IF(ComSemIOF=FALSE,0,-(D403+F403)*IOFAdic))</f>
        <v/>
      </c>
      <c r="J403" s="16" t="str">
        <f>IF(OR(TaxaJuros="",C403=""),"",D403+SUM(F403:I403))</f>
        <v/>
      </c>
      <c r="K403" s="67" t="str">
        <f>IF(OR(TaxaJuros="",C403=""),"",100%-J403/D403)</f>
        <v/>
      </c>
    </row>
    <row r="404" spans="5:11" x14ac:dyDescent="0.25">
      <c r="E404" s="15" t="str">
        <f>IF(OR(DataRecebimento="",C404=""),"",C404-$F$7)</f>
        <v/>
      </c>
      <c r="F404" s="16" t="str">
        <f>IF(OR(TaxaJuros="",C404=""),"",-D404*E404*($F$8/30))</f>
        <v/>
      </c>
      <c r="G404" s="16" t="str">
        <f>IF(OR(TaxaJuros="",C404=""),"",-$F$9)</f>
        <v/>
      </c>
      <c r="H404" s="21" t="str">
        <f>IF(OR(TaxaJuros="",C404=""),"",IF(ComSemIOF=FALSE,0,IF(E404&gt;365,-(D404+F404)*365*IOFDiario,-(D404+F404)*E404*IOFDiario)))</f>
        <v/>
      </c>
      <c r="I404" s="21" t="str">
        <f>IF(OR(TaxaJuros="",C404=""),"",IF(ComSemIOF=FALSE,0,-(D404+F404)*IOFAdic))</f>
        <v/>
      </c>
      <c r="J404" s="16" t="str">
        <f>IF(OR(TaxaJuros="",C404=""),"",D404+SUM(F404:I404))</f>
        <v/>
      </c>
      <c r="K404" s="67" t="str">
        <f>IF(OR(TaxaJuros="",C404=""),"",100%-J404/D404)</f>
        <v/>
      </c>
    </row>
    <row r="405" spans="5:11" x14ac:dyDescent="0.25">
      <c r="E405" s="15" t="str">
        <f>IF(OR(DataRecebimento="",C405=""),"",C405-$F$7)</f>
        <v/>
      </c>
      <c r="F405" s="16" t="str">
        <f>IF(OR(TaxaJuros="",C405=""),"",-D405*E405*($F$8/30))</f>
        <v/>
      </c>
      <c r="G405" s="16" t="str">
        <f>IF(OR(TaxaJuros="",C405=""),"",-$F$9)</f>
        <v/>
      </c>
      <c r="H405" s="21" t="str">
        <f>IF(OR(TaxaJuros="",C405=""),"",IF(ComSemIOF=FALSE,0,IF(E405&gt;365,-(D405+F405)*365*IOFDiario,-(D405+F405)*E405*IOFDiario)))</f>
        <v/>
      </c>
      <c r="I405" s="21" t="str">
        <f>IF(OR(TaxaJuros="",C405=""),"",IF(ComSemIOF=FALSE,0,-(D405+F405)*IOFAdic))</f>
        <v/>
      </c>
      <c r="J405" s="16" t="str">
        <f>IF(OR(TaxaJuros="",C405=""),"",D405+SUM(F405:I405))</f>
        <v/>
      </c>
      <c r="K405" s="67" t="str">
        <f>IF(OR(TaxaJuros="",C405=""),"",100%-J405/D405)</f>
        <v/>
      </c>
    </row>
    <row r="406" spans="5:11" x14ac:dyDescent="0.25">
      <c r="E406" s="15" t="str">
        <f>IF(OR(DataRecebimento="",C406=""),"",C406-$F$7)</f>
        <v/>
      </c>
      <c r="F406" s="16" t="str">
        <f>IF(OR(TaxaJuros="",C406=""),"",-D406*E406*($F$8/30))</f>
        <v/>
      </c>
      <c r="G406" s="16" t="str">
        <f>IF(OR(TaxaJuros="",C406=""),"",-$F$9)</f>
        <v/>
      </c>
      <c r="H406" s="21" t="str">
        <f>IF(OR(TaxaJuros="",C406=""),"",IF(ComSemIOF=FALSE,0,IF(E406&gt;365,-(D406+F406)*365*IOFDiario,-(D406+F406)*E406*IOFDiario)))</f>
        <v/>
      </c>
      <c r="I406" s="21" t="str">
        <f>IF(OR(TaxaJuros="",C406=""),"",IF(ComSemIOF=FALSE,0,-(D406+F406)*IOFAdic))</f>
        <v/>
      </c>
      <c r="J406" s="16" t="str">
        <f>IF(OR(TaxaJuros="",C406=""),"",D406+SUM(F406:I406))</f>
        <v/>
      </c>
      <c r="K406" s="67" t="str">
        <f>IF(OR(TaxaJuros="",C406=""),"",100%-J406/D406)</f>
        <v/>
      </c>
    </row>
    <row r="407" spans="5:11" x14ac:dyDescent="0.25">
      <c r="E407" s="15" t="str">
        <f>IF(OR(DataRecebimento="",C407=""),"",C407-$F$7)</f>
        <v/>
      </c>
      <c r="F407" s="16" t="str">
        <f>IF(OR(TaxaJuros="",C407=""),"",-D407*E407*($F$8/30))</f>
        <v/>
      </c>
      <c r="G407" s="16" t="str">
        <f>IF(OR(TaxaJuros="",C407=""),"",-$F$9)</f>
        <v/>
      </c>
      <c r="H407" s="21" t="str">
        <f>IF(OR(TaxaJuros="",C407=""),"",IF(ComSemIOF=FALSE,0,IF(E407&gt;365,-(D407+F407)*365*IOFDiario,-(D407+F407)*E407*IOFDiario)))</f>
        <v/>
      </c>
      <c r="I407" s="21" t="str">
        <f>IF(OR(TaxaJuros="",C407=""),"",IF(ComSemIOF=FALSE,0,-(D407+F407)*IOFAdic))</f>
        <v/>
      </c>
      <c r="J407" s="16" t="str">
        <f>IF(OR(TaxaJuros="",C407=""),"",D407+SUM(F407:I407))</f>
        <v/>
      </c>
      <c r="K407" s="67" t="str">
        <f>IF(OR(TaxaJuros="",C407=""),"",100%-J407/D407)</f>
        <v/>
      </c>
    </row>
    <row r="408" spans="5:11" x14ac:dyDescent="0.25">
      <c r="E408" s="15" t="str">
        <f>IF(OR(DataRecebimento="",C408=""),"",C408-$F$7)</f>
        <v/>
      </c>
      <c r="F408" s="16" t="str">
        <f>IF(OR(TaxaJuros="",C408=""),"",-D408*E408*($F$8/30))</f>
        <v/>
      </c>
      <c r="G408" s="16" t="str">
        <f>IF(OR(TaxaJuros="",C408=""),"",-$F$9)</f>
        <v/>
      </c>
      <c r="H408" s="21" t="str">
        <f>IF(OR(TaxaJuros="",C408=""),"",IF(ComSemIOF=FALSE,0,IF(E408&gt;365,-(D408+F408)*365*IOFDiario,-(D408+F408)*E408*IOFDiario)))</f>
        <v/>
      </c>
      <c r="I408" s="21" t="str">
        <f>IF(OR(TaxaJuros="",C408=""),"",IF(ComSemIOF=FALSE,0,-(D408+F408)*IOFAdic))</f>
        <v/>
      </c>
      <c r="J408" s="16" t="str">
        <f>IF(OR(TaxaJuros="",C408=""),"",D408+SUM(F408:I408))</f>
        <v/>
      </c>
      <c r="K408" s="67" t="str">
        <f>IF(OR(TaxaJuros="",C408=""),"",100%-J408/D408)</f>
        <v/>
      </c>
    </row>
    <row r="409" spans="5:11" x14ac:dyDescent="0.25">
      <c r="E409" s="15" t="str">
        <f>IF(OR(DataRecebimento="",C409=""),"",C409-$F$7)</f>
        <v/>
      </c>
      <c r="F409" s="16" t="str">
        <f>IF(OR(TaxaJuros="",C409=""),"",-D409*E409*($F$8/30))</f>
        <v/>
      </c>
      <c r="G409" s="16" t="str">
        <f>IF(OR(TaxaJuros="",C409=""),"",-$F$9)</f>
        <v/>
      </c>
      <c r="H409" s="21" t="str">
        <f>IF(OR(TaxaJuros="",C409=""),"",IF(ComSemIOF=FALSE,0,IF(E409&gt;365,-(D409+F409)*365*IOFDiario,-(D409+F409)*E409*IOFDiario)))</f>
        <v/>
      </c>
      <c r="I409" s="21" t="str">
        <f>IF(OR(TaxaJuros="",C409=""),"",IF(ComSemIOF=FALSE,0,-(D409+F409)*IOFAdic))</f>
        <v/>
      </c>
      <c r="J409" s="16" t="str">
        <f>IF(OR(TaxaJuros="",C409=""),"",D409+SUM(F409:I409))</f>
        <v/>
      </c>
      <c r="K409" s="67" t="str">
        <f>IF(OR(TaxaJuros="",C409=""),"",100%-J409/D409)</f>
        <v/>
      </c>
    </row>
    <row r="410" spans="5:11" x14ac:dyDescent="0.25">
      <c r="E410" s="15" t="str">
        <f>IF(OR(DataRecebimento="",C410=""),"",C410-$F$7)</f>
        <v/>
      </c>
      <c r="F410" s="16" t="str">
        <f>IF(OR(TaxaJuros="",C410=""),"",-D410*E410*($F$8/30))</f>
        <v/>
      </c>
      <c r="G410" s="16" t="str">
        <f>IF(OR(TaxaJuros="",C410=""),"",-$F$9)</f>
        <v/>
      </c>
      <c r="H410" s="21" t="str">
        <f>IF(OR(TaxaJuros="",C410=""),"",IF(ComSemIOF=FALSE,0,IF(E410&gt;365,-(D410+F410)*365*IOFDiario,-(D410+F410)*E410*IOFDiario)))</f>
        <v/>
      </c>
      <c r="I410" s="21" t="str">
        <f>IF(OR(TaxaJuros="",C410=""),"",IF(ComSemIOF=FALSE,0,-(D410+F410)*IOFAdic))</f>
        <v/>
      </c>
      <c r="J410" s="16" t="str">
        <f>IF(OR(TaxaJuros="",C410=""),"",D410+SUM(F410:I410))</f>
        <v/>
      </c>
      <c r="K410" s="67" t="str">
        <f>IF(OR(TaxaJuros="",C410=""),"",100%-J410/D410)</f>
        <v/>
      </c>
    </row>
    <row r="411" spans="5:11" x14ac:dyDescent="0.25">
      <c r="E411" s="15" t="str">
        <f>IF(OR(DataRecebimento="",C411=""),"",C411-$F$7)</f>
        <v/>
      </c>
      <c r="F411" s="16" t="str">
        <f>IF(OR(TaxaJuros="",C411=""),"",-D411*E411*($F$8/30))</f>
        <v/>
      </c>
      <c r="G411" s="16" t="str">
        <f>IF(OR(TaxaJuros="",C411=""),"",-$F$9)</f>
        <v/>
      </c>
      <c r="H411" s="21" t="str">
        <f>IF(OR(TaxaJuros="",C411=""),"",IF(ComSemIOF=FALSE,0,IF(E411&gt;365,-(D411+F411)*365*IOFDiario,-(D411+F411)*E411*IOFDiario)))</f>
        <v/>
      </c>
      <c r="I411" s="21" t="str">
        <f>IF(OR(TaxaJuros="",C411=""),"",IF(ComSemIOF=FALSE,0,-(D411+F411)*IOFAdic))</f>
        <v/>
      </c>
      <c r="J411" s="16" t="str">
        <f>IF(OR(TaxaJuros="",C411=""),"",D411+SUM(F411:I411))</f>
        <v/>
      </c>
      <c r="K411" s="67" t="str">
        <f>IF(OR(TaxaJuros="",C411=""),"",100%-J411/D411)</f>
        <v/>
      </c>
    </row>
    <row r="412" spans="5:11" x14ac:dyDescent="0.25">
      <c r="E412" s="15" t="str">
        <f>IF(OR(DataRecebimento="",C412=""),"",C412-$F$7)</f>
        <v/>
      </c>
      <c r="F412" s="16" t="str">
        <f>IF(OR(TaxaJuros="",C412=""),"",-D412*E412*($F$8/30))</f>
        <v/>
      </c>
      <c r="G412" s="16" t="str">
        <f>IF(OR(TaxaJuros="",C412=""),"",-$F$9)</f>
        <v/>
      </c>
      <c r="H412" s="21" t="str">
        <f>IF(OR(TaxaJuros="",C412=""),"",IF(ComSemIOF=FALSE,0,IF(E412&gt;365,-(D412+F412)*365*IOFDiario,-(D412+F412)*E412*IOFDiario)))</f>
        <v/>
      </c>
      <c r="I412" s="21" t="str">
        <f>IF(OR(TaxaJuros="",C412=""),"",IF(ComSemIOF=FALSE,0,-(D412+F412)*IOFAdic))</f>
        <v/>
      </c>
      <c r="J412" s="16" t="str">
        <f>IF(OR(TaxaJuros="",C412=""),"",D412+SUM(F412:I412))</f>
        <v/>
      </c>
      <c r="K412" s="67" t="str">
        <f>IF(OR(TaxaJuros="",C412=""),"",100%-J412/D412)</f>
        <v/>
      </c>
    </row>
    <row r="413" spans="5:11" x14ac:dyDescent="0.25">
      <c r="E413" s="15" t="str">
        <f>IF(OR(DataRecebimento="",C413=""),"",C413-$F$7)</f>
        <v/>
      </c>
      <c r="F413" s="16" t="str">
        <f>IF(OR(TaxaJuros="",C413=""),"",-D413*E413*($F$8/30))</f>
        <v/>
      </c>
      <c r="G413" s="16" t="str">
        <f>IF(OR(TaxaJuros="",C413=""),"",-$F$9)</f>
        <v/>
      </c>
      <c r="H413" s="21" t="str">
        <f>IF(OR(TaxaJuros="",C413=""),"",IF(ComSemIOF=FALSE,0,IF(E413&gt;365,-(D413+F413)*365*IOFDiario,-(D413+F413)*E413*IOFDiario)))</f>
        <v/>
      </c>
      <c r="I413" s="21" t="str">
        <f>IF(OR(TaxaJuros="",C413=""),"",IF(ComSemIOF=FALSE,0,-(D413+F413)*IOFAdic))</f>
        <v/>
      </c>
      <c r="J413" s="16" t="str">
        <f>IF(OR(TaxaJuros="",C413=""),"",D413+SUM(F413:I413))</f>
        <v/>
      </c>
      <c r="K413" s="67" t="str">
        <f>IF(OR(TaxaJuros="",C413=""),"",100%-J413/D413)</f>
        <v/>
      </c>
    </row>
    <row r="414" spans="5:11" x14ac:dyDescent="0.25">
      <c r="E414" s="15" t="str">
        <f>IF(OR(DataRecebimento="",C414=""),"",C414-$F$7)</f>
        <v/>
      </c>
      <c r="F414" s="16" t="str">
        <f>IF(OR(TaxaJuros="",C414=""),"",-D414*E414*($F$8/30))</f>
        <v/>
      </c>
      <c r="G414" s="16" t="str">
        <f>IF(OR(TaxaJuros="",C414=""),"",-$F$9)</f>
        <v/>
      </c>
      <c r="H414" s="21" t="str">
        <f>IF(OR(TaxaJuros="",C414=""),"",IF(ComSemIOF=FALSE,0,IF(E414&gt;365,-(D414+F414)*365*IOFDiario,-(D414+F414)*E414*IOFDiario)))</f>
        <v/>
      </c>
      <c r="I414" s="21" t="str">
        <f>IF(OR(TaxaJuros="",C414=""),"",IF(ComSemIOF=FALSE,0,-(D414+F414)*IOFAdic))</f>
        <v/>
      </c>
      <c r="J414" s="16" t="str">
        <f>IF(OR(TaxaJuros="",C414=""),"",D414+SUM(F414:I414))</f>
        <v/>
      </c>
      <c r="K414" s="67" t="str">
        <f>IF(OR(TaxaJuros="",C414=""),"",100%-J414/D414)</f>
        <v/>
      </c>
    </row>
    <row r="415" spans="5:11" x14ac:dyDescent="0.25">
      <c r="E415" s="15" t="str">
        <f>IF(OR(DataRecebimento="",C415=""),"",C415-$F$7)</f>
        <v/>
      </c>
      <c r="F415" s="16" t="str">
        <f>IF(OR(TaxaJuros="",C415=""),"",-D415*E415*($F$8/30))</f>
        <v/>
      </c>
      <c r="G415" s="16" t="str">
        <f>IF(OR(TaxaJuros="",C415=""),"",-$F$9)</f>
        <v/>
      </c>
      <c r="H415" s="21" t="str">
        <f>IF(OR(TaxaJuros="",C415=""),"",IF(ComSemIOF=FALSE,0,IF(E415&gt;365,-(D415+F415)*365*IOFDiario,-(D415+F415)*E415*IOFDiario)))</f>
        <v/>
      </c>
      <c r="I415" s="21" t="str">
        <f>IF(OR(TaxaJuros="",C415=""),"",IF(ComSemIOF=FALSE,0,-(D415+F415)*IOFAdic))</f>
        <v/>
      </c>
      <c r="J415" s="16" t="str">
        <f>IF(OR(TaxaJuros="",C415=""),"",D415+SUM(F415:I415))</f>
        <v/>
      </c>
      <c r="K415" s="67" t="str">
        <f>IF(OR(TaxaJuros="",C415=""),"",100%-J415/D415)</f>
        <v/>
      </c>
    </row>
    <row r="416" spans="5:11" x14ac:dyDescent="0.25">
      <c r="E416" s="15" t="str">
        <f>IF(OR(DataRecebimento="",C416=""),"",C416-$F$7)</f>
        <v/>
      </c>
      <c r="F416" s="16" t="str">
        <f>IF(OR(TaxaJuros="",C416=""),"",-D416*E416*($F$8/30))</f>
        <v/>
      </c>
      <c r="G416" s="16" t="str">
        <f>IF(OR(TaxaJuros="",C416=""),"",-$F$9)</f>
        <v/>
      </c>
      <c r="H416" s="21" t="str">
        <f>IF(OR(TaxaJuros="",C416=""),"",IF(ComSemIOF=FALSE,0,IF(E416&gt;365,-(D416+F416)*365*IOFDiario,-(D416+F416)*E416*IOFDiario)))</f>
        <v/>
      </c>
      <c r="I416" s="21" t="str">
        <f>IF(OR(TaxaJuros="",C416=""),"",IF(ComSemIOF=FALSE,0,-(D416+F416)*IOFAdic))</f>
        <v/>
      </c>
      <c r="J416" s="16" t="str">
        <f>IF(OR(TaxaJuros="",C416=""),"",D416+SUM(F416:I416))</f>
        <v/>
      </c>
      <c r="K416" s="67" t="str">
        <f>IF(OR(TaxaJuros="",C416=""),"",100%-J416/D416)</f>
        <v/>
      </c>
    </row>
    <row r="417" spans="5:11" x14ac:dyDescent="0.25">
      <c r="E417" s="15" t="str">
        <f>IF(OR(DataRecebimento="",C417=""),"",C417-$F$7)</f>
        <v/>
      </c>
      <c r="F417" s="16" t="str">
        <f>IF(OR(TaxaJuros="",C417=""),"",-D417*E417*($F$8/30))</f>
        <v/>
      </c>
      <c r="G417" s="16" t="str">
        <f>IF(OR(TaxaJuros="",C417=""),"",-$F$9)</f>
        <v/>
      </c>
      <c r="H417" s="21" t="str">
        <f>IF(OR(TaxaJuros="",C417=""),"",IF(ComSemIOF=FALSE,0,IF(E417&gt;365,-(D417+F417)*365*IOFDiario,-(D417+F417)*E417*IOFDiario)))</f>
        <v/>
      </c>
      <c r="I417" s="21" t="str">
        <f>IF(OR(TaxaJuros="",C417=""),"",IF(ComSemIOF=FALSE,0,-(D417+F417)*IOFAdic))</f>
        <v/>
      </c>
      <c r="J417" s="16" t="str">
        <f>IF(OR(TaxaJuros="",C417=""),"",D417+SUM(F417:I417))</f>
        <v/>
      </c>
      <c r="K417" s="67" t="str">
        <f>IF(OR(TaxaJuros="",C417=""),"",100%-J417/D417)</f>
        <v/>
      </c>
    </row>
    <row r="418" spans="5:11" x14ac:dyDescent="0.25">
      <c r="E418" s="15" t="str">
        <f>IF(OR(DataRecebimento="",C418=""),"",C418-$F$7)</f>
        <v/>
      </c>
      <c r="F418" s="16" t="str">
        <f>IF(OR(TaxaJuros="",C418=""),"",-D418*E418*($F$8/30))</f>
        <v/>
      </c>
      <c r="G418" s="16" t="str">
        <f>IF(OR(TaxaJuros="",C418=""),"",-$F$9)</f>
        <v/>
      </c>
      <c r="H418" s="21" t="str">
        <f>IF(OR(TaxaJuros="",C418=""),"",IF(ComSemIOF=FALSE,0,IF(E418&gt;365,-(D418+F418)*365*IOFDiario,-(D418+F418)*E418*IOFDiario)))</f>
        <v/>
      </c>
      <c r="I418" s="21" t="str">
        <f>IF(OR(TaxaJuros="",C418=""),"",IF(ComSemIOF=FALSE,0,-(D418+F418)*IOFAdic))</f>
        <v/>
      </c>
      <c r="J418" s="16" t="str">
        <f>IF(OR(TaxaJuros="",C418=""),"",D418+SUM(F418:I418))</f>
        <v/>
      </c>
      <c r="K418" s="67" t="str">
        <f>IF(OR(TaxaJuros="",C418=""),"",100%-J418/D418)</f>
        <v/>
      </c>
    </row>
    <row r="419" spans="5:11" x14ac:dyDescent="0.25">
      <c r="E419" s="15" t="str">
        <f>IF(OR(DataRecebimento="",C419=""),"",C419-$F$7)</f>
        <v/>
      </c>
      <c r="F419" s="16" t="str">
        <f>IF(OR(TaxaJuros="",C419=""),"",-D419*E419*($F$8/30))</f>
        <v/>
      </c>
      <c r="G419" s="16" t="str">
        <f>IF(OR(TaxaJuros="",C419=""),"",-$F$9)</f>
        <v/>
      </c>
      <c r="H419" s="21" t="str">
        <f>IF(OR(TaxaJuros="",C419=""),"",IF(ComSemIOF=FALSE,0,IF(E419&gt;365,-(D419+F419)*365*IOFDiario,-(D419+F419)*E419*IOFDiario)))</f>
        <v/>
      </c>
      <c r="I419" s="21" t="str">
        <f>IF(OR(TaxaJuros="",C419=""),"",IF(ComSemIOF=FALSE,0,-(D419+F419)*IOFAdic))</f>
        <v/>
      </c>
      <c r="J419" s="16" t="str">
        <f>IF(OR(TaxaJuros="",C419=""),"",D419+SUM(F419:I419))</f>
        <v/>
      </c>
      <c r="K419" s="67" t="str">
        <f>IF(OR(TaxaJuros="",C419=""),"",100%-J419/D419)</f>
        <v/>
      </c>
    </row>
    <row r="420" spans="5:11" x14ac:dyDescent="0.25">
      <c r="E420" s="15" t="str">
        <f>IF(OR(DataRecebimento="",C420=""),"",C420-$F$7)</f>
        <v/>
      </c>
      <c r="F420" s="16" t="str">
        <f>IF(OR(TaxaJuros="",C420=""),"",-D420*E420*($F$8/30))</f>
        <v/>
      </c>
      <c r="G420" s="16" t="str">
        <f>IF(OR(TaxaJuros="",C420=""),"",-$F$9)</f>
        <v/>
      </c>
      <c r="H420" s="21" t="str">
        <f>IF(OR(TaxaJuros="",C420=""),"",IF(ComSemIOF=FALSE,0,IF(E420&gt;365,-(D420+F420)*365*IOFDiario,-(D420+F420)*E420*IOFDiario)))</f>
        <v/>
      </c>
      <c r="I420" s="21" t="str">
        <f>IF(OR(TaxaJuros="",C420=""),"",IF(ComSemIOF=FALSE,0,-(D420+F420)*IOFAdic))</f>
        <v/>
      </c>
      <c r="J420" s="16" t="str">
        <f>IF(OR(TaxaJuros="",C420=""),"",D420+SUM(F420:I420))</f>
        <v/>
      </c>
      <c r="K420" s="67" t="str">
        <f>IF(OR(TaxaJuros="",C420=""),"",100%-J420/D420)</f>
        <v/>
      </c>
    </row>
    <row r="421" spans="5:11" x14ac:dyDescent="0.25">
      <c r="E421" s="15" t="str">
        <f>IF(OR(DataRecebimento="",C421=""),"",C421-$F$7)</f>
        <v/>
      </c>
      <c r="F421" s="16" t="str">
        <f>IF(OR(TaxaJuros="",C421=""),"",-D421*E421*($F$8/30))</f>
        <v/>
      </c>
      <c r="G421" s="16" t="str">
        <f>IF(OR(TaxaJuros="",C421=""),"",-$F$9)</f>
        <v/>
      </c>
      <c r="H421" s="21" t="str">
        <f>IF(OR(TaxaJuros="",C421=""),"",IF(ComSemIOF=FALSE,0,IF(E421&gt;365,-(D421+F421)*365*IOFDiario,-(D421+F421)*E421*IOFDiario)))</f>
        <v/>
      </c>
      <c r="I421" s="21" t="str">
        <f>IF(OR(TaxaJuros="",C421=""),"",IF(ComSemIOF=FALSE,0,-(D421+F421)*IOFAdic))</f>
        <v/>
      </c>
      <c r="J421" s="16" t="str">
        <f>IF(OR(TaxaJuros="",C421=""),"",D421+SUM(F421:I421))</f>
        <v/>
      </c>
      <c r="K421" s="67" t="str">
        <f>IF(OR(TaxaJuros="",C421=""),"",100%-J421/D421)</f>
        <v/>
      </c>
    </row>
    <row r="422" spans="5:11" x14ac:dyDescent="0.25">
      <c r="E422" s="15" t="str">
        <f>IF(OR(DataRecebimento="",C422=""),"",C422-$F$7)</f>
        <v/>
      </c>
      <c r="F422" s="16" t="str">
        <f>IF(OR(TaxaJuros="",C422=""),"",-D422*E422*($F$8/30))</f>
        <v/>
      </c>
      <c r="G422" s="16" t="str">
        <f>IF(OR(TaxaJuros="",C422=""),"",-$F$9)</f>
        <v/>
      </c>
      <c r="H422" s="21" t="str">
        <f>IF(OR(TaxaJuros="",C422=""),"",IF(ComSemIOF=FALSE,0,IF(E422&gt;365,-(D422+F422)*365*IOFDiario,-(D422+F422)*E422*IOFDiario)))</f>
        <v/>
      </c>
      <c r="I422" s="21" t="str">
        <f>IF(OR(TaxaJuros="",C422=""),"",IF(ComSemIOF=FALSE,0,-(D422+F422)*IOFAdic))</f>
        <v/>
      </c>
      <c r="J422" s="16" t="str">
        <f>IF(OR(TaxaJuros="",C422=""),"",D422+SUM(F422:I422))</f>
        <v/>
      </c>
      <c r="K422" s="67" t="str">
        <f>IF(OR(TaxaJuros="",C422=""),"",100%-J422/D422)</f>
        <v/>
      </c>
    </row>
    <row r="423" spans="5:11" x14ac:dyDescent="0.25">
      <c r="E423" s="15" t="str">
        <f>IF(OR(DataRecebimento="",C423=""),"",C423-$F$7)</f>
        <v/>
      </c>
      <c r="F423" s="16" t="str">
        <f>IF(OR(TaxaJuros="",C423=""),"",-D423*E423*($F$8/30))</f>
        <v/>
      </c>
      <c r="G423" s="16" t="str">
        <f>IF(OR(TaxaJuros="",C423=""),"",-$F$9)</f>
        <v/>
      </c>
      <c r="H423" s="21" t="str">
        <f>IF(OR(TaxaJuros="",C423=""),"",IF(ComSemIOF=FALSE,0,IF(E423&gt;365,-(D423+F423)*365*IOFDiario,-(D423+F423)*E423*IOFDiario)))</f>
        <v/>
      </c>
      <c r="I423" s="21" t="str">
        <f>IF(OR(TaxaJuros="",C423=""),"",IF(ComSemIOF=FALSE,0,-(D423+F423)*IOFAdic))</f>
        <v/>
      </c>
      <c r="J423" s="16" t="str">
        <f>IF(OR(TaxaJuros="",C423=""),"",D423+SUM(F423:I423))</f>
        <v/>
      </c>
      <c r="K423" s="67" t="str">
        <f>IF(OR(TaxaJuros="",C423=""),"",100%-J423/D423)</f>
        <v/>
      </c>
    </row>
    <row r="424" spans="5:11" x14ac:dyDescent="0.25">
      <c r="E424" s="15" t="str">
        <f>IF(OR(DataRecebimento="",C424=""),"",C424-$F$7)</f>
        <v/>
      </c>
      <c r="F424" s="16" t="str">
        <f>IF(OR(TaxaJuros="",C424=""),"",-D424*E424*($F$8/30))</f>
        <v/>
      </c>
      <c r="G424" s="16" t="str">
        <f>IF(OR(TaxaJuros="",C424=""),"",-$F$9)</f>
        <v/>
      </c>
      <c r="H424" s="21" t="str">
        <f>IF(OR(TaxaJuros="",C424=""),"",IF(ComSemIOF=FALSE,0,IF(E424&gt;365,-(D424+F424)*365*IOFDiario,-(D424+F424)*E424*IOFDiario)))</f>
        <v/>
      </c>
      <c r="I424" s="21" t="str">
        <f>IF(OR(TaxaJuros="",C424=""),"",IF(ComSemIOF=FALSE,0,-(D424+F424)*IOFAdic))</f>
        <v/>
      </c>
      <c r="J424" s="16" t="str">
        <f>IF(OR(TaxaJuros="",C424=""),"",D424+SUM(F424:I424))</f>
        <v/>
      </c>
      <c r="K424" s="67" t="str">
        <f>IF(OR(TaxaJuros="",C424=""),"",100%-J424/D424)</f>
        <v/>
      </c>
    </row>
    <row r="425" spans="5:11" x14ac:dyDescent="0.25">
      <c r="E425" s="15" t="str">
        <f>IF(OR(DataRecebimento="",C425=""),"",C425-$F$7)</f>
        <v/>
      </c>
      <c r="F425" s="16" t="str">
        <f>IF(OR(TaxaJuros="",C425=""),"",-D425*E425*($F$8/30))</f>
        <v/>
      </c>
      <c r="G425" s="16" t="str">
        <f>IF(OR(TaxaJuros="",C425=""),"",-$F$9)</f>
        <v/>
      </c>
      <c r="H425" s="21" t="str">
        <f>IF(OR(TaxaJuros="",C425=""),"",IF(ComSemIOF=FALSE,0,IF(E425&gt;365,-(D425+F425)*365*IOFDiario,-(D425+F425)*E425*IOFDiario)))</f>
        <v/>
      </c>
      <c r="I425" s="21" t="str">
        <f>IF(OR(TaxaJuros="",C425=""),"",IF(ComSemIOF=FALSE,0,-(D425+F425)*IOFAdic))</f>
        <v/>
      </c>
      <c r="J425" s="16" t="str">
        <f>IF(OR(TaxaJuros="",C425=""),"",D425+SUM(F425:I425))</f>
        <v/>
      </c>
      <c r="K425" s="67" t="str">
        <f>IF(OR(TaxaJuros="",C425=""),"",100%-J425/D425)</f>
        <v/>
      </c>
    </row>
    <row r="426" spans="5:11" x14ac:dyDescent="0.25">
      <c r="E426" s="15" t="str">
        <f>IF(OR(DataRecebimento="",C426=""),"",C426-$F$7)</f>
        <v/>
      </c>
      <c r="F426" s="16" t="str">
        <f>IF(OR(TaxaJuros="",C426=""),"",-D426*E426*($F$8/30))</f>
        <v/>
      </c>
      <c r="G426" s="16" t="str">
        <f>IF(OR(TaxaJuros="",C426=""),"",-$F$9)</f>
        <v/>
      </c>
      <c r="H426" s="21" t="str">
        <f>IF(OR(TaxaJuros="",C426=""),"",IF(ComSemIOF=FALSE,0,IF(E426&gt;365,-(D426+F426)*365*IOFDiario,-(D426+F426)*E426*IOFDiario)))</f>
        <v/>
      </c>
      <c r="I426" s="21" t="str">
        <f>IF(OR(TaxaJuros="",C426=""),"",IF(ComSemIOF=FALSE,0,-(D426+F426)*IOFAdic))</f>
        <v/>
      </c>
      <c r="J426" s="16" t="str">
        <f>IF(OR(TaxaJuros="",C426=""),"",D426+SUM(F426:I426))</f>
        <v/>
      </c>
      <c r="K426" s="67" t="str">
        <f>IF(OR(TaxaJuros="",C426=""),"",100%-J426/D426)</f>
        <v/>
      </c>
    </row>
    <row r="427" spans="5:11" x14ac:dyDescent="0.25">
      <c r="E427" s="15" t="str">
        <f>IF(OR(DataRecebimento="",C427=""),"",C427-$F$7)</f>
        <v/>
      </c>
      <c r="F427" s="16" t="str">
        <f>IF(OR(TaxaJuros="",C427=""),"",-D427*E427*($F$8/30))</f>
        <v/>
      </c>
      <c r="G427" s="16" t="str">
        <f>IF(OR(TaxaJuros="",C427=""),"",-$F$9)</f>
        <v/>
      </c>
      <c r="H427" s="21" t="str">
        <f>IF(OR(TaxaJuros="",C427=""),"",IF(ComSemIOF=FALSE,0,IF(E427&gt;365,-(D427+F427)*365*IOFDiario,-(D427+F427)*E427*IOFDiario)))</f>
        <v/>
      </c>
      <c r="I427" s="21" t="str">
        <f>IF(OR(TaxaJuros="",C427=""),"",IF(ComSemIOF=FALSE,0,-(D427+F427)*IOFAdic))</f>
        <v/>
      </c>
      <c r="J427" s="16" t="str">
        <f>IF(OR(TaxaJuros="",C427=""),"",D427+SUM(F427:I427))</f>
        <v/>
      </c>
      <c r="K427" s="67" t="str">
        <f>IF(OR(TaxaJuros="",C427=""),"",100%-J427/D427)</f>
        <v/>
      </c>
    </row>
    <row r="428" spans="5:11" x14ac:dyDescent="0.25">
      <c r="E428" s="15" t="str">
        <f>IF(OR(DataRecebimento="",C428=""),"",C428-$F$7)</f>
        <v/>
      </c>
      <c r="F428" s="16" t="str">
        <f>IF(OR(TaxaJuros="",C428=""),"",-D428*E428*($F$8/30))</f>
        <v/>
      </c>
      <c r="G428" s="16" t="str">
        <f>IF(OR(TaxaJuros="",C428=""),"",-$F$9)</f>
        <v/>
      </c>
      <c r="H428" s="21" t="str">
        <f>IF(OR(TaxaJuros="",C428=""),"",IF(ComSemIOF=FALSE,0,IF(E428&gt;365,-(D428+F428)*365*IOFDiario,-(D428+F428)*E428*IOFDiario)))</f>
        <v/>
      </c>
      <c r="I428" s="21" t="str">
        <f>IF(OR(TaxaJuros="",C428=""),"",IF(ComSemIOF=FALSE,0,-(D428+F428)*IOFAdic))</f>
        <v/>
      </c>
      <c r="J428" s="16" t="str">
        <f>IF(OR(TaxaJuros="",C428=""),"",D428+SUM(F428:I428))</f>
        <v/>
      </c>
      <c r="K428" s="67" t="str">
        <f>IF(OR(TaxaJuros="",C428=""),"",100%-J428/D428)</f>
        <v/>
      </c>
    </row>
    <row r="429" spans="5:11" x14ac:dyDescent="0.25">
      <c r="E429" s="15" t="str">
        <f>IF(OR(DataRecebimento="",C429=""),"",C429-$F$7)</f>
        <v/>
      </c>
      <c r="F429" s="16" t="str">
        <f>IF(OR(TaxaJuros="",C429=""),"",-D429*E429*($F$8/30))</f>
        <v/>
      </c>
      <c r="G429" s="16" t="str">
        <f>IF(OR(TaxaJuros="",C429=""),"",-$F$9)</f>
        <v/>
      </c>
      <c r="H429" s="21" t="str">
        <f>IF(OR(TaxaJuros="",C429=""),"",IF(ComSemIOF=FALSE,0,IF(E429&gt;365,-(D429+F429)*365*IOFDiario,-(D429+F429)*E429*IOFDiario)))</f>
        <v/>
      </c>
      <c r="I429" s="21" t="str">
        <f>IF(OR(TaxaJuros="",C429=""),"",IF(ComSemIOF=FALSE,0,-(D429+F429)*IOFAdic))</f>
        <v/>
      </c>
      <c r="J429" s="16" t="str">
        <f>IF(OR(TaxaJuros="",C429=""),"",D429+SUM(F429:I429))</f>
        <v/>
      </c>
      <c r="K429" s="67" t="str">
        <f>IF(OR(TaxaJuros="",C429=""),"",100%-J429/D429)</f>
        <v/>
      </c>
    </row>
    <row r="430" spans="5:11" x14ac:dyDescent="0.25">
      <c r="E430" s="15" t="str">
        <f>IF(OR(DataRecebimento="",C430=""),"",C430-$F$7)</f>
        <v/>
      </c>
      <c r="F430" s="16" t="str">
        <f>IF(OR(TaxaJuros="",C430=""),"",-D430*E430*($F$8/30))</f>
        <v/>
      </c>
      <c r="G430" s="16" t="str">
        <f>IF(OR(TaxaJuros="",C430=""),"",-$F$9)</f>
        <v/>
      </c>
      <c r="H430" s="21" t="str">
        <f>IF(OR(TaxaJuros="",C430=""),"",IF(ComSemIOF=FALSE,0,IF(E430&gt;365,-(D430+F430)*365*IOFDiario,-(D430+F430)*E430*IOFDiario)))</f>
        <v/>
      </c>
      <c r="I430" s="21" t="str">
        <f>IF(OR(TaxaJuros="",C430=""),"",IF(ComSemIOF=FALSE,0,-(D430+F430)*IOFAdic))</f>
        <v/>
      </c>
      <c r="J430" s="16" t="str">
        <f>IF(OR(TaxaJuros="",C430=""),"",D430+SUM(F430:I430))</f>
        <v/>
      </c>
      <c r="K430" s="67" t="str">
        <f>IF(OR(TaxaJuros="",C430=""),"",100%-J430/D430)</f>
        <v/>
      </c>
    </row>
    <row r="431" spans="5:11" x14ac:dyDescent="0.25">
      <c r="E431" s="15" t="str">
        <f>IF(OR(DataRecebimento="",C431=""),"",C431-$F$7)</f>
        <v/>
      </c>
      <c r="F431" s="16" t="str">
        <f>IF(OR(TaxaJuros="",C431=""),"",-D431*E431*($F$8/30))</f>
        <v/>
      </c>
      <c r="G431" s="16" t="str">
        <f>IF(OR(TaxaJuros="",C431=""),"",-$F$9)</f>
        <v/>
      </c>
      <c r="H431" s="21" t="str">
        <f>IF(OR(TaxaJuros="",C431=""),"",IF(ComSemIOF=FALSE,0,IF(E431&gt;365,-(D431+F431)*365*IOFDiario,-(D431+F431)*E431*IOFDiario)))</f>
        <v/>
      </c>
      <c r="I431" s="21" t="str">
        <f>IF(OR(TaxaJuros="",C431=""),"",IF(ComSemIOF=FALSE,0,-(D431+F431)*IOFAdic))</f>
        <v/>
      </c>
      <c r="J431" s="16" t="str">
        <f>IF(OR(TaxaJuros="",C431=""),"",D431+SUM(F431:I431))</f>
        <v/>
      </c>
      <c r="K431" s="67" t="str">
        <f>IF(OR(TaxaJuros="",C431=""),"",100%-J431/D431)</f>
        <v/>
      </c>
    </row>
    <row r="432" spans="5:11" x14ac:dyDescent="0.25">
      <c r="E432" s="15" t="str">
        <f>IF(OR(DataRecebimento="",C432=""),"",C432-$F$7)</f>
        <v/>
      </c>
      <c r="F432" s="16" t="str">
        <f>IF(OR(TaxaJuros="",C432=""),"",-D432*E432*($F$8/30))</f>
        <v/>
      </c>
      <c r="G432" s="16" t="str">
        <f>IF(OR(TaxaJuros="",C432=""),"",-$F$9)</f>
        <v/>
      </c>
      <c r="H432" s="21" t="str">
        <f>IF(OR(TaxaJuros="",C432=""),"",IF(ComSemIOF=FALSE,0,IF(E432&gt;365,-(D432+F432)*365*IOFDiario,-(D432+F432)*E432*IOFDiario)))</f>
        <v/>
      </c>
      <c r="I432" s="21" t="str">
        <f>IF(OR(TaxaJuros="",C432=""),"",IF(ComSemIOF=FALSE,0,-(D432+F432)*IOFAdic))</f>
        <v/>
      </c>
      <c r="J432" s="16" t="str">
        <f>IF(OR(TaxaJuros="",C432=""),"",D432+SUM(F432:I432))</f>
        <v/>
      </c>
      <c r="K432" s="67" t="str">
        <f>IF(OR(TaxaJuros="",C432=""),"",100%-J432/D432)</f>
        <v/>
      </c>
    </row>
    <row r="433" spans="5:11" x14ac:dyDescent="0.25">
      <c r="E433" s="15" t="str">
        <f>IF(OR(DataRecebimento="",C433=""),"",C433-$F$7)</f>
        <v/>
      </c>
      <c r="F433" s="16" t="str">
        <f>IF(OR(TaxaJuros="",C433=""),"",-D433*E433*($F$8/30))</f>
        <v/>
      </c>
      <c r="G433" s="16" t="str">
        <f>IF(OR(TaxaJuros="",C433=""),"",-$F$9)</f>
        <v/>
      </c>
      <c r="H433" s="21" t="str">
        <f>IF(OR(TaxaJuros="",C433=""),"",IF(ComSemIOF=FALSE,0,IF(E433&gt;365,-(D433+F433)*365*IOFDiario,-(D433+F433)*E433*IOFDiario)))</f>
        <v/>
      </c>
      <c r="I433" s="21" t="str">
        <f>IF(OR(TaxaJuros="",C433=""),"",IF(ComSemIOF=FALSE,0,-(D433+F433)*IOFAdic))</f>
        <v/>
      </c>
      <c r="J433" s="16" t="str">
        <f>IF(OR(TaxaJuros="",C433=""),"",D433+SUM(F433:I433))</f>
        <v/>
      </c>
      <c r="K433" s="67" t="str">
        <f>IF(OR(TaxaJuros="",C433=""),"",100%-J433/D433)</f>
        <v/>
      </c>
    </row>
    <row r="434" spans="5:11" x14ac:dyDescent="0.25">
      <c r="E434" s="15" t="str">
        <f>IF(OR(DataRecebimento="",C434=""),"",C434-$F$7)</f>
        <v/>
      </c>
      <c r="F434" s="16" t="str">
        <f>IF(OR(TaxaJuros="",C434=""),"",-D434*E434*($F$8/30))</f>
        <v/>
      </c>
      <c r="G434" s="16" t="str">
        <f>IF(OR(TaxaJuros="",C434=""),"",-$F$9)</f>
        <v/>
      </c>
      <c r="H434" s="21" t="str">
        <f>IF(OR(TaxaJuros="",C434=""),"",IF(ComSemIOF=FALSE,0,IF(E434&gt;365,-(D434+F434)*365*IOFDiario,-(D434+F434)*E434*IOFDiario)))</f>
        <v/>
      </c>
      <c r="I434" s="21" t="str">
        <f>IF(OR(TaxaJuros="",C434=""),"",IF(ComSemIOF=FALSE,0,-(D434+F434)*IOFAdic))</f>
        <v/>
      </c>
      <c r="J434" s="16" t="str">
        <f>IF(OR(TaxaJuros="",C434=""),"",D434+SUM(F434:I434))</f>
        <v/>
      </c>
      <c r="K434" s="67" t="str">
        <f>IF(OR(TaxaJuros="",C434=""),"",100%-J434/D434)</f>
        <v/>
      </c>
    </row>
    <row r="435" spans="5:11" x14ac:dyDescent="0.25">
      <c r="E435" s="15" t="str">
        <f>IF(OR(DataRecebimento="",C435=""),"",C435-$F$7)</f>
        <v/>
      </c>
      <c r="F435" s="16" t="str">
        <f>IF(OR(TaxaJuros="",C435=""),"",-D435*E435*($F$8/30))</f>
        <v/>
      </c>
      <c r="G435" s="16" t="str">
        <f>IF(OR(TaxaJuros="",C435=""),"",-$F$9)</f>
        <v/>
      </c>
      <c r="H435" s="21" t="str">
        <f>IF(OR(TaxaJuros="",C435=""),"",IF(ComSemIOF=FALSE,0,IF(E435&gt;365,-(D435+F435)*365*IOFDiario,-(D435+F435)*E435*IOFDiario)))</f>
        <v/>
      </c>
      <c r="I435" s="21" t="str">
        <f>IF(OR(TaxaJuros="",C435=""),"",IF(ComSemIOF=FALSE,0,-(D435+F435)*IOFAdic))</f>
        <v/>
      </c>
      <c r="J435" s="16" t="str">
        <f>IF(OR(TaxaJuros="",C435=""),"",D435+SUM(F435:I435))</f>
        <v/>
      </c>
      <c r="K435" s="67" t="str">
        <f>IF(OR(TaxaJuros="",C435=""),"",100%-J435/D435)</f>
        <v/>
      </c>
    </row>
    <row r="436" spans="5:11" x14ac:dyDescent="0.25">
      <c r="E436" s="15" t="str">
        <f>IF(OR(DataRecebimento="",C436=""),"",C436-$F$7)</f>
        <v/>
      </c>
      <c r="F436" s="16" t="str">
        <f>IF(OR(TaxaJuros="",C436=""),"",-D436*E436*($F$8/30))</f>
        <v/>
      </c>
      <c r="G436" s="16" t="str">
        <f>IF(OR(TaxaJuros="",C436=""),"",-$F$9)</f>
        <v/>
      </c>
      <c r="H436" s="21" t="str">
        <f>IF(OR(TaxaJuros="",C436=""),"",IF(ComSemIOF=FALSE,0,IF(E436&gt;365,-(D436+F436)*365*IOFDiario,-(D436+F436)*E436*IOFDiario)))</f>
        <v/>
      </c>
      <c r="I436" s="21" t="str">
        <f>IF(OR(TaxaJuros="",C436=""),"",IF(ComSemIOF=FALSE,0,-(D436+F436)*IOFAdic))</f>
        <v/>
      </c>
      <c r="J436" s="16" t="str">
        <f>IF(OR(TaxaJuros="",C436=""),"",D436+SUM(F436:I436))</f>
        <v/>
      </c>
      <c r="K436" s="67" t="str">
        <f>IF(OR(TaxaJuros="",C436=""),"",100%-J436/D436)</f>
        <v/>
      </c>
    </row>
    <row r="437" spans="5:11" x14ac:dyDescent="0.25">
      <c r="E437" s="15" t="str">
        <f>IF(OR(DataRecebimento="",C437=""),"",C437-$F$7)</f>
        <v/>
      </c>
      <c r="F437" s="16" t="str">
        <f>IF(OR(TaxaJuros="",C437=""),"",-D437*E437*($F$8/30))</f>
        <v/>
      </c>
      <c r="G437" s="16" t="str">
        <f>IF(OR(TaxaJuros="",C437=""),"",-$F$9)</f>
        <v/>
      </c>
      <c r="H437" s="21" t="str">
        <f>IF(OR(TaxaJuros="",C437=""),"",IF(ComSemIOF=FALSE,0,IF(E437&gt;365,-(D437+F437)*365*IOFDiario,-(D437+F437)*E437*IOFDiario)))</f>
        <v/>
      </c>
      <c r="I437" s="21" t="str">
        <f>IF(OR(TaxaJuros="",C437=""),"",IF(ComSemIOF=FALSE,0,-(D437+F437)*IOFAdic))</f>
        <v/>
      </c>
      <c r="J437" s="16" t="str">
        <f>IF(OR(TaxaJuros="",C437=""),"",D437+SUM(F437:I437))</f>
        <v/>
      </c>
      <c r="K437" s="67" t="str">
        <f>IF(OR(TaxaJuros="",C437=""),"",100%-J437/D437)</f>
        <v/>
      </c>
    </row>
    <row r="438" spans="5:11" x14ac:dyDescent="0.25">
      <c r="E438" s="15" t="str">
        <f>IF(OR(DataRecebimento="",C438=""),"",C438-$F$7)</f>
        <v/>
      </c>
      <c r="F438" s="16" t="str">
        <f>IF(OR(TaxaJuros="",C438=""),"",-D438*E438*($F$8/30))</f>
        <v/>
      </c>
      <c r="G438" s="16" t="str">
        <f>IF(OR(TaxaJuros="",C438=""),"",-$F$9)</f>
        <v/>
      </c>
      <c r="H438" s="21" t="str">
        <f>IF(OR(TaxaJuros="",C438=""),"",IF(ComSemIOF=FALSE,0,IF(E438&gt;365,-(D438+F438)*365*IOFDiario,-(D438+F438)*E438*IOFDiario)))</f>
        <v/>
      </c>
      <c r="I438" s="21" t="str">
        <f>IF(OR(TaxaJuros="",C438=""),"",IF(ComSemIOF=FALSE,0,-(D438+F438)*IOFAdic))</f>
        <v/>
      </c>
      <c r="J438" s="16" t="str">
        <f>IF(OR(TaxaJuros="",C438=""),"",D438+SUM(F438:I438))</f>
        <v/>
      </c>
      <c r="K438" s="67" t="str">
        <f>IF(OR(TaxaJuros="",C438=""),"",100%-J438/D438)</f>
        <v/>
      </c>
    </row>
    <row r="439" spans="5:11" x14ac:dyDescent="0.25">
      <c r="E439" s="15" t="str">
        <f>IF(OR(DataRecebimento="",C439=""),"",C439-$F$7)</f>
        <v/>
      </c>
      <c r="F439" s="16" t="str">
        <f>IF(OR(TaxaJuros="",C439=""),"",-D439*E439*($F$8/30))</f>
        <v/>
      </c>
      <c r="G439" s="16" t="str">
        <f>IF(OR(TaxaJuros="",C439=""),"",-$F$9)</f>
        <v/>
      </c>
      <c r="H439" s="21" t="str">
        <f>IF(OR(TaxaJuros="",C439=""),"",IF(ComSemIOF=FALSE,0,IF(E439&gt;365,-(D439+F439)*365*IOFDiario,-(D439+F439)*E439*IOFDiario)))</f>
        <v/>
      </c>
      <c r="I439" s="21" t="str">
        <f>IF(OR(TaxaJuros="",C439=""),"",IF(ComSemIOF=FALSE,0,-(D439+F439)*IOFAdic))</f>
        <v/>
      </c>
      <c r="J439" s="16" t="str">
        <f>IF(OR(TaxaJuros="",C439=""),"",D439+SUM(F439:I439))</f>
        <v/>
      </c>
      <c r="K439" s="67" t="str">
        <f>IF(OR(TaxaJuros="",C439=""),"",100%-J439/D439)</f>
        <v/>
      </c>
    </row>
    <row r="440" spans="5:11" x14ac:dyDescent="0.25">
      <c r="E440" s="15" t="str">
        <f>IF(OR(DataRecebimento="",C440=""),"",C440-$F$7)</f>
        <v/>
      </c>
      <c r="F440" s="16" t="str">
        <f>IF(OR(TaxaJuros="",C440=""),"",-D440*E440*($F$8/30))</f>
        <v/>
      </c>
      <c r="G440" s="16" t="str">
        <f>IF(OR(TaxaJuros="",C440=""),"",-$F$9)</f>
        <v/>
      </c>
      <c r="H440" s="21" t="str">
        <f>IF(OR(TaxaJuros="",C440=""),"",IF(ComSemIOF=FALSE,0,IF(E440&gt;365,-(D440+F440)*365*IOFDiario,-(D440+F440)*E440*IOFDiario)))</f>
        <v/>
      </c>
      <c r="I440" s="21" t="str">
        <f>IF(OR(TaxaJuros="",C440=""),"",IF(ComSemIOF=FALSE,0,-(D440+F440)*IOFAdic))</f>
        <v/>
      </c>
      <c r="J440" s="16" t="str">
        <f>IF(OR(TaxaJuros="",C440=""),"",D440+SUM(F440:I440))</f>
        <v/>
      </c>
      <c r="K440" s="67" t="str">
        <f>IF(OR(TaxaJuros="",C440=""),"",100%-J440/D440)</f>
        <v/>
      </c>
    </row>
    <row r="441" spans="5:11" x14ac:dyDescent="0.25">
      <c r="E441" s="15" t="str">
        <f>IF(OR(DataRecebimento="",C441=""),"",C441-$F$7)</f>
        <v/>
      </c>
      <c r="F441" s="16" t="str">
        <f>IF(OR(TaxaJuros="",C441=""),"",-D441*E441*($F$8/30))</f>
        <v/>
      </c>
      <c r="G441" s="16" t="str">
        <f>IF(OR(TaxaJuros="",C441=""),"",-$F$9)</f>
        <v/>
      </c>
      <c r="H441" s="21" t="str">
        <f>IF(OR(TaxaJuros="",C441=""),"",IF(ComSemIOF=FALSE,0,IF(E441&gt;365,-(D441+F441)*365*IOFDiario,-(D441+F441)*E441*IOFDiario)))</f>
        <v/>
      </c>
      <c r="I441" s="21" t="str">
        <f>IF(OR(TaxaJuros="",C441=""),"",IF(ComSemIOF=FALSE,0,-(D441+F441)*IOFAdic))</f>
        <v/>
      </c>
      <c r="J441" s="16" t="str">
        <f>IF(OR(TaxaJuros="",C441=""),"",D441+SUM(F441:I441))</f>
        <v/>
      </c>
      <c r="K441" s="67" t="str">
        <f>IF(OR(TaxaJuros="",C441=""),"",100%-J441/D441)</f>
        <v/>
      </c>
    </row>
    <row r="442" spans="5:11" x14ac:dyDescent="0.25">
      <c r="E442" s="15" t="str">
        <f>IF(OR(DataRecebimento="",C442=""),"",C442-$F$7)</f>
        <v/>
      </c>
      <c r="F442" s="16" t="str">
        <f>IF(OR(TaxaJuros="",C442=""),"",-D442*E442*($F$8/30))</f>
        <v/>
      </c>
      <c r="G442" s="16" t="str">
        <f>IF(OR(TaxaJuros="",C442=""),"",-$F$9)</f>
        <v/>
      </c>
      <c r="H442" s="21" t="str">
        <f>IF(OR(TaxaJuros="",C442=""),"",IF(ComSemIOF=FALSE,0,IF(E442&gt;365,-(D442+F442)*365*IOFDiario,-(D442+F442)*E442*IOFDiario)))</f>
        <v/>
      </c>
      <c r="I442" s="21" t="str">
        <f>IF(OR(TaxaJuros="",C442=""),"",IF(ComSemIOF=FALSE,0,-(D442+F442)*IOFAdic))</f>
        <v/>
      </c>
      <c r="J442" s="16" t="str">
        <f>IF(OR(TaxaJuros="",C442=""),"",D442+SUM(F442:I442))</f>
        <v/>
      </c>
      <c r="K442" s="67" t="str">
        <f>IF(OR(TaxaJuros="",C442=""),"",100%-J442/D442)</f>
        <v/>
      </c>
    </row>
    <row r="443" spans="5:11" x14ac:dyDescent="0.25">
      <c r="E443" s="15" t="str">
        <f>IF(OR(DataRecebimento="",C443=""),"",C443-$F$7)</f>
        <v/>
      </c>
      <c r="F443" s="16" t="str">
        <f>IF(OR(TaxaJuros="",C443=""),"",-D443*E443*($F$8/30))</f>
        <v/>
      </c>
      <c r="G443" s="16" t="str">
        <f>IF(OR(TaxaJuros="",C443=""),"",-$F$9)</f>
        <v/>
      </c>
      <c r="H443" s="21" t="str">
        <f>IF(OR(TaxaJuros="",C443=""),"",IF(ComSemIOF=FALSE,0,IF(E443&gt;365,-(D443+F443)*365*IOFDiario,-(D443+F443)*E443*IOFDiario)))</f>
        <v/>
      </c>
      <c r="I443" s="21" t="str">
        <f>IF(OR(TaxaJuros="",C443=""),"",IF(ComSemIOF=FALSE,0,-(D443+F443)*IOFAdic))</f>
        <v/>
      </c>
      <c r="J443" s="16" t="str">
        <f>IF(OR(TaxaJuros="",C443=""),"",D443+SUM(F443:I443))</f>
        <v/>
      </c>
      <c r="K443" s="67" t="str">
        <f>IF(OR(TaxaJuros="",C443=""),"",100%-J443/D443)</f>
        <v/>
      </c>
    </row>
    <row r="444" spans="5:11" x14ac:dyDescent="0.25">
      <c r="E444" s="15" t="str">
        <f>IF(OR(DataRecebimento="",C444=""),"",C444-$F$7)</f>
        <v/>
      </c>
      <c r="F444" s="16" t="str">
        <f>IF(OR(TaxaJuros="",C444=""),"",-D444*E444*($F$8/30))</f>
        <v/>
      </c>
      <c r="G444" s="16" t="str">
        <f>IF(OR(TaxaJuros="",C444=""),"",-$F$9)</f>
        <v/>
      </c>
      <c r="H444" s="21" t="str">
        <f>IF(OR(TaxaJuros="",C444=""),"",IF(ComSemIOF=FALSE,0,IF(E444&gt;365,-(D444+F444)*365*IOFDiario,-(D444+F444)*E444*IOFDiario)))</f>
        <v/>
      </c>
      <c r="I444" s="21" t="str">
        <f>IF(OR(TaxaJuros="",C444=""),"",IF(ComSemIOF=FALSE,0,-(D444+F444)*IOFAdic))</f>
        <v/>
      </c>
      <c r="J444" s="16" t="str">
        <f>IF(OR(TaxaJuros="",C444=""),"",D444+SUM(F444:I444))</f>
        <v/>
      </c>
      <c r="K444" s="67" t="str">
        <f>IF(OR(TaxaJuros="",C444=""),"",100%-J444/D444)</f>
        <v/>
      </c>
    </row>
    <row r="445" spans="5:11" x14ac:dyDescent="0.25">
      <c r="E445" s="15" t="str">
        <f>IF(OR(DataRecebimento="",C445=""),"",C445-$F$7)</f>
        <v/>
      </c>
      <c r="F445" s="16" t="str">
        <f>IF(OR(TaxaJuros="",C445=""),"",-D445*E445*($F$8/30))</f>
        <v/>
      </c>
      <c r="G445" s="16" t="str">
        <f>IF(OR(TaxaJuros="",C445=""),"",-$F$9)</f>
        <v/>
      </c>
      <c r="H445" s="21" t="str">
        <f>IF(OR(TaxaJuros="",C445=""),"",IF(ComSemIOF=FALSE,0,IF(E445&gt;365,-(D445+F445)*365*IOFDiario,-(D445+F445)*E445*IOFDiario)))</f>
        <v/>
      </c>
      <c r="I445" s="21" t="str">
        <f>IF(OR(TaxaJuros="",C445=""),"",IF(ComSemIOF=FALSE,0,-(D445+F445)*IOFAdic))</f>
        <v/>
      </c>
      <c r="J445" s="16" t="str">
        <f>IF(OR(TaxaJuros="",C445=""),"",D445+SUM(F445:I445))</f>
        <v/>
      </c>
      <c r="K445" s="67" t="str">
        <f>IF(OR(TaxaJuros="",C445=""),"",100%-J445/D445)</f>
        <v/>
      </c>
    </row>
    <row r="446" spans="5:11" x14ac:dyDescent="0.25">
      <c r="E446" s="15" t="str">
        <f>IF(OR(DataRecebimento="",C446=""),"",C446-$F$7)</f>
        <v/>
      </c>
      <c r="F446" s="16" t="str">
        <f>IF(OR(TaxaJuros="",C446=""),"",-D446*E446*($F$8/30))</f>
        <v/>
      </c>
      <c r="G446" s="16" t="str">
        <f>IF(OR(TaxaJuros="",C446=""),"",-$F$9)</f>
        <v/>
      </c>
      <c r="H446" s="21" t="str">
        <f>IF(OR(TaxaJuros="",C446=""),"",IF(ComSemIOF=FALSE,0,IF(E446&gt;365,-(D446+F446)*365*IOFDiario,-(D446+F446)*E446*IOFDiario)))</f>
        <v/>
      </c>
      <c r="I446" s="21" t="str">
        <f>IF(OR(TaxaJuros="",C446=""),"",IF(ComSemIOF=FALSE,0,-(D446+F446)*IOFAdic))</f>
        <v/>
      </c>
      <c r="J446" s="16" t="str">
        <f>IF(OR(TaxaJuros="",C446=""),"",D446+SUM(F446:I446))</f>
        <v/>
      </c>
      <c r="K446" s="67" t="str">
        <f>IF(OR(TaxaJuros="",C446=""),"",100%-J446/D446)</f>
        <v/>
      </c>
    </row>
    <row r="447" spans="5:11" x14ac:dyDescent="0.25">
      <c r="E447" s="15" t="str">
        <f>IF(OR(DataRecebimento="",C447=""),"",C447-$F$7)</f>
        <v/>
      </c>
      <c r="F447" s="16" t="str">
        <f>IF(OR(TaxaJuros="",C447=""),"",-D447*E447*($F$8/30))</f>
        <v/>
      </c>
      <c r="G447" s="16" t="str">
        <f>IF(OR(TaxaJuros="",C447=""),"",-$F$9)</f>
        <v/>
      </c>
      <c r="H447" s="21" t="str">
        <f>IF(OR(TaxaJuros="",C447=""),"",IF(ComSemIOF=FALSE,0,IF(E447&gt;365,-(D447+F447)*365*IOFDiario,-(D447+F447)*E447*IOFDiario)))</f>
        <v/>
      </c>
      <c r="I447" s="21" t="str">
        <f>IF(OR(TaxaJuros="",C447=""),"",IF(ComSemIOF=FALSE,0,-(D447+F447)*IOFAdic))</f>
        <v/>
      </c>
      <c r="J447" s="16" t="str">
        <f>IF(OR(TaxaJuros="",C447=""),"",D447+SUM(F447:I447))</f>
        <v/>
      </c>
      <c r="K447" s="67" t="str">
        <f>IF(OR(TaxaJuros="",C447=""),"",100%-J447/D447)</f>
        <v/>
      </c>
    </row>
    <row r="448" spans="5:11" x14ac:dyDescent="0.25">
      <c r="E448" s="15" t="str">
        <f>IF(OR(DataRecebimento="",C448=""),"",C448-$F$7)</f>
        <v/>
      </c>
      <c r="F448" s="16" t="str">
        <f>IF(OR(TaxaJuros="",C448=""),"",-D448*E448*($F$8/30))</f>
        <v/>
      </c>
      <c r="G448" s="16" t="str">
        <f>IF(OR(TaxaJuros="",C448=""),"",-$F$9)</f>
        <v/>
      </c>
      <c r="H448" s="21" t="str">
        <f>IF(OR(TaxaJuros="",C448=""),"",IF(ComSemIOF=FALSE,0,IF(E448&gt;365,-(D448+F448)*365*IOFDiario,-(D448+F448)*E448*IOFDiario)))</f>
        <v/>
      </c>
      <c r="I448" s="21" t="str">
        <f>IF(OR(TaxaJuros="",C448=""),"",IF(ComSemIOF=FALSE,0,-(D448+F448)*IOFAdic))</f>
        <v/>
      </c>
      <c r="J448" s="16" t="str">
        <f>IF(OR(TaxaJuros="",C448=""),"",D448+SUM(F448:I448))</f>
        <v/>
      </c>
      <c r="K448" s="67" t="str">
        <f>IF(OR(TaxaJuros="",C448=""),"",100%-J448/D448)</f>
        <v/>
      </c>
    </row>
    <row r="449" spans="5:11" x14ac:dyDescent="0.25">
      <c r="E449" s="15" t="str">
        <f>IF(OR(DataRecebimento="",C449=""),"",C449-$F$7)</f>
        <v/>
      </c>
      <c r="F449" s="16" t="str">
        <f>IF(OR(TaxaJuros="",C449=""),"",-D449*E449*($F$8/30))</f>
        <v/>
      </c>
      <c r="G449" s="16" t="str">
        <f>IF(OR(TaxaJuros="",C449=""),"",-$F$9)</f>
        <v/>
      </c>
      <c r="H449" s="21" t="str">
        <f>IF(OR(TaxaJuros="",C449=""),"",IF(ComSemIOF=FALSE,0,IF(E449&gt;365,-(D449+F449)*365*IOFDiario,-(D449+F449)*E449*IOFDiario)))</f>
        <v/>
      </c>
      <c r="I449" s="21" t="str">
        <f>IF(OR(TaxaJuros="",C449=""),"",IF(ComSemIOF=FALSE,0,-(D449+F449)*IOFAdic))</f>
        <v/>
      </c>
      <c r="J449" s="16" t="str">
        <f>IF(OR(TaxaJuros="",C449=""),"",D449+SUM(F449:I449))</f>
        <v/>
      </c>
      <c r="K449" s="67" t="str">
        <f>IF(OR(TaxaJuros="",C449=""),"",100%-J449/D449)</f>
        <v/>
      </c>
    </row>
    <row r="450" spans="5:11" x14ac:dyDescent="0.25">
      <c r="E450" s="15" t="str">
        <f>IF(OR(DataRecebimento="",C450=""),"",C450-$F$7)</f>
        <v/>
      </c>
      <c r="F450" s="16" t="str">
        <f>IF(OR(TaxaJuros="",C450=""),"",-D450*E450*($F$8/30))</f>
        <v/>
      </c>
      <c r="G450" s="16" t="str">
        <f>IF(OR(TaxaJuros="",C450=""),"",-$F$9)</f>
        <v/>
      </c>
      <c r="H450" s="21" t="str">
        <f>IF(OR(TaxaJuros="",C450=""),"",IF(ComSemIOF=FALSE,0,IF(E450&gt;365,-(D450+F450)*365*IOFDiario,-(D450+F450)*E450*IOFDiario)))</f>
        <v/>
      </c>
      <c r="I450" s="21" t="str">
        <f>IF(OR(TaxaJuros="",C450=""),"",IF(ComSemIOF=FALSE,0,-(D450+F450)*IOFAdic))</f>
        <v/>
      </c>
      <c r="J450" s="16" t="str">
        <f>IF(OR(TaxaJuros="",C450=""),"",D450+SUM(F450:I450))</f>
        <v/>
      </c>
      <c r="K450" s="67" t="str">
        <f>IF(OR(TaxaJuros="",C450=""),"",100%-J450/D450)</f>
        <v/>
      </c>
    </row>
    <row r="451" spans="5:11" x14ac:dyDescent="0.25">
      <c r="E451" s="15" t="str">
        <f>IF(OR(DataRecebimento="",C451=""),"",C451-$F$7)</f>
        <v/>
      </c>
      <c r="F451" s="16" t="str">
        <f>IF(OR(TaxaJuros="",C451=""),"",-D451*E451*($F$8/30))</f>
        <v/>
      </c>
      <c r="G451" s="16" t="str">
        <f>IF(OR(TaxaJuros="",C451=""),"",-$F$9)</f>
        <v/>
      </c>
      <c r="H451" s="21" t="str">
        <f>IF(OR(TaxaJuros="",C451=""),"",IF(ComSemIOF=FALSE,0,IF(E451&gt;365,-(D451+F451)*365*IOFDiario,-(D451+F451)*E451*IOFDiario)))</f>
        <v/>
      </c>
      <c r="I451" s="21" t="str">
        <f>IF(OR(TaxaJuros="",C451=""),"",IF(ComSemIOF=FALSE,0,-(D451+F451)*IOFAdic))</f>
        <v/>
      </c>
      <c r="J451" s="16" t="str">
        <f>IF(OR(TaxaJuros="",C451=""),"",D451+SUM(F451:I451))</f>
        <v/>
      </c>
      <c r="K451" s="67" t="str">
        <f>IF(OR(TaxaJuros="",C451=""),"",100%-J451/D451)</f>
        <v/>
      </c>
    </row>
    <row r="452" spans="5:11" x14ac:dyDescent="0.25">
      <c r="E452" s="15" t="str">
        <f>IF(OR(DataRecebimento="",C452=""),"",C452-$F$7)</f>
        <v/>
      </c>
      <c r="F452" s="16" t="str">
        <f>IF(OR(TaxaJuros="",C452=""),"",-D452*E452*($F$8/30))</f>
        <v/>
      </c>
      <c r="G452" s="16" t="str">
        <f>IF(OR(TaxaJuros="",C452=""),"",-$F$9)</f>
        <v/>
      </c>
      <c r="H452" s="21" t="str">
        <f>IF(OR(TaxaJuros="",C452=""),"",IF(ComSemIOF=FALSE,0,IF(E452&gt;365,-(D452+F452)*365*IOFDiario,-(D452+F452)*E452*IOFDiario)))</f>
        <v/>
      </c>
      <c r="I452" s="21" t="str">
        <f>IF(OR(TaxaJuros="",C452=""),"",IF(ComSemIOF=FALSE,0,-(D452+F452)*IOFAdic))</f>
        <v/>
      </c>
      <c r="J452" s="16" t="str">
        <f>IF(OR(TaxaJuros="",C452=""),"",D452+SUM(F452:I452))</f>
        <v/>
      </c>
      <c r="K452" s="67" t="str">
        <f>IF(OR(TaxaJuros="",C452=""),"",100%-J452/D452)</f>
        <v/>
      </c>
    </row>
    <row r="453" spans="5:11" x14ac:dyDescent="0.25">
      <c r="E453" s="15" t="str">
        <f>IF(OR(DataRecebimento="",C453=""),"",C453-$F$7)</f>
        <v/>
      </c>
      <c r="F453" s="16" t="str">
        <f>IF(OR(TaxaJuros="",C453=""),"",-D453*E453*($F$8/30))</f>
        <v/>
      </c>
      <c r="G453" s="16" t="str">
        <f>IF(OR(TaxaJuros="",C453=""),"",-$F$9)</f>
        <v/>
      </c>
      <c r="H453" s="21" t="str">
        <f>IF(OR(TaxaJuros="",C453=""),"",IF(ComSemIOF=FALSE,0,IF(E453&gt;365,-(D453+F453)*365*IOFDiario,-(D453+F453)*E453*IOFDiario)))</f>
        <v/>
      </c>
      <c r="I453" s="21" t="str">
        <f>IF(OR(TaxaJuros="",C453=""),"",IF(ComSemIOF=FALSE,0,-(D453+F453)*IOFAdic))</f>
        <v/>
      </c>
      <c r="J453" s="16" t="str">
        <f>IF(OR(TaxaJuros="",C453=""),"",D453+SUM(F453:I453))</f>
        <v/>
      </c>
      <c r="K453" s="67" t="str">
        <f>IF(OR(TaxaJuros="",C453=""),"",100%-J453/D453)</f>
        <v/>
      </c>
    </row>
    <row r="454" spans="5:11" x14ac:dyDescent="0.25">
      <c r="E454" s="15" t="str">
        <f>IF(OR(DataRecebimento="",C454=""),"",C454-$F$7)</f>
        <v/>
      </c>
      <c r="F454" s="16" t="str">
        <f>IF(OR(TaxaJuros="",C454=""),"",-D454*E454*($F$8/30))</f>
        <v/>
      </c>
      <c r="G454" s="16" t="str">
        <f>IF(OR(TaxaJuros="",C454=""),"",-$F$9)</f>
        <v/>
      </c>
      <c r="H454" s="21" t="str">
        <f>IF(OR(TaxaJuros="",C454=""),"",IF(ComSemIOF=FALSE,0,IF(E454&gt;365,-(D454+F454)*365*IOFDiario,-(D454+F454)*E454*IOFDiario)))</f>
        <v/>
      </c>
      <c r="I454" s="21" t="str">
        <f>IF(OR(TaxaJuros="",C454=""),"",IF(ComSemIOF=FALSE,0,-(D454+F454)*IOFAdic))</f>
        <v/>
      </c>
      <c r="J454" s="16" t="str">
        <f>IF(OR(TaxaJuros="",C454=""),"",D454+SUM(F454:I454))</f>
        <v/>
      </c>
      <c r="K454" s="67" t="str">
        <f>IF(OR(TaxaJuros="",C454=""),"",100%-J454/D454)</f>
        <v/>
      </c>
    </row>
    <row r="455" spans="5:11" x14ac:dyDescent="0.25">
      <c r="E455" s="15" t="str">
        <f>IF(OR(DataRecebimento="",C455=""),"",C455-$F$7)</f>
        <v/>
      </c>
      <c r="F455" s="16" t="str">
        <f>IF(OR(TaxaJuros="",C455=""),"",-D455*E455*($F$8/30))</f>
        <v/>
      </c>
      <c r="G455" s="16" t="str">
        <f>IF(OR(TaxaJuros="",C455=""),"",-$F$9)</f>
        <v/>
      </c>
      <c r="H455" s="21" t="str">
        <f>IF(OR(TaxaJuros="",C455=""),"",IF(ComSemIOF=FALSE,0,IF(E455&gt;365,-(D455+F455)*365*IOFDiario,-(D455+F455)*E455*IOFDiario)))</f>
        <v/>
      </c>
      <c r="I455" s="21" t="str">
        <f>IF(OR(TaxaJuros="",C455=""),"",IF(ComSemIOF=FALSE,0,-(D455+F455)*IOFAdic))</f>
        <v/>
      </c>
      <c r="J455" s="16" t="str">
        <f>IF(OR(TaxaJuros="",C455=""),"",D455+SUM(F455:I455))</f>
        <v/>
      </c>
      <c r="K455" s="67" t="str">
        <f>IF(OR(TaxaJuros="",C455=""),"",100%-J455/D455)</f>
        <v/>
      </c>
    </row>
    <row r="456" spans="5:11" x14ac:dyDescent="0.25">
      <c r="E456" s="15" t="str">
        <f>IF(OR(DataRecebimento="",C456=""),"",C456-$F$7)</f>
        <v/>
      </c>
      <c r="F456" s="16" t="str">
        <f>IF(OR(TaxaJuros="",C456=""),"",-D456*E456*($F$8/30))</f>
        <v/>
      </c>
      <c r="G456" s="16" t="str">
        <f>IF(OR(TaxaJuros="",C456=""),"",-$F$9)</f>
        <v/>
      </c>
      <c r="H456" s="21" t="str">
        <f>IF(OR(TaxaJuros="",C456=""),"",IF(ComSemIOF=FALSE,0,IF(E456&gt;365,-(D456+F456)*365*IOFDiario,-(D456+F456)*E456*IOFDiario)))</f>
        <v/>
      </c>
      <c r="I456" s="21" t="str">
        <f>IF(OR(TaxaJuros="",C456=""),"",IF(ComSemIOF=FALSE,0,-(D456+F456)*IOFAdic))</f>
        <v/>
      </c>
      <c r="J456" s="16" t="str">
        <f>IF(OR(TaxaJuros="",C456=""),"",D456+SUM(F456:I456))</f>
        <v/>
      </c>
      <c r="K456" s="67" t="str">
        <f>IF(OR(TaxaJuros="",C456=""),"",100%-J456/D456)</f>
        <v/>
      </c>
    </row>
    <row r="457" spans="5:11" x14ac:dyDescent="0.25">
      <c r="E457" s="15" t="str">
        <f>IF(OR(DataRecebimento="",C457=""),"",C457-$F$7)</f>
        <v/>
      </c>
      <c r="F457" s="16" t="str">
        <f>IF(OR(TaxaJuros="",C457=""),"",-D457*E457*($F$8/30))</f>
        <v/>
      </c>
      <c r="G457" s="16" t="str">
        <f>IF(OR(TaxaJuros="",C457=""),"",-$F$9)</f>
        <v/>
      </c>
      <c r="H457" s="21" t="str">
        <f>IF(OR(TaxaJuros="",C457=""),"",IF(ComSemIOF=FALSE,0,IF(E457&gt;365,-(D457+F457)*365*IOFDiario,-(D457+F457)*E457*IOFDiario)))</f>
        <v/>
      </c>
      <c r="I457" s="21" t="str">
        <f>IF(OR(TaxaJuros="",C457=""),"",IF(ComSemIOF=FALSE,0,-(D457+F457)*IOFAdic))</f>
        <v/>
      </c>
      <c r="J457" s="16" t="str">
        <f>IF(OR(TaxaJuros="",C457=""),"",D457+SUM(F457:I457))</f>
        <v/>
      </c>
      <c r="K457" s="67" t="str">
        <f>IF(OR(TaxaJuros="",C457=""),"",100%-J457/D457)</f>
        <v/>
      </c>
    </row>
    <row r="458" spans="5:11" x14ac:dyDescent="0.25">
      <c r="E458" s="15" t="str">
        <f>IF(OR(DataRecebimento="",C458=""),"",C458-$F$7)</f>
        <v/>
      </c>
      <c r="F458" s="16" t="str">
        <f>IF(OR(TaxaJuros="",C458=""),"",-D458*E458*($F$8/30))</f>
        <v/>
      </c>
      <c r="G458" s="16" t="str">
        <f>IF(OR(TaxaJuros="",C458=""),"",-$F$9)</f>
        <v/>
      </c>
      <c r="H458" s="21" t="str">
        <f>IF(OR(TaxaJuros="",C458=""),"",IF(ComSemIOF=FALSE,0,IF(E458&gt;365,-(D458+F458)*365*IOFDiario,-(D458+F458)*E458*IOFDiario)))</f>
        <v/>
      </c>
      <c r="I458" s="21" t="str">
        <f>IF(OR(TaxaJuros="",C458=""),"",IF(ComSemIOF=FALSE,0,-(D458+F458)*IOFAdic))</f>
        <v/>
      </c>
      <c r="J458" s="16" t="str">
        <f>IF(OR(TaxaJuros="",C458=""),"",D458+SUM(F458:I458))</f>
        <v/>
      </c>
      <c r="K458" s="67" t="str">
        <f>IF(OR(TaxaJuros="",C458=""),"",100%-J458/D458)</f>
        <v/>
      </c>
    </row>
    <row r="459" spans="5:11" x14ac:dyDescent="0.25">
      <c r="E459" s="15" t="str">
        <f>IF(OR(DataRecebimento="",C459=""),"",C459-$F$7)</f>
        <v/>
      </c>
      <c r="F459" s="16" t="str">
        <f>IF(OR(TaxaJuros="",C459=""),"",-D459*E459*($F$8/30))</f>
        <v/>
      </c>
      <c r="G459" s="16" t="str">
        <f>IF(OR(TaxaJuros="",C459=""),"",-$F$9)</f>
        <v/>
      </c>
      <c r="H459" s="21" t="str">
        <f>IF(OR(TaxaJuros="",C459=""),"",IF(ComSemIOF=FALSE,0,IF(E459&gt;365,-(D459+F459)*365*IOFDiario,-(D459+F459)*E459*IOFDiario)))</f>
        <v/>
      </c>
      <c r="I459" s="21" t="str">
        <f>IF(OR(TaxaJuros="",C459=""),"",IF(ComSemIOF=FALSE,0,-(D459+F459)*IOFAdic))</f>
        <v/>
      </c>
      <c r="J459" s="16" t="str">
        <f>IF(OR(TaxaJuros="",C459=""),"",D459+SUM(F459:I459))</f>
        <v/>
      </c>
      <c r="K459" s="67" t="str">
        <f>IF(OR(TaxaJuros="",C459=""),"",100%-J459/D459)</f>
        <v/>
      </c>
    </row>
    <row r="460" spans="5:11" x14ac:dyDescent="0.25">
      <c r="E460" s="15" t="str">
        <f>IF(OR(DataRecebimento="",C460=""),"",C460-$F$7)</f>
        <v/>
      </c>
      <c r="F460" s="16" t="str">
        <f>IF(OR(TaxaJuros="",C460=""),"",-D460*E460*($F$8/30))</f>
        <v/>
      </c>
      <c r="G460" s="16" t="str">
        <f>IF(OR(TaxaJuros="",C460=""),"",-$F$9)</f>
        <v/>
      </c>
      <c r="H460" s="21" t="str">
        <f>IF(OR(TaxaJuros="",C460=""),"",IF(ComSemIOF=FALSE,0,IF(E460&gt;365,-(D460+F460)*365*IOFDiario,-(D460+F460)*E460*IOFDiario)))</f>
        <v/>
      </c>
      <c r="I460" s="21" t="str">
        <f>IF(OR(TaxaJuros="",C460=""),"",IF(ComSemIOF=FALSE,0,-(D460+F460)*IOFAdic))</f>
        <v/>
      </c>
      <c r="J460" s="16" t="str">
        <f>IF(OR(TaxaJuros="",C460=""),"",D460+SUM(F460:I460))</f>
        <v/>
      </c>
      <c r="K460" s="67" t="str">
        <f>IF(OR(TaxaJuros="",C460=""),"",100%-J460/D460)</f>
        <v/>
      </c>
    </row>
    <row r="461" spans="5:11" x14ac:dyDescent="0.25">
      <c r="E461" s="15" t="str">
        <f>IF(OR(DataRecebimento="",C461=""),"",C461-$F$7)</f>
        <v/>
      </c>
      <c r="F461" s="16" t="str">
        <f>IF(OR(TaxaJuros="",C461=""),"",-D461*E461*($F$8/30))</f>
        <v/>
      </c>
      <c r="G461" s="16" t="str">
        <f>IF(OR(TaxaJuros="",C461=""),"",-$F$9)</f>
        <v/>
      </c>
      <c r="H461" s="21" t="str">
        <f>IF(OR(TaxaJuros="",C461=""),"",IF(ComSemIOF=FALSE,0,IF(E461&gt;365,-(D461+F461)*365*IOFDiario,-(D461+F461)*E461*IOFDiario)))</f>
        <v/>
      </c>
      <c r="I461" s="21" t="str">
        <f>IF(OR(TaxaJuros="",C461=""),"",IF(ComSemIOF=FALSE,0,-(D461+F461)*IOFAdic))</f>
        <v/>
      </c>
      <c r="J461" s="16" t="str">
        <f>IF(OR(TaxaJuros="",C461=""),"",D461+SUM(F461:I461))</f>
        <v/>
      </c>
      <c r="K461" s="67" t="str">
        <f>IF(OR(TaxaJuros="",C461=""),"",100%-J461/D461)</f>
        <v/>
      </c>
    </row>
    <row r="462" spans="5:11" x14ac:dyDescent="0.25">
      <c r="E462" s="15" t="str">
        <f>IF(OR(DataRecebimento="",C462=""),"",C462-$F$7)</f>
        <v/>
      </c>
      <c r="F462" s="16" t="str">
        <f>IF(OR(TaxaJuros="",C462=""),"",-D462*E462*($F$8/30))</f>
        <v/>
      </c>
      <c r="G462" s="16" t="str">
        <f>IF(OR(TaxaJuros="",C462=""),"",-$F$9)</f>
        <v/>
      </c>
      <c r="H462" s="21" t="str">
        <f>IF(OR(TaxaJuros="",C462=""),"",IF(ComSemIOF=FALSE,0,IF(E462&gt;365,-(D462+F462)*365*IOFDiario,-(D462+F462)*E462*IOFDiario)))</f>
        <v/>
      </c>
      <c r="I462" s="21" t="str">
        <f>IF(OR(TaxaJuros="",C462=""),"",IF(ComSemIOF=FALSE,0,-(D462+F462)*IOFAdic))</f>
        <v/>
      </c>
      <c r="J462" s="16" t="str">
        <f>IF(OR(TaxaJuros="",C462=""),"",D462+SUM(F462:I462))</f>
        <v/>
      </c>
      <c r="K462" s="67" t="str">
        <f>IF(OR(TaxaJuros="",C462=""),"",100%-J462/D462)</f>
        <v/>
      </c>
    </row>
    <row r="463" spans="5:11" x14ac:dyDescent="0.25">
      <c r="E463" s="15" t="str">
        <f>IF(OR(DataRecebimento="",C463=""),"",C463-$F$7)</f>
        <v/>
      </c>
      <c r="F463" s="16" t="str">
        <f>IF(OR(TaxaJuros="",C463=""),"",-D463*E463*($F$8/30))</f>
        <v/>
      </c>
      <c r="G463" s="16" t="str">
        <f>IF(OR(TaxaJuros="",C463=""),"",-$F$9)</f>
        <v/>
      </c>
      <c r="H463" s="21" t="str">
        <f>IF(OR(TaxaJuros="",C463=""),"",IF(ComSemIOF=FALSE,0,IF(E463&gt;365,-(D463+F463)*365*IOFDiario,-(D463+F463)*E463*IOFDiario)))</f>
        <v/>
      </c>
      <c r="I463" s="21" t="str">
        <f>IF(OR(TaxaJuros="",C463=""),"",IF(ComSemIOF=FALSE,0,-(D463+F463)*IOFAdic))</f>
        <v/>
      </c>
      <c r="J463" s="16" t="str">
        <f>IF(OR(TaxaJuros="",C463=""),"",D463+SUM(F463:I463))</f>
        <v/>
      </c>
      <c r="K463" s="67" t="str">
        <f>IF(OR(TaxaJuros="",C463=""),"",100%-J463/D463)</f>
        <v/>
      </c>
    </row>
    <row r="464" spans="5:11" x14ac:dyDescent="0.25">
      <c r="E464" s="15" t="str">
        <f>IF(OR(DataRecebimento="",C464=""),"",C464-$F$7)</f>
        <v/>
      </c>
      <c r="F464" s="16" t="str">
        <f>IF(OR(TaxaJuros="",C464=""),"",-D464*E464*($F$8/30))</f>
        <v/>
      </c>
      <c r="G464" s="16" t="str">
        <f>IF(OR(TaxaJuros="",C464=""),"",-$F$9)</f>
        <v/>
      </c>
      <c r="H464" s="21" t="str">
        <f>IF(OR(TaxaJuros="",C464=""),"",IF(ComSemIOF=FALSE,0,IF(E464&gt;365,-(D464+F464)*365*IOFDiario,-(D464+F464)*E464*IOFDiario)))</f>
        <v/>
      </c>
      <c r="I464" s="21" t="str">
        <f>IF(OR(TaxaJuros="",C464=""),"",IF(ComSemIOF=FALSE,0,-(D464+F464)*IOFAdic))</f>
        <v/>
      </c>
      <c r="J464" s="16" t="str">
        <f>IF(OR(TaxaJuros="",C464=""),"",D464+SUM(F464:I464))</f>
        <v/>
      </c>
      <c r="K464" s="67" t="str">
        <f>IF(OR(TaxaJuros="",C464=""),"",100%-J464/D464)</f>
        <v/>
      </c>
    </row>
    <row r="465" spans="5:11" x14ac:dyDescent="0.25">
      <c r="E465" s="15" t="str">
        <f>IF(OR(DataRecebimento="",C465=""),"",C465-$F$7)</f>
        <v/>
      </c>
      <c r="F465" s="16" t="str">
        <f>IF(OR(TaxaJuros="",C465=""),"",-D465*E465*($F$8/30))</f>
        <v/>
      </c>
      <c r="G465" s="16" t="str">
        <f>IF(OR(TaxaJuros="",C465=""),"",-$F$9)</f>
        <v/>
      </c>
      <c r="H465" s="21" t="str">
        <f>IF(OR(TaxaJuros="",C465=""),"",IF(ComSemIOF=FALSE,0,IF(E465&gt;365,-(D465+F465)*365*IOFDiario,-(D465+F465)*E465*IOFDiario)))</f>
        <v/>
      </c>
      <c r="I465" s="21" t="str">
        <f>IF(OR(TaxaJuros="",C465=""),"",IF(ComSemIOF=FALSE,0,-(D465+F465)*IOFAdic))</f>
        <v/>
      </c>
      <c r="J465" s="16" t="str">
        <f>IF(OR(TaxaJuros="",C465=""),"",D465+SUM(F465:I465))</f>
        <v/>
      </c>
      <c r="K465" s="67" t="str">
        <f>IF(OR(TaxaJuros="",C465=""),"",100%-J465/D465)</f>
        <v/>
      </c>
    </row>
    <row r="466" spans="5:11" x14ac:dyDescent="0.25">
      <c r="E466" s="15" t="str">
        <f>IF(OR(DataRecebimento="",C466=""),"",C466-$F$7)</f>
        <v/>
      </c>
      <c r="F466" s="16" t="str">
        <f>IF(OR(TaxaJuros="",C466=""),"",-D466*E466*($F$8/30))</f>
        <v/>
      </c>
      <c r="G466" s="16" t="str">
        <f>IF(OR(TaxaJuros="",C466=""),"",-$F$9)</f>
        <v/>
      </c>
      <c r="H466" s="21" t="str">
        <f>IF(OR(TaxaJuros="",C466=""),"",IF(ComSemIOF=FALSE,0,IF(E466&gt;365,-(D466+F466)*365*IOFDiario,-(D466+F466)*E466*IOFDiario)))</f>
        <v/>
      </c>
      <c r="I466" s="21" t="str">
        <f>IF(OR(TaxaJuros="",C466=""),"",IF(ComSemIOF=FALSE,0,-(D466+F466)*IOFAdic))</f>
        <v/>
      </c>
      <c r="J466" s="16" t="str">
        <f>IF(OR(TaxaJuros="",C466=""),"",D466+SUM(F466:I466))</f>
        <v/>
      </c>
      <c r="K466" s="67" t="str">
        <f>IF(OR(TaxaJuros="",C466=""),"",100%-J466/D466)</f>
        <v/>
      </c>
    </row>
    <row r="467" spans="5:11" x14ac:dyDescent="0.25">
      <c r="E467" s="15" t="str">
        <f>IF(OR(DataRecebimento="",C467=""),"",C467-$F$7)</f>
        <v/>
      </c>
      <c r="F467" s="16" t="str">
        <f>IF(OR(TaxaJuros="",C467=""),"",-D467*E467*($F$8/30))</f>
        <v/>
      </c>
      <c r="G467" s="16" t="str">
        <f>IF(OR(TaxaJuros="",C467=""),"",-$F$9)</f>
        <v/>
      </c>
      <c r="H467" s="21" t="str">
        <f>IF(OR(TaxaJuros="",C467=""),"",IF(ComSemIOF=FALSE,0,IF(E467&gt;365,-(D467+F467)*365*IOFDiario,-(D467+F467)*E467*IOFDiario)))</f>
        <v/>
      </c>
      <c r="I467" s="21" t="str">
        <f>IF(OR(TaxaJuros="",C467=""),"",IF(ComSemIOF=FALSE,0,-(D467+F467)*IOFAdic))</f>
        <v/>
      </c>
      <c r="J467" s="16" t="str">
        <f>IF(OR(TaxaJuros="",C467=""),"",D467+SUM(F467:I467))</f>
        <v/>
      </c>
      <c r="K467" s="67" t="str">
        <f>IF(OR(TaxaJuros="",C467=""),"",100%-J467/D467)</f>
        <v/>
      </c>
    </row>
    <row r="468" spans="5:11" x14ac:dyDescent="0.25">
      <c r="E468" s="15" t="str">
        <f>IF(OR(DataRecebimento="",C468=""),"",C468-$F$7)</f>
        <v/>
      </c>
      <c r="F468" s="16" t="str">
        <f>IF(OR(TaxaJuros="",C468=""),"",-D468*E468*($F$8/30))</f>
        <v/>
      </c>
      <c r="G468" s="16" t="str">
        <f>IF(OR(TaxaJuros="",C468=""),"",-$F$9)</f>
        <v/>
      </c>
      <c r="H468" s="21" t="str">
        <f>IF(OR(TaxaJuros="",C468=""),"",IF(ComSemIOF=FALSE,0,IF(E468&gt;365,-(D468+F468)*365*IOFDiario,-(D468+F468)*E468*IOFDiario)))</f>
        <v/>
      </c>
      <c r="I468" s="21" t="str">
        <f>IF(OR(TaxaJuros="",C468=""),"",IF(ComSemIOF=FALSE,0,-(D468+F468)*IOFAdic))</f>
        <v/>
      </c>
      <c r="J468" s="16" t="str">
        <f>IF(OR(TaxaJuros="",C468=""),"",D468+SUM(F468:I468))</f>
        <v/>
      </c>
      <c r="K468" s="67" t="str">
        <f>IF(OR(TaxaJuros="",C468=""),"",100%-J468/D468)</f>
        <v/>
      </c>
    </row>
    <row r="469" spans="5:11" x14ac:dyDescent="0.25">
      <c r="E469" s="15" t="str">
        <f>IF(OR(DataRecebimento="",C469=""),"",C469-$F$7)</f>
        <v/>
      </c>
      <c r="F469" s="16" t="str">
        <f>IF(OR(TaxaJuros="",C469=""),"",-D469*E469*($F$8/30))</f>
        <v/>
      </c>
      <c r="G469" s="16" t="str">
        <f>IF(OR(TaxaJuros="",C469=""),"",-$F$9)</f>
        <v/>
      </c>
      <c r="H469" s="21" t="str">
        <f>IF(OR(TaxaJuros="",C469=""),"",IF(ComSemIOF=FALSE,0,IF(E469&gt;365,-(D469+F469)*365*IOFDiario,-(D469+F469)*E469*IOFDiario)))</f>
        <v/>
      </c>
      <c r="I469" s="21" t="str">
        <f>IF(OR(TaxaJuros="",C469=""),"",IF(ComSemIOF=FALSE,0,-(D469+F469)*IOFAdic))</f>
        <v/>
      </c>
      <c r="J469" s="16" t="str">
        <f>IF(OR(TaxaJuros="",C469=""),"",D469+SUM(F469:I469))</f>
        <v/>
      </c>
      <c r="K469" s="67" t="str">
        <f>IF(OR(TaxaJuros="",C469=""),"",100%-J469/D469)</f>
        <v/>
      </c>
    </row>
    <row r="470" spans="5:11" x14ac:dyDescent="0.25">
      <c r="E470" s="15" t="str">
        <f>IF(OR(DataRecebimento="",C470=""),"",C470-$F$7)</f>
        <v/>
      </c>
      <c r="F470" s="16" t="str">
        <f>IF(OR(TaxaJuros="",C470=""),"",-D470*E470*($F$8/30))</f>
        <v/>
      </c>
      <c r="G470" s="16" t="str">
        <f>IF(OR(TaxaJuros="",C470=""),"",-$F$9)</f>
        <v/>
      </c>
      <c r="H470" s="21" t="str">
        <f>IF(OR(TaxaJuros="",C470=""),"",IF(ComSemIOF=FALSE,0,IF(E470&gt;365,-(D470+F470)*365*IOFDiario,-(D470+F470)*E470*IOFDiario)))</f>
        <v/>
      </c>
      <c r="I470" s="21" t="str">
        <f>IF(OR(TaxaJuros="",C470=""),"",IF(ComSemIOF=FALSE,0,-(D470+F470)*IOFAdic))</f>
        <v/>
      </c>
      <c r="J470" s="16" t="str">
        <f>IF(OR(TaxaJuros="",C470=""),"",D470+SUM(F470:I470))</f>
        <v/>
      </c>
      <c r="K470" s="67" t="str">
        <f>IF(OR(TaxaJuros="",C470=""),"",100%-J470/D470)</f>
        <v/>
      </c>
    </row>
    <row r="471" spans="5:11" x14ac:dyDescent="0.25">
      <c r="E471" s="15" t="str">
        <f>IF(OR(DataRecebimento="",C471=""),"",C471-$F$7)</f>
        <v/>
      </c>
      <c r="F471" s="16" t="str">
        <f>IF(OR(TaxaJuros="",C471=""),"",-D471*E471*($F$8/30))</f>
        <v/>
      </c>
      <c r="G471" s="16" t="str">
        <f>IF(OR(TaxaJuros="",C471=""),"",-$F$9)</f>
        <v/>
      </c>
      <c r="H471" s="21" t="str">
        <f>IF(OR(TaxaJuros="",C471=""),"",IF(ComSemIOF=FALSE,0,IF(E471&gt;365,-(D471+F471)*365*IOFDiario,-(D471+F471)*E471*IOFDiario)))</f>
        <v/>
      </c>
      <c r="I471" s="21" t="str">
        <f>IF(OR(TaxaJuros="",C471=""),"",IF(ComSemIOF=FALSE,0,-(D471+F471)*IOFAdic))</f>
        <v/>
      </c>
      <c r="J471" s="16" t="str">
        <f>IF(OR(TaxaJuros="",C471=""),"",D471+SUM(F471:I471))</f>
        <v/>
      </c>
      <c r="K471" s="67" t="str">
        <f>IF(OR(TaxaJuros="",C471=""),"",100%-J471/D471)</f>
        <v/>
      </c>
    </row>
    <row r="472" spans="5:11" x14ac:dyDescent="0.25">
      <c r="E472" s="15" t="str">
        <f>IF(OR(DataRecebimento="",C472=""),"",C472-$F$7)</f>
        <v/>
      </c>
      <c r="F472" s="16" t="str">
        <f>IF(OR(TaxaJuros="",C472=""),"",-D472*E472*($F$8/30))</f>
        <v/>
      </c>
      <c r="G472" s="16" t="str">
        <f>IF(OR(TaxaJuros="",C472=""),"",-$F$9)</f>
        <v/>
      </c>
      <c r="H472" s="21" t="str">
        <f>IF(OR(TaxaJuros="",C472=""),"",IF(ComSemIOF=FALSE,0,IF(E472&gt;365,-(D472+F472)*365*IOFDiario,-(D472+F472)*E472*IOFDiario)))</f>
        <v/>
      </c>
      <c r="I472" s="21" t="str">
        <f>IF(OR(TaxaJuros="",C472=""),"",IF(ComSemIOF=FALSE,0,-(D472+F472)*IOFAdic))</f>
        <v/>
      </c>
      <c r="J472" s="16" t="str">
        <f>IF(OR(TaxaJuros="",C472=""),"",D472+SUM(F472:I472))</f>
        <v/>
      </c>
      <c r="K472" s="67" t="str">
        <f>IF(OR(TaxaJuros="",C472=""),"",100%-J472/D472)</f>
        <v/>
      </c>
    </row>
    <row r="473" spans="5:11" x14ac:dyDescent="0.25">
      <c r="E473" s="15" t="str">
        <f>IF(OR(DataRecebimento="",C473=""),"",C473-$F$7)</f>
        <v/>
      </c>
      <c r="F473" s="16" t="str">
        <f>IF(OR(TaxaJuros="",C473=""),"",-D473*E473*($F$8/30))</f>
        <v/>
      </c>
      <c r="G473" s="16" t="str">
        <f>IF(OR(TaxaJuros="",C473=""),"",-$F$9)</f>
        <v/>
      </c>
      <c r="H473" s="21" t="str">
        <f>IF(OR(TaxaJuros="",C473=""),"",IF(ComSemIOF=FALSE,0,IF(E473&gt;365,-(D473+F473)*365*IOFDiario,-(D473+F473)*E473*IOFDiario)))</f>
        <v/>
      </c>
      <c r="I473" s="21" t="str">
        <f>IF(OR(TaxaJuros="",C473=""),"",IF(ComSemIOF=FALSE,0,-(D473+F473)*IOFAdic))</f>
        <v/>
      </c>
      <c r="J473" s="16" t="str">
        <f>IF(OR(TaxaJuros="",C473=""),"",D473+SUM(F473:I473))</f>
        <v/>
      </c>
      <c r="K473" s="67" t="str">
        <f>IF(OR(TaxaJuros="",C473=""),"",100%-J473/D473)</f>
        <v/>
      </c>
    </row>
    <row r="474" spans="5:11" x14ac:dyDescent="0.25">
      <c r="E474" s="15" t="str">
        <f>IF(OR(DataRecebimento="",C474=""),"",C474-$F$7)</f>
        <v/>
      </c>
      <c r="F474" s="16" t="str">
        <f>IF(OR(TaxaJuros="",C474=""),"",-D474*E474*($F$8/30))</f>
        <v/>
      </c>
      <c r="G474" s="16" t="str">
        <f>IF(OR(TaxaJuros="",C474=""),"",-$F$9)</f>
        <v/>
      </c>
      <c r="H474" s="21" t="str">
        <f>IF(OR(TaxaJuros="",C474=""),"",IF(ComSemIOF=FALSE,0,IF(E474&gt;365,-(D474+F474)*365*IOFDiario,-(D474+F474)*E474*IOFDiario)))</f>
        <v/>
      </c>
      <c r="I474" s="21" t="str">
        <f>IF(OR(TaxaJuros="",C474=""),"",IF(ComSemIOF=FALSE,0,-(D474+F474)*IOFAdic))</f>
        <v/>
      </c>
      <c r="J474" s="16" t="str">
        <f>IF(OR(TaxaJuros="",C474=""),"",D474+SUM(F474:I474))</f>
        <v/>
      </c>
      <c r="K474" s="67" t="str">
        <f>IF(OR(TaxaJuros="",C474=""),"",100%-J474/D474)</f>
        <v/>
      </c>
    </row>
    <row r="475" spans="5:11" x14ac:dyDescent="0.25">
      <c r="E475" s="15" t="str">
        <f>IF(OR(DataRecebimento="",C475=""),"",C475-$F$7)</f>
        <v/>
      </c>
      <c r="F475" s="16" t="str">
        <f>IF(OR(TaxaJuros="",C475=""),"",-D475*E475*($F$8/30))</f>
        <v/>
      </c>
      <c r="G475" s="16" t="str">
        <f>IF(OR(TaxaJuros="",C475=""),"",-$F$9)</f>
        <v/>
      </c>
      <c r="H475" s="21" t="str">
        <f>IF(OR(TaxaJuros="",C475=""),"",IF(ComSemIOF=FALSE,0,IF(E475&gt;365,-(D475+F475)*365*IOFDiario,-(D475+F475)*E475*IOFDiario)))</f>
        <v/>
      </c>
      <c r="I475" s="21" t="str">
        <f>IF(OR(TaxaJuros="",C475=""),"",IF(ComSemIOF=FALSE,0,-(D475+F475)*IOFAdic))</f>
        <v/>
      </c>
      <c r="J475" s="16" t="str">
        <f>IF(OR(TaxaJuros="",C475=""),"",D475+SUM(F475:I475))</f>
        <v/>
      </c>
      <c r="K475" s="67" t="str">
        <f>IF(OR(TaxaJuros="",C475=""),"",100%-J475/D475)</f>
        <v/>
      </c>
    </row>
    <row r="476" spans="5:11" x14ac:dyDescent="0.25">
      <c r="E476" s="15" t="str">
        <f>IF(OR(DataRecebimento="",C476=""),"",C476-$F$7)</f>
        <v/>
      </c>
      <c r="F476" s="16" t="str">
        <f>IF(OR(TaxaJuros="",C476=""),"",-D476*E476*($F$8/30))</f>
        <v/>
      </c>
      <c r="G476" s="16" t="str">
        <f>IF(OR(TaxaJuros="",C476=""),"",-$F$9)</f>
        <v/>
      </c>
      <c r="H476" s="21" t="str">
        <f>IF(OR(TaxaJuros="",C476=""),"",IF(ComSemIOF=FALSE,0,IF(E476&gt;365,-(D476+F476)*365*IOFDiario,-(D476+F476)*E476*IOFDiario)))</f>
        <v/>
      </c>
      <c r="I476" s="21" t="str">
        <f>IF(OR(TaxaJuros="",C476=""),"",IF(ComSemIOF=FALSE,0,-(D476+F476)*IOFAdic))</f>
        <v/>
      </c>
      <c r="J476" s="16" t="str">
        <f>IF(OR(TaxaJuros="",C476=""),"",D476+SUM(F476:I476))</f>
        <v/>
      </c>
      <c r="K476" s="67" t="str">
        <f>IF(OR(TaxaJuros="",C476=""),"",100%-J476/D476)</f>
        <v/>
      </c>
    </row>
    <row r="477" spans="5:11" x14ac:dyDescent="0.25">
      <c r="E477" s="15" t="str">
        <f>IF(OR(DataRecebimento="",C477=""),"",C477-$F$7)</f>
        <v/>
      </c>
      <c r="F477" s="16" t="str">
        <f>IF(OR(TaxaJuros="",C477=""),"",-D477*E477*($F$8/30))</f>
        <v/>
      </c>
      <c r="G477" s="16" t="str">
        <f>IF(OR(TaxaJuros="",C477=""),"",-$F$9)</f>
        <v/>
      </c>
      <c r="H477" s="21" t="str">
        <f>IF(OR(TaxaJuros="",C477=""),"",IF(ComSemIOF=FALSE,0,IF(E477&gt;365,-(D477+F477)*365*IOFDiario,-(D477+F477)*E477*IOFDiario)))</f>
        <v/>
      </c>
      <c r="I477" s="21" t="str">
        <f>IF(OR(TaxaJuros="",C477=""),"",IF(ComSemIOF=FALSE,0,-(D477+F477)*IOFAdic))</f>
        <v/>
      </c>
      <c r="J477" s="16" t="str">
        <f>IF(OR(TaxaJuros="",C477=""),"",D477+SUM(F477:I477))</f>
        <v/>
      </c>
      <c r="K477" s="67" t="str">
        <f>IF(OR(TaxaJuros="",C477=""),"",100%-J477/D477)</f>
        <v/>
      </c>
    </row>
    <row r="478" spans="5:11" x14ac:dyDescent="0.25">
      <c r="E478" s="15" t="str">
        <f>IF(OR(DataRecebimento="",C478=""),"",C478-$F$7)</f>
        <v/>
      </c>
      <c r="F478" s="16" t="str">
        <f>IF(OR(TaxaJuros="",C478=""),"",-D478*E478*($F$8/30))</f>
        <v/>
      </c>
      <c r="G478" s="16" t="str">
        <f>IF(OR(TaxaJuros="",C478=""),"",-$F$9)</f>
        <v/>
      </c>
      <c r="H478" s="21" t="str">
        <f>IF(OR(TaxaJuros="",C478=""),"",IF(ComSemIOF=FALSE,0,IF(E478&gt;365,-(D478+F478)*365*IOFDiario,-(D478+F478)*E478*IOFDiario)))</f>
        <v/>
      </c>
      <c r="I478" s="21" t="str">
        <f>IF(OR(TaxaJuros="",C478=""),"",IF(ComSemIOF=FALSE,0,-(D478+F478)*IOFAdic))</f>
        <v/>
      </c>
      <c r="J478" s="16" t="str">
        <f>IF(OR(TaxaJuros="",C478=""),"",D478+SUM(F478:I478))</f>
        <v/>
      </c>
      <c r="K478" s="67" t="str">
        <f>IF(OR(TaxaJuros="",C478=""),"",100%-J478/D478)</f>
        <v/>
      </c>
    </row>
    <row r="479" spans="5:11" x14ac:dyDescent="0.25">
      <c r="E479" s="15" t="str">
        <f>IF(OR(DataRecebimento="",C479=""),"",C479-$F$7)</f>
        <v/>
      </c>
      <c r="F479" s="16" t="str">
        <f>IF(OR(TaxaJuros="",C479=""),"",-D479*E479*($F$8/30))</f>
        <v/>
      </c>
      <c r="G479" s="16" t="str">
        <f>IF(OR(TaxaJuros="",C479=""),"",-$F$9)</f>
        <v/>
      </c>
      <c r="H479" s="21" t="str">
        <f>IF(OR(TaxaJuros="",C479=""),"",IF(ComSemIOF=FALSE,0,IF(E479&gt;365,-(D479+F479)*365*IOFDiario,-(D479+F479)*E479*IOFDiario)))</f>
        <v/>
      </c>
      <c r="I479" s="21" t="str">
        <f>IF(OR(TaxaJuros="",C479=""),"",IF(ComSemIOF=FALSE,0,-(D479+F479)*IOFAdic))</f>
        <v/>
      </c>
      <c r="J479" s="16" t="str">
        <f>IF(OR(TaxaJuros="",C479=""),"",D479+SUM(F479:I479))</f>
        <v/>
      </c>
      <c r="K479" s="67" t="str">
        <f>IF(OR(TaxaJuros="",C479=""),"",100%-J479/D479)</f>
        <v/>
      </c>
    </row>
    <row r="480" spans="5:11" x14ac:dyDescent="0.25">
      <c r="E480" s="15" t="str">
        <f>IF(OR(DataRecebimento="",C480=""),"",C480-$F$7)</f>
        <v/>
      </c>
      <c r="F480" s="16" t="str">
        <f>IF(OR(TaxaJuros="",C480=""),"",-D480*E480*($F$8/30))</f>
        <v/>
      </c>
      <c r="G480" s="16" t="str">
        <f>IF(OR(TaxaJuros="",C480=""),"",-$F$9)</f>
        <v/>
      </c>
      <c r="H480" s="21" t="str">
        <f>IF(OR(TaxaJuros="",C480=""),"",IF(ComSemIOF=FALSE,0,IF(E480&gt;365,-(D480+F480)*365*IOFDiario,-(D480+F480)*E480*IOFDiario)))</f>
        <v/>
      </c>
      <c r="I480" s="21" t="str">
        <f>IF(OR(TaxaJuros="",C480=""),"",IF(ComSemIOF=FALSE,0,-(D480+F480)*IOFAdic))</f>
        <v/>
      </c>
      <c r="J480" s="16" t="str">
        <f>IF(OR(TaxaJuros="",C480=""),"",D480+SUM(F480:I480))</f>
        <v/>
      </c>
      <c r="K480" s="67" t="str">
        <f>IF(OR(TaxaJuros="",C480=""),"",100%-J480/D480)</f>
        <v/>
      </c>
    </row>
    <row r="481" spans="5:11" x14ac:dyDescent="0.25">
      <c r="E481" s="15" t="str">
        <f>IF(OR(DataRecebimento="",C481=""),"",C481-$F$7)</f>
        <v/>
      </c>
      <c r="F481" s="16" t="str">
        <f>IF(OR(TaxaJuros="",C481=""),"",-D481*E481*($F$8/30))</f>
        <v/>
      </c>
      <c r="G481" s="16" t="str">
        <f>IF(OR(TaxaJuros="",C481=""),"",-$F$9)</f>
        <v/>
      </c>
      <c r="H481" s="21" t="str">
        <f>IF(OR(TaxaJuros="",C481=""),"",IF(ComSemIOF=FALSE,0,IF(E481&gt;365,-(D481+F481)*365*IOFDiario,-(D481+F481)*E481*IOFDiario)))</f>
        <v/>
      </c>
      <c r="I481" s="21" t="str">
        <f>IF(OR(TaxaJuros="",C481=""),"",IF(ComSemIOF=FALSE,0,-(D481+F481)*IOFAdic))</f>
        <v/>
      </c>
      <c r="J481" s="16" t="str">
        <f>IF(OR(TaxaJuros="",C481=""),"",D481+SUM(F481:I481))</f>
        <v/>
      </c>
      <c r="K481" s="67" t="str">
        <f>IF(OR(TaxaJuros="",C481=""),"",100%-J481/D481)</f>
        <v/>
      </c>
    </row>
    <row r="482" spans="5:11" x14ac:dyDescent="0.25">
      <c r="E482" s="15" t="str">
        <f>IF(OR(DataRecebimento="",C482=""),"",C482-$F$7)</f>
        <v/>
      </c>
      <c r="F482" s="16" t="str">
        <f>IF(OR(TaxaJuros="",C482=""),"",-D482*E482*($F$8/30))</f>
        <v/>
      </c>
      <c r="G482" s="16" t="str">
        <f>IF(OR(TaxaJuros="",C482=""),"",-$F$9)</f>
        <v/>
      </c>
      <c r="H482" s="21" t="str">
        <f>IF(OR(TaxaJuros="",C482=""),"",IF(ComSemIOF=FALSE,0,IF(E482&gt;365,-(D482+F482)*365*IOFDiario,-(D482+F482)*E482*IOFDiario)))</f>
        <v/>
      </c>
      <c r="I482" s="21" t="str">
        <f>IF(OR(TaxaJuros="",C482=""),"",IF(ComSemIOF=FALSE,0,-(D482+F482)*IOFAdic))</f>
        <v/>
      </c>
      <c r="J482" s="16" t="str">
        <f>IF(OR(TaxaJuros="",C482=""),"",D482+SUM(F482:I482))</f>
        <v/>
      </c>
      <c r="K482" s="67" t="str">
        <f>IF(OR(TaxaJuros="",C482=""),"",100%-J482/D482)</f>
        <v/>
      </c>
    </row>
    <row r="483" spans="5:11" x14ac:dyDescent="0.25">
      <c r="E483" s="15" t="str">
        <f>IF(OR(DataRecebimento="",C483=""),"",C483-$F$7)</f>
        <v/>
      </c>
      <c r="F483" s="16" t="str">
        <f>IF(OR(TaxaJuros="",C483=""),"",-D483*E483*($F$8/30))</f>
        <v/>
      </c>
      <c r="G483" s="16" t="str">
        <f>IF(OR(TaxaJuros="",C483=""),"",-$F$9)</f>
        <v/>
      </c>
      <c r="H483" s="21" t="str">
        <f>IF(OR(TaxaJuros="",C483=""),"",IF(ComSemIOF=FALSE,0,IF(E483&gt;365,-(D483+F483)*365*IOFDiario,-(D483+F483)*E483*IOFDiario)))</f>
        <v/>
      </c>
      <c r="I483" s="21" t="str">
        <f>IF(OR(TaxaJuros="",C483=""),"",IF(ComSemIOF=FALSE,0,-(D483+F483)*IOFAdic))</f>
        <v/>
      </c>
      <c r="J483" s="16" t="str">
        <f>IF(OR(TaxaJuros="",C483=""),"",D483+SUM(F483:I483))</f>
        <v/>
      </c>
      <c r="K483" s="67" t="str">
        <f>IF(OR(TaxaJuros="",C483=""),"",100%-J483/D483)</f>
        <v/>
      </c>
    </row>
    <row r="484" spans="5:11" x14ac:dyDescent="0.25">
      <c r="E484" s="15" t="str">
        <f>IF(OR(DataRecebimento="",C484=""),"",C484-$F$7)</f>
        <v/>
      </c>
      <c r="F484" s="16" t="str">
        <f>IF(OR(TaxaJuros="",C484=""),"",-D484*E484*($F$8/30))</f>
        <v/>
      </c>
      <c r="G484" s="16" t="str">
        <f>IF(OR(TaxaJuros="",C484=""),"",-$F$9)</f>
        <v/>
      </c>
      <c r="H484" s="21" t="str">
        <f>IF(OR(TaxaJuros="",C484=""),"",IF(ComSemIOF=FALSE,0,IF(E484&gt;365,-(D484+F484)*365*IOFDiario,-(D484+F484)*E484*IOFDiario)))</f>
        <v/>
      </c>
      <c r="I484" s="21" t="str">
        <f>IF(OR(TaxaJuros="",C484=""),"",IF(ComSemIOF=FALSE,0,-(D484+F484)*IOFAdic))</f>
        <v/>
      </c>
      <c r="J484" s="16" t="str">
        <f>IF(OR(TaxaJuros="",C484=""),"",D484+SUM(F484:I484))</f>
        <v/>
      </c>
      <c r="K484" s="67" t="str">
        <f>IF(OR(TaxaJuros="",C484=""),"",100%-J484/D484)</f>
        <v/>
      </c>
    </row>
    <row r="485" spans="5:11" x14ac:dyDescent="0.25">
      <c r="E485" s="15" t="str">
        <f>IF(OR(DataRecebimento="",C485=""),"",C485-$F$7)</f>
        <v/>
      </c>
      <c r="F485" s="16" t="str">
        <f>IF(OR(TaxaJuros="",C485=""),"",-D485*E485*($F$8/30))</f>
        <v/>
      </c>
      <c r="G485" s="16" t="str">
        <f>IF(OR(TaxaJuros="",C485=""),"",-$F$9)</f>
        <v/>
      </c>
      <c r="H485" s="21" t="str">
        <f>IF(OR(TaxaJuros="",C485=""),"",IF(ComSemIOF=FALSE,0,IF(E485&gt;365,-(D485+F485)*365*IOFDiario,-(D485+F485)*E485*IOFDiario)))</f>
        <v/>
      </c>
      <c r="I485" s="21" t="str">
        <f>IF(OR(TaxaJuros="",C485=""),"",IF(ComSemIOF=FALSE,0,-(D485+F485)*IOFAdic))</f>
        <v/>
      </c>
      <c r="J485" s="16" t="str">
        <f>IF(OR(TaxaJuros="",C485=""),"",D485+SUM(F485:I485))</f>
        <v/>
      </c>
      <c r="K485" s="67" t="str">
        <f>IF(OR(TaxaJuros="",C485=""),"",100%-J485/D485)</f>
        <v/>
      </c>
    </row>
    <row r="486" spans="5:11" x14ac:dyDescent="0.25">
      <c r="E486" s="15" t="str">
        <f>IF(OR(DataRecebimento="",C486=""),"",C486-$F$7)</f>
        <v/>
      </c>
      <c r="F486" s="16" t="str">
        <f>IF(OR(TaxaJuros="",C486=""),"",-D486*E486*($F$8/30))</f>
        <v/>
      </c>
      <c r="G486" s="16" t="str">
        <f>IF(OR(TaxaJuros="",C486=""),"",-$F$9)</f>
        <v/>
      </c>
      <c r="H486" s="21" t="str">
        <f>IF(OR(TaxaJuros="",C486=""),"",IF(ComSemIOF=FALSE,0,IF(E486&gt;365,-(D486+F486)*365*IOFDiario,-(D486+F486)*E486*IOFDiario)))</f>
        <v/>
      </c>
      <c r="I486" s="21" t="str">
        <f>IF(OR(TaxaJuros="",C486=""),"",IF(ComSemIOF=FALSE,0,-(D486+F486)*IOFAdic))</f>
        <v/>
      </c>
      <c r="J486" s="16" t="str">
        <f>IF(OR(TaxaJuros="",C486=""),"",D486+SUM(F486:I486))</f>
        <v/>
      </c>
      <c r="K486" s="67" t="str">
        <f>IF(OR(TaxaJuros="",C486=""),"",100%-J486/D486)</f>
        <v/>
      </c>
    </row>
    <row r="487" spans="5:11" x14ac:dyDescent="0.25">
      <c r="E487" s="15" t="str">
        <f>IF(OR(DataRecebimento="",C487=""),"",C487-$F$7)</f>
        <v/>
      </c>
      <c r="F487" s="16" t="str">
        <f>IF(OR(TaxaJuros="",C487=""),"",-D487*E487*($F$8/30))</f>
        <v/>
      </c>
      <c r="G487" s="16" t="str">
        <f>IF(OR(TaxaJuros="",C487=""),"",-$F$9)</f>
        <v/>
      </c>
      <c r="H487" s="21" t="str">
        <f>IF(OR(TaxaJuros="",C487=""),"",IF(ComSemIOF=FALSE,0,IF(E487&gt;365,-(D487+F487)*365*IOFDiario,-(D487+F487)*E487*IOFDiario)))</f>
        <v/>
      </c>
      <c r="I487" s="21" t="str">
        <f>IF(OR(TaxaJuros="",C487=""),"",IF(ComSemIOF=FALSE,0,-(D487+F487)*IOFAdic))</f>
        <v/>
      </c>
      <c r="J487" s="16" t="str">
        <f>IF(OR(TaxaJuros="",C487=""),"",D487+SUM(F487:I487))</f>
        <v/>
      </c>
      <c r="K487" s="67" t="str">
        <f>IF(OR(TaxaJuros="",C487=""),"",100%-J487/D487)</f>
        <v/>
      </c>
    </row>
    <row r="488" spans="5:11" x14ac:dyDescent="0.25">
      <c r="E488" s="15" t="str">
        <f>IF(OR(DataRecebimento="",C488=""),"",C488-$F$7)</f>
        <v/>
      </c>
      <c r="F488" s="16" t="str">
        <f>IF(OR(TaxaJuros="",C488=""),"",-D488*E488*($F$8/30))</f>
        <v/>
      </c>
      <c r="G488" s="16" t="str">
        <f>IF(OR(TaxaJuros="",C488=""),"",-$F$9)</f>
        <v/>
      </c>
      <c r="H488" s="21" t="str">
        <f>IF(OR(TaxaJuros="",C488=""),"",IF(ComSemIOF=FALSE,0,IF(E488&gt;365,-(D488+F488)*365*IOFDiario,-(D488+F488)*E488*IOFDiario)))</f>
        <v/>
      </c>
      <c r="I488" s="21" t="str">
        <f>IF(OR(TaxaJuros="",C488=""),"",IF(ComSemIOF=FALSE,0,-(D488+F488)*IOFAdic))</f>
        <v/>
      </c>
      <c r="J488" s="16" t="str">
        <f>IF(OR(TaxaJuros="",C488=""),"",D488+SUM(F488:I488))</f>
        <v/>
      </c>
      <c r="K488" s="67" t="str">
        <f>IF(OR(TaxaJuros="",C488=""),"",100%-J488/D488)</f>
        <v/>
      </c>
    </row>
    <row r="489" spans="5:11" x14ac:dyDescent="0.25">
      <c r="E489" s="15" t="str">
        <f>IF(OR(DataRecebimento="",C489=""),"",C489-$F$7)</f>
        <v/>
      </c>
      <c r="F489" s="16" t="str">
        <f>IF(OR(TaxaJuros="",C489=""),"",-D489*E489*($F$8/30))</f>
        <v/>
      </c>
      <c r="G489" s="16" t="str">
        <f>IF(OR(TaxaJuros="",C489=""),"",-$F$9)</f>
        <v/>
      </c>
      <c r="H489" s="21" t="str">
        <f>IF(OR(TaxaJuros="",C489=""),"",IF(ComSemIOF=FALSE,0,IF(E489&gt;365,-(D489+F489)*365*IOFDiario,-(D489+F489)*E489*IOFDiario)))</f>
        <v/>
      </c>
      <c r="I489" s="21" t="str">
        <f>IF(OR(TaxaJuros="",C489=""),"",IF(ComSemIOF=FALSE,0,-(D489+F489)*IOFAdic))</f>
        <v/>
      </c>
      <c r="J489" s="16" t="str">
        <f>IF(OR(TaxaJuros="",C489=""),"",D489+SUM(F489:I489))</f>
        <v/>
      </c>
      <c r="K489" s="67" t="str">
        <f>IF(OR(TaxaJuros="",C489=""),"",100%-J489/D489)</f>
        <v/>
      </c>
    </row>
    <row r="490" spans="5:11" x14ac:dyDescent="0.25">
      <c r="E490" s="15" t="str">
        <f>IF(OR(DataRecebimento="",C490=""),"",C490-$F$7)</f>
        <v/>
      </c>
      <c r="F490" s="16" t="str">
        <f>IF(OR(TaxaJuros="",C490=""),"",-D490*E490*($F$8/30))</f>
        <v/>
      </c>
      <c r="G490" s="16" t="str">
        <f>IF(OR(TaxaJuros="",C490=""),"",-$F$9)</f>
        <v/>
      </c>
      <c r="H490" s="21" t="str">
        <f>IF(OR(TaxaJuros="",C490=""),"",IF(ComSemIOF=FALSE,0,IF(E490&gt;365,-(D490+F490)*365*IOFDiario,-(D490+F490)*E490*IOFDiario)))</f>
        <v/>
      </c>
      <c r="I490" s="21" t="str">
        <f>IF(OR(TaxaJuros="",C490=""),"",IF(ComSemIOF=FALSE,0,-(D490+F490)*IOFAdic))</f>
        <v/>
      </c>
      <c r="J490" s="16" t="str">
        <f>IF(OR(TaxaJuros="",C490=""),"",D490+SUM(F490:I490))</f>
        <v/>
      </c>
      <c r="K490" s="67" t="str">
        <f>IF(OR(TaxaJuros="",C490=""),"",100%-J490/D490)</f>
        <v/>
      </c>
    </row>
    <row r="491" spans="5:11" x14ac:dyDescent="0.25">
      <c r="E491" s="15" t="str">
        <f>IF(OR(DataRecebimento="",C491=""),"",C491-$F$7)</f>
        <v/>
      </c>
      <c r="F491" s="16" t="str">
        <f>IF(OR(TaxaJuros="",C491=""),"",-D491*E491*($F$8/30))</f>
        <v/>
      </c>
      <c r="G491" s="16" t="str">
        <f>IF(OR(TaxaJuros="",C491=""),"",-$F$9)</f>
        <v/>
      </c>
      <c r="H491" s="21" t="str">
        <f>IF(OR(TaxaJuros="",C491=""),"",IF(ComSemIOF=FALSE,0,IF(E491&gt;365,-(D491+F491)*365*IOFDiario,-(D491+F491)*E491*IOFDiario)))</f>
        <v/>
      </c>
      <c r="I491" s="21" t="str">
        <f>IF(OR(TaxaJuros="",C491=""),"",IF(ComSemIOF=FALSE,0,-(D491+F491)*IOFAdic))</f>
        <v/>
      </c>
      <c r="J491" s="16" t="str">
        <f>IF(OR(TaxaJuros="",C491=""),"",D491+SUM(F491:I491))</f>
        <v/>
      </c>
      <c r="K491" s="67" t="str">
        <f>IF(OR(TaxaJuros="",C491=""),"",100%-J491/D491)</f>
        <v/>
      </c>
    </row>
    <row r="492" spans="5:11" x14ac:dyDescent="0.25">
      <c r="E492" s="15" t="str">
        <f>IF(OR(DataRecebimento="",C492=""),"",C492-$F$7)</f>
        <v/>
      </c>
      <c r="F492" s="16" t="str">
        <f>IF(OR(TaxaJuros="",C492=""),"",-D492*E492*($F$8/30))</f>
        <v/>
      </c>
      <c r="G492" s="16" t="str">
        <f>IF(OR(TaxaJuros="",C492=""),"",-$F$9)</f>
        <v/>
      </c>
      <c r="H492" s="21" t="str">
        <f>IF(OR(TaxaJuros="",C492=""),"",IF(ComSemIOF=FALSE,0,IF(E492&gt;365,-(D492+F492)*365*IOFDiario,-(D492+F492)*E492*IOFDiario)))</f>
        <v/>
      </c>
      <c r="I492" s="21" t="str">
        <f>IF(OR(TaxaJuros="",C492=""),"",IF(ComSemIOF=FALSE,0,-(D492+F492)*IOFAdic))</f>
        <v/>
      </c>
      <c r="J492" s="16" t="str">
        <f>IF(OR(TaxaJuros="",C492=""),"",D492+SUM(F492:I492))</f>
        <v/>
      </c>
      <c r="K492" s="67" t="str">
        <f>IF(OR(TaxaJuros="",C492=""),"",100%-J492/D492)</f>
        <v/>
      </c>
    </row>
    <row r="493" spans="5:11" x14ac:dyDescent="0.25">
      <c r="E493" s="15" t="str">
        <f>IF(OR(DataRecebimento="",C493=""),"",C493-$F$7)</f>
        <v/>
      </c>
      <c r="F493" s="16" t="str">
        <f>IF(OR(TaxaJuros="",C493=""),"",-D493*E493*($F$8/30))</f>
        <v/>
      </c>
      <c r="G493" s="16" t="str">
        <f>IF(OR(TaxaJuros="",C493=""),"",-$F$9)</f>
        <v/>
      </c>
      <c r="H493" s="21" t="str">
        <f>IF(OR(TaxaJuros="",C493=""),"",IF(ComSemIOF=FALSE,0,IF(E493&gt;365,-(D493+F493)*365*IOFDiario,-(D493+F493)*E493*IOFDiario)))</f>
        <v/>
      </c>
      <c r="I493" s="21" t="str">
        <f>IF(OR(TaxaJuros="",C493=""),"",IF(ComSemIOF=FALSE,0,-(D493+F493)*IOFAdic))</f>
        <v/>
      </c>
      <c r="J493" s="16" t="str">
        <f>IF(OR(TaxaJuros="",C493=""),"",D493+SUM(F493:I493))</f>
        <v/>
      </c>
      <c r="K493" s="67" t="str">
        <f>IF(OR(TaxaJuros="",C493=""),"",100%-J493/D493)</f>
        <v/>
      </c>
    </row>
    <row r="494" spans="5:11" x14ac:dyDescent="0.25">
      <c r="E494" s="15" t="str">
        <f>IF(OR(DataRecebimento="",C494=""),"",C494-$F$7)</f>
        <v/>
      </c>
      <c r="F494" s="16" t="str">
        <f>IF(OR(TaxaJuros="",C494=""),"",-D494*E494*($F$8/30))</f>
        <v/>
      </c>
      <c r="G494" s="16" t="str">
        <f>IF(OR(TaxaJuros="",C494=""),"",-$F$9)</f>
        <v/>
      </c>
      <c r="H494" s="21" t="str">
        <f>IF(OR(TaxaJuros="",C494=""),"",IF(ComSemIOF=FALSE,0,IF(E494&gt;365,-(D494+F494)*365*IOFDiario,-(D494+F494)*E494*IOFDiario)))</f>
        <v/>
      </c>
      <c r="I494" s="21" t="str">
        <f>IF(OR(TaxaJuros="",C494=""),"",IF(ComSemIOF=FALSE,0,-(D494+F494)*IOFAdic))</f>
        <v/>
      </c>
      <c r="J494" s="16" t="str">
        <f>IF(OR(TaxaJuros="",C494=""),"",D494+SUM(F494:I494))</f>
        <v/>
      </c>
      <c r="K494" s="67" t="str">
        <f>IF(OR(TaxaJuros="",C494=""),"",100%-J494/D494)</f>
        <v/>
      </c>
    </row>
    <row r="495" spans="5:11" x14ac:dyDescent="0.25">
      <c r="E495" s="15" t="str">
        <f>IF(OR(DataRecebimento="",C495=""),"",C495-$F$7)</f>
        <v/>
      </c>
      <c r="F495" s="16" t="str">
        <f>IF(OR(TaxaJuros="",C495=""),"",-D495*E495*($F$8/30))</f>
        <v/>
      </c>
      <c r="G495" s="16" t="str">
        <f>IF(OR(TaxaJuros="",C495=""),"",-$F$9)</f>
        <v/>
      </c>
      <c r="H495" s="21" t="str">
        <f>IF(OR(TaxaJuros="",C495=""),"",IF(ComSemIOF=FALSE,0,IF(E495&gt;365,-(D495+F495)*365*IOFDiario,-(D495+F495)*E495*IOFDiario)))</f>
        <v/>
      </c>
      <c r="I495" s="21" t="str">
        <f>IF(OR(TaxaJuros="",C495=""),"",IF(ComSemIOF=FALSE,0,-(D495+F495)*IOFAdic))</f>
        <v/>
      </c>
      <c r="J495" s="16" t="str">
        <f>IF(OR(TaxaJuros="",C495=""),"",D495+SUM(F495:I495))</f>
        <v/>
      </c>
      <c r="K495" s="67" t="str">
        <f>IF(OR(TaxaJuros="",C495=""),"",100%-J495/D495)</f>
        <v/>
      </c>
    </row>
    <row r="496" spans="5:11" x14ac:dyDescent="0.25">
      <c r="E496" s="15" t="str">
        <f>IF(OR(DataRecebimento="",C496=""),"",C496-$F$7)</f>
        <v/>
      </c>
      <c r="F496" s="16" t="str">
        <f>IF(OR(TaxaJuros="",C496=""),"",-D496*E496*($F$8/30))</f>
        <v/>
      </c>
      <c r="G496" s="16" t="str">
        <f>IF(OR(TaxaJuros="",C496=""),"",-$F$9)</f>
        <v/>
      </c>
      <c r="H496" s="21" t="str">
        <f>IF(OR(TaxaJuros="",C496=""),"",IF(ComSemIOF=FALSE,0,IF(E496&gt;365,-(D496+F496)*365*IOFDiario,-(D496+F496)*E496*IOFDiario)))</f>
        <v/>
      </c>
      <c r="I496" s="21" t="str">
        <f>IF(OR(TaxaJuros="",C496=""),"",IF(ComSemIOF=FALSE,0,-(D496+F496)*IOFAdic))</f>
        <v/>
      </c>
      <c r="J496" s="16" t="str">
        <f>IF(OR(TaxaJuros="",C496=""),"",D496+SUM(F496:I496))</f>
        <v/>
      </c>
      <c r="K496" s="67" t="str">
        <f>IF(OR(TaxaJuros="",C496=""),"",100%-J496/D496)</f>
        <v/>
      </c>
    </row>
    <row r="497" spans="5:11" x14ac:dyDescent="0.25">
      <c r="E497" s="15" t="str">
        <f>IF(OR(DataRecebimento="",C497=""),"",C497-$F$7)</f>
        <v/>
      </c>
      <c r="F497" s="16" t="str">
        <f>IF(OR(TaxaJuros="",C497=""),"",-D497*E497*($F$8/30))</f>
        <v/>
      </c>
      <c r="G497" s="16" t="str">
        <f>IF(OR(TaxaJuros="",C497=""),"",-$F$9)</f>
        <v/>
      </c>
      <c r="H497" s="21" t="str">
        <f>IF(OR(TaxaJuros="",C497=""),"",IF(ComSemIOF=FALSE,0,IF(E497&gt;365,-(D497+F497)*365*IOFDiario,-(D497+F497)*E497*IOFDiario)))</f>
        <v/>
      </c>
      <c r="I497" s="21" t="str">
        <f>IF(OR(TaxaJuros="",C497=""),"",IF(ComSemIOF=FALSE,0,-(D497+F497)*IOFAdic))</f>
        <v/>
      </c>
      <c r="J497" s="16" t="str">
        <f>IF(OR(TaxaJuros="",C497=""),"",D497+SUM(F497:I497))</f>
        <v/>
      </c>
      <c r="K497" s="67" t="str">
        <f>IF(OR(TaxaJuros="",C497=""),"",100%-J497/D497)</f>
        <v/>
      </c>
    </row>
    <row r="498" spans="5:11" x14ac:dyDescent="0.25">
      <c r="E498" s="15" t="str">
        <f>IF(OR(DataRecebimento="",C498=""),"",C498-$F$7)</f>
        <v/>
      </c>
      <c r="F498" s="16" t="str">
        <f>IF(OR(TaxaJuros="",C498=""),"",-D498*E498*($F$8/30))</f>
        <v/>
      </c>
      <c r="G498" s="16" t="str">
        <f>IF(OR(TaxaJuros="",C498=""),"",-$F$9)</f>
        <v/>
      </c>
      <c r="H498" s="21" t="str">
        <f>IF(OR(TaxaJuros="",C498=""),"",IF(ComSemIOF=FALSE,0,IF(E498&gt;365,-(D498+F498)*365*IOFDiario,-(D498+F498)*E498*IOFDiario)))</f>
        <v/>
      </c>
      <c r="I498" s="21" t="str">
        <f>IF(OR(TaxaJuros="",C498=""),"",IF(ComSemIOF=FALSE,0,-(D498+F498)*IOFAdic))</f>
        <v/>
      </c>
      <c r="J498" s="16" t="str">
        <f>IF(OR(TaxaJuros="",C498=""),"",D498+SUM(F498:I498))</f>
        <v/>
      </c>
      <c r="K498" s="67" t="str">
        <f>IF(OR(TaxaJuros="",C498=""),"",100%-J498/D498)</f>
        <v/>
      </c>
    </row>
    <row r="499" spans="5:11" x14ac:dyDescent="0.25">
      <c r="E499" s="15" t="str">
        <f>IF(OR(DataRecebimento="",C499=""),"",C499-$F$7)</f>
        <v/>
      </c>
      <c r="F499" s="16" t="str">
        <f>IF(OR(TaxaJuros="",C499=""),"",-D499*E499*($F$8/30))</f>
        <v/>
      </c>
      <c r="G499" s="16" t="str">
        <f>IF(OR(TaxaJuros="",C499=""),"",-$F$9)</f>
        <v/>
      </c>
      <c r="H499" s="21" t="str">
        <f>IF(OR(TaxaJuros="",C499=""),"",IF(ComSemIOF=FALSE,0,IF(E499&gt;365,-(D499+F499)*365*IOFDiario,-(D499+F499)*E499*IOFDiario)))</f>
        <v/>
      </c>
      <c r="I499" s="21" t="str">
        <f>IF(OR(TaxaJuros="",C499=""),"",IF(ComSemIOF=FALSE,0,-(D499+F499)*IOFAdic))</f>
        <v/>
      </c>
      <c r="J499" s="16" t="str">
        <f>IF(OR(TaxaJuros="",C499=""),"",D499+SUM(F499:I499))</f>
        <v/>
      </c>
      <c r="K499" s="67" t="str">
        <f>IF(OR(TaxaJuros="",C499=""),"",100%-J499/D499)</f>
        <v/>
      </c>
    </row>
    <row r="500" spans="5:11" x14ac:dyDescent="0.25">
      <c r="E500" s="15" t="str">
        <f>IF(OR(DataRecebimento="",C500=""),"",C500-$F$7)</f>
        <v/>
      </c>
      <c r="F500" s="16" t="str">
        <f>IF(OR(TaxaJuros="",C500=""),"",-D500*E500*($F$8/30))</f>
        <v/>
      </c>
      <c r="G500" s="16" t="str">
        <f>IF(OR(TaxaJuros="",C500=""),"",-$F$9)</f>
        <v/>
      </c>
      <c r="H500" s="21" t="str">
        <f>IF(OR(TaxaJuros="",C500=""),"",IF(ComSemIOF=FALSE,0,IF(E500&gt;365,-(D500+F500)*365*IOFDiario,-(D500+F500)*E500*IOFDiario)))</f>
        <v/>
      </c>
      <c r="I500" s="21" t="str">
        <f>IF(OR(TaxaJuros="",C500=""),"",IF(ComSemIOF=FALSE,0,-(D500+F500)*IOFAdic))</f>
        <v/>
      </c>
      <c r="J500" s="16" t="str">
        <f>IF(OR(TaxaJuros="",C500=""),"",D500+SUM(F500:I500))</f>
        <v/>
      </c>
      <c r="K500" s="67" t="str">
        <f>IF(OR(TaxaJuros="",C500=""),"",100%-J500/D500)</f>
        <v/>
      </c>
    </row>
    <row r="501" spans="5:11" x14ac:dyDescent="0.25">
      <c r="E501" s="15" t="str">
        <f>IF(OR(DataRecebimento="",C501=""),"",C501-$F$7)</f>
        <v/>
      </c>
      <c r="F501" s="16" t="str">
        <f>IF(OR(TaxaJuros="",C501=""),"",-D501*E501*($F$8/30))</f>
        <v/>
      </c>
      <c r="G501" s="16" t="str">
        <f>IF(OR(TaxaJuros="",C501=""),"",-$F$9)</f>
        <v/>
      </c>
      <c r="H501" s="21" t="str">
        <f>IF(OR(TaxaJuros="",C501=""),"",IF(ComSemIOF=FALSE,0,IF(E501&gt;365,-(D501+F501)*365*IOFDiario,-(D501+F501)*E501*IOFDiario)))</f>
        <v/>
      </c>
      <c r="I501" s="21" t="str">
        <f>IF(OR(TaxaJuros="",C501=""),"",IF(ComSemIOF=FALSE,0,-(D501+F501)*IOFAdic))</f>
        <v/>
      </c>
      <c r="J501" s="16" t="str">
        <f>IF(OR(TaxaJuros="",C501=""),"",D501+SUM(F501:I501))</f>
        <v/>
      </c>
      <c r="K501" s="67" t="str">
        <f>IF(OR(TaxaJuros="",C501=""),"",100%-J501/D501)</f>
        <v/>
      </c>
    </row>
    <row r="502" spans="5:11" x14ac:dyDescent="0.25">
      <c r="E502" s="15" t="str">
        <f>IF(OR(DataRecebimento="",C502=""),"",C502-$F$7)</f>
        <v/>
      </c>
      <c r="F502" s="16" t="str">
        <f>IF(OR(TaxaJuros="",C502=""),"",-D502*E502*($F$8/30))</f>
        <v/>
      </c>
      <c r="G502" s="16" t="str">
        <f>IF(OR(TaxaJuros="",C502=""),"",-$F$9)</f>
        <v/>
      </c>
      <c r="H502" s="21" t="str">
        <f>IF(OR(TaxaJuros="",C502=""),"",IF(ComSemIOF=FALSE,0,IF(E502&gt;365,-(D502+F502)*365*IOFDiario,-(D502+F502)*E502*IOFDiario)))</f>
        <v/>
      </c>
      <c r="I502" s="21" t="str">
        <f>IF(OR(TaxaJuros="",C502=""),"",IF(ComSemIOF=FALSE,0,-(D502+F502)*IOFAdic))</f>
        <v/>
      </c>
      <c r="J502" s="16" t="str">
        <f>IF(OR(TaxaJuros="",C502=""),"",D502+SUM(F502:I502))</f>
        <v/>
      </c>
      <c r="K502" s="67" t="str">
        <f>IF(OR(TaxaJuros="",C502=""),"",100%-J502/D502)</f>
        <v/>
      </c>
    </row>
    <row r="503" spans="5:11" x14ac:dyDescent="0.25">
      <c r="E503" s="15" t="str">
        <f>IF(OR(DataRecebimento="",C503=""),"",C503-$F$7)</f>
        <v/>
      </c>
      <c r="F503" s="16" t="str">
        <f>IF(OR(TaxaJuros="",C503=""),"",-D503*E503*($F$8/30))</f>
        <v/>
      </c>
      <c r="G503" s="16" t="str">
        <f>IF(OR(TaxaJuros="",C503=""),"",-$F$9)</f>
        <v/>
      </c>
      <c r="H503" s="21" t="str">
        <f>IF(OR(TaxaJuros="",C503=""),"",IF(ComSemIOF=FALSE,0,IF(E503&gt;365,-(D503+F503)*365*IOFDiario,-(D503+F503)*E503*IOFDiario)))</f>
        <v/>
      </c>
      <c r="I503" s="21" t="str">
        <f>IF(OR(TaxaJuros="",C503=""),"",IF(ComSemIOF=FALSE,0,-(D503+F503)*IOFAdic))</f>
        <v/>
      </c>
      <c r="J503" s="16" t="str">
        <f>IF(OR(TaxaJuros="",C503=""),"",D503+SUM(F503:I503))</f>
        <v/>
      </c>
      <c r="K503" s="67" t="str">
        <f>IF(OR(TaxaJuros="",C503=""),"",100%-J503/D503)</f>
        <v/>
      </c>
    </row>
    <row r="504" spans="5:11" x14ac:dyDescent="0.25">
      <c r="E504" s="15" t="str">
        <f>IF(OR(DataRecebimento="",C504=""),"",C504-$F$7)</f>
        <v/>
      </c>
      <c r="F504" s="16" t="str">
        <f>IF(OR(TaxaJuros="",C504=""),"",-D504*E504*($F$8/30))</f>
        <v/>
      </c>
      <c r="G504" s="16" t="str">
        <f>IF(OR(TaxaJuros="",C504=""),"",-$F$9)</f>
        <v/>
      </c>
      <c r="H504" s="21" t="str">
        <f>IF(OR(TaxaJuros="",C504=""),"",IF(ComSemIOF=FALSE,0,IF(E504&gt;365,-(D504+F504)*365*IOFDiario,-(D504+F504)*E504*IOFDiario)))</f>
        <v/>
      </c>
      <c r="I504" s="21" t="str">
        <f>IF(OR(TaxaJuros="",C504=""),"",IF(ComSemIOF=FALSE,0,-(D504+F504)*IOFAdic))</f>
        <v/>
      </c>
      <c r="J504" s="16" t="str">
        <f>IF(OR(TaxaJuros="",C504=""),"",D504+SUM(F504:I504))</f>
        <v/>
      </c>
      <c r="K504" s="67" t="str">
        <f>IF(OR(TaxaJuros="",C504=""),"",100%-J504/D504)</f>
        <v/>
      </c>
    </row>
    <row r="505" spans="5:11" x14ac:dyDescent="0.25">
      <c r="E505" s="15" t="str">
        <f>IF(OR(DataRecebimento="",C505=""),"",C505-$F$7)</f>
        <v/>
      </c>
      <c r="F505" s="16" t="str">
        <f>IF(OR(TaxaJuros="",C505=""),"",-D505*E505*($F$8/30))</f>
        <v/>
      </c>
      <c r="G505" s="16" t="str">
        <f>IF(OR(TaxaJuros="",C505=""),"",-$F$9)</f>
        <v/>
      </c>
      <c r="H505" s="21" t="str">
        <f>IF(OR(TaxaJuros="",C505=""),"",IF(ComSemIOF=FALSE,0,IF(E505&gt;365,-(D505+F505)*365*IOFDiario,-(D505+F505)*E505*IOFDiario)))</f>
        <v/>
      </c>
      <c r="I505" s="21" t="str">
        <f>IF(OR(TaxaJuros="",C505=""),"",IF(ComSemIOF=FALSE,0,-(D505+F505)*IOFAdic))</f>
        <v/>
      </c>
      <c r="J505" s="16" t="str">
        <f>IF(OR(TaxaJuros="",C505=""),"",D505+SUM(F505:I505))</f>
        <v/>
      </c>
      <c r="K505" s="67" t="str">
        <f>IF(OR(TaxaJuros="",C505=""),"",100%-J505/D505)</f>
        <v/>
      </c>
    </row>
    <row r="506" spans="5:11" x14ac:dyDescent="0.25">
      <c r="E506" s="15" t="str">
        <f>IF(OR(DataRecebimento="",C506=""),"",C506-$F$7)</f>
        <v/>
      </c>
      <c r="F506" s="16" t="str">
        <f>IF(OR(TaxaJuros="",C506=""),"",-D506*E506*($F$8/30))</f>
        <v/>
      </c>
      <c r="G506" s="16" t="str">
        <f>IF(OR(TaxaJuros="",C506=""),"",-$F$9)</f>
        <v/>
      </c>
      <c r="H506" s="21" t="str">
        <f>IF(OR(TaxaJuros="",C506=""),"",IF(ComSemIOF=FALSE,0,IF(E506&gt;365,-(D506+F506)*365*IOFDiario,-(D506+F506)*E506*IOFDiario)))</f>
        <v/>
      </c>
      <c r="I506" s="21" t="str">
        <f>IF(OR(TaxaJuros="",C506=""),"",IF(ComSemIOF=FALSE,0,-(D506+F506)*IOFAdic))</f>
        <v/>
      </c>
      <c r="J506" s="16" t="str">
        <f>IF(OR(TaxaJuros="",C506=""),"",D506+SUM(F506:I506))</f>
        <v/>
      </c>
      <c r="K506" s="67" t="str">
        <f>IF(OR(TaxaJuros="",C506=""),"",100%-J506/D506)</f>
        <v/>
      </c>
    </row>
    <row r="507" spans="5:11" x14ac:dyDescent="0.25">
      <c r="E507" s="15" t="str">
        <f>IF(OR(DataRecebimento="",C507=""),"",C507-$F$7)</f>
        <v/>
      </c>
      <c r="F507" s="16" t="str">
        <f>IF(OR(TaxaJuros="",C507=""),"",-D507*E507*($F$8/30))</f>
        <v/>
      </c>
      <c r="G507" s="16" t="str">
        <f>IF(OR(TaxaJuros="",C507=""),"",-$F$9)</f>
        <v/>
      </c>
      <c r="H507" s="21" t="str">
        <f>IF(OR(TaxaJuros="",C507=""),"",IF(ComSemIOF=FALSE,0,IF(E507&gt;365,-(D507+F507)*365*IOFDiario,-(D507+F507)*E507*IOFDiario)))</f>
        <v/>
      </c>
      <c r="I507" s="21" t="str">
        <f>IF(OR(TaxaJuros="",C507=""),"",IF(ComSemIOF=FALSE,0,-(D507+F507)*IOFAdic))</f>
        <v/>
      </c>
      <c r="J507" s="16" t="str">
        <f>IF(OR(TaxaJuros="",C507=""),"",D507+SUM(F507:I507))</f>
        <v/>
      </c>
      <c r="K507" s="67" t="str">
        <f>IF(OR(TaxaJuros="",C507=""),"",100%-J507/D507)</f>
        <v/>
      </c>
    </row>
    <row r="508" spans="5:11" x14ac:dyDescent="0.25">
      <c r="E508" s="15" t="str">
        <f>IF(OR(DataRecebimento="",C508=""),"",C508-$F$7)</f>
        <v/>
      </c>
      <c r="F508" s="16" t="str">
        <f>IF(OR(TaxaJuros="",C508=""),"",-D508*E508*($F$8/30))</f>
        <v/>
      </c>
      <c r="G508" s="16" t="str">
        <f>IF(OR(TaxaJuros="",C508=""),"",-$F$9)</f>
        <v/>
      </c>
      <c r="H508" s="21" t="str">
        <f>IF(OR(TaxaJuros="",C508=""),"",IF(ComSemIOF=FALSE,0,IF(E508&gt;365,-(D508+F508)*365*IOFDiario,-(D508+F508)*E508*IOFDiario)))</f>
        <v/>
      </c>
      <c r="I508" s="21" t="str">
        <f>IF(OR(TaxaJuros="",C508=""),"",IF(ComSemIOF=FALSE,0,-(D508+F508)*IOFAdic))</f>
        <v/>
      </c>
      <c r="J508" s="16" t="str">
        <f>IF(OR(TaxaJuros="",C508=""),"",D508+SUM(F508:I508))</f>
        <v/>
      </c>
      <c r="K508" s="67" t="str">
        <f>IF(OR(TaxaJuros="",C508=""),"",100%-J508/D508)</f>
        <v/>
      </c>
    </row>
    <row r="509" spans="5:11" x14ac:dyDescent="0.25">
      <c r="E509" s="15" t="str">
        <f>IF(OR(DataRecebimento="",C509=""),"",C509-$F$7)</f>
        <v/>
      </c>
      <c r="F509" s="16" t="str">
        <f>IF(OR(TaxaJuros="",C509=""),"",-D509*E509*($F$8/30))</f>
        <v/>
      </c>
      <c r="G509" s="16" t="str">
        <f>IF(OR(TaxaJuros="",C509=""),"",-$F$9)</f>
        <v/>
      </c>
      <c r="H509" s="21" t="str">
        <f>IF(OR(TaxaJuros="",C509=""),"",IF(ComSemIOF=FALSE,0,IF(E509&gt;365,-(D509+F509)*365*IOFDiario,-(D509+F509)*E509*IOFDiario)))</f>
        <v/>
      </c>
      <c r="I509" s="21" t="str">
        <f>IF(OR(TaxaJuros="",C509=""),"",IF(ComSemIOF=FALSE,0,-(D509+F509)*IOFAdic))</f>
        <v/>
      </c>
      <c r="J509" s="16" t="str">
        <f>IF(OR(TaxaJuros="",C509=""),"",D509+SUM(F509:I509))</f>
        <v/>
      </c>
      <c r="K509" s="67" t="str">
        <f>IF(OR(TaxaJuros="",C509=""),"",100%-J509/D509)</f>
        <v/>
      </c>
    </row>
    <row r="510" spans="5:11" x14ac:dyDescent="0.25">
      <c r="E510" s="15" t="str">
        <f>IF(OR(DataRecebimento="",C510=""),"",C510-$F$7)</f>
        <v/>
      </c>
      <c r="F510" s="16" t="str">
        <f>IF(OR(TaxaJuros="",C510=""),"",-D510*E510*($F$8/30))</f>
        <v/>
      </c>
      <c r="G510" s="16" t="str">
        <f>IF(OR(TaxaJuros="",C510=""),"",-$F$9)</f>
        <v/>
      </c>
      <c r="H510" s="21" t="str">
        <f>IF(OR(TaxaJuros="",C510=""),"",IF(ComSemIOF=FALSE,0,IF(E510&gt;365,-(D510+F510)*365*IOFDiario,-(D510+F510)*E510*IOFDiario)))</f>
        <v/>
      </c>
      <c r="I510" s="21" t="str">
        <f>IF(OR(TaxaJuros="",C510=""),"",IF(ComSemIOF=FALSE,0,-(D510+F510)*IOFAdic))</f>
        <v/>
      </c>
      <c r="J510" s="16" t="str">
        <f>IF(OR(TaxaJuros="",C510=""),"",D510+SUM(F510:I510))</f>
        <v/>
      </c>
      <c r="K510" s="67" t="str">
        <f>IF(OR(TaxaJuros="",C510=""),"",100%-J510/D510)</f>
        <v/>
      </c>
    </row>
    <row r="511" spans="5:11" x14ac:dyDescent="0.25">
      <c r="E511" s="15" t="str">
        <f>IF(OR(DataRecebimento="",C511=""),"",C511-$F$7)</f>
        <v/>
      </c>
      <c r="F511" s="16" t="str">
        <f>IF(OR(TaxaJuros="",C511=""),"",-D511*E511*($F$8/30))</f>
        <v/>
      </c>
      <c r="G511" s="16" t="str">
        <f>IF(OR(TaxaJuros="",C511=""),"",-$F$9)</f>
        <v/>
      </c>
      <c r="H511" s="21" t="str">
        <f>IF(OR(TaxaJuros="",C511=""),"",IF(ComSemIOF=FALSE,0,IF(E511&gt;365,-(D511+F511)*365*IOFDiario,-(D511+F511)*E511*IOFDiario)))</f>
        <v/>
      </c>
      <c r="I511" s="21" t="str">
        <f>IF(OR(TaxaJuros="",C511=""),"",IF(ComSemIOF=FALSE,0,-(D511+F511)*IOFAdic))</f>
        <v/>
      </c>
      <c r="J511" s="16" t="str">
        <f>IF(OR(TaxaJuros="",C511=""),"",D511+SUM(F511:I511))</f>
        <v/>
      </c>
      <c r="K511" s="67" t="str">
        <f>IF(OR(TaxaJuros="",C511=""),"",100%-J511/D511)</f>
        <v/>
      </c>
    </row>
    <row r="512" spans="5:11" x14ac:dyDescent="0.25">
      <c r="E512" s="15" t="str">
        <f>IF(OR(DataRecebimento="",C512=""),"",C512-$F$7)</f>
        <v/>
      </c>
      <c r="F512" s="16" t="str">
        <f>IF(OR(TaxaJuros="",C512=""),"",-D512*E512*($F$8/30))</f>
        <v/>
      </c>
      <c r="G512" s="16" t="str">
        <f>IF(OR(TaxaJuros="",C512=""),"",-$F$9)</f>
        <v/>
      </c>
      <c r="H512" s="21" t="str">
        <f>IF(OR(TaxaJuros="",C512=""),"",IF(ComSemIOF=FALSE,0,IF(E512&gt;365,-(D512+F512)*365*IOFDiario,-(D512+F512)*E512*IOFDiario)))</f>
        <v/>
      </c>
      <c r="I512" s="21" t="str">
        <f>IF(OR(TaxaJuros="",C512=""),"",IF(ComSemIOF=FALSE,0,-(D512+F512)*IOFAdic))</f>
        <v/>
      </c>
      <c r="J512" s="16" t="str">
        <f>IF(OR(TaxaJuros="",C512=""),"",D512+SUM(F512:I512))</f>
        <v/>
      </c>
      <c r="K512" s="67" t="str">
        <f>IF(OR(TaxaJuros="",C512=""),"",100%-J512/D512)</f>
        <v/>
      </c>
    </row>
    <row r="513" spans="5:11" x14ac:dyDescent="0.25">
      <c r="E513" s="15" t="str">
        <f>IF(OR(DataRecebimento="",C513=""),"",C513-$F$7)</f>
        <v/>
      </c>
      <c r="F513" s="16" t="str">
        <f>IF(OR(TaxaJuros="",C513=""),"",-D513*E513*($F$8/30))</f>
        <v/>
      </c>
      <c r="G513" s="16" t="str">
        <f>IF(OR(TaxaJuros="",C513=""),"",-$F$9)</f>
        <v/>
      </c>
      <c r="H513" s="21" t="str">
        <f>IF(OR(TaxaJuros="",C513=""),"",IF(ComSemIOF=FALSE,0,IF(E513&gt;365,-(D513+F513)*365*IOFDiario,-(D513+F513)*E513*IOFDiario)))</f>
        <v/>
      </c>
      <c r="I513" s="21" t="str">
        <f>IF(OR(TaxaJuros="",C513=""),"",IF(ComSemIOF=FALSE,0,-(D513+F513)*IOFAdic))</f>
        <v/>
      </c>
      <c r="J513" s="16" t="str">
        <f>IF(OR(TaxaJuros="",C513=""),"",D513+SUM(F513:I513))</f>
        <v/>
      </c>
      <c r="K513" s="67" t="str">
        <f>IF(OR(TaxaJuros="",C513=""),"",100%-J513/D513)</f>
        <v/>
      </c>
    </row>
    <row r="514" spans="5:11" x14ac:dyDescent="0.25">
      <c r="E514" s="15" t="str">
        <f>IF(OR(DataRecebimento="",C514=""),"",C514-$F$7)</f>
        <v/>
      </c>
      <c r="F514" s="16" t="str">
        <f>IF(OR(TaxaJuros="",C514=""),"",-D514*E514*($F$8/30))</f>
        <v/>
      </c>
      <c r="G514" s="16" t="str">
        <f>IF(OR(TaxaJuros="",C514=""),"",-$F$9)</f>
        <v/>
      </c>
      <c r="H514" s="21" t="str">
        <f>IF(OR(TaxaJuros="",C514=""),"",IF(ComSemIOF=FALSE,0,IF(E514&gt;365,-(D514+F514)*365*IOFDiario,-(D514+F514)*E514*IOFDiario)))</f>
        <v/>
      </c>
      <c r="I514" s="21" t="str">
        <f>IF(OR(TaxaJuros="",C514=""),"",IF(ComSemIOF=FALSE,0,-(D514+F514)*IOFAdic))</f>
        <v/>
      </c>
      <c r="J514" s="16" t="str">
        <f>IF(OR(TaxaJuros="",C514=""),"",D514+SUM(F514:I514))</f>
        <v/>
      </c>
      <c r="K514" s="67" t="str">
        <f>IF(OR(TaxaJuros="",C514=""),"",100%-J514/D514)</f>
        <v/>
      </c>
    </row>
    <row r="515" spans="5:11" x14ac:dyDescent="0.25">
      <c r="E515" s="15" t="str">
        <f>IF(OR(DataRecebimento="",C515=""),"",C515-$F$7)</f>
        <v/>
      </c>
      <c r="F515" s="16" t="str">
        <f>IF(OR(TaxaJuros="",C515=""),"",-D515*E515*($F$8/30))</f>
        <v/>
      </c>
      <c r="G515" s="16" t="str">
        <f>IF(OR(TaxaJuros="",C515=""),"",-$F$9)</f>
        <v/>
      </c>
      <c r="H515" s="21" t="str">
        <f>IF(OR(TaxaJuros="",C515=""),"",IF(ComSemIOF=FALSE,0,IF(E515&gt;365,-(D515+F515)*365*IOFDiario,-(D515+F515)*E515*IOFDiario)))</f>
        <v/>
      </c>
      <c r="I515" s="21" t="str">
        <f>IF(OR(TaxaJuros="",C515=""),"",IF(ComSemIOF=FALSE,0,-(D515+F515)*IOFAdic))</f>
        <v/>
      </c>
      <c r="J515" s="16" t="str">
        <f>IF(OR(TaxaJuros="",C515=""),"",D515+SUM(F515:I515))</f>
        <v/>
      </c>
      <c r="K515" s="67" t="str">
        <f>IF(OR(TaxaJuros="",C515=""),"",100%-J515/D515)</f>
        <v/>
      </c>
    </row>
    <row r="516" spans="5:11" x14ac:dyDescent="0.25">
      <c r="E516" s="15" t="str">
        <f>IF(OR(DataRecebimento="",C516=""),"",C516-$F$7)</f>
        <v/>
      </c>
      <c r="F516" s="16" t="str">
        <f>IF(OR(TaxaJuros="",C516=""),"",-D516*E516*($F$8/30))</f>
        <v/>
      </c>
      <c r="G516" s="16" t="str">
        <f>IF(OR(TaxaJuros="",C516=""),"",-$F$9)</f>
        <v/>
      </c>
      <c r="H516" s="21" t="str">
        <f>IF(OR(TaxaJuros="",C516=""),"",IF(ComSemIOF=FALSE,0,IF(E516&gt;365,-(D516+F516)*365*IOFDiario,-(D516+F516)*E516*IOFDiario)))</f>
        <v/>
      </c>
      <c r="I516" s="21" t="str">
        <f>IF(OR(TaxaJuros="",C516=""),"",IF(ComSemIOF=FALSE,0,-(D516+F516)*IOFAdic))</f>
        <v/>
      </c>
      <c r="J516" s="16" t="str">
        <f>IF(OR(TaxaJuros="",C516=""),"",D516+SUM(F516:I516))</f>
        <v/>
      </c>
      <c r="K516" s="67" t="str">
        <f>IF(OR(TaxaJuros="",C516=""),"",100%-J516/D516)</f>
        <v/>
      </c>
    </row>
    <row r="517" spans="5:11" x14ac:dyDescent="0.25">
      <c r="E517" s="15" t="str">
        <f>IF(OR(DataRecebimento="",C517=""),"",C517-$F$7)</f>
        <v/>
      </c>
      <c r="F517" s="16" t="str">
        <f>IF(OR(TaxaJuros="",C517=""),"",-D517*E517*($F$8/30))</f>
        <v/>
      </c>
      <c r="G517" s="16" t="str">
        <f>IF(OR(TaxaJuros="",C517=""),"",-$F$9)</f>
        <v/>
      </c>
      <c r="H517" s="21" t="str">
        <f>IF(OR(TaxaJuros="",C517=""),"",IF(ComSemIOF=FALSE,0,IF(E517&gt;365,-(D517+F517)*365*IOFDiario,-(D517+F517)*E517*IOFDiario)))</f>
        <v/>
      </c>
      <c r="I517" s="21" t="str">
        <f>IF(OR(TaxaJuros="",C517=""),"",IF(ComSemIOF=FALSE,0,-(D517+F517)*IOFAdic))</f>
        <v/>
      </c>
      <c r="J517" s="16" t="str">
        <f>IF(OR(TaxaJuros="",C517=""),"",D517+SUM(F517:I517))</f>
        <v/>
      </c>
      <c r="K517" s="67" t="str">
        <f>IF(OR(TaxaJuros="",C517=""),"",100%-J517/D517)</f>
        <v/>
      </c>
    </row>
    <row r="518" spans="5:11" x14ac:dyDescent="0.25">
      <c r="E518" s="15" t="str">
        <f>IF(OR(DataRecebimento="",C518=""),"",C518-$F$7)</f>
        <v/>
      </c>
      <c r="F518" s="16" t="str">
        <f>IF(OR(TaxaJuros="",C518=""),"",-D518*E518*($F$8/30))</f>
        <v/>
      </c>
      <c r="G518" s="16" t="str">
        <f>IF(OR(TaxaJuros="",C518=""),"",-$F$9)</f>
        <v/>
      </c>
      <c r="H518" s="21" t="str">
        <f>IF(OR(TaxaJuros="",C518=""),"",IF(ComSemIOF=FALSE,0,IF(E518&gt;365,-(D518+F518)*365*IOFDiario,-(D518+F518)*E518*IOFDiario)))</f>
        <v/>
      </c>
      <c r="I518" s="21" t="str">
        <f>IF(OR(TaxaJuros="",C518=""),"",IF(ComSemIOF=FALSE,0,-(D518+F518)*IOFAdic))</f>
        <v/>
      </c>
      <c r="J518" s="16" t="str">
        <f>IF(OR(TaxaJuros="",C518=""),"",D518+SUM(F518:I518))</f>
        <v/>
      </c>
      <c r="K518" s="67" t="str">
        <f>IF(OR(TaxaJuros="",C518=""),"",100%-J518/D518)</f>
        <v/>
      </c>
    </row>
    <row r="519" spans="5:11" x14ac:dyDescent="0.25">
      <c r="E519" s="15" t="str">
        <f>IF(OR(DataRecebimento="",C519=""),"",C519-$F$7)</f>
        <v/>
      </c>
      <c r="F519" s="16" t="str">
        <f>IF(OR(TaxaJuros="",C519=""),"",-D519*E519*($F$8/30))</f>
        <v/>
      </c>
      <c r="G519" s="16" t="str">
        <f>IF(OR(TaxaJuros="",C519=""),"",-$F$9)</f>
        <v/>
      </c>
      <c r="H519" s="21" t="str">
        <f>IF(OR(TaxaJuros="",C519=""),"",IF(ComSemIOF=FALSE,0,IF(E519&gt;365,-(D519+F519)*365*IOFDiario,-(D519+F519)*E519*IOFDiario)))</f>
        <v/>
      </c>
      <c r="I519" s="21" t="str">
        <f>IF(OR(TaxaJuros="",C519=""),"",IF(ComSemIOF=FALSE,0,-(D519+F519)*IOFAdic))</f>
        <v/>
      </c>
      <c r="J519" s="16" t="str">
        <f>IF(OR(TaxaJuros="",C519=""),"",D519+SUM(F519:I519))</f>
        <v/>
      </c>
      <c r="K519" s="67" t="str">
        <f>IF(OR(TaxaJuros="",C519=""),"",100%-J519/D519)</f>
        <v/>
      </c>
    </row>
    <row r="520" spans="5:11" x14ac:dyDescent="0.25">
      <c r="E520" s="15" t="str">
        <f>IF(OR(DataRecebimento="",C520=""),"",C520-$F$7)</f>
        <v/>
      </c>
      <c r="F520" s="16" t="str">
        <f>IF(OR(TaxaJuros="",C520=""),"",-D520*E520*($F$8/30))</f>
        <v/>
      </c>
      <c r="G520" s="16" t="str">
        <f>IF(OR(TaxaJuros="",C520=""),"",-$F$9)</f>
        <v/>
      </c>
      <c r="H520" s="21" t="str">
        <f>IF(OR(TaxaJuros="",C520=""),"",IF(ComSemIOF=FALSE,0,IF(E520&gt;365,-(D520+F520)*365*IOFDiario,-(D520+F520)*E520*IOFDiario)))</f>
        <v/>
      </c>
      <c r="I520" s="21" t="str">
        <f>IF(OR(TaxaJuros="",C520=""),"",IF(ComSemIOF=FALSE,0,-(D520+F520)*IOFAdic))</f>
        <v/>
      </c>
      <c r="J520" s="16" t="str">
        <f>IF(OR(TaxaJuros="",C520=""),"",D520+SUM(F520:I520))</f>
        <v/>
      </c>
      <c r="K520" s="67" t="str">
        <f>IF(OR(TaxaJuros="",C520=""),"",100%-J520/D520)</f>
        <v/>
      </c>
    </row>
    <row r="521" spans="5:11" x14ac:dyDescent="0.25">
      <c r="E521" s="15" t="str">
        <f>IF(OR(DataRecebimento="",C521=""),"",C521-$F$7)</f>
        <v/>
      </c>
      <c r="F521" s="16" t="str">
        <f>IF(OR(TaxaJuros="",C521=""),"",-D521*E521*($F$8/30))</f>
        <v/>
      </c>
      <c r="G521" s="16" t="str">
        <f>IF(OR(TaxaJuros="",C521=""),"",-$F$9)</f>
        <v/>
      </c>
      <c r="H521" s="21" t="str">
        <f>IF(OR(TaxaJuros="",C521=""),"",IF(ComSemIOF=FALSE,0,IF(E521&gt;365,-(D521+F521)*365*IOFDiario,-(D521+F521)*E521*IOFDiario)))</f>
        <v/>
      </c>
      <c r="I521" s="21" t="str">
        <f>IF(OR(TaxaJuros="",C521=""),"",IF(ComSemIOF=FALSE,0,-(D521+F521)*IOFAdic))</f>
        <v/>
      </c>
      <c r="J521" s="16" t="str">
        <f>IF(OR(TaxaJuros="",C521=""),"",D521+SUM(F521:I521))</f>
        <v/>
      </c>
      <c r="K521" s="67" t="str">
        <f>IF(OR(TaxaJuros="",C521=""),"",100%-J521/D521)</f>
        <v/>
      </c>
    </row>
    <row r="522" spans="5:11" x14ac:dyDescent="0.25">
      <c r="E522" s="15" t="str">
        <f>IF(OR(DataRecebimento="",C522=""),"",C522-$F$7)</f>
        <v/>
      </c>
      <c r="F522" s="16" t="str">
        <f>IF(OR(TaxaJuros="",C522=""),"",-D522*E522*($F$8/30))</f>
        <v/>
      </c>
      <c r="G522" s="16" t="str">
        <f>IF(OR(TaxaJuros="",C522=""),"",-$F$9)</f>
        <v/>
      </c>
      <c r="H522" s="21" t="str">
        <f>IF(OR(TaxaJuros="",C522=""),"",IF(ComSemIOF=FALSE,0,IF(E522&gt;365,-(D522+F522)*365*IOFDiario,-(D522+F522)*E522*IOFDiario)))</f>
        <v/>
      </c>
      <c r="I522" s="21" t="str">
        <f>IF(OR(TaxaJuros="",C522=""),"",IF(ComSemIOF=FALSE,0,-(D522+F522)*IOFAdic))</f>
        <v/>
      </c>
      <c r="J522" s="16" t="str">
        <f>IF(OR(TaxaJuros="",C522=""),"",D522+SUM(F522:I522))</f>
        <v/>
      </c>
      <c r="K522" s="67" t="str">
        <f>IF(OR(TaxaJuros="",C522=""),"",100%-J522/D522)</f>
        <v/>
      </c>
    </row>
    <row r="523" spans="5:11" x14ac:dyDescent="0.25">
      <c r="E523" s="15" t="str">
        <f>IF(OR(DataRecebimento="",C523=""),"",C523-$F$7)</f>
        <v/>
      </c>
      <c r="F523" s="16" t="str">
        <f>IF(OR(TaxaJuros="",C523=""),"",-D523*E523*($F$8/30))</f>
        <v/>
      </c>
      <c r="G523" s="16" t="str">
        <f>IF(OR(TaxaJuros="",C523=""),"",-$F$9)</f>
        <v/>
      </c>
      <c r="H523" s="21" t="str">
        <f>IF(OR(TaxaJuros="",C523=""),"",IF(ComSemIOF=FALSE,0,IF(E523&gt;365,-(D523+F523)*365*IOFDiario,-(D523+F523)*E523*IOFDiario)))</f>
        <v/>
      </c>
      <c r="I523" s="21" t="str">
        <f>IF(OR(TaxaJuros="",C523=""),"",IF(ComSemIOF=FALSE,0,-(D523+F523)*IOFAdic))</f>
        <v/>
      </c>
      <c r="J523" s="16" t="str">
        <f>IF(OR(TaxaJuros="",C523=""),"",D523+SUM(F523:I523))</f>
        <v/>
      </c>
      <c r="K523" s="67" t="str">
        <f>IF(OR(TaxaJuros="",C523=""),"",100%-J523/D523)</f>
        <v/>
      </c>
    </row>
    <row r="524" spans="5:11" x14ac:dyDescent="0.25">
      <c r="E524" s="15" t="str">
        <f>IF(OR(DataRecebimento="",C524=""),"",C524-$F$7)</f>
        <v/>
      </c>
      <c r="F524" s="16" t="str">
        <f>IF(OR(TaxaJuros="",C524=""),"",-D524*E524*($F$8/30))</f>
        <v/>
      </c>
      <c r="G524" s="16" t="str">
        <f>IF(OR(TaxaJuros="",C524=""),"",-$F$9)</f>
        <v/>
      </c>
      <c r="H524" s="21" t="str">
        <f>IF(OR(TaxaJuros="",C524=""),"",IF(ComSemIOF=FALSE,0,IF(E524&gt;365,-(D524+F524)*365*IOFDiario,-(D524+F524)*E524*IOFDiario)))</f>
        <v/>
      </c>
      <c r="I524" s="21" t="str">
        <f>IF(OR(TaxaJuros="",C524=""),"",IF(ComSemIOF=FALSE,0,-(D524+F524)*IOFAdic))</f>
        <v/>
      </c>
      <c r="J524" s="16" t="str">
        <f>IF(OR(TaxaJuros="",C524=""),"",D524+SUM(F524:I524))</f>
        <v/>
      </c>
      <c r="K524" s="67" t="str">
        <f>IF(OR(TaxaJuros="",C524=""),"",100%-J524/D524)</f>
        <v/>
      </c>
    </row>
    <row r="525" spans="5:11" x14ac:dyDescent="0.25">
      <c r="E525" s="15" t="str">
        <f>IF(OR(DataRecebimento="",C525=""),"",C525-$F$7)</f>
        <v/>
      </c>
      <c r="F525" s="16" t="str">
        <f>IF(OR(TaxaJuros="",C525=""),"",-D525*E525*($F$8/30))</f>
        <v/>
      </c>
      <c r="G525" s="16" t="str">
        <f>IF(OR(TaxaJuros="",C525=""),"",-$F$9)</f>
        <v/>
      </c>
      <c r="H525" s="21" t="str">
        <f>IF(OR(TaxaJuros="",C525=""),"",IF(ComSemIOF=FALSE,0,IF(E525&gt;365,-(D525+F525)*365*IOFDiario,-(D525+F525)*E525*IOFDiario)))</f>
        <v/>
      </c>
      <c r="I525" s="21" t="str">
        <f>IF(OR(TaxaJuros="",C525=""),"",IF(ComSemIOF=FALSE,0,-(D525+F525)*IOFAdic))</f>
        <v/>
      </c>
      <c r="J525" s="16" t="str">
        <f>IF(OR(TaxaJuros="",C525=""),"",D525+SUM(F525:I525))</f>
        <v/>
      </c>
      <c r="K525" s="67" t="str">
        <f>IF(OR(TaxaJuros="",C525=""),"",100%-J525/D525)</f>
        <v/>
      </c>
    </row>
    <row r="526" spans="5:11" x14ac:dyDescent="0.25">
      <c r="E526" s="15" t="str">
        <f>IF(OR(DataRecebimento="",C526=""),"",C526-$F$7)</f>
        <v/>
      </c>
      <c r="F526" s="16" t="str">
        <f>IF(OR(TaxaJuros="",C526=""),"",-D526*E526*($F$8/30))</f>
        <v/>
      </c>
      <c r="G526" s="16" t="str">
        <f>IF(OR(TaxaJuros="",C526=""),"",-$F$9)</f>
        <v/>
      </c>
      <c r="H526" s="21" t="str">
        <f>IF(OR(TaxaJuros="",C526=""),"",IF(ComSemIOF=FALSE,0,IF(E526&gt;365,-(D526+F526)*365*IOFDiario,-(D526+F526)*E526*IOFDiario)))</f>
        <v/>
      </c>
      <c r="I526" s="21" t="str">
        <f>IF(OR(TaxaJuros="",C526=""),"",IF(ComSemIOF=FALSE,0,-(D526+F526)*IOFAdic))</f>
        <v/>
      </c>
      <c r="J526" s="16" t="str">
        <f>IF(OR(TaxaJuros="",C526=""),"",D526+SUM(F526:I526))</f>
        <v/>
      </c>
      <c r="K526" s="67" t="str">
        <f>IF(OR(TaxaJuros="",C526=""),"",100%-J526/D526)</f>
        <v/>
      </c>
    </row>
    <row r="527" spans="5:11" x14ac:dyDescent="0.25">
      <c r="E527" s="15" t="str">
        <f>IF(OR(DataRecebimento="",C527=""),"",C527-$F$7)</f>
        <v/>
      </c>
      <c r="F527" s="16" t="str">
        <f>IF(OR(TaxaJuros="",C527=""),"",-D527*E527*($F$8/30))</f>
        <v/>
      </c>
      <c r="G527" s="16" t="str">
        <f>IF(OR(TaxaJuros="",C527=""),"",-$F$9)</f>
        <v/>
      </c>
      <c r="H527" s="21" t="str">
        <f>IF(OR(TaxaJuros="",C527=""),"",IF(ComSemIOF=FALSE,0,IF(E527&gt;365,-(D527+F527)*365*IOFDiario,-(D527+F527)*E527*IOFDiario)))</f>
        <v/>
      </c>
      <c r="I527" s="21" t="str">
        <f>IF(OR(TaxaJuros="",C527=""),"",IF(ComSemIOF=FALSE,0,-(D527+F527)*IOFAdic))</f>
        <v/>
      </c>
      <c r="J527" s="16" t="str">
        <f>IF(OR(TaxaJuros="",C527=""),"",D527+SUM(F527:I527))</f>
        <v/>
      </c>
      <c r="K527" s="67" t="str">
        <f>IF(OR(TaxaJuros="",C527=""),"",100%-J527/D527)</f>
        <v/>
      </c>
    </row>
    <row r="528" spans="5:11" x14ac:dyDescent="0.25">
      <c r="E528" s="15" t="str">
        <f>IF(OR(DataRecebimento="",C528=""),"",C528-$F$7)</f>
        <v/>
      </c>
      <c r="F528" s="16" t="str">
        <f>IF(OR(TaxaJuros="",C528=""),"",-D528*E528*($F$8/30))</f>
        <v/>
      </c>
      <c r="G528" s="16" t="str">
        <f>IF(OR(TaxaJuros="",C528=""),"",-$F$9)</f>
        <v/>
      </c>
      <c r="H528" s="21" t="str">
        <f>IF(OR(TaxaJuros="",C528=""),"",IF(ComSemIOF=FALSE,0,IF(E528&gt;365,-(D528+F528)*365*IOFDiario,-(D528+F528)*E528*IOFDiario)))</f>
        <v/>
      </c>
      <c r="I528" s="21" t="str">
        <f>IF(OR(TaxaJuros="",C528=""),"",IF(ComSemIOF=FALSE,0,-(D528+F528)*IOFAdic))</f>
        <v/>
      </c>
      <c r="J528" s="16" t="str">
        <f>IF(OR(TaxaJuros="",C528=""),"",D528+SUM(F528:I528))</f>
        <v/>
      </c>
      <c r="K528" s="67" t="str">
        <f>IF(OR(TaxaJuros="",C528=""),"",100%-J528/D528)</f>
        <v/>
      </c>
    </row>
    <row r="529" spans="5:11" x14ac:dyDescent="0.25">
      <c r="E529" s="15" t="str">
        <f>IF(OR(DataRecebimento="",C529=""),"",C529-$F$7)</f>
        <v/>
      </c>
      <c r="F529" s="16" t="str">
        <f>IF(OR(TaxaJuros="",C529=""),"",-D529*E529*($F$8/30))</f>
        <v/>
      </c>
      <c r="G529" s="16" t="str">
        <f>IF(OR(TaxaJuros="",C529=""),"",-$F$9)</f>
        <v/>
      </c>
      <c r="H529" s="21" t="str">
        <f>IF(OR(TaxaJuros="",C529=""),"",IF(ComSemIOF=FALSE,0,IF(E529&gt;365,-(D529+F529)*365*IOFDiario,-(D529+F529)*E529*IOFDiario)))</f>
        <v/>
      </c>
      <c r="I529" s="21" t="str">
        <f>IF(OR(TaxaJuros="",C529=""),"",IF(ComSemIOF=FALSE,0,-(D529+F529)*IOFAdic))</f>
        <v/>
      </c>
      <c r="J529" s="16" t="str">
        <f>IF(OR(TaxaJuros="",C529=""),"",D529+SUM(F529:I529))</f>
        <v/>
      </c>
      <c r="K529" s="67" t="str">
        <f>IF(OR(TaxaJuros="",C529=""),"",100%-J529/D529)</f>
        <v/>
      </c>
    </row>
    <row r="530" spans="5:11" x14ac:dyDescent="0.25">
      <c r="E530" s="15" t="str">
        <f>IF(OR(DataRecebimento="",C530=""),"",C530-$F$7)</f>
        <v/>
      </c>
      <c r="F530" s="16" t="str">
        <f>IF(OR(TaxaJuros="",C530=""),"",-D530*E530*($F$8/30))</f>
        <v/>
      </c>
      <c r="G530" s="16" t="str">
        <f>IF(OR(TaxaJuros="",C530=""),"",-$F$9)</f>
        <v/>
      </c>
      <c r="H530" s="21" t="str">
        <f>IF(OR(TaxaJuros="",C530=""),"",IF(ComSemIOF=FALSE,0,IF(E530&gt;365,-(D530+F530)*365*IOFDiario,-(D530+F530)*E530*IOFDiario)))</f>
        <v/>
      </c>
      <c r="I530" s="21" t="str">
        <f>IF(OR(TaxaJuros="",C530=""),"",IF(ComSemIOF=FALSE,0,-(D530+F530)*IOFAdic))</f>
        <v/>
      </c>
      <c r="J530" s="16" t="str">
        <f>IF(OR(TaxaJuros="",C530=""),"",D530+SUM(F530:I530))</f>
        <v/>
      </c>
      <c r="K530" s="67" t="str">
        <f>IF(OR(TaxaJuros="",C530=""),"",100%-J530/D530)</f>
        <v/>
      </c>
    </row>
    <row r="531" spans="5:11" x14ac:dyDescent="0.25">
      <c r="E531" s="15" t="str">
        <f>IF(OR(DataRecebimento="",C531=""),"",C531-$F$7)</f>
        <v/>
      </c>
      <c r="F531" s="16" t="str">
        <f>IF(OR(TaxaJuros="",C531=""),"",-D531*E531*($F$8/30))</f>
        <v/>
      </c>
      <c r="G531" s="16" t="str">
        <f>IF(OR(TaxaJuros="",C531=""),"",-$F$9)</f>
        <v/>
      </c>
      <c r="H531" s="21" t="str">
        <f>IF(OR(TaxaJuros="",C531=""),"",IF(ComSemIOF=FALSE,0,IF(E531&gt;365,-(D531+F531)*365*IOFDiario,-(D531+F531)*E531*IOFDiario)))</f>
        <v/>
      </c>
      <c r="I531" s="21" t="str">
        <f>IF(OR(TaxaJuros="",C531=""),"",IF(ComSemIOF=FALSE,0,-(D531+F531)*IOFAdic))</f>
        <v/>
      </c>
      <c r="J531" s="16" t="str">
        <f>IF(OR(TaxaJuros="",C531=""),"",D531+SUM(F531:I531))</f>
        <v/>
      </c>
      <c r="K531" s="67" t="str">
        <f>IF(OR(TaxaJuros="",C531=""),"",100%-J531/D531)</f>
        <v/>
      </c>
    </row>
    <row r="532" spans="5:11" x14ac:dyDescent="0.25">
      <c r="E532" s="15" t="str">
        <f>IF(OR(DataRecebimento="",C532=""),"",C532-$F$7)</f>
        <v/>
      </c>
      <c r="F532" s="16" t="str">
        <f>IF(OR(TaxaJuros="",C532=""),"",-D532*E532*($F$8/30))</f>
        <v/>
      </c>
      <c r="G532" s="16" t="str">
        <f>IF(OR(TaxaJuros="",C532=""),"",-$F$9)</f>
        <v/>
      </c>
      <c r="H532" s="21" t="str">
        <f>IF(OR(TaxaJuros="",C532=""),"",IF(ComSemIOF=FALSE,0,IF(E532&gt;365,-(D532+F532)*365*IOFDiario,-(D532+F532)*E532*IOFDiario)))</f>
        <v/>
      </c>
      <c r="I532" s="21" t="str">
        <f>IF(OR(TaxaJuros="",C532=""),"",IF(ComSemIOF=FALSE,0,-(D532+F532)*IOFAdic))</f>
        <v/>
      </c>
      <c r="J532" s="16" t="str">
        <f>IF(OR(TaxaJuros="",C532=""),"",D532+SUM(F532:I532))</f>
        <v/>
      </c>
      <c r="K532" s="67" t="str">
        <f>IF(OR(TaxaJuros="",C532=""),"",100%-J532/D532)</f>
        <v/>
      </c>
    </row>
    <row r="533" spans="5:11" x14ac:dyDescent="0.25">
      <c r="E533" s="15" t="str">
        <f>IF(OR(DataRecebimento="",C533=""),"",C533-$F$7)</f>
        <v/>
      </c>
      <c r="F533" s="16" t="str">
        <f>IF(OR(TaxaJuros="",C533=""),"",-D533*E533*($F$8/30))</f>
        <v/>
      </c>
      <c r="G533" s="16" t="str">
        <f>IF(OR(TaxaJuros="",C533=""),"",-$F$9)</f>
        <v/>
      </c>
      <c r="H533" s="21" t="str">
        <f>IF(OR(TaxaJuros="",C533=""),"",IF(ComSemIOF=FALSE,0,IF(E533&gt;365,-(D533+F533)*365*IOFDiario,-(D533+F533)*E533*IOFDiario)))</f>
        <v/>
      </c>
      <c r="I533" s="21" t="str">
        <f>IF(OR(TaxaJuros="",C533=""),"",IF(ComSemIOF=FALSE,0,-(D533+F533)*IOFAdic))</f>
        <v/>
      </c>
      <c r="J533" s="16" t="str">
        <f>IF(OR(TaxaJuros="",C533=""),"",D533+SUM(F533:I533))</f>
        <v/>
      </c>
      <c r="K533" s="67" t="str">
        <f>IF(OR(TaxaJuros="",C533=""),"",100%-J533/D533)</f>
        <v/>
      </c>
    </row>
    <row r="534" spans="5:11" x14ac:dyDescent="0.25">
      <c r="E534" s="15" t="str">
        <f>IF(OR(DataRecebimento="",C534=""),"",C534-$F$7)</f>
        <v/>
      </c>
      <c r="F534" s="16" t="str">
        <f>IF(OR(TaxaJuros="",C534=""),"",-D534*E534*($F$8/30))</f>
        <v/>
      </c>
      <c r="G534" s="16" t="str">
        <f>IF(OR(TaxaJuros="",C534=""),"",-$F$9)</f>
        <v/>
      </c>
      <c r="H534" s="21" t="str">
        <f>IF(OR(TaxaJuros="",C534=""),"",IF(ComSemIOF=FALSE,0,IF(E534&gt;365,-(D534+F534)*365*IOFDiario,-(D534+F534)*E534*IOFDiario)))</f>
        <v/>
      </c>
      <c r="I534" s="21" t="str">
        <f>IF(OR(TaxaJuros="",C534=""),"",IF(ComSemIOF=FALSE,0,-(D534+F534)*IOFAdic))</f>
        <v/>
      </c>
      <c r="J534" s="16" t="str">
        <f>IF(OR(TaxaJuros="",C534=""),"",D534+SUM(F534:I534))</f>
        <v/>
      </c>
      <c r="K534" s="67" t="str">
        <f>IF(OR(TaxaJuros="",C534=""),"",100%-J534/D534)</f>
        <v/>
      </c>
    </row>
    <row r="535" spans="5:11" x14ac:dyDescent="0.25">
      <c r="E535" s="15" t="str">
        <f>IF(OR(DataRecebimento="",C535=""),"",C535-$F$7)</f>
        <v/>
      </c>
      <c r="F535" s="16" t="str">
        <f>IF(OR(TaxaJuros="",C535=""),"",-D535*E535*($F$8/30))</f>
        <v/>
      </c>
      <c r="G535" s="16" t="str">
        <f>IF(OR(TaxaJuros="",C535=""),"",-$F$9)</f>
        <v/>
      </c>
      <c r="H535" s="21" t="str">
        <f>IF(OR(TaxaJuros="",C535=""),"",IF(ComSemIOF=FALSE,0,IF(E535&gt;365,-(D535+F535)*365*IOFDiario,-(D535+F535)*E535*IOFDiario)))</f>
        <v/>
      </c>
      <c r="I535" s="21" t="str">
        <f>IF(OR(TaxaJuros="",C535=""),"",IF(ComSemIOF=FALSE,0,-(D535+F535)*IOFAdic))</f>
        <v/>
      </c>
      <c r="J535" s="16" t="str">
        <f>IF(OR(TaxaJuros="",C535=""),"",D535+SUM(F535:I535))</f>
        <v/>
      </c>
      <c r="K535" s="67" t="str">
        <f>IF(OR(TaxaJuros="",C535=""),"",100%-J535/D535)</f>
        <v/>
      </c>
    </row>
    <row r="536" spans="5:11" x14ac:dyDescent="0.25">
      <c r="E536" s="15" t="str">
        <f>IF(OR(DataRecebimento="",C536=""),"",C536-$F$7)</f>
        <v/>
      </c>
      <c r="F536" s="16" t="str">
        <f>IF(OR(TaxaJuros="",C536=""),"",-D536*E536*($F$8/30))</f>
        <v/>
      </c>
      <c r="G536" s="16" t="str">
        <f>IF(OR(TaxaJuros="",C536=""),"",-$F$9)</f>
        <v/>
      </c>
      <c r="H536" s="21" t="str">
        <f>IF(OR(TaxaJuros="",C536=""),"",IF(ComSemIOF=FALSE,0,IF(E536&gt;365,-(D536+F536)*365*IOFDiario,-(D536+F536)*E536*IOFDiario)))</f>
        <v/>
      </c>
      <c r="I536" s="21" t="str">
        <f>IF(OR(TaxaJuros="",C536=""),"",IF(ComSemIOF=FALSE,0,-(D536+F536)*IOFAdic))</f>
        <v/>
      </c>
      <c r="J536" s="16" t="str">
        <f>IF(OR(TaxaJuros="",C536=""),"",D536+SUM(F536:I536))</f>
        <v/>
      </c>
      <c r="K536" s="67" t="str">
        <f>IF(OR(TaxaJuros="",C536=""),"",100%-J536/D536)</f>
        <v/>
      </c>
    </row>
    <row r="537" spans="5:11" x14ac:dyDescent="0.25">
      <c r="E537" s="15" t="str">
        <f>IF(OR(DataRecebimento="",C537=""),"",C537-$F$7)</f>
        <v/>
      </c>
      <c r="F537" s="16" t="str">
        <f>IF(OR(TaxaJuros="",C537=""),"",-D537*E537*($F$8/30))</f>
        <v/>
      </c>
      <c r="G537" s="16" t="str">
        <f>IF(OR(TaxaJuros="",C537=""),"",-$F$9)</f>
        <v/>
      </c>
      <c r="H537" s="21" t="str">
        <f>IF(OR(TaxaJuros="",C537=""),"",IF(ComSemIOF=FALSE,0,IF(E537&gt;365,-(D537+F537)*365*IOFDiario,-(D537+F537)*E537*IOFDiario)))</f>
        <v/>
      </c>
      <c r="I537" s="21" t="str">
        <f>IF(OR(TaxaJuros="",C537=""),"",IF(ComSemIOF=FALSE,0,-(D537+F537)*IOFAdic))</f>
        <v/>
      </c>
      <c r="J537" s="16" t="str">
        <f>IF(OR(TaxaJuros="",C537=""),"",D537+SUM(F537:I537))</f>
        <v/>
      </c>
      <c r="K537" s="67" t="str">
        <f>IF(OR(TaxaJuros="",C537=""),"",100%-J537/D537)</f>
        <v/>
      </c>
    </row>
    <row r="538" spans="5:11" x14ac:dyDescent="0.25">
      <c r="E538" s="15" t="str">
        <f>IF(OR(DataRecebimento="",C538=""),"",C538-$F$7)</f>
        <v/>
      </c>
      <c r="F538" s="16" t="str">
        <f>IF(OR(TaxaJuros="",C538=""),"",-D538*E538*($F$8/30))</f>
        <v/>
      </c>
      <c r="G538" s="16" t="str">
        <f>IF(OR(TaxaJuros="",C538=""),"",-$F$9)</f>
        <v/>
      </c>
      <c r="H538" s="21" t="str">
        <f>IF(OR(TaxaJuros="",C538=""),"",IF(ComSemIOF=FALSE,0,IF(E538&gt;365,-(D538+F538)*365*IOFDiario,-(D538+F538)*E538*IOFDiario)))</f>
        <v/>
      </c>
      <c r="I538" s="21" t="str">
        <f>IF(OR(TaxaJuros="",C538=""),"",IF(ComSemIOF=FALSE,0,-(D538+F538)*IOFAdic))</f>
        <v/>
      </c>
      <c r="J538" s="16" t="str">
        <f>IF(OR(TaxaJuros="",C538=""),"",D538+SUM(F538:I538))</f>
        <v/>
      </c>
      <c r="K538" s="67" t="str">
        <f>IF(OR(TaxaJuros="",C538=""),"",100%-J538/D538)</f>
        <v/>
      </c>
    </row>
    <row r="539" spans="5:11" x14ac:dyDescent="0.25">
      <c r="E539" s="15" t="str">
        <f>IF(OR(DataRecebimento="",C539=""),"",C539-$F$7)</f>
        <v/>
      </c>
      <c r="F539" s="16" t="str">
        <f>IF(OR(TaxaJuros="",C539=""),"",-D539*E539*($F$8/30))</f>
        <v/>
      </c>
      <c r="G539" s="16" t="str">
        <f>IF(OR(TaxaJuros="",C539=""),"",-$F$9)</f>
        <v/>
      </c>
      <c r="H539" s="21" t="str">
        <f>IF(OR(TaxaJuros="",C539=""),"",IF(ComSemIOF=FALSE,0,IF(E539&gt;365,-(D539+F539)*365*IOFDiario,-(D539+F539)*E539*IOFDiario)))</f>
        <v/>
      </c>
      <c r="I539" s="21" t="str">
        <f>IF(OR(TaxaJuros="",C539=""),"",IF(ComSemIOF=FALSE,0,-(D539+F539)*IOFAdic))</f>
        <v/>
      </c>
      <c r="J539" s="16" t="str">
        <f>IF(OR(TaxaJuros="",C539=""),"",D539+SUM(F539:I539))</f>
        <v/>
      </c>
      <c r="K539" s="67" t="str">
        <f>IF(OR(TaxaJuros="",C539=""),"",100%-J539/D539)</f>
        <v/>
      </c>
    </row>
    <row r="540" spans="5:11" x14ac:dyDescent="0.25">
      <c r="E540" s="15" t="str">
        <f>IF(OR(DataRecebimento="",C540=""),"",C540-$F$7)</f>
        <v/>
      </c>
      <c r="F540" s="16" t="str">
        <f>IF(OR(TaxaJuros="",C540=""),"",-D540*E540*($F$8/30))</f>
        <v/>
      </c>
      <c r="G540" s="16" t="str">
        <f>IF(OR(TaxaJuros="",C540=""),"",-$F$9)</f>
        <v/>
      </c>
      <c r="H540" s="21" t="str">
        <f>IF(OR(TaxaJuros="",C540=""),"",IF(ComSemIOF=FALSE,0,IF(E540&gt;365,-(D540+F540)*365*IOFDiario,-(D540+F540)*E540*IOFDiario)))</f>
        <v/>
      </c>
      <c r="I540" s="21" t="str">
        <f>IF(OR(TaxaJuros="",C540=""),"",IF(ComSemIOF=FALSE,0,-(D540+F540)*IOFAdic))</f>
        <v/>
      </c>
      <c r="J540" s="16" t="str">
        <f>IF(OR(TaxaJuros="",C540=""),"",D540+SUM(F540:I540))</f>
        <v/>
      </c>
      <c r="K540" s="67" t="str">
        <f>IF(OR(TaxaJuros="",C540=""),"",100%-J540/D540)</f>
        <v/>
      </c>
    </row>
    <row r="541" spans="5:11" x14ac:dyDescent="0.25">
      <c r="E541" s="15" t="str">
        <f>IF(OR(DataRecebimento="",C541=""),"",C541-$F$7)</f>
        <v/>
      </c>
      <c r="F541" s="16" t="str">
        <f>IF(OR(TaxaJuros="",C541=""),"",-D541*E541*($F$8/30))</f>
        <v/>
      </c>
      <c r="G541" s="16" t="str">
        <f>IF(OR(TaxaJuros="",C541=""),"",-$F$9)</f>
        <v/>
      </c>
      <c r="H541" s="21" t="str">
        <f>IF(OR(TaxaJuros="",C541=""),"",IF(ComSemIOF=FALSE,0,IF(E541&gt;365,-(D541+F541)*365*IOFDiario,-(D541+F541)*E541*IOFDiario)))</f>
        <v/>
      </c>
      <c r="I541" s="21" t="str">
        <f>IF(OR(TaxaJuros="",C541=""),"",IF(ComSemIOF=FALSE,0,-(D541+F541)*IOFAdic))</f>
        <v/>
      </c>
      <c r="J541" s="16" t="str">
        <f>IF(OR(TaxaJuros="",C541=""),"",D541+SUM(F541:I541))</f>
        <v/>
      </c>
      <c r="K541" s="67" t="str">
        <f>IF(OR(TaxaJuros="",C541=""),"",100%-J541/D541)</f>
        <v/>
      </c>
    </row>
    <row r="542" spans="5:11" x14ac:dyDescent="0.25">
      <c r="E542" s="15" t="str">
        <f>IF(OR(DataRecebimento="",C542=""),"",C542-$F$7)</f>
        <v/>
      </c>
      <c r="F542" s="16" t="str">
        <f>IF(OR(TaxaJuros="",C542=""),"",-D542*E542*($F$8/30))</f>
        <v/>
      </c>
      <c r="G542" s="16" t="str">
        <f>IF(OR(TaxaJuros="",C542=""),"",-$F$9)</f>
        <v/>
      </c>
      <c r="H542" s="21" t="str">
        <f>IF(OR(TaxaJuros="",C542=""),"",IF(ComSemIOF=FALSE,0,IF(E542&gt;365,-(D542+F542)*365*IOFDiario,-(D542+F542)*E542*IOFDiario)))</f>
        <v/>
      </c>
      <c r="I542" s="21" t="str">
        <f>IF(OR(TaxaJuros="",C542=""),"",IF(ComSemIOF=FALSE,0,-(D542+F542)*IOFAdic))</f>
        <v/>
      </c>
      <c r="J542" s="16" t="str">
        <f>IF(OR(TaxaJuros="",C542=""),"",D542+SUM(F542:I542))</f>
        <v/>
      </c>
      <c r="K542" s="67" t="str">
        <f>IF(OR(TaxaJuros="",C542=""),"",100%-J542/D542)</f>
        <v/>
      </c>
    </row>
    <row r="543" spans="5:11" x14ac:dyDescent="0.25">
      <c r="E543" s="15" t="str">
        <f>IF(OR(DataRecebimento="",C543=""),"",C543-$F$7)</f>
        <v/>
      </c>
      <c r="F543" s="16" t="str">
        <f>IF(OR(TaxaJuros="",C543=""),"",-D543*E543*($F$8/30))</f>
        <v/>
      </c>
      <c r="G543" s="16" t="str">
        <f>IF(OR(TaxaJuros="",C543=""),"",-$F$9)</f>
        <v/>
      </c>
      <c r="H543" s="21" t="str">
        <f>IF(OR(TaxaJuros="",C543=""),"",IF(ComSemIOF=FALSE,0,IF(E543&gt;365,-(D543+F543)*365*IOFDiario,-(D543+F543)*E543*IOFDiario)))</f>
        <v/>
      </c>
      <c r="I543" s="21" t="str">
        <f>IF(OR(TaxaJuros="",C543=""),"",IF(ComSemIOF=FALSE,0,-(D543+F543)*IOFAdic))</f>
        <v/>
      </c>
      <c r="J543" s="16" t="str">
        <f>IF(OR(TaxaJuros="",C543=""),"",D543+SUM(F543:I543))</f>
        <v/>
      </c>
      <c r="K543" s="67" t="str">
        <f>IF(OR(TaxaJuros="",C543=""),"",100%-J543/D543)</f>
        <v/>
      </c>
    </row>
    <row r="544" spans="5:11" x14ac:dyDescent="0.25">
      <c r="E544" s="15" t="str">
        <f>IF(OR(DataRecebimento="",C544=""),"",C544-$F$7)</f>
        <v/>
      </c>
      <c r="F544" s="16" t="str">
        <f>IF(OR(TaxaJuros="",C544=""),"",-D544*E544*($F$8/30))</f>
        <v/>
      </c>
      <c r="G544" s="16" t="str">
        <f>IF(OR(TaxaJuros="",C544=""),"",-$F$9)</f>
        <v/>
      </c>
      <c r="H544" s="21" t="str">
        <f>IF(OR(TaxaJuros="",C544=""),"",IF(ComSemIOF=FALSE,0,IF(E544&gt;365,-(D544+F544)*365*IOFDiario,-(D544+F544)*E544*IOFDiario)))</f>
        <v/>
      </c>
      <c r="I544" s="21" t="str">
        <f>IF(OR(TaxaJuros="",C544=""),"",IF(ComSemIOF=FALSE,0,-(D544+F544)*IOFAdic))</f>
        <v/>
      </c>
      <c r="J544" s="16" t="str">
        <f>IF(OR(TaxaJuros="",C544=""),"",D544+SUM(F544:I544))</f>
        <v/>
      </c>
      <c r="K544" s="67" t="str">
        <f>IF(OR(TaxaJuros="",C544=""),"",100%-J544/D544)</f>
        <v/>
      </c>
    </row>
    <row r="545" spans="5:11" x14ac:dyDescent="0.25">
      <c r="E545" s="15" t="str">
        <f>IF(OR(DataRecebimento="",C545=""),"",C545-$F$7)</f>
        <v/>
      </c>
      <c r="F545" s="16" t="str">
        <f>IF(OR(TaxaJuros="",C545=""),"",-D545*E545*($F$8/30))</f>
        <v/>
      </c>
      <c r="G545" s="16" t="str">
        <f>IF(OR(TaxaJuros="",C545=""),"",-$F$9)</f>
        <v/>
      </c>
      <c r="H545" s="21" t="str">
        <f>IF(OR(TaxaJuros="",C545=""),"",IF(ComSemIOF=FALSE,0,IF(E545&gt;365,-(D545+F545)*365*IOFDiario,-(D545+F545)*E545*IOFDiario)))</f>
        <v/>
      </c>
      <c r="I545" s="21" t="str">
        <f>IF(OR(TaxaJuros="",C545=""),"",IF(ComSemIOF=FALSE,0,-(D545+F545)*IOFAdic))</f>
        <v/>
      </c>
      <c r="J545" s="16" t="str">
        <f>IF(OR(TaxaJuros="",C545=""),"",D545+SUM(F545:I545))</f>
        <v/>
      </c>
      <c r="K545" s="67" t="str">
        <f>IF(OR(TaxaJuros="",C545=""),"",100%-J545/D545)</f>
        <v/>
      </c>
    </row>
    <row r="546" spans="5:11" x14ac:dyDescent="0.25">
      <c r="E546" s="15" t="str">
        <f>IF(OR(DataRecebimento="",C546=""),"",C546-$F$7)</f>
        <v/>
      </c>
      <c r="F546" s="16" t="str">
        <f>IF(OR(TaxaJuros="",C546=""),"",-D546*E546*($F$8/30))</f>
        <v/>
      </c>
      <c r="G546" s="16" t="str">
        <f>IF(OR(TaxaJuros="",C546=""),"",-$F$9)</f>
        <v/>
      </c>
      <c r="H546" s="21" t="str">
        <f>IF(OR(TaxaJuros="",C546=""),"",IF(ComSemIOF=FALSE,0,IF(E546&gt;365,-(D546+F546)*365*IOFDiario,-(D546+F546)*E546*IOFDiario)))</f>
        <v/>
      </c>
      <c r="I546" s="21" t="str">
        <f>IF(OR(TaxaJuros="",C546=""),"",IF(ComSemIOF=FALSE,0,-(D546+F546)*IOFAdic))</f>
        <v/>
      </c>
      <c r="J546" s="16" t="str">
        <f>IF(OR(TaxaJuros="",C546=""),"",D546+SUM(F546:I546))</f>
        <v/>
      </c>
      <c r="K546" s="67" t="str">
        <f>IF(OR(TaxaJuros="",C546=""),"",100%-J546/D546)</f>
        <v/>
      </c>
    </row>
    <row r="547" spans="5:11" x14ac:dyDescent="0.25">
      <c r="E547" s="15" t="str">
        <f>IF(OR(DataRecebimento="",C547=""),"",C547-$F$7)</f>
        <v/>
      </c>
      <c r="F547" s="16" t="str">
        <f>IF(OR(TaxaJuros="",C547=""),"",-D547*E547*($F$8/30))</f>
        <v/>
      </c>
      <c r="G547" s="16" t="str">
        <f>IF(OR(TaxaJuros="",C547=""),"",-$F$9)</f>
        <v/>
      </c>
      <c r="H547" s="21" t="str">
        <f>IF(OR(TaxaJuros="",C547=""),"",IF(ComSemIOF=FALSE,0,IF(E547&gt;365,-(D547+F547)*365*IOFDiario,-(D547+F547)*E547*IOFDiario)))</f>
        <v/>
      </c>
      <c r="I547" s="21" t="str">
        <f>IF(OR(TaxaJuros="",C547=""),"",IF(ComSemIOF=FALSE,0,-(D547+F547)*IOFAdic))</f>
        <v/>
      </c>
      <c r="J547" s="16" t="str">
        <f>IF(OR(TaxaJuros="",C547=""),"",D547+SUM(F547:I547))</f>
        <v/>
      </c>
      <c r="K547" s="67" t="str">
        <f>IF(OR(TaxaJuros="",C547=""),"",100%-J547/D547)</f>
        <v/>
      </c>
    </row>
    <row r="548" spans="5:11" x14ac:dyDescent="0.25">
      <c r="E548" s="15" t="str">
        <f>IF(OR(DataRecebimento="",C548=""),"",C548-$F$7)</f>
        <v/>
      </c>
      <c r="F548" s="16" t="str">
        <f>IF(OR(TaxaJuros="",C548=""),"",-D548*E548*($F$8/30))</f>
        <v/>
      </c>
      <c r="G548" s="16" t="str">
        <f>IF(OR(TaxaJuros="",C548=""),"",-$F$9)</f>
        <v/>
      </c>
      <c r="H548" s="21" t="str">
        <f>IF(OR(TaxaJuros="",C548=""),"",IF(ComSemIOF=FALSE,0,IF(E548&gt;365,-(D548+F548)*365*IOFDiario,-(D548+F548)*E548*IOFDiario)))</f>
        <v/>
      </c>
      <c r="I548" s="21" t="str">
        <f>IF(OR(TaxaJuros="",C548=""),"",IF(ComSemIOF=FALSE,0,-(D548+F548)*IOFAdic))</f>
        <v/>
      </c>
      <c r="J548" s="16" t="str">
        <f>IF(OR(TaxaJuros="",C548=""),"",D548+SUM(F548:I548))</f>
        <v/>
      </c>
      <c r="K548" s="67" t="str">
        <f>IF(OR(TaxaJuros="",C548=""),"",100%-J548/D548)</f>
        <v/>
      </c>
    </row>
    <row r="549" spans="5:11" x14ac:dyDescent="0.25">
      <c r="E549" s="15" t="str">
        <f>IF(OR(DataRecebimento="",C549=""),"",C549-$F$7)</f>
        <v/>
      </c>
      <c r="F549" s="16" t="str">
        <f>IF(OR(TaxaJuros="",C549=""),"",-D549*E549*($F$8/30))</f>
        <v/>
      </c>
      <c r="G549" s="16" t="str">
        <f>IF(OR(TaxaJuros="",C549=""),"",-$F$9)</f>
        <v/>
      </c>
      <c r="H549" s="21" t="str">
        <f>IF(OR(TaxaJuros="",C549=""),"",IF(ComSemIOF=FALSE,0,IF(E549&gt;365,-(D549+F549)*365*IOFDiario,-(D549+F549)*E549*IOFDiario)))</f>
        <v/>
      </c>
      <c r="I549" s="21" t="str">
        <f>IF(OR(TaxaJuros="",C549=""),"",IF(ComSemIOF=FALSE,0,-(D549+F549)*IOFAdic))</f>
        <v/>
      </c>
      <c r="J549" s="16" t="str">
        <f>IF(OR(TaxaJuros="",C549=""),"",D549+SUM(F549:I549))</f>
        <v/>
      </c>
      <c r="K549" s="67" t="str">
        <f>IF(OR(TaxaJuros="",C549=""),"",100%-J549/D549)</f>
        <v/>
      </c>
    </row>
    <row r="550" spans="5:11" x14ac:dyDescent="0.25">
      <c r="E550" s="15" t="str">
        <f>IF(OR(DataRecebimento="",C550=""),"",C550-$F$7)</f>
        <v/>
      </c>
      <c r="F550" s="16" t="str">
        <f>IF(OR(TaxaJuros="",C550=""),"",-D550*E550*($F$8/30))</f>
        <v/>
      </c>
      <c r="G550" s="16" t="str">
        <f>IF(OR(TaxaJuros="",C550=""),"",-$F$9)</f>
        <v/>
      </c>
      <c r="H550" s="21" t="str">
        <f>IF(OR(TaxaJuros="",C550=""),"",IF(ComSemIOF=FALSE,0,IF(E550&gt;365,-(D550+F550)*365*IOFDiario,-(D550+F550)*E550*IOFDiario)))</f>
        <v/>
      </c>
      <c r="I550" s="21" t="str">
        <f>IF(OR(TaxaJuros="",C550=""),"",IF(ComSemIOF=FALSE,0,-(D550+F550)*IOFAdic))</f>
        <v/>
      </c>
      <c r="J550" s="16" t="str">
        <f>IF(OR(TaxaJuros="",C550=""),"",D550+SUM(F550:I550))</f>
        <v/>
      </c>
      <c r="K550" s="67" t="str">
        <f>IF(OR(TaxaJuros="",C550=""),"",100%-J550/D550)</f>
        <v/>
      </c>
    </row>
    <row r="551" spans="5:11" x14ac:dyDescent="0.25">
      <c r="E551" s="15" t="str">
        <f>IF(OR(DataRecebimento="",C551=""),"",C551-$F$7)</f>
        <v/>
      </c>
      <c r="F551" s="16" t="str">
        <f>IF(OR(TaxaJuros="",C551=""),"",-D551*E551*($F$8/30))</f>
        <v/>
      </c>
      <c r="G551" s="16" t="str">
        <f>IF(OR(TaxaJuros="",C551=""),"",-$F$9)</f>
        <v/>
      </c>
      <c r="H551" s="21" t="str">
        <f>IF(OR(TaxaJuros="",C551=""),"",IF(ComSemIOF=FALSE,0,IF(E551&gt;365,-(D551+F551)*365*IOFDiario,-(D551+F551)*E551*IOFDiario)))</f>
        <v/>
      </c>
      <c r="I551" s="21" t="str">
        <f>IF(OR(TaxaJuros="",C551=""),"",IF(ComSemIOF=FALSE,0,-(D551+F551)*IOFAdic))</f>
        <v/>
      </c>
      <c r="J551" s="16" t="str">
        <f>IF(OR(TaxaJuros="",C551=""),"",D551+SUM(F551:I551))</f>
        <v/>
      </c>
      <c r="K551" s="67" t="str">
        <f>IF(OR(TaxaJuros="",C551=""),"",100%-J551/D551)</f>
        <v/>
      </c>
    </row>
    <row r="552" spans="5:11" x14ac:dyDescent="0.25">
      <c r="E552" s="15" t="str">
        <f>IF(OR(DataRecebimento="",C552=""),"",C552-$F$7)</f>
        <v/>
      </c>
      <c r="F552" s="16" t="str">
        <f>IF(OR(TaxaJuros="",C552=""),"",-D552*E552*($F$8/30))</f>
        <v/>
      </c>
      <c r="G552" s="16" t="str">
        <f>IF(OR(TaxaJuros="",C552=""),"",-$F$9)</f>
        <v/>
      </c>
      <c r="H552" s="21" t="str">
        <f>IF(OR(TaxaJuros="",C552=""),"",IF(ComSemIOF=FALSE,0,IF(E552&gt;365,-(D552+F552)*365*IOFDiario,-(D552+F552)*E552*IOFDiario)))</f>
        <v/>
      </c>
      <c r="I552" s="21" t="str">
        <f>IF(OR(TaxaJuros="",C552=""),"",IF(ComSemIOF=FALSE,0,-(D552+F552)*IOFAdic))</f>
        <v/>
      </c>
      <c r="J552" s="16" t="str">
        <f>IF(OR(TaxaJuros="",C552=""),"",D552+SUM(F552:I552))</f>
        <v/>
      </c>
      <c r="K552" s="67" t="str">
        <f>IF(OR(TaxaJuros="",C552=""),"",100%-J552/D552)</f>
        <v/>
      </c>
    </row>
    <row r="553" spans="5:11" x14ac:dyDescent="0.25">
      <c r="E553" s="15" t="str">
        <f>IF(OR(DataRecebimento="",C553=""),"",C553-$F$7)</f>
        <v/>
      </c>
      <c r="F553" s="16" t="str">
        <f>IF(OR(TaxaJuros="",C553=""),"",-D553*E553*($F$8/30))</f>
        <v/>
      </c>
      <c r="G553" s="16" t="str">
        <f>IF(OR(TaxaJuros="",C553=""),"",-$F$9)</f>
        <v/>
      </c>
      <c r="H553" s="21" t="str">
        <f>IF(OR(TaxaJuros="",C553=""),"",IF(ComSemIOF=FALSE,0,IF(E553&gt;365,-(D553+F553)*365*IOFDiario,-(D553+F553)*E553*IOFDiario)))</f>
        <v/>
      </c>
      <c r="I553" s="21" t="str">
        <f>IF(OR(TaxaJuros="",C553=""),"",IF(ComSemIOF=FALSE,0,-(D553+F553)*IOFAdic))</f>
        <v/>
      </c>
      <c r="J553" s="16" t="str">
        <f>IF(OR(TaxaJuros="",C553=""),"",D553+SUM(F553:I553))</f>
        <v/>
      </c>
      <c r="K553" s="67" t="str">
        <f>IF(OR(TaxaJuros="",C553=""),"",100%-J553/D553)</f>
        <v/>
      </c>
    </row>
    <row r="554" spans="5:11" x14ac:dyDescent="0.25">
      <c r="E554" s="15" t="str">
        <f>IF(OR(DataRecebimento="",C554=""),"",C554-$F$7)</f>
        <v/>
      </c>
      <c r="F554" s="16" t="str">
        <f>IF(OR(TaxaJuros="",C554=""),"",-D554*E554*($F$8/30))</f>
        <v/>
      </c>
      <c r="G554" s="16" t="str">
        <f>IF(OR(TaxaJuros="",C554=""),"",-$F$9)</f>
        <v/>
      </c>
      <c r="H554" s="21" t="str">
        <f>IF(OR(TaxaJuros="",C554=""),"",IF(ComSemIOF=FALSE,0,IF(E554&gt;365,-(D554+F554)*365*IOFDiario,-(D554+F554)*E554*IOFDiario)))</f>
        <v/>
      </c>
      <c r="I554" s="21" t="str">
        <f>IF(OR(TaxaJuros="",C554=""),"",IF(ComSemIOF=FALSE,0,-(D554+F554)*IOFAdic))</f>
        <v/>
      </c>
      <c r="J554" s="16" t="str">
        <f>IF(OR(TaxaJuros="",C554=""),"",D554+SUM(F554:I554))</f>
        <v/>
      </c>
      <c r="K554" s="67" t="str">
        <f>IF(OR(TaxaJuros="",C554=""),"",100%-J554/D554)</f>
        <v/>
      </c>
    </row>
    <row r="555" spans="5:11" x14ac:dyDescent="0.25">
      <c r="E555" s="15" t="str">
        <f>IF(OR(DataRecebimento="",C555=""),"",C555-$F$7)</f>
        <v/>
      </c>
      <c r="F555" s="16" t="str">
        <f>IF(OR(TaxaJuros="",C555=""),"",-D555*E555*($F$8/30))</f>
        <v/>
      </c>
      <c r="G555" s="16" t="str">
        <f>IF(OR(TaxaJuros="",C555=""),"",-$F$9)</f>
        <v/>
      </c>
      <c r="H555" s="21" t="str">
        <f>IF(OR(TaxaJuros="",C555=""),"",IF(ComSemIOF=FALSE,0,IF(E555&gt;365,-(D555+F555)*365*IOFDiario,-(D555+F555)*E555*IOFDiario)))</f>
        <v/>
      </c>
      <c r="I555" s="21" t="str">
        <f>IF(OR(TaxaJuros="",C555=""),"",IF(ComSemIOF=FALSE,0,-(D555+F555)*IOFAdic))</f>
        <v/>
      </c>
      <c r="J555" s="16" t="str">
        <f>IF(OR(TaxaJuros="",C555=""),"",D555+SUM(F555:I555))</f>
        <v/>
      </c>
      <c r="K555" s="67" t="str">
        <f>IF(OR(TaxaJuros="",C555=""),"",100%-J555/D555)</f>
        <v/>
      </c>
    </row>
    <row r="556" spans="5:11" x14ac:dyDescent="0.25">
      <c r="E556" s="15" t="str">
        <f>IF(OR(DataRecebimento="",C556=""),"",C556-$F$7)</f>
        <v/>
      </c>
      <c r="F556" s="16" t="str">
        <f>IF(OR(TaxaJuros="",C556=""),"",-D556*E556*($F$8/30))</f>
        <v/>
      </c>
      <c r="G556" s="16" t="str">
        <f>IF(OR(TaxaJuros="",C556=""),"",-$F$9)</f>
        <v/>
      </c>
      <c r="H556" s="21" t="str">
        <f>IF(OR(TaxaJuros="",C556=""),"",IF(ComSemIOF=FALSE,0,IF(E556&gt;365,-(D556+F556)*365*IOFDiario,-(D556+F556)*E556*IOFDiario)))</f>
        <v/>
      </c>
      <c r="I556" s="21" t="str">
        <f>IF(OR(TaxaJuros="",C556=""),"",IF(ComSemIOF=FALSE,0,-(D556+F556)*IOFAdic))</f>
        <v/>
      </c>
      <c r="J556" s="16" t="str">
        <f>IF(OR(TaxaJuros="",C556=""),"",D556+SUM(F556:I556))</f>
        <v/>
      </c>
      <c r="K556" s="67" t="str">
        <f>IF(OR(TaxaJuros="",C556=""),"",100%-J556/D556)</f>
        <v/>
      </c>
    </row>
    <row r="557" spans="5:11" x14ac:dyDescent="0.25">
      <c r="E557" s="15" t="str">
        <f>IF(OR(DataRecebimento="",C557=""),"",C557-$F$7)</f>
        <v/>
      </c>
      <c r="F557" s="16" t="str">
        <f>IF(OR(TaxaJuros="",C557=""),"",-D557*E557*($F$8/30))</f>
        <v/>
      </c>
      <c r="G557" s="16" t="str">
        <f>IF(OR(TaxaJuros="",C557=""),"",-$F$9)</f>
        <v/>
      </c>
      <c r="H557" s="21" t="str">
        <f>IF(OR(TaxaJuros="",C557=""),"",IF(ComSemIOF=FALSE,0,IF(E557&gt;365,-(D557+F557)*365*IOFDiario,-(D557+F557)*E557*IOFDiario)))</f>
        <v/>
      </c>
      <c r="I557" s="21" t="str">
        <f>IF(OR(TaxaJuros="",C557=""),"",IF(ComSemIOF=FALSE,0,-(D557+F557)*IOFAdic))</f>
        <v/>
      </c>
      <c r="J557" s="16" t="str">
        <f>IF(OR(TaxaJuros="",C557=""),"",D557+SUM(F557:I557))</f>
        <v/>
      </c>
      <c r="K557" s="67" t="str">
        <f>IF(OR(TaxaJuros="",C557=""),"",100%-J557/D557)</f>
        <v/>
      </c>
    </row>
    <row r="558" spans="5:11" x14ac:dyDescent="0.25">
      <c r="E558" s="15" t="str">
        <f>IF(OR(DataRecebimento="",C558=""),"",C558-$F$7)</f>
        <v/>
      </c>
      <c r="F558" s="16" t="str">
        <f>IF(OR(TaxaJuros="",C558=""),"",-D558*E558*($F$8/30))</f>
        <v/>
      </c>
      <c r="G558" s="16" t="str">
        <f>IF(OR(TaxaJuros="",C558=""),"",-$F$9)</f>
        <v/>
      </c>
      <c r="H558" s="21" t="str">
        <f>IF(OR(TaxaJuros="",C558=""),"",IF(ComSemIOF=FALSE,0,IF(E558&gt;365,-(D558+F558)*365*IOFDiario,-(D558+F558)*E558*IOFDiario)))</f>
        <v/>
      </c>
      <c r="I558" s="21" t="str">
        <f>IF(OR(TaxaJuros="",C558=""),"",IF(ComSemIOF=FALSE,0,-(D558+F558)*IOFAdic))</f>
        <v/>
      </c>
      <c r="J558" s="16" t="str">
        <f>IF(OR(TaxaJuros="",C558=""),"",D558+SUM(F558:I558))</f>
        <v/>
      </c>
      <c r="K558" s="67" t="str">
        <f>IF(OR(TaxaJuros="",C558=""),"",100%-J558/D558)</f>
        <v/>
      </c>
    </row>
    <row r="559" spans="5:11" x14ac:dyDescent="0.25">
      <c r="E559" s="15" t="str">
        <f>IF(OR(DataRecebimento="",C559=""),"",C559-$F$7)</f>
        <v/>
      </c>
      <c r="F559" s="16" t="str">
        <f>IF(OR(TaxaJuros="",C559=""),"",-D559*E559*($F$8/30))</f>
        <v/>
      </c>
      <c r="G559" s="16" t="str">
        <f>IF(OR(TaxaJuros="",C559=""),"",-$F$9)</f>
        <v/>
      </c>
      <c r="H559" s="21" t="str">
        <f>IF(OR(TaxaJuros="",C559=""),"",IF(ComSemIOF=FALSE,0,IF(E559&gt;365,-(D559+F559)*365*IOFDiario,-(D559+F559)*E559*IOFDiario)))</f>
        <v/>
      </c>
      <c r="I559" s="21" t="str">
        <f>IF(OR(TaxaJuros="",C559=""),"",IF(ComSemIOF=FALSE,0,-(D559+F559)*IOFAdic))</f>
        <v/>
      </c>
      <c r="J559" s="16" t="str">
        <f>IF(OR(TaxaJuros="",C559=""),"",D559+SUM(F559:I559))</f>
        <v/>
      </c>
      <c r="K559" s="67" t="str">
        <f>IF(OR(TaxaJuros="",C559=""),"",100%-J559/D559)</f>
        <v/>
      </c>
    </row>
    <row r="560" spans="5:11" x14ac:dyDescent="0.25">
      <c r="E560" s="15" t="str">
        <f>IF(OR(DataRecebimento="",C560=""),"",C560-$F$7)</f>
        <v/>
      </c>
      <c r="F560" s="16" t="str">
        <f>IF(OR(TaxaJuros="",C560=""),"",-D560*E560*($F$8/30))</f>
        <v/>
      </c>
      <c r="G560" s="16" t="str">
        <f>IF(OR(TaxaJuros="",C560=""),"",-$F$9)</f>
        <v/>
      </c>
      <c r="H560" s="21" t="str">
        <f>IF(OR(TaxaJuros="",C560=""),"",IF(ComSemIOF=FALSE,0,IF(E560&gt;365,-(D560+F560)*365*IOFDiario,-(D560+F560)*E560*IOFDiario)))</f>
        <v/>
      </c>
      <c r="I560" s="21" t="str">
        <f>IF(OR(TaxaJuros="",C560=""),"",IF(ComSemIOF=FALSE,0,-(D560+F560)*IOFAdic))</f>
        <v/>
      </c>
      <c r="J560" s="16" t="str">
        <f>IF(OR(TaxaJuros="",C560=""),"",D560+SUM(F560:I560))</f>
        <v/>
      </c>
      <c r="K560" s="67" t="str">
        <f>IF(OR(TaxaJuros="",C560=""),"",100%-J560/D560)</f>
        <v/>
      </c>
    </row>
    <row r="561" spans="5:11" x14ac:dyDescent="0.25">
      <c r="E561" s="15" t="str">
        <f>IF(OR(DataRecebimento="",C561=""),"",C561-$F$7)</f>
        <v/>
      </c>
      <c r="F561" s="16" t="str">
        <f>IF(OR(TaxaJuros="",C561=""),"",-D561*E561*($F$8/30))</f>
        <v/>
      </c>
      <c r="G561" s="16" t="str">
        <f>IF(OR(TaxaJuros="",C561=""),"",-$F$9)</f>
        <v/>
      </c>
      <c r="H561" s="21" t="str">
        <f>IF(OR(TaxaJuros="",C561=""),"",IF(ComSemIOF=FALSE,0,IF(E561&gt;365,-(D561+F561)*365*IOFDiario,-(D561+F561)*E561*IOFDiario)))</f>
        <v/>
      </c>
      <c r="I561" s="21" t="str">
        <f>IF(OR(TaxaJuros="",C561=""),"",IF(ComSemIOF=FALSE,0,-(D561+F561)*IOFAdic))</f>
        <v/>
      </c>
      <c r="J561" s="16" t="str">
        <f>IF(OR(TaxaJuros="",C561=""),"",D561+SUM(F561:I561))</f>
        <v/>
      </c>
      <c r="K561" s="67" t="str">
        <f>IF(OR(TaxaJuros="",C561=""),"",100%-J561/D561)</f>
        <v/>
      </c>
    </row>
    <row r="562" spans="5:11" x14ac:dyDescent="0.25">
      <c r="E562" s="15" t="str">
        <f>IF(OR(DataRecebimento="",C562=""),"",C562-$F$7)</f>
        <v/>
      </c>
      <c r="F562" s="16" t="str">
        <f>IF(OR(TaxaJuros="",C562=""),"",-D562*E562*($F$8/30))</f>
        <v/>
      </c>
      <c r="G562" s="16" t="str">
        <f>IF(OR(TaxaJuros="",C562=""),"",-$F$9)</f>
        <v/>
      </c>
      <c r="H562" s="21" t="str">
        <f>IF(OR(TaxaJuros="",C562=""),"",IF(ComSemIOF=FALSE,0,IF(E562&gt;365,-(D562+F562)*365*IOFDiario,-(D562+F562)*E562*IOFDiario)))</f>
        <v/>
      </c>
      <c r="I562" s="21" t="str">
        <f>IF(OR(TaxaJuros="",C562=""),"",IF(ComSemIOF=FALSE,0,-(D562+F562)*IOFAdic))</f>
        <v/>
      </c>
      <c r="J562" s="16" t="str">
        <f>IF(OR(TaxaJuros="",C562=""),"",D562+SUM(F562:I562))</f>
        <v/>
      </c>
      <c r="K562" s="67" t="str">
        <f>IF(OR(TaxaJuros="",C562=""),"",100%-J562/D562)</f>
        <v/>
      </c>
    </row>
    <row r="563" spans="5:11" x14ac:dyDescent="0.25">
      <c r="E563" s="15" t="str">
        <f>IF(OR(DataRecebimento="",C563=""),"",C563-$F$7)</f>
        <v/>
      </c>
      <c r="F563" s="16" t="str">
        <f>IF(OR(TaxaJuros="",C563=""),"",-D563*E563*($F$8/30))</f>
        <v/>
      </c>
      <c r="G563" s="16" t="str">
        <f>IF(OR(TaxaJuros="",C563=""),"",-$F$9)</f>
        <v/>
      </c>
      <c r="H563" s="21" t="str">
        <f>IF(OR(TaxaJuros="",C563=""),"",IF(ComSemIOF=FALSE,0,IF(E563&gt;365,-(D563+F563)*365*IOFDiario,-(D563+F563)*E563*IOFDiario)))</f>
        <v/>
      </c>
      <c r="I563" s="21" t="str">
        <f>IF(OR(TaxaJuros="",C563=""),"",IF(ComSemIOF=FALSE,0,-(D563+F563)*IOFAdic))</f>
        <v/>
      </c>
      <c r="J563" s="16" t="str">
        <f>IF(OR(TaxaJuros="",C563=""),"",D563+SUM(F563:I563))</f>
        <v/>
      </c>
      <c r="K563" s="67" t="str">
        <f>IF(OR(TaxaJuros="",C563=""),"",100%-J563/D563)</f>
        <v/>
      </c>
    </row>
    <row r="564" spans="5:11" x14ac:dyDescent="0.25">
      <c r="E564" s="15" t="str">
        <f>IF(OR(DataRecebimento="",C564=""),"",C564-$F$7)</f>
        <v/>
      </c>
      <c r="F564" s="16" t="str">
        <f>IF(OR(TaxaJuros="",C564=""),"",-D564*E564*($F$8/30))</f>
        <v/>
      </c>
      <c r="G564" s="16" t="str">
        <f>IF(OR(TaxaJuros="",C564=""),"",-$F$9)</f>
        <v/>
      </c>
      <c r="H564" s="21" t="str">
        <f>IF(OR(TaxaJuros="",C564=""),"",IF(ComSemIOF=FALSE,0,IF(E564&gt;365,-(D564+F564)*365*IOFDiario,-(D564+F564)*E564*IOFDiario)))</f>
        <v/>
      </c>
      <c r="I564" s="21" t="str">
        <f>IF(OR(TaxaJuros="",C564=""),"",IF(ComSemIOF=FALSE,0,-(D564+F564)*IOFAdic))</f>
        <v/>
      </c>
      <c r="J564" s="16" t="str">
        <f>IF(OR(TaxaJuros="",C564=""),"",D564+SUM(F564:I564))</f>
        <v/>
      </c>
      <c r="K564" s="67" t="str">
        <f>IF(OR(TaxaJuros="",C564=""),"",100%-J564/D564)</f>
        <v/>
      </c>
    </row>
    <row r="565" spans="5:11" x14ac:dyDescent="0.25">
      <c r="E565" s="15" t="str">
        <f>IF(OR(DataRecebimento="",C565=""),"",C565-$F$7)</f>
        <v/>
      </c>
      <c r="F565" s="16" t="str">
        <f>IF(OR(TaxaJuros="",C565=""),"",-D565*E565*($F$8/30))</f>
        <v/>
      </c>
      <c r="G565" s="16" t="str">
        <f>IF(OR(TaxaJuros="",C565=""),"",-$F$9)</f>
        <v/>
      </c>
      <c r="H565" s="21" t="str">
        <f>IF(OR(TaxaJuros="",C565=""),"",IF(ComSemIOF=FALSE,0,IF(E565&gt;365,-(D565+F565)*365*IOFDiario,-(D565+F565)*E565*IOFDiario)))</f>
        <v/>
      </c>
      <c r="I565" s="21" t="str">
        <f>IF(OR(TaxaJuros="",C565=""),"",IF(ComSemIOF=FALSE,0,-(D565+F565)*IOFAdic))</f>
        <v/>
      </c>
      <c r="J565" s="16" t="str">
        <f>IF(OR(TaxaJuros="",C565=""),"",D565+SUM(F565:I565))</f>
        <v/>
      </c>
      <c r="K565" s="67" t="str">
        <f>IF(OR(TaxaJuros="",C565=""),"",100%-J565/D565)</f>
        <v/>
      </c>
    </row>
    <row r="566" spans="5:11" x14ac:dyDescent="0.25">
      <c r="E566" s="15" t="str">
        <f>IF(OR(DataRecebimento="",C566=""),"",C566-$F$7)</f>
        <v/>
      </c>
      <c r="F566" s="16" t="str">
        <f>IF(OR(TaxaJuros="",C566=""),"",-D566*E566*($F$8/30))</f>
        <v/>
      </c>
      <c r="G566" s="16" t="str">
        <f>IF(OR(TaxaJuros="",C566=""),"",-$F$9)</f>
        <v/>
      </c>
      <c r="H566" s="21" t="str">
        <f>IF(OR(TaxaJuros="",C566=""),"",IF(ComSemIOF=FALSE,0,IF(E566&gt;365,-(D566+F566)*365*IOFDiario,-(D566+F566)*E566*IOFDiario)))</f>
        <v/>
      </c>
      <c r="I566" s="21" t="str">
        <f>IF(OR(TaxaJuros="",C566=""),"",IF(ComSemIOF=FALSE,0,-(D566+F566)*IOFAdic))</f>
        <v/>
      </c>
      <c r="J566" s="16" t="str">
        <f>IF(OR(TaxaJuros="",C566=""),"",D566+SUM(F566:I566))</f>
        <v/>
      </c>
      <c r="K566" s="67" t="str">
        <f>IF(OR(TaxaJuros="",C566=""),"",100%-J566/D566)</f>
        <v/>
      </c>
    </row>
    <row r="567" spans="5:11" x14ac:dyDescent="0.25">
      <c r="E567" s="15" t="str">
        <f>IF(OR(DataRecebimento="",C567=""),"",C567-$F$7)</f>
        <v/>
      </c>
      <c r="F567" s="16" t="str">
        <f>IF(OR(TaxaJuros="",C567=""),"",-D567*E567*($F$8/30))</f>
        <v/>
      </c>
      <c r="G567" s="16" t="str">
        <f>IF(OR(TaxaJuros="",C567=""),"",-$F$9)</f>
        <v/>
      </c>
      <c r="H567" s="21" t="str">
        <f>IF(OR(TaxaJuros="",C567=""),"",IF(ComSemIOF=FALSE,0,IF(E567&gt;365,-(D567+F567)*365*IOFDiario,-(D567+F567)*E567*IOFDiario)))</f>
        <v/>
      </c>
      <c r="I567" s="21" t="str">
        <f>IF(OR(TaxaJuros="",C567=""),"",IF(ComSemIOF=FALSE,0,-(D567+F567)*IOFAdic))</f>
        <v/>
      </c>
      <c r="J567" s="16" t="str">
        <f>IF(OR(TaxaJuros="",C567=""),"",D567+SUM(F567:I567))</f>
        <v/>
      </c>
      <c r="K567" s="67" t="str">
        <f>IF(OR(TaxaJuros="",C567=""),"",100%-J567/D567)</f>
        <v/>
      </c>
    </row>
    <row r="568" spans="5:11" x14ac:dyDescent="0.25">
      <c r="E568" s="15" t="str">
        <f>IF(OR(DataRecebimento="",C568=""),"",C568-$F$7)</f>
        <v/>
      </c>
      <c r="F568" s="16" t="str">
        <f>IF(OR(TaxaJuros="",C568=""),"",-D568*E568*($F$8/30))</f>
        <v/>
      </c>
      <c r="G568" s="16" t="str">
        <f>IF(OR(TaxaJuros="",C568=""),"",-$F$9)</f>
        <v/>
      </c>
      <c r="H568" s="21" t="str">
        <f>IF(OR(TaxaJuros="",C568=""),"",IF(ComSemIOF=FALSE,0,IF(E568&gt;365,-(D568+F568)*365*IOFDiario,-(D568+F568)*E568*IOFDiario)))</f>
        <v/>
      </c>
      <c r="I568" s="21" t="str">
        <f>IF(OR(TaxaJuros="",C568=""),"",IF(ComSemIOF=FALSE,0,-(D568+F568)*IOFAdic))</f>
        <v/>
      </c>
      <c r="J568" s="16" t="str">
        <f>IF(OR(TaxaJuros="",C568=""),"",D568+SUM(F568:I568))</f>
        <v/>
      </c>
      <c r="K568" s="67" t="str">
        <f>IF(OR(TaxaJuros="",C568=""),"",100%-J568/D568)</f>
        <v/>
      </c>
    </row>
    <row r="569" spans="5:11" x14ac:dyDescent="0.25">
      <c r="E569" s="15" t="str">
        <f>IF(OR(DataRecebimento="",C569=""),"",C569-$F$7)</f>
        <v/>
      </c>
      <c r="F569" s="16" t="str">
        <f>IF(OR(TaxaJuros="",C569=""),"",-D569*E569*($F$8/30))</f>
        <v/>
      </c>
      <c r="G569" s="16" t="str">
        <f>IF(OR(TaxaJuros="",C569=""),"",-$F$9)</f>
        <v/>
      </c>
      <c r="H569" s="21" t="str">
        <f>IF(OR(TaxaJuros="",C569=""),"",IF(ComSemIOF=FALSE,0,IF(E569&gt;365,-(D569+F569)*365*IOFDiario,-(D569+F569)*E569*IOFDiario)))</f>
        <v/>
      </c>
      <c r="I569" s="21" t="str">
        <f>IF(OR(TaxaJuros="",C569=""),"",IF(ComSemIOF=FALSE,0,-(D569+F569)*IOFAdic))</f>
        <v/>
      </c>
      <c r="J569" s="16" t="str">
        <f>IF(OR(TaxaJuros="",C569=""),"",D569+SUM(F569:I569))</f>
        <v/>
      </c>
      <c r="K569" s="67" t="str">
        <f>IF(OR(TaxaJuros="",C569=""),"",100%-J569/D569)</f>
        <v/>
      </c>
    </row>
    <row r="570" spans="5:11" x14ac:dyDescent="0.25">
      <c r="E570" s="15" t="str">
        <f>IF(OR(DataRecebimento="",C570=""),"",C570-$F$7)</f>
        <v/>
      </c>
      <c r="F570" s="16" t="str">
        <f>IF(OR(TaxaJuros="",C570=""),"",-D570*E570*($F$8/30))</f>
        <v/>
      </c>
      <c r="G570" s="16" t="str">
        <f>IF(OR(TaxaJuros="",C570=""),"",-$F$9)</f>
        <v/>
      </c>
      <c r="H570" s="21" t="str">
        <f>IF(OR(TaxaJuros="",C570=""),"",IF(ComSemIOF=FALSE,0,IF(E570&gt;365,-(D570+F570)*365*IOFDiario,-(D570+F570)*E570*IOFDiario)))</f>
        <v/>
      </c>
      <c r="I570" s="21" t="str">
        <f>IF(OR(TaxaJuros="",C570=""),"",IF(ComSemIOF=FALSE,0,-(D570+F570)*IOFAdic))</f>
        <v/>
      </c>
      <c r="J570" s="16" t="str">
        <f>IF(OR(TaxaJuros="",C570=""),"",D570+SUM(F570:I570))</f>
        <v/>
      </c>
      <c r="K570" s="67" t="str">
        <f>IF(OR(TaxaJuros="",C570=""),"",100%-J570/D570)</f>
        <v/>
      </c>
    </row>
    <row r="571" spans="5:11" x14ac:dyDescent="0.25">
      <c r="E571" s="15" t="str">
        <f>IF(OR(DataRecebimento="",C571=""),"",C571-$F$7)</f>
        <v/>
      </c>
      <c r="F571" s="16" t="str">
        <f>IF(OR(TaxaJuros="",C571=""),"",-D571*E571*($F$8/30))</f>
        <v/>
      </c>
      <c r="G571" s="16" t="str">
        <f>IF(OR(TaxaJuros="",C571=""),"",-$F$9)</f>
        <v/>
      </c>
      <c r="H571" s="21" t="str">
        <f>IF(OR(TaxaJuros="",C571=""),"",IF(ComSemIOF=FALSE,0,IF(E571&gt;365,-(D571+F571)*365*IOFDiario,-(D571+F571)*E571*IOFDiario)))</f>
        <v/>
      </c>
      <c r="I571" s="21" t="str">
        <f>IF(OR(TaxaJuros="",C571=""),"",IF(ComSemIOF=FALSE,0,-(D571+F571)*IOFAdic))</f>
        <v/>
      </c>
      <c r="J571" s="16" t="str">
        <f>IF(OR(TaxaJuros="",C571=""),"",D571+SUM(F571:I571))</f>
        <v/>
      </c>
      <c r="K571" s="67" t="str">
        <f>IF(OR(TaxaJuros="",C571=""),"",100%-J571/D571)</f>
        <v/>
      </c>
    </row>
    <row r="572" spans="5:11" x14ac:dyDescent="0.25">
      <c r="E572" s="15" t="str">
        <f>IF(OR(DataRecebimento="",C572=""),"",C572-$F$7)</f>
        <v/>
      </c>
      <c r="F572" s="16" t="str">
        <f>IF(OR(TaxaJuros="",C572=""),"",-D572*E572*($F$8/30))</f>
        <v/>
      </c>
      <c r="G572" s="16" t="str">
        <f>IF(OR(TaxaJuros="",C572=""),"",-$F$9)</f>
        <v/>
      </c>
      <c r="H572" s="21" t="str">
        <f>IF(OR(TaxaJuros="",C572=""),"",IF(ComSemIOF=FALSE,0,IF(E572&gt;365,-(D572+F572)*365*IOFDiario,-(D572+F572)*E572*IOFDiario)))</f>
        <v/>
      </c>
      <c r="I572" s="21" t="str">
        <f>IF(OR(TaxaJuros="",C572=""),"",IF(ComSemIOF=FALSE,0,-(D572+F572)*IOFAdic))</f>
        <v/>
      </c>
      <c r="J572" s="16" t="str">
        <f>IF(OR(TaxaJuros="",C572=""),"",D572+SUM(F572:I572))</f>
        <v/>
      </c>
      <c r="K572" s="67" t="str">
        <f>IF(OR(TaxaJuros="",C572=""),"",100%-J572/D572)</f>
        <v/>
      </c>
    </row>
    <row r="573" spans="5:11" x14ac:dyDescent="0.25">
      <c r="E573" s="15" t="str">
        <f>IF(OR(DataRecebimento="",C573=""),"",C573-$F$7)</f>
        <v/>
      </c>
      <c r="F573" s="16" t="str">
        <f>IF(OR(TaxaJuros="",C573=""),"",-D573*E573*($F$8/30))</f>
        <v/>
      </c>
      <c r="G573" s="16" t="str">
        <f>IF(OR(TaxaJuros="",C573=""),"",-$F$9)</f>
        <v/>
      </c>
      <c r="H573" s="21" t="str">
        <f>IF(OR(TaxaJuros="",C573=""),"",IF(ComSemIOF=FALSE,0,IF(E573&gt;365,-(D573+F573)*365*IOFDiario,-(D573+F573)*E573*IOFDiario)))</f>
        <v/>
      </c>
      <c r="I573" s="21" t="str">
        <f>IF(OR(TaxaJuros="",C573=""),"",IF(ComSemIOF=FALSE,0,-(D573+F573)*IOFAdic))</f>
        <v/>
      </c>
      <c r="J573" s="16" t="str">
        <f>IF(OR(TaxaJuros="",C573=""),"",D573+SUM(F573:I573))</f>
        <v/>
      </c>
      <c r="K573" s="67" t="str">
        <f>IF(OR(TaxaJuros="",C573=""),"",100%-J573/D573)</f>
        <v/>
      </c>
    </row>
    <row r="574" spans="5:11" x14ac:dyDescent="0.25">
      <c r="E574" s="15" t="str">
        <f>IF(OR(DataRecebimento="",C574=""),"",C574-$F$7)</f>
        <v/>
      </c>
      <c r="F574" s="16" t="str">
        <f>IF(OR(TaxaJuros="",C574=""),"",-D574*E574*($F$8/30))</f>
        <v/>
      </c>
      <c r="G574" s="16" t="str">
        <f>IF(OR(TaxaJuros="",C574=""),"",-$F$9)</f>
        <v/>
      </c>
      <c r="H574" s="21" t="str">
        <f>IF(OR(TaxaJuros="",C574=""),"",IF(ComSemIOF=FALSE,0,IF(E574&gt;365,-(D574+F574)*365*IOFDiario,-(D574+F574)*E574*IOFDiario)))</f>
        <v/>
      </c>
      <c r="I574" s="21" t="str">
        <f>IF(OR(TaxaJuros="",C574=""),"",IF(ComSemIOF=FALSE,0,-(D574+F574)*IOFAdic))</f>
        <v/>
      </c>
      <c r="J574" s="16" t="str">
        <f>IF(OR(TaxaJuros="",C574=""),"",D574+SUM(F574:I574))</f>
        <v/>
      </c>
      <c r="K574" s="67" t="str">
        <f>IF(OR(TaxaJuros="",C574=""),"",100%-J574/D574)</f>
        <v/>
      </c>
    </row>
    <row r="575" spans="5:11" x14ac:dyDescent="0.25">
      <c r="E575" s="15" t="str">
        <f>IF(OR(DataRecebimento="",C575=""),"",C575-$F$7)</f>
        <v/>
      </c>
      <c r="F575" s="16" t="str">
        <f>IF(OR(TaxaJuros="",C575=""),"",-D575*E575*($F$8/30))</f>
        <v/>
      </c>
      <c r="G575" s="16" t="str">
        <f>IF(OR(TaxaJuros="",C575=""),"",-$F$9)</f>
        <v/>
      </c>
      <c r="H575" s="21" t="str">
        <f>IF(OR(TaxaJuros="",C575=""),"",IF(ComSemIOF=FALSE,0,IF(E575&gt;365,-(D575+F575)*365*IOFDiario,-(D575+F575)*E575*IOFDiario)))</f>
        <v/>
      </c>
      <c r="I575" s="21" t="str">
        <f>IF(OR(TaxaJuros="",C575=""),"",IF(ComSemIOF=FALSE,0,-(D575+F575)*IOFAdic))</f>
        <v/>
      </c>
      <c r="J575" s="16" t="str">
        <f>IF(OR(TaxaJuros="",C575=""),"",D575+SUM(F575:I575))</f>
        <v/>
      </c>
      <c r="K575" s="67" t="str">
        <f>IF(OR(TaxaJuros="",C575=""),"",100%-J575/D575)</f>
        <v/>
      </c>
    </row>
    <row r="576" spans="5:11" x14ac:dyDescent="0.25">
      <c r="E576" s="15" t="str">
        <f>IF(OR(DataRecebimento="",C576=""),"",C576-$F$7)</f>
        <v/>
      </c>
      <c r="F576" s="16" t="str">
        <f>IF(OR(TaxaJuros="",C576=""),"",-D576*E576*($F$8/30))</f>
        <v/>
      </c>
      <c r="G576" s="16" t="str">
        <f>IF(OR(TaxaJuros="",C576=""),"",-$F$9)</f>
        <v/>
      </c>
      <c r="H576" s="21" t="str">
        <f>IF(OR(TaxaJuros="",C576=""),"",IF(ComSemIOF=FALSE,0,IF(E576&gt;365,-(D576+F576)*365*IOFDiario,-(D576+F576)*E576*IOFDiario)))</f>
        <v/>
      </c>
      <c r="I576" s="21" t="str">
        <f>IF(OR(TaxaJuros="",C576=""),"",IF(ComSemIOF=FALSE,0,-(D576+F576)*IOFAdic))</f>
        <v/>
      </c>
      <c r="J576" s="16" t="str">
        <f>IF(OR(TaxaJuros="",C576=""),"",D576+SUM(F576:I576))</f>
        <v/>
      </c>
      <c r="K576" s="67" t="str">
        <f>IF(OR(TaxaJuros="",C576=""),"",100%-J576/D576)</f>
        <v/>
      </c>
    </row>
    <row r="577" spans="5:11" x14ac:dyDescent="0.25">
      <c r="E577" s="15" t="str">
        <f>IF(OR(DataRecebimento="",C577=""),"",C577-$F$7)</f>
        <v/>
      </c>
      <c r="F577" s="16" t="str">
        <f>IF(OR(TaxaJuros="",C577=""),"",-D577*E577*($F$8/30))</f>
        <v/>
      </c>
      <c r="G577" s="16" t="str">
        <f>IF(OR(TaxaJuros="",C577=""),"",-$F$9)</f>
        <v/>
      </c>
      <c r="H577" s="21" t="str">
        <f>IF(OR(TaxaJuros="",C577=""),"",IF(ComSemIOF=FALSE,0,IF(E577&gt;365,-(D577+F577)*365*IOFDiario,-(D577+F577)*E577*IOFDiario)))</f>
        <v/>
      </c>
      <c r="I577" s="21" t="str">
        <f>IF(OR(TaxaJuros="",C577=""),"",IF(ComSemIOF=FALSE,0,-(D577+F577)*IOFAdic))</f>
        <v/>
      </c>
      <c r="J577" s="16" t="str">
        <f>IF(OR(TaxaJuros="",C577=""),"",D577+SUM(F577:I577))</f>
        <v/>
      </c>
      <c r="K577" s="67" t="str">
        <f>IF(OR(TaxaJuros="",C577=""),"",100%-J577/D577)</f>
        <v/>
      </c>
    </row>
    <row r="578" spans="5:11" x14ac:dyDescent="0.25">
      <c r="E578" s="15" t="str">
        <f>IF(OR(DataRecebimento="",C578=""),"",C578-$F$7)</f>
        <v/>
      </c>
      <c r="F578" s="16" t="str">
        <f>IF(OR(TaxaJuros="",C578=""),"",-D578*E578*($F$8/30))</f>
        <v/>
      </c>
      <c r="G578" s="16" t="str">
        <f>IF(OR(TaxaJuros="",C578=""),"",-$F$9)</f>
        <v/>
      </c>
      <c r="H578" s="21" t="str">
        <f>IF(OR(TaxaJuros="",C578=""),"",IF(ComSemIOF=FALSE,0,IF(E578&gt;365,-(D578+F578)*365*IOFDiario,-(D578+F578)*E578*IOFDiario)))</f>
        <v/>
      </c>
      <c r="I578" s="21" t="str">
        <f>IF(OR(TaxaJuros="",C578=""),"",IF(ComSemIOF=FALSE,0,-(D578+F578)*IOFAdic))</f>
        <v/>
      </c>
      <c r="J578" s="16" t="str">
        <f>IF(OR(TaxaJuros="",C578=""),"",D578+SUM(F578:I578))</f>
        <v/>
      </c>
      <c r="K578" s="67" t="str">
        <f>IF(OR(TaxaJuros="",C578=""),"",100%-J578/D578)</f>
        <v/>
      </c>
    </row>
    <row r="579" spans="5:11" x14ac:dyDescent="0.25">
      <c r="E579" s="15" t="str">
        <f>IF(OR(DataRecebimento="",C579=""),"",C579-$F$7)</f>
        <v/>
      </c>
      <c r="F579" s="16" t="str">
        <f>IF(OR(TaxaJuros="",C579=""),"",-D579*E579*($F$8/30))</f>
        <v/>
      </c>
      <c r="G579" s="16" t="str">
        <f>IF(OR(TaxaJuros="",C579=""),"",-$F$9)</f>
        <v/>
      </c>
      <c r="H579" s="21" t="str">
        <f>IF(OR(TaxaJuros="",C579=""),"",IF(ComSemIOF=FALSE,0,IF(E579&gt;365,-(D579+F579)*365*IOFDiario,-(D579+F579)*E579*IOFDiario)))</f>
        <v/>
      </c>
      <c r="I579" s="21" t="str">
        <f>IF(OR(TaxaJuros="",C579=""),"",IF(ComSemIOF=FALSE,0,-(D579+F579)*IOFAdic))</f>
        <v/>
      </c>
      <c r="J579" s="16" t="str">
        <f>IF(OR(TaxaJuros="",C579=""),"",D579+SUM(F579:I579))</f>
        <v/>
      </c>
      <c r="K579" s="67" t="str">
        <f>IF(OR(TaxaJuros="",C579=""),"",100%-J579/D579)</f>
        <v/>
      </c>
    </row>
    <row r="580" spans="5:11" x14ac:dyDescent="0.25">
      <c r="E580" s="15" t="str">
        <f>IF(OR(DataRecebimento="",C580=""),"",C580-$F$7)</f>
        <v/>
      </c>
      <c r="F580" s="16" t="str">
        <f>IF(OR(TaxaJuros="",C580=""),"",-D580*E580*($F$8/30))</f>
        <v/>
      </c>
      <c r="G580" s="16" t="str">
        <f>IF(OR(TaxaJuros="",C580=""),"",-$F$9)</f>
        <v/>
      </c>
      <c r="H580" s="21" t="str">
        <f>IF(OR(TaxaJuros="",C580=""),"",IF(ComSemIOF=FALSE,0,IF(E580&gt;365,-(D580+F580)*365*IOFDiario,-(D580+F580)*E580*IOFDiario)))</f>
        <v/>
      </c>
      <c r="I580" s="21" t="str">
        <f>IF(OR(TaxaJuros="",C580=""),"",IF(ComSemIOF=FALSE,0,-(D580+F580)*IOFAdic))</f>
        <v/>
      </c>
      <c r="J580" s="16" t="str">
        <f>IF(OR(TaxaJuros="",C580=""),"",D580+SUM(F580:I580))</f>
        <v/>
      </c>
      <c r="K580" s="67" t="str">
        <f>IF(OR(TaxaJuros="",C580=""),"",100%-J580/D580)</f>
        <v/>
      </c>
    </row>
    <row r="581" spans="5:11" x14ac:dyDescent="0.25">
      <c r="E581" s="15" t="str">
        <f>IF(OR(DataRecebimento="",C581=""),"",C581-$F$7)</f>
        <v/>
      </c>
      <c r="F581" s="16" t="str">
        <f>IF(OR(TaxaJuros="",C581=""),"",-D581*E581*($F$8/30))</f>
        <v/>
      </c>
      <c r="G581" s="16" t="str">
        <f>IF(OR(TaxaJuros="",C581=""),"",-$F$9)</f>
        <v/>
      </c>
      <c r="H581" s="21" t="str">
        <f>IF(OR(TaxaJuros="",C581=""),"",IF(ComSemIOF=FALSE,0,IF(E581&gt;365,-(D581+F581)*365*IOFDiario,-(D581+F581)*E581*IOFDiario)))</f>
        <v/>
      </c>
      <c r="I581" s="21" t="str">
        <f>IF(OR(TaxaJuros="",C581=""),"",IF(ComSemIOF=FALSE,0,-(D581+F581)*IOFAdic))</f>
        <v/>
      </c>
      <c r="J581" s="16" t="str">
        <f>IF(OR(TaxaJuros="",C581=""),"",D581+SUM(F581:I581))</f>
        <v/>
      </c>
      <c r="K581" s="67" t="str">
        <f>IF(OR(TaxaJuros="",C581=""),"",100%-J581/D581)</f>
        <v/>
      </c>
    </row>
    <row r="582" spans="5:11" x14ac:dyDescent="0.25">
      <c r="E582" s="15" t="str">
        <f>IF(OR(DataRecebimento="",C582=""),"",C582-$F$7)</f>
        <v/>
      </c>
      <c r="F582" s="16" t="str">
        <f>IF(OR(TaxaJuros="",C582=""),"",-D582*E582*($F$8/30))</f>
        <v/>
      </c>
      <c r="G582" s="16" t="str">
        <f>IF(OR(TaxaJuros="",C582=""),"",-$F$9)</f>
        <v/>
      </c>
      <c r="H582" s="21" t="str">
        <f>IF(OR(TaxaJuros="",C582=""),"",IF(ComSemIOF=FALSE,0,IF(E582&gt;365,-(D582+F582)*365*IOFDiario,-(D582+F582)*E582*IOFDiario)))</f>
        <v/>
      </c>
      <c r="I582" s="21" t="str">
        <f>IF(OR(TaxaJuros="",C582=""),"",IF(ComSemIOF=FALSE,0,-(D582+F582)*IOFAdic))</f>
        <v/>
      </c>
      <c r="J582" s="16" t="str">
        <f>IF(OR(TaxaJuros="",C582=""),"",D582+SUM(F582:I582))</f>
        <v/>
      </c>
      <c r="K582" s="67" t="str">
        <f>IF(OR(TaxaJuros="",C582=""),"",100%-J582/D582)</f>
        <v/>
      </c>
    </row>
    <row r="583" spans="5:11" x14ac:dyDescent="0.25">
      <c r="E583" s="15" t="str">
        <f>IF(OR(DataRecebimento="",C583=""),"",C583-$F$7)</f>
        <v/>
      </c>
      <c r="F583" s="16" t="str">
        <f>IF(OR(TaxaJuros="",C583=""),"",-D583*E583*($F$8/30))</f>
        <v/>
      </c>
      <c r="G583" s="16" t="str">
        <f>IF(OR(TaxaJuros="",C583=""),"",-$F$9)</f>
        <v/>
      </c>
      <c r="H583" s="21" t="str">
        <f>IF(OR(TaxaJuros="",C583=""),"",IF(ComSemIOF=FALSE,0,IF(E583&gt;365,-(D583+F583)*365*IOFDiario,-(D583+F583)*E583*IOFDiario)))</f>
        <v/>
      </c>
      <c r="I583" s="21" t="str">
        <f>IF(OR(TaxaJuros="",C583=""),"",IF(ComSemIOF=FALSE,0,-(D583+F583)*IOFAdic))</f>
        <v/>
      </c>
      <c r="J583" s="16" t="str">
        <f>IF(OR(TaxaJuros="",C583=""),"",D583+SUM(F583:I583))</f>
        <v/>
      </c>
      <c r="K583" s="67" t="str">
        <f>IF(OR(TaxaJuros="",C583=""),"",100%-J583/D583)</f>
        <v/>
      </c>
    </row>
    <row r="584" spans="5:11" x14ac:dyDescent="0.25">
      <c r="E584" s="15" t="str">
        <f>IF(OR(DataRecebimento="",C584=""),"",C584-$F$7)</f>
        <v/>
      </c>
      <c r="F584" s="16" t="str">
        <f>IF(OR(TaxaJuros="",C584=""),"",-D584*E584*($F$8/30))</f>
        <v/>
      </c>
      <c r="G584" s="16" t="str">
        <f>IF(OR(TaxaJuros="",C584=""),"",-$F$9)</f>
        <v/>
      </c>
      <c r="H584" s="21" t="str">
        <f>IF(OR(TaxaJuros="",C584=""),"",IF(ComSemIOF=FALSE,0,IF(E584&gt;365,-(D584+F584)*365*IOFDiario,-(D584+F584)*E584*IOFDiario)))</f>
        <v/>
      </c>
      <c r="I584" s="21" t="str">
        <f>IF(OR(TaxaJuros="",C584=""),"",IF(ComSemIOF=FALSE,0,-(D584+F584)*IOFAdic))</f>
        <v/>
      </c>
      <c r="J584" s="16" t="str">
        <f>IF(OR(TaxaJuros="",C584=""),"",D584+SUM(F584:I584))</f>
        <v/>
      </c>
      <c r="K584" s="67" t="str">
        <f>IF(OR(TaxaJuros="",C584=""),"",100%-J584/D584)</f>
        <v/>
      </c>
    </row>
    <row r="585" spans="5:11" x14ac:dyDescent="0.25">
      <c r="E585" s="15" t="str">
        <f>IF(OR(DataRecebimento="",C585=""),"",C585-$F$7)</f>
        <v/>
      </c>
      <c r="F585" s="16" t="str">
        <f>IF(OR(TaxaJuros="",C585=""),"",-D585*E585*($F$8/30))</f>
        <v/>
      </c>
      <c r="G585" s="16" t="str">
        <f>IF(OR(TaxaJuros="",C585=""),"",-$F$9)</f>
        <v/>
      </c>
      <c r="H585" s="21" t="str">
        <f>IF(OR(TaxaJuros="",C585=""),"",IF(ComSemIOF=FALSE,0,IF(E585&gt;365,-(D585+F585)*365*IOFDiario,-(D585+F585)*E585*IOFDiario)))</f>
        <v/>
      </c>
      <c r="I585" s="21" t="str">
        <f>IF(OR(TaxaJuros="",C585=""),"",IF(ComSemIOF=FALSE,0,-(D585+F585)*IOFAdic))</f>
        <v/>
      </c>
      <c r="J585" s="16" t="str">
        <f>IF(OR(TaxaJuros="",C585=""),"",D585+SUM(F585:I585))</f>
        <v/>
      </c>
      <c r="K585" s="67" t="str">
        <f>IF(OR(TaxaJuros="",C585=""),"",100%-J585/D585)</f>
        <v/>
      </c>
    </row>
    <row r="586" spans="5:11" x14ac:dyDescent="0.25">
      <c r="E586" s="15" t="str">
        <f>IF(OR(DataRecebimento="",C586=""),"",C586-$F$7)</f>
        <v/>
      </c>
      <c r="F586" s="16" t="str">
        <f>IF(OR(TaxaJuros="",C586=""),"",-D586*E586*($F$8/30))</f>
        <v/>
      </c>
      <c r="G586" s="16" t="str">
        <f>IF(OR(TaxaJuros="",C586=""),"",-$F$9)</f>
        <v/>
      </c>
      <c r="H586" s="21" t="str">
        <f>IF(OR(TaxaJuros="",C586=""),"",IF(ComSemIOF=FALSE,0,IF(E586&gt;365,-(D586+F586)*365*IOFDiario,-(D586+F586)*E586*IOFDiario)))</f>
        <v/>
      </c>
      <c r="I586" s="21" t="str">
        <f>IF(OR(TaxaJuros="",C586=""),"",IF(ComSemIOF=FALSE,0,-(D586+F586)*IOFAdic))</f>
        <v/>
      </c>
      <c r="J586" s="16" t="str">
        <f>IF(OR(TaxaJuros="",C586=""),"",D586+SUM(F586:I586))</f>
        <v/>
      </c>
      <c r="K586" s="67" t="str">
        <f>IF(OR(TaxaJuros="",C586=""),"",100%-J586/D586)</f>
        <v/>
      </c>
    </row>
    <row r="587" spans="5:11" x14ac:dyDescent="0.25">
      <c r="E587" s="15" t="str">
        <f>IF(OR(DataRecebimento="",C587=""),"",C587-$F$7)</f>
        <v/>
      </c>
      <c r="F587" s="16" t="str">
        <f>IF(OR(TaxaJuros="",C587=""),"",-D587*E587*($F$8/30))</f>
        <v/>
      </c>
      <c r="G587" s="16" t="str">
        <f>IF(OR(TaxaJuros="",C587=""),"",-$F$9)</f>
        <v/>
      </c>
      <c r="H587" s="21" t="str">
        <f>IF(OR(TaxaJuros="",C587=""),"",IF(ComSemIOF=FALSE,0,IF(E587&gt;365,-(D587+F587)*365*IOFDiario,-(D587+F587)*E587*IOFDiario)))</f>
        <v/>
      </c>
      <c r="I587" s="21" t="str">
        <f>IF(OR(TaxaJuros="",C587=""),"",IF(ComSemIOF=FALSE,0,-(D587+F587)*IOFAdic))</f>
        <v/>
      </c>
      <c r="J587" s="16" t="str">
        <f>IF(OR(TaxaJuros="",C587=""),"",D587+SUM(F587:I587))</f>
        <v/>
      </c>
      <c r="K587" s="67" t="str">
        <f>IF(OR(TaxaJuros="",C587=""),"",100%-J587/D587)</f>
        <v/>
      </c>
    </row>
    <row r="588" spans="5:11" x14ac:dyDescent="0.25">
      <c r="E588" s="15" t="str">
        <f>IF(OR(DataRecebimento="",C588=""),"",C588-$F$7)</f>
        <v/>
      </c>
      <c r="F588" s="16" t="str">
        <f>IF(OR(TaxaJuros="",C588=""),"",-D588*E588*($F$8/30))</f>
        <v/>
      </c>
      <c r="G588" s="16" t="str">
        <f>IF(OR(TaxaJuros="",C588=""),"",-$F$9)</f>
        <v/>
      </c>
      <c r="H588" s="21" t="str">
        <f>IF(OR(TaxaJuros="",C588=""),"",IF(ComSemIOF=FALSE,0,IF(E588&gt;365,-(D588+F588)*365*IOFDiario,-(D588+F588)*E588*IOFDiario)))</f>
        <v/>
      </c>
      <c r="I588" s="21" t="str">
        <f>IF(OR(TaxaJuros="",C588=""),"",IF(ComSemIOF=FALSE,0,-(D588+F588)*IOFAdic))</f>
        <v/>
      </c>
      <c r="J588" s="16" t="str">
        <f>IF(OR(TaxaJuros="",C588=""),"",D588+SUM(F588:I588))</f>
        <v/>
      </c>
      <c r="K588" s="67" t="str">
        <f>IF(OR(TaxaJuros="",C588=""),"",100%-J588/D588)</f>
        <v/>
      </c>
    </row>
    <row r="589" spans="5:11" x14ac:dyDescent="0.25">
      <c r="E589" s="15" t="str">
        <f>IF(OR(DataRecebimento="",C589=""),"",C589-$F$7)</f>
        <v/>
      </c>
      <c r="F589" s="16" t="str">
        <f>IF(OR(TaxaJuros="",C589=""),"",-D589*E589*($F$8/30))</f>
        <v/>
      </c>
      <c r="G589" s="16" t="str">
        <f>IF(OR(TaxaJuros="",C589=""),"",-$F$9)</f>
        <v/>
      </c>
      <c r="H589" s="21" t="str">
        <f>IF(OR(TaxaJuros="",C589=""),"",IF(ComSemIOF=FALSE,0,IF(E589&gt;365,-(D589+F589)*365*IOFDiario,-(D589+F589)*E589*IOFDiario)))</f>
        <v/>
      </c>
      <c r="I589" s="21" t="str">
        <f>IF(OR(TaxaJuros="",C589=""),"",IF(ComSemIOF=FALSE,0,-(D589+F589)*IOFAdic))</f>
        <v/>
      </c>
      <c r="J589" s="16" t="str">
        <f>IF(OR(TaxaJuros="",C589=""),"",D589+SUM(F589:I589))</f>
        <v/>
      </c>
      <c r="K589" s="67" t="str">
        <f>IF(OR(TaxaJuros="",C589=""),"",100%-J589/D589)</f>
        <v/>
      </c>
    </row>
    <row r="590" spans="5:11" x14ac:dyDescent="0.25">
      <c r="E590" s="15" t="str">
        <f>IF(OR(DataRecebimento="",C590=""),"",C590-$F$7)</f>
        <v/>
      </c>
      <c r="F590" s="16" t="str">
        <f>IF(OR(TaxaJuros="",C590=""),"",-D590*E590*($F$8/30))</f>
        <v/>
      </c>
      <c r="G590" s="16" t="str">
        <f>IF(OR(TaxaJuros="",C590=""),"",-$F$9)</f>
        <v/>
      </c>
      <c r="H590" s="21" t="str">
        <f>IF(OR(TaxaJuros="",C590=""),"",IF(ComSemIOF=FALSE,0,IF(E590&gt;365,-(D590+F590)*365*IOFDiario,-(D590+F590)*E590*IOFDiario)))</f>
        <v/>
      </c>
      <c r="I590" s="21" t="str">
        <f>IF(OR(TaxaJuros="",C590=""),"",IF(ComSemIOF=FALSE,0,-(D590+F590)*IOFAdic))</f>
        <v/>
      </c>
      <c r="J590" s="16" t="str">
        <f>IF(OR(TaxaJuros="",C590=""),"",D590+SUM(F590:I590))</f>
        <v/>
      </c>
      <c r="K590" s="67" t="str">
        <f>IF(OR(TaxaJuros="",C590=""),"",100%-J590/D590)</f>
        <v/>
      </c>
    </row>
    <row r="591" spans="5:11" x14ac:dyDescent="0.25">
      <c r="E591" s="15" t="str">
        <f>IF(OR(DataRecebimento="",C591=""),"",C591-$F$7)</f>
        <v/>
      </c>
      <c r="F591" s="16" t="str">
        <f>IF(OR(TaxaJuros="",C591=""),"",-D591*E591*($F$8/30))</f>
        <v/>
      </c>
      <c r="G591" s="16" t="str">
        <f>IF(OR(TaxaJuros="",C591=""),"",-$F$9)</f>
        <v/>
      </c>
      <c r="H591" s="21" t="str">
        <f>IF(OR(TaxaJuros="",C591=""),"",IF(ComSemIOF=FALSE,0,IF(E591&gt;365,-(D591+F591)*365*IOFDiario,-(D591+F591)*E591*IOFDiario)))</f>
        <v/>
      </c>
      <c r="I591" s="21" t="str">
        <f>IF(OR(TaxaJuros="",C591=""),"",IF(ComSemIOF=FALSE,0,-(D591+F591)*IOFAdic))</f>
        <v/>
      </c>
      <c r="J591" s="16" t="str">
        <f>IF(OR(TaxaJuros="",C591=""),"",D591+SUM(F591:I591))</f>
        <v/>
      </c>
      <c r="K591" s="67" t="str">
        <f>IF(OR(TaxaJuros="",C591=""),"",100%-J591/D591)</f>
        <v/>
      </c>
    </row>
    <row r="592" spans="5:11" x14ac:dyDescent="0.25">
      <c r="E592" s="15" t="str">
        <f>IF(OR(DataRecebimento="",C592=""),"",C592-$F$7)</f>
        <v/>
      </c>
      <c r="F592" s="16" t="str">
        <f>IF(OR(TaxaJuros="",C592=""),"",-D592*E592*($F$8/30))</f>
        <v/>
      </c>
      <c r="G592" s="16" t="str">
        <f>IF(OR(TaxaJuros="",C592=""),"",-$F$9)</f>
        <v/>
      </c>
      <c r="H592" s="21" t="str">
        <f>IF(OR(TaxaJuros="",C592=""),"",IF(ComSemIOF=FALSE,0,IF(E592&gt;365,-(D592+F592)*365*IOFDiario,-(D592+F592)*E592*IOFDiario)))</f>
        <v/>
      </c>
      <c r="I592" s="21" t="str">
        <f>IF(OR(TaxaJuros="",C592=""),"",IF(ComSemIOF=FALSE,0,-(D592+F592)*IOFAdic))</f>
        <v/>
      </c>
      <c r="J592" s="16" t="str">
        <f>IF(OR(TaxaJuros="",C592=""),"",D592+SUM(F592:I592))</f>
        <v/>
      </c>
      <c r="K592" s="67" t="str">
        <f>IF(OR(TaxaJuros="",C592=""),"",100%-J592/D592)</f>
        <v/>
      </c>
    </row>
    <row r="593" spans="5:11" x14ac:dyDescent="0.25">
      <c r="E593" s="15" t="str">
        <f>IF(OR(DataRecebimento="",C593=""),"",C593-$F$7)</f>
        <v/>
      </c>
      <c r="F593" s="16" t="str">
        <f>IF(OR(TaxaJuros="",C593=""),"",-D593*E593*($F$8/30))</f>
        <v/>
      </c>
      <c r="G593" s="16" t="str">
        <f>IF(OR(TaxaJuros="",C593=""),"",-$F$9)</f>
        <v/>
      </c>
      <c r="H593" s="21" t="str">
        <f>IF(OR(TaxaJuros="",C593=""),"",IF(ComSemIOF=FALSE,0,IF(E593&gt;365,-(D593+F593)*365*IOFDiario,-(D593+F593)*E593*IOFDiario)))</f>
        <v/>
      </c>
      <c r="I593" s="21" t="str">
        <f>IF(OR(TaxaJuros="",C593=""),"",IF(ComSemIOF=FALSE,0,-(D593+F593)*IOFAdic))</f>
        <v/>
      </c>
      <c r="J593" s="16" t="str">
        <f>IF(OR(TaxaJuros="",C593=""),"",D593+SUM(F593:I593))</f>
        <v/>
      </c>
      <c r="K593" s="67" t="str">
        <f>IF(OR(TaxaJuros="",C593=""),"",100%-J593/D593)</f>
        <v/>
      </c>
    </row>
    <row r="594" spans="5:11" x14ac:dyDescent="0.25">
      <c r="E594" s="15" t="str">
        <f>IF(OR(DataRecebimento="",C594=""),"",C594-$F$7)</f>
        <v/>
      </c>
      <c r="F594" s="16" t="str">
        <f>IF(OR(TaxaJuros="",C594=""),"",-D594*E594*($F$8/30))</f>
        <v/>
      </c>
      <c r="G594" s="16" t="str">
        <f>IF(OR(TaxaJuros="",C594=""),"",-$F$9)</f>
        <v/>
      </c>
      <c r="H594" s="21" t="str">
        <f>IF(OR(TaxaJuros="",C594=""),"",IF(ComSemIOF=FALSE,0,IF(E594&gt;365,-(D594+F594)*365*IOFDiario,-(D594+F594)*E594*IOFDiario)))</f>
        <v/>
      </c>
      <c r="I594" s="21" t="str">
        <f>IF(OR(TaxaJuros="",C594=""),"",IF(ComSemIOF=FALSE,0,-(D594+F594)*IOFAdic))</f>
        <v/>
      </c>
      <c r="J594" s="16" t="str">
        <f>IF(OR(TaxaJuros="",C594=""),"",D594+SUM(F594:I594))</f>
        <v/>
      </c>
      <c r="K594" s="67" t="str">
        <f>IF(OR(TaxaJuros="",C594=""),"",100%-J594/D594)</f>
        <v/>
      </c>
    </row>
    <row r="595" spans="5:11" x14ac:dyDescent="0.25">
      <c r="E595" s="15" t="str">
        <f>IF(OR(DataRecebimento="",C595=""),"",C595-$F$7)</f>
        <v/>
      </c>
      <c r="F595" s="16" t="str">
        <f>IF(OR(TaxaJuros="",C595=""),"",-D595*E595*($F$8/30))</f>
        <v/>
      </c>
      <c r="G595" s="16" t="str">
        <f>IF(OR(TaxaJuros="",C595=""),"",-$F$9)</f>
        <v/>
      </c>
      <c r="H595" s="21" t="str">
        <f>IF(OR(TaxaJuros="",C595=""),"",IF(ComSemIOF=FALSE,0,IF(E595&gt;365,-(D595+F595)*365*IOFDiario,-(D595+F595)*E595*IOFDiario)))</f>
        <v/>
      </c>
      <c r="I595" s="21" t="str">
        <f>IF(OR(TaxaJuros="",C595=""),"",IF(ComSemIOF=FALSE,0,-(D595+F595)*IOFAdic))</f>
        <v/>
      </c>
      <c r="J595" s="16" t="str">
        <f>IF(OR(TaxaJuros="",C595=""),"",D595+SUM(F595:I595))</f>
        <v/>
      </c>
      <c r="K595" s="67" t="str">
        <f>IF(OR(TaxaJuros="",C595=""),"",100%-J595/D595)</f>
        <v/>
      </c>
    </row>
    <row r="596" spans="5:11" x14ac:dyDescent="0.25">
      <c r="E596" s="15" t="str">
        <f>IF(OR(DataRecebimento="",C596=""),"",C596-$F$7)</f>
        <v/>
      </c>
      <c r="F596" s="16" t="str">
        <f>IF(OR(TaxaJuros="",C596=""),"",-D596*E596*($F$8/30))</f>
        <v/>
      </c>
      <c r="G596" s="16" t="str">
        <f>IF(OR(TaxaJuros="",C596=""),"",-$F$9)</f>
        <v/>
      </c>
      <c r="H596" s="21" t="str">
        <f>IF(OR(TaxaJuros="",C596=""),"",IF(ComSemIOF=FALSE,0,IF(E596&gt;365,-(D596+F596)*365*IOFDiario,-(D596+F596)*E596*IOFDiario)))</f>
        <v/>
      </c>
      <c r="I596" s="21" t="str">
        <f>IF(OR(TaxaJuros="",C596=""),"",IF(ComSemIOF=FALSE,0,-(D596+F596)*IOFAdic))</f>
        <v/>
      </c>
      <c r="J596" s="16" t="str">
        <f>IF(OR(TaxaJuros="",C596=""),"",D596+SUM(F596:I596))</f>
        <v/>
      </c>
      <c r="K596" s="67" t="str">
        <f>IF(OR(TaxaJuros="",C596=""),"",100%-J596/D596)</f>
        <v/>
      </c>
    </row>
    <row r="597" spans="5:11" x14ac:dyDescent="0.25">
      <c r="E597" s="15" t="str">
        <f>IF(OR(DataRecebimento="",C597=""),"",C597-$F$7)</f>
        <v/>
      </c>
      <c r="F597" s="16" t="str">
        <f>IF(OR(TaxaJuros="",C597=""),"",-D597*E597*($F$8/30))</f>
        <v/>
      </c>
      <c r="G597" s="16" t="str">
        <f>IF(OR(TaxaJuros="",C597=""),"",-$F$9)</f>
        <v/>
      </c>
      <c r="H597" s="21" t="str">
        <f>IF(OR(TaxaJuros="",C597=""),"",IF(ComSemIOF=FALSE,0,IF(E597&gt;365,-(D597+F597)*365*IOFDiario,-(D597+F597)*E597*IOFDiario)))</f>
        <v/>
      </c>
      <c r="I597" s="21" t="str">
        <f>IF(OR(TaxaJuros="",C597=""),"",IF(ComSemIOF=FALSE,0,-(D597+F597)*IOFAdic))</f>
        <v/>
      </c>
      <c r="J597" s="16" t="str">
        <f>IF(OR(TaxaJuros="",C597=""),"",D597+SUM(F597:I597))</f>
        <v/>
      </c>
      <c r="K597" s="67" t="str">
        <f>IF(OR(TaxaJuros="",C597=""),"",100%-J597/D597)</f>
        <v/>
      </c>
    </row>
    <row r="598" spans="5:11" x14ac:dyDescent="0.25">
      <c r="E598" s="15" t="str">
        <f>IF(OR(DataRecebimento="",C598=""),"",C598-$F$7)</f>
        <v/>
      </c>
      <c r="F598" s="16" t="str">
        <f>IF(OR(TaxaJuros="",C598=""),"",-D598*E598*($F$8/30))</f>
        <v/>
      </c>
      <c r="G598" s="16" t="str">
        <f>IF(OR(TaxaJuros="",C598=""),"",-$F$9)</f>
        <v/>
      </c>
      <c r="H598" s="21" t="str">
        <f>IF(OR(TaxaJuros="",C598=""),"",IF(ComSemIOF=FALSE,0,IF(E598&gt;365,-(D598+F598)*365*IOFDiario,-(D598+F598)*E598*IOFDiario)))</f>
        <v/>
      </c>
      <c r="I598" s="21" t="str">
        <f>IF(OR(TaxaJuros="",C598=""),"",IF(ComSemIOF=FALSE,0,-(D598+F598)*IOFAdic))</f>
        <v/>
      </c>
      <c r="J598" s="16" t="str">
        <f>IF(OR(TaxaJuros="",C598=""),"",D598+SUM(F598:I598))</f>
        <v/>
      </c>
      <c r="K598" s="67" t="str">
        <f>IF(OR(TaxaJuros="",C598=""),"",100%-J598/D598)</f>
        <v/>
      </c>
    </row>
    <row r="599" spans="5:11" x14ac:dyDescent="0.25">
      <c r="E599" s="15" t="str">
        <f>IF(OR(DataRecebimento="",C599=""),"",C599-$F$7)</f>
        <v/>
      </c>
      <c r="F599" s="16" t="str">
        <f>IF(OR(TaxaJuros="",C599=""),"",-D599*E599*($F$8/30))</f>
        <v/>
      </c>
      <c r="G599" s="16" t="str">
        <f>IF(OR(TaxaJuros="",C599=""),"",-$F$9)</f>
        <v/>
      </c>
      <c r="H599" s="21" t="str">
        <f>IF(OR(TaxaJuros="",C599=""),"",IF(ComSemIOF=FALSE,0,IF(E599&gt;365,-(D599+F599)*365*IOFDiario,-(D599+F599)*E599*IOFDiario)))</f>
        <v/>
      </c>
      <c r="I599" s="21" t="str">
        <f>IF(OR(TaxaJuros="",C599=""),"",IF(ComSemIOF=FALSE,0,-(D599+F599)*IOFAdic))</f>
        <v/>
      </c>
      <c r="J599" s="16" t="str">
        <f>IF(OR(TaxaJuros="",C599=""),"",D599+SUM(F599:I599))</f>
        <v/>
      </c>
      <c r="K599" s="67" t="str">
        <f>IF(OR(TaxaJuros="",C599=""),"",100%-J599/D599)</f>
        <v/>
      </c>
    </row>
    <row r="600" spans="5:11" x14ac:dyDescent="0.25">
      <c r="E600" s="15" t="str">
        <f>IF(OR(DataRecebimento="",C600=""),"",C600-$F$7)</f>
        <v/>
      </c>
      <c r="F600" s="16" t="str">
        <f>IF(OR(TaxaJuros="",C600=""),"",-D600*E600*($F$8/30))</f>
        <v/>
      </c>
      <c r="G600" s="16" t="str">
        <f>IF(OR(TaxaJuros="",C600=""),"",-$F$9)</f>
        <v/>
      </c>
      <c r="H600" s="21" t="str">
        <f>IF(OR(TaxaJuros="",C600=""),"",IF(ComSemIOF=FALSE,0,IF(E600&gt;365,-(D600+F600)*365*IOFDiario,-(D600+F600)*E600*IOFDiario)))</f>
        <v/>
      </c>
      <c r="I600" s="21" t="str">
        <f>IF(OR(TaxaJuros="",C600=""),"",IF(ComSemIOF=FALSE,0,-(D600+F600)*IOFAdic))</f>
        <v/>
      </c>
      <c r="J600" s="16" t="str">
        <f>IF(OR(TaxaJuros="",C600=""),"",D600+SUM(F600:I600))</f>
        <v/>
      </c>
      <c r="K600" s="67" t="str">
        <f>IF(OR(TaxaJuros="",C600=""),"",100%-J600/D600)</f>
        <v/>
      </c>
    </row>
    <row r="601" spans="5:11" x14ac:dyDescent="0.25">
      <c r="E601" s="15" t="str">
        <f>IF(OR(DataRecebimento="",C601=""),"",C601-$F$7)</f>
        <v/>
      </c>
      <c r="F601" s="16" t="str">
        <f>IF(OR(TaxaJuros="",C601=""),"",-D601*E601*($F$8/30))</f>
        <v/>
      </c>
      <c r="G601" s="16" t="str">
        <f>IF(OR(TaxaJuros="",C601=""),"",-$F$9)</f>
        <v/>
      </c>
      <c r="H601" s="21" t="str">
        <f>IF(OR(TaxaJuros="",C601=""),"",IF(ComSemIOF=FALSE,0,IF(E601&gt;365,-(D601+F601)*365*IOFDiario,-(D601+F601)*E601*IOFDiario)))</f>
        <v/>
      </c>
      <c r="I601" s="21" t="str">
        <f>IF(OR(TaxaJuros="",C601=""),"",IF(ComSemIOF=FALSE,0,-(D601+F601)*IOFAdic))</f>
        <v/>
      </c>
      <c r="J601" s="16" t="str">
        <f>IF(OR(TaxaJuros="",C601=""),"",D601+SUM(F601:I601))</f>
        <v/>
      </c>
      <c r="K601" s="67" t="str">
        <f>IF(OR(TaxaJuros="",C601=""),"",100%-J601/D601)</f>
        <v/>
      </c>
    </row>
    <row r="602" spans="5:11" x14ac:dyDescent="0.25">
      <c r="E602" s="15" t="str">
        <f>IF(OR(DataRecebimento="",C602=""),"",C602-$F$7)</f>
        <v/>
      </c>
      <c r="F602" s="16" t="str">
        <f>IF(OR(TaxaJuros="",C602=""),"",-D602*E602*($F$8/30))</f>
        <v/>
      </c>
      <c r="G602" s="16" t="str">
        <f>IF(OR(TaxaJuros="",C602=""),"",-$F$9)</f>
        <v/>
      </c>
      <c r="H602" s="21" t="str">
        <f>IF(OR(TaxaJuros="",C602=""),"",IF(ComSemIOF=FALSE,0,IF(E602&gt;365,-(D602+F602)*365*IOFDiario,-(D602+F602)*E602*IOFDiario)))</f>
        <v/>
      </c>
      <c r="I602" s="21" t="str">
        <f>IF(OR(TaxaJuros="",C602=""),"",IF(ComSemIOF=FALSE,0,-(D602+F602)*IOFAdic))</f>
        <v/>
      </c>
      <c r="J602" s="16" t="str">
        <f>IF(OR(TaxaJuros="",C602=""),"",D602+SUM(F602:I602))</f>
        <v/>
      </c>
      <c r="K602" s="67" t="str">
        <f>IF(OR(TaxaJuros="",C602=""),"",100%-J602/D602)</f>
        <v/>
      </c>
    </row>
    <row r="603" spans="5:11" x14ac:dyDescent="0.25">
      <c r="E603" s="15" t="str">
        <f>IF(OR(DataRecebimento="",C603=""),"",C603-$F$7)</f>
        <v/>
      </c>
      <c r="F603" s="16" t="str">
        <f>IF(OR(TaxaJuros="",C603=""),"",-D603*E603*($F$8/30))</f>
        <v/>
      </c>
      <c r="G603" s="16" t="str">
        <f>IF(OR(TaxaJuros="",C603=""),"",-$F$9)</f>
        <v/>
      </c>
      <c r="H603" s="21" t="str">
        <f>IF(OR(TaxaJuros="",C603=""),"",IF(ComSemIOF=FALSE,0,IF(E603&gt;365,-(D603+F603)*365*IOFDiario,-(D603+F603)*E603*IOFDiario)))</f>
        <v/>
      </c>
      <c r="I603" s="21" t="str">
        <f>IF(OR(TaxaJuros="",C603=""),"",IF(ComSemIOF=FALSE,0,-(D603+F603)*IOFAdic))</f>
        <v/>
      </c>
      <c r="J603" s="16" t="str">
        <f>IF(OR(TaxaJuros="",C603=""),"",D603+SUM(F603:I603))</f>
        <v/>
      </c>
      <c r="K603" s="67" t="str">
        <f>IF(OR(TaxaJuros="",C603=""),"",100%-J603/D603)</f>
        <v/>
      </c>
    </row>
    <row r="604" spans="5:11" x14ac:dyDescent="0.25">
      <c r="E604" s="15" t="str">
        <f>IF(OR(DataRecebimento="",C604=""),"",C604-$F$7)</f>
        <v/>
      </c>
      <c r="F604" s="16" t="str">
        <f>IF(OR(TaxaJuros="",C604=""),"",-D604*E604*($F$8/30))</f>
        <v/>
      </c>
      <c r="G604" s="16" t="str">
        <f>IF(OR(TaxaJuros="",C604=""),"",-$F$9)</f>
        <v/>
      </c>
      <c r="H604" s="21" t="str">
        <f>IF(OR(TaxaJuros="",C604=""),"",IF(ComSemIOF=FALSE,0,IF(E604&gt;365,-(D604+F604)*365*IOFDiario,-(D604+F604)*E604*IOFDiario)))</f>
        <v/>
      </c>
      <c r="I604" s="21" t="str">
        <f>IF(OR(TaxaJuros="",C604=""),"",IF(ComSemIOF=FALSE,0,-(D604+F604)*IOFAdic))</f>
        <v/>
      </c>
      <c r="J604" s="16" t="str">
        <f>IF(OR(TaxaJuros="",C604=""),"",D604+SUM(F604:I604))</f>
        <v/>
      </c>
      <c r="K604" s="67" t="str">
        <f>IF(OR(TaxaJuros="",C604=""),"",100%-J604/D604)</f>
        <v/>
      </c>
    </row>
    <row r="605" spans="5:11" x14ac:dyDescent="0.25">
      <c r="E605" s="15" t="str">
        <f>IF(OR(DataRecebimento="",C605=""),"",C605-$F$7)</f>
        <v/>
      </c>
      <c r="F605" s="16" t="str">
        <f>IF(OR(TaxaJuros="",C605=""),"",-D605*E605*($F$8/30))</f>
        <v/>
      </c>
      <c r="G605" s="16" t="str">
        <f>IF(OR(TaxaJuros="",C605=""),"",-$F$9)</f>
        <v/>
      </c>
      <c r="H605" s="21" t="str">
        <f>IF(OR(TaxaJuros="",C605=""),"",IF(ComSemIOF=FALSE,0,IF(E605&gt;365,-(D605+F605)*365*IOFDiario,-(D605+F605)*E605*IOFDiario)))</f>
        <v/>
      </c>
      <c r="I605" s="21" t="str">
        <f>IF(OR(TaxaJuros="",C605=""),"",IF(ComSemIOF=FALSE,0,-(D605+F605)*IOFAdic))</f>
        <v/>
      </c>
      <c r="J605" s="16" t="str">
        <f>IF(OR(TaxaJuros="",C605=""),"",D605+SUM(F605:I605))</f>
        <v/>
      </c>
      <c r="K605" s="67" t="str">
        <f>IF(OR(TaxaJuros="",C605=""),"",100%-J605/D605)</f>
        <v/>
      </c>
    </row>
    <row r="606" spans="5:11" x14ac:dyDescent="0.25">
      <c r="E606" s="15" t="str">
        <f>IF(OR(DataRecebimento="",C606=""),"",C606-$F$7)</f>
        <v/>
      </c>
      <c r="F606" s="16" t="str">
        <f>IF(OR(TaxaJuros="",C606=""),"",-D606*E606*($F$8/30))</f>
        <v/>
      </c>
      <c r="G606" s="16" t="str">
        <f>IF(OR(TaxaJuros="",C606=""),"",-$F$9)</f>
        <v/>
      </c>
      <c r="H606" s="21" t="str">
        <f>IF(OR(TaxaJuros="",C606=""),"",IF(ComSemIOF=FALSE,0,IF(E606&gt;365,-(D606+F606)*365*IOFDiario,-(D606+F606)*E606*IOFDiario)))</f>
        <v/>
      </c>
      <c r="I606" s="21" t="str">
        <f>IF(OR(TaxaJuros="",C606=""),"",IF(ComSemIOF=FALSE,0,-(D606+F606)*IOFAdic))</f>
        <v/>
      </c>
      <c r="J606" s="16" t="str">
        <f>IF(OR(TaxaJuros="",C606=""),"",D606+SUM(F606:I606))</f>
        <v/>
      </c>
      <c r="K606" s="67" t="str">
        <f>IF(OR(TaxaJuros="",C606=""),"",100%-J606/D606)</f>
        <v/>
      </c>
    </row>
    <row r="607" spans="5:11" x14ac:dyDescent="0.25">
      <c r="E607" s="15" t="str">
        <f>IF(OR(DataRecebimento="",C607=""),"",C607-$F$7)</f>
        <v/>
      </c>
      <c r="F607" s="16" t="str">
        <f>IF(OR(TaxaJuros="",C607=""),"",-D607*E607*($F$8/30))</f>
        <v/>
      </c>
      <c r="G607" s="16" t="str">
        <f>IF(OR(TaxaJuros="",C607=""),"",-$F$9)</f>
        <v/>
      </c>
      <c r="H607" s="21" t="str">
        <f>IF(OR(TaxaJuros="",C607=""),"",IF(ComSemIOF=FALSE,0,IF(E607&gt;365,-(D607+F607)*365*IOFDiario,-(D607+F607)*E607*IOFDiario)))</f>
        <v/>
      </c>
      <c r="I607" s="21" t="str">
        <f>IF(OR(TaxaJuros="",C607=""),"",IF(ComSemIOF=FALSE,0,-(D607+F607)*IOFAdic))</f>
        <v/>
      </c>
      <c r="J607" s="16" t="str">
        <f>IF(OR(TaxaJuros="",C607=""),"",D607+SUM(F607:I607))</f>
        <v/>
      </c>
      <c r="K607" s="67" t="str">
        <f>IF(OR(TaxaJuros="",C607=""),"",100%-J607/D607)</f>
        <v/>
      </c>
    </row>
    <row r="608" spans="5:11" x14ac:dyDescent="0.25">
      <c r="E608" s="15" t="str">
        <f>IF(OR(DataRecebimento="",C608=""),"",C608-$F$7)</f>
        <v/>
      </c>
      <c r="F608" s="16" t="str">
        <f>IF(OR(TaxaJuros="",C608=""),"",-D608*E608*($F$8/30))</f>
        <v/>
      </c>
      <c r="G608" s="16" t="str">
        <f>IF(OR(TaxaJuros="",C608=""),"",-$F$9)</f>
        <v/>
      </c>
      <c r="H608" s="21" t="str">
        <f>IF(OR(TaxaJuros="",C608=""),"",IF(ComSemIOF=FALSE,0,IF(E608&gt;365,-(D608+F608)*365*IOFDiario,-(D608+F608)*E608*IOFDiario)))</f>
        <v/>
      </c>
      <c r="I608" s="21" t="str">
        <f>IF(OR(TaxaJuros="",C608=""),"",IF(ComSemIOF=FALSE,0,-(D608+F608)*IOFAdic))</f>
        <v/>
      </c>
      <c r="J608" s="16" t="str">
        <f>IF(OR(TaxaJuros="",C608=""),"",D608+SUM(F608:I608))</f>
        <v/>
      </c>
      <c r="K608" s="67" t="str">
        <f>IF(OR(TaxaJuros="",C608=""),"",100%-J608/D608)</f>
        <v/>
      </c>
    </row>
    <row r="609" spans="5:11" x14ac:dyDescent="0.25">
      <c r="E609" s="15" t="str">
        <f>IF(OR(DataRecebimento="",C609=""),"",C609-$F$7)</f>
        <v/>
      </c>
      <c r="F609" s="16" t="str">
        <f>IF(OR(TaxaJuros="",C609=""),"",-D609*E609*($F$8/30))</f>
        <v/>
      </c>
      <c r="G609" s="16" t="str">
        <f>IF(OR(TaxaJuros="",C609=""),"",-$F$9)</f>
        <v/>
      </c>
      <c r="H609" s="21" t="str">
        <f>IF(OR(TaxaJuros="",C609=""),"",IF(ComSemIOF=FALSE,0,IF(E609&gt;365,-(D609+F609)*365*IOFDiario,-(D609+F609)*E609*IOFDiario)))</f>
        <v/>
      </c>
      <c r="I609" s="21" t="str">
        <f>IF(OR(TaxaJuros="",C609=""),"",IF(ComSemIOF=FALSE,0,-(D609+F609)*IOFAdic))</f>
        <v/>
      </c>
      <c r="J609" s="16" t="str">
        <f>IF(OR(TaxaJuros="",C609=""),"",D609+SUM(F609:I609))</f>
        <v/>
      </c>
      <c r="K609" s="67" t="str">
        <f>IF(OR(TaxaJuros="",C609=""),"",100%-J609/D609)</f>
        <v/>
      </c>
    </row>
    <row r="610" spans="5:11" x14ac:dyDescent="0.25">
      <c r="E610" s="15" t="str">
        <f>IF(OR(DataRecebimento="",C610=""),"",C610-$F$7)</f>
        <v/>
      </c>
      <c r="F610" s="16" t="str">
        <f>IF(OR(TaxaJuros="",C610=""),"",-D610*E610*($F$8/30))</f>
        <v/>
      </c>
      <c r="G610" s="16" t="str">
        <f>IF(OR(TaxaJuros="",C610=""),"",-$F$9)</f>
        <v/>
      </c>
      <c r="H610" s="21" t="str">
        <f>IF(OR(TaxaJuros="",C610=""),"",IF(ComSemIOF=FALSE,0,IF(E610&gt;365,-(D610+F610)*365*IOFDiario,-(D610+F610)*E610*IOFDiario)))</f>
        <v/>
      </c>
      <c r="I610" s="21" t="str">
        <f>IF(OR(TaxaJuros="",C610=""),"",IF(ComSemIOF=FALSE,0,-(D610+F610)*IOFAdic))</f>
        <v/>
      </c>
      <c r="J610" s="16" t="str">
        <f>IF(OR(TaxaJuros="",C610=""),"",D610+SUM(F610:I610))</f>
        <v/>
      </c>
      <c r="K610" s="67" t="str">
        <f>IF(OR(TaxaJuros="",C610=""),"",100%-J610/D610)</f>
        <v/>
      </c>
    </row>
    <row r="611" spans="5:11" x14ac:dyDescent="0.25">
      <c r="E611" s="15" t="str">
        <f>IF(OR(DataRecebimento="",C611=""),"",C611-$F$7)</f>
        <v/>
      </c>
      <c r="F611" s="16" t="str">
        <f>IF(OR(TaxaJuros="",C611=""),"",-D611*E611*($F$8/30))</f>
        <v/>
      </c>
      <c r="G611" s="16" t="str">
        <f>IF(OR(TaxaJuros="",C611=""),"",-$F$9)</f>
        <v/>
      </c>
      <c r="H611" s="21" t="str">
        <f>IF(OR(TaxaJuros="",C611=""),"",IF(ComSemIOF=FALSE,0,IF(E611&gt;365,-(D611+F611)*365*IOFDiario,-(D611+F611)*E611*IOFDiario)))</f>
        <v/>
      </c>
      <c r="I611" s="21" t="str">
        <f>IF(OR(TaxaJuros="",C611=""),"",IF(ComSemIOF=FALSE,0,-(D611+F611)*IOFAdic))</f>
        <v/>
      </c>
      <c r="J611" s="16" t="str">
        <f>IF(OR(TaxaJuros="",C611=""),"",D611+SUM(F611:I611))</f>
        <v/>
      </c>
      <c r="K611" s="67" t="str">
        <f>IF(OR(TaxaJuros="",C611=""),"",100%-J611/D611)</f>
        <v/>
      </c>
    </row>
    <row r="612" spans="5:11" x14ac:dyDescent="0.25">
      <c r="E612" s="15" t="str">
        <f>IF(OR(DataRecebimento="",C612=""),"",C612-$F$7)</f>
        <v/>
      </c>
      <c r="F612" s="16" t="str">
        <f>IF(OR(TaxaJuros="",C612=""),"",-D612*E612*($F$8/30))</f>
        <v/>
      </c>
      <c r="G612" s="16" t="str">
        <f>IF(OR(TaxaJuros="",C612=""),"",-$F$9)</f>
        <v/>
      </c>
      <c r="H612" s="21" t="str">
        <f>IF(OR(TaxaJuros="",C612=""),"",IF(ComSemIOF=FALSE,0,IF(E612&gt;365,-(D612+F612)*365*IOFDiario,-(D612+F612)*E612*IOFDiario)))</f>
        <v/>
      </c>
      <c r="I612" s="21" t="str">
        <f>IF(OR(TaxaJuros="",C612=""),"",IF(ComSemIOF=FALSE,0,-(D612+F612)*IOFAdic))</f>
        <v/>
      </c>
      <c r="J612" s="16" t="str">
        <f>IF(OR(TaxaJuros="",C612=""),"",D612+SUM(F612:I612))</f>
        <v/>
      </c>
      <c r="K612" s="67" t="str">
        <f>IF(OR(TaxaJuros="",C612=""),"",100%-J612/D612)</f>
        <v/>
      </c>
    </row>
    <row r="613" spans="5:11" x14ac:dyDescent="0.25">
      <c r="E613" s="15" t="str">
        <f>IF(OR(DataRecebimento="",C613=""),"",C613-$F$7)</f>
        <v/>
      </c>
      <c r="F613" s="16" t="str">
        <f>IF(OR(TaxaJuros="",C613=""),"",-D613*E613*($F$8/30))</f>
        <v/>
      </c>
      <c r="G613" s="16" t="str">
        <f>IF(OR(TaxaJuros="",C613=""),"",-$F$9)</f>
        <v/>
      </c>
      <c r="H613" s="21" t="str">
        <f>IF(OR(TaxaJuros="",C613=""),"",IF(ComSemIOF=FALSE,0,IF(E613&gt;365,-(D613+F613)*365*IOFDiario,-(D613+F613)*E613*IOFDiario)))</f>
        <v/>
      </c>
      <c r="I613" s="21" t="str">
        <f>IF(OR(TaxaJuros="",C613=""),"",IF(ComSemIOF=FALSE,0,-(D613+F613)*IOFAdic))</f>
        <v/>
      </c>
      <c r="J613" s="16" t="str">
        <f>IF(OR(TaxaJuros="",C613=""),"",D613+SUM(F613:I613))</f>
        <v/>
      </c>
      <c r="K613" s="67" t="str">
        <f>IF(OR(TaxaJuros="",C613=""),"",100%-J613/D613)</f>
        <v/>
      </c>
    </row>
    <row r="614" spans="5:11" x14ac:dyDescent="0.25">
      <c r="E614" s="15" t="str">
        <f>IF(OR(DataRecebimento="",C614=""),"",C614-$F$7)</f>
        <v/>
      </c>
      <c r="F614" s="16" t="str">
        <f>IF(OR(TaxaJuros="",C614=""),"",-D614*E614*($F$8/30))</f>
        <v/>
      </c>
      <c r="G614" s="16" t="str">
        <f>IF(OR(TaxaJuros="",C614=""),"",-$F$9)</f>
        <v/>
      </c>
      <c r="H614" s="21" t="str">
        <f>IF(OR(TaxaJuros="",C614=""),"",IF(ComSemIOF=FALSE,0,IF(E614&gt;365,-(D614+F614)*365*IOFDiario,-(D614+F614)*E614*IOFDiario)))</f>
        <v/>
      </c>
      <c r="I614" s="21" t="str">
        <f>IF(OR(TaxaJuros="",C614=""),"",IF(ComSemIOF=FALSE,0,-(D614+F614)*IOFAdic))</f>
        <v/>
      </c>
      <c r="J614" s="16" t="str">
        <f>IF(OR(TaxaJuros="",C614=""),"",D614+SUM(F614:I614))</f>
        <v/>
      </c>
      <c r="K614" s="67" t="str">
        <f>IF(OR(TaxaJuros="",C614=""),"",100%-J614/D614)</f>
        <v/>
      </c>
    </row>
    <row r="615" spans="5:11" x14ac:dyDescent="0.25">
      <c r="E615" s="15" t="str">
        <f>IF(OR(DataRecebimento="",C615=""),"",C615-$F$7)</f>
        <v/>
      </c>
      <c r="F615" s="16" t="str">
        <f>IF(OR(TaxaJuros="",C615=""),"",-D615*E615*($F$8/30))</f>
        <v/>
      </c>
      <c r="G615" s="16" t="str">
        <f>IF(OR(TaxaJuros="",C615=""),"",-$F$9)</f>
        <v/>
      </c>
      <c r="H615" s="21" t="str">
        <f>IF(OR(TaxaJuros="",C615=""),"",IF(ComSemIOF=FALSE,0,IF(E615&gt;365,-(D615+F615)*365*IOFDiario,-(D615+F615)*E615*IOFDiario)))</f>
        <v/>
      </c>
      <c r="I615" s="21" t="str">
        <f>IF(OR(TaxaJuros="",C615=""),"",IF(ComSemIOF=FALSE,0,-(D615+F615)*IOFAdic))</f>
        <v/>
      </c>
      <c r="J615" s="16" t="str">
        <f>IF(OR(TaxaJuros="",C615=""),"",D615+SUM(F615:I615))</f>
        <v/>
      </c>
      <c r="K615" s="67" t="str">
        <f>IF(OR(TaxaJuros="",C615=""),"",100%-J615/D615)</f>
        <v/>
      </c>
    </row>
    <row r="616" spans="5:11" x14ac:dyDescent="0.25">
      <c r="E616" s="15" t="str">
        <f>IF(OR(DataRecebimento="",C616=""),"",C616-$F$7)</f>
        <v/>
      </c>
      <c r="F616" s="16" t="str">
        <f>IF(OR(TaxaJuros="",C616=""),"",-D616*E616*($F$8/30))</f>
        <v/>
      </c>
      <c r="G616" s="16" t="str">
        <f>IF(OR(TaxaJuros="",C616=""),"",-$F$9)</f>
        <v/>
      </c>
      <c r="H616" s="21" t="str">
        <f>IF(OR(TaxaJuros="",C616=""),"",IF(ComSemIOF=FALSE,0,IF(E616&gt;365,-(D616+F616)*365*IOFDiario,-(D616+F616)*E616*IOFDiario)))</f>
        <v/>
      </c>
      <c r="I616" s="21" t="str">
        <f>IF(OR(TaxaJuros="",C616=""),"",IF(ComSemIOF=FALSE,0,-(D616+F616)*IOFAdic))</f>
        <v/>
      </c>
      <c r="J616" s="16" t="str">
        <f>IF(OR(TaxaJuros="",C616=""),"",D616+SUM(F616:I616))</f>
        <v/>
      </c>
      <c r="K616" s="67" t="str">
        <f>IF(OR(TaxaJuros="",C616=""),"",100%-J616/D616)</f>
        <v/>
      </c>
    </row>
    <row r="617" spans="5:11" x14ac:dyDescent="0.25">
      <c r="E617" s="15" t="str">
        <f>IF(OR(DataRecebimento="",C617=""),"",C617-$F$7)</f>
        <v/>
      </c>
      <c r="F617" s="16" t="str">
        <f>IF(OR(TaxaJuros="",C617=""),"",-D617*E617*($F$8/30))</f>
        <v/>
      </c>
      <c r="G617" s="16" t="str">
        <f>IF(OR(TaxaJuros="",C617=""),"",-$F$9)</f>
        <v/>
      </c>
      <c r="H617" s="21" t="str">
        <f>IF(OR(TaxaJuros="",C617=""),"",IF(ComSemIOF=FALSE,0,IF(E617&gt;365,-(D617+F617)*365*IOFDiario,-(D617+F617)*E617*IOFDiario)))</f>
        <v/>
      </c>
      <c r="I617" s="21" t="str">
        <f>IF(OR(TaxaJuros="",C617=""),"",IF(ComSemIOF=FALSE,0,-(D617+F617)*IOFAdic))</f>
        <v/>
      </c>
      <c r="J617" s="16" t="str">
        <f>IF(OR(TaxaJuros="",C617=""),"",D617+SUM(F617:I617))</f>
        <v/>
      </c>
      <c r="K617" s="67" t="str">
        <f>IF(OR(TaxaJuros="",C617=""),"",100%-J617/D617)</f>
        <v/>
      </c>
    </row>
    <row r="618" spans="5:11" x14ac:dyDescent="0.25">
      <c r="E618" s="15" t="str">
        <f>IF(OR(DataRecebimento="",C618=""),"",C618-$F$7)</f>
        <v/>
      </c>
      <c r="F618" s="16" t="str">
        <f>IF(OR(TaxaJuros="",C618=""),"",-D618*E618*($F$8/30))</f>
        <v/>
      </c>
      <c r="G618" s="16" t="str">
        <f>IF(OR(TaxaJuros="",C618=""),"",-$F$9)</f>
        <v/>
      </c>
      <c r="H618" s="21" t="str">
        <f>IF(OR(TaxaJuros="",C618=""),"",IF(ComSemIOF=FALSE,0,IF(E618&gt;365,-(D618+F618)*365*IOFDiario,-(D618+F618)*E618*IOFDiario)))</f>
        <v/>
      </c>
      <c r="I618" s="21" t="str">
        <f>IF(OR(TaxaJuros="",C618=""),"",IF(ComSemIOF=FALSE,0,-(D618+F618)*IOFAdic))</f>
        <v/>
      </c>
      <c r="J618" s="16" t="str">
        <f>IF(OR(TaxaJuros="",C618=""),"",D618+SUM(F618:I618))</f>
        <v/>
      </c>
      <c r="K618" s="67" t="str">
        <f>IF(OR(TaxaJuros="",C618=""),"",100%-J618/D618)</f>
        <v/>
      </c>
    </row>
    <row r="619" spans="5:11" x14ac:dyDescent="0.25">
      <c r="E619" s="15" t="str">
        <f>IF(OR(DataRecebimento="",C619=""),"",C619-$F$7)</f>
        <v/>
      </c>
      <c r="F619" s="16" t="str">
        <f>IF(OR(TaxaJuros="",C619=""),"",-D619*E619*($F$8/30))</f>
        <v/>
      </c>
      <c r="G619" s="16" t="str">
        <f>IF(OR(TaxaJuros="",C619=""),"",-$F$9)</f>
        <v/>
      </c>
      <c r="H619" s="21" t="str">
        <f>IF(OR(TaxaJuros="",C619=""),"",IF(ComSemIOF=FALSE,0,IF(E619&gt;365,-(D619+F619)*365*IOFDiario,-(D619+F619)*E619*IOFDiario)))</f>
        <v/>
      </c>
      <c r="I619" s="21" t="str">
        <f>IF(OR(TaxaJuros="",C619=""),"",IF(ComSemIOF=FALSE,0,-(D619+F619)*IOFAdic))</f>
        <v/>
      </c>
      <c r="J619" s="16" t="str">
        <f>IF(OR(TaxaJuros="",C619=""),"",D619+SUM(F619:I619))</f>
        <v/>
      </c>
      <c r="K619" s="67" t="str">
        <f>IF(OR(TaxaJuros="",C619=""),"",100%-J619/D619)</f>
        <v/>
      </c>
    </row>
    <row r="620" spans="5:11" x14ac:dyDescent="0.25">
      <c r="E620" s="15" t="str">
        <f>IF(OR(DataRecebimento="",C620=""),"",C620-$F$7)</f>
        <v/>
      </c>
      <c r="F620" s="16" t="str">
        <f>IF(OR(TaxaJuros="",C620=""),"",-D620*E620*($F$8/30))</f>
        <v/>
      </c>
      <c r="G620" s="16" t="str">
        <f>IF(OR(TaxaJuros="",C620=""),"",-$F$9)</f>
        <v/>
      </c>
      <c r="H620" s="21" t="str">
        <f>IF(OR(TaxaJuros="",C620=""),"",IF(ComSemIOF=FALSE,0,IF(E620&gt;365,-(D620+F620)*365*IOFDiario,-(D620+F620)*E620*IOFDiario)))</f>
        <v/>
      </c>
      <c r="I620" s="21" t="str">
        <f>IF(OR(TaxaJuros="",C620=""),"",IF(ComSemIOF=FALSE,0,-(D620+F620)*IOFAdic))</f>
        <v/>
      </c>
      <c r="J620" s="16" t="str">
        <f>IF(OR(TaxaJuros="",C620=""),"",D620+SUM(F620:I620))</f>
        <v/>
      </c>
      <c r="K620" s="67" t="str">
        <f>IF(OR(TaxaJuros="",C620=""),"",100%-J620/D620)</f>
        <v/>
      </c>
    </row>
    <row r="621" spans="5:11" x14ac:dyDescent="0.25">
      <c r="E621" s="15" t="str">
        <f>IF(OR(DataRecebimento="",C621=""),"",C621-$F$7)</f>
        <v/>
      </c>
      <c r="F621" s="16" t="str">
        <f>IF(OR(TaxaJuros="",C621=""),"",-D621*E621*($F$8/30))</f>
        <v/>
      </c>
      <c r="G621" s="16" t="str">
        <f>IF(OR(TaxaJuros="",C621=""),"",-$F$9)</f>
        <v/>
      </c>
      <c r="H621" s="21" t="str">
        <f>IF(OR(TaxaJuros="",C621=""),"",IF(ComSemIOF=FALSE,0,IF(E621&gt;365,-(D621+F621)*365*IOFDiario,-(D621+F621)*E621*IOFDiario)))</f>
        <v/>
      </c>
      <c r="I621" s="21" t="str">
        <f>IF(OR(TaxaJuros="",C621=""),"",IF(ComSemIOF=FALSE,0,-(D621+F621)*IOFAdic))</f>
        <v/>
      </c>
      <c r="J621" s="16" t="str">
        <f>IF(OR(TaxaJuros="",C621=""),"",D621+SUM(F621:I621))</f>
        <v/>
      </c>
      <c r="K621" s="67" t="str">
        <f>IF(OR(TaxaJuros="",C621=""),"",100%-J621/D621)</f>
        <v/>
      </c>
    </row>
    <row r="622" spans="5:11" x14ac:dyDescent="0.25">
      <c r="E622" s="15" t="str">
        <f>IF(OR(DataRecebimento="",C622=""),"",C622-$F$7)</f>
        <v/>
      </c>
      <c r="F622" s="16" t="str">
        <f>IF(OR(TaxaJuros="",C622=""),"",-D622*E622*($F$8/30))</f>
        <v/>
      </c>
      <c r="G622" s="16" t="str">
        <f>IF(OR(TaxaJuros="",C622=""),"",-$F$9)</f>
        <v/>
      </c>
      <c r="H622" s="21" t="str">
        <f>IF(OR(TaxaJuros="",C622=""),"",IF(ComSemIOF=FALSE,0,IF(E622&gt;365,-(D622+F622)*365*IOFDiario,-(D622+F622)*E622*IOFDiario)))</f>
        <v/>
      </c>
      <c r="I622" s="21" t="str">
        <f>IF(OR(TaxaJuros="",C622=""),"",IF(ComSemIOF=FALSE,0,-(D622+F622)*IOFAdic))</f>
        <v/>
      </c>
      <c r="J622" s="16" t="str">
        <f>IF(OR(TaxaJuros="",C622=""),"",D622+SUM(F622:I622))</f>
        <v/>
      </c>
      <c r="K622" s="67" t="str">
        <f>IF(OR(TaxaJuros="",C622=""),"",100%-J622/D622)</f>
        <v/>
      </c>
    </row>
    <row r="623" spans="5:11" x14ac:dyDescent="0.25">
      <c r="E623" s="15" t="str">
        <f>IF(OR(DataRecebimento="",C623=""),"",C623-$F$7)</f>
        <v/>
      </c>
      <c r="F623" s="16" t="str">
        <f>IF(OR(TaxaJuros="",C623=""),"",-D623*E623*($F$8/30))</f>
        <v/>
      </c>
      <c r="G623" s="16" t="str">
        <f>IF(OR(TaxaJuros="",C623=""),"",-$F$9)</f>
        <v/>
      </c>
      <c r="H623" s="21" t="str">
        <f>IF(OR(TaxaJuros="",C623=""),"",IF(ComSemIOF=FALSE,0,IF(E623&gt;365,-(D623+F623)*365*IOFDiario,-(D623+F623)*E623*IOFDiario)))</f>
        <v/>
      </c>
      <c r="I623" s="21" t="str">
        <f>IF(OR(TaxaJuros="",C623=""),"",IF(ComSemIOF=FALSE,0,-(D623+F623)*IOFAdic))</f>
        <v/>
      </c>
      <c r="J623" s="16" t="str">
        <f>IF(OR(TaxaJuros="",C623=""),"",D623+SUM(F623:I623))</f>
        <v/>
      </c>
      <c r="K623" s="67" t="str">
        <f>IF(OR(TaxaJuros="",C623=""),"",100%-J623/D623)</f>
        <v/>
      </c>
    </row>
    <row r="624" spans="5:11" x14ac:dyDescent="0.25">
      <c r="E624" s="15" t="str">
        <f>IF(OR(DataRecebimento="",C624=""),"",C624-$F$7)</f>
        <v/>
      </c>
      <c r="F624" s="16" t="str">
        <f>IF(OR(TaxaJuros="",C624=""),"",-D624*E624*($F$8/30))</f>
        <v/>
      </c>
      <c r="G624" s="16" t="str">
        <f>IF(OR(TaxaJuros="",C624=""),"",-$F$9)</f>
        <v/>
      </c>
      <c r="H624" s="21" t="str">
        <f>IF(OR(TaxaJuros="",C624=""),"",IF(ComSemIOF=FALSE,0,IF(E624&gt;365,-(D624+F624)*365*IOFDiario,-(D624+F624)*E624*IOFDiario)))</f>
        <v/>
      </c>
      <c r="I624" s="21" t="str">
        <f>IF(OR(TaxaJuros="",C624=""),"",IF(ComSemIOF=FALSE,0,-(D624+F624)*IOFAdic))</f>
        <v/>
      </c>
      <c r="J624" s="16" t="str">
        <f>IF(OR(TaxaJuros="",C624=""),"",D624+SUM(F624:I624))</f>
        <v/>
      </c>
      <c r="K624" s="67" t="str">
        <f>IF(OR(TaxaJuros="",C624=""),"",100%-J624/D624)</f>
        <v/>
      </c>
    </row>
    <row r="625" spans="5:11" x14ac:dyDescent="0.25">
      <c r="E625" s="15" t="str">
        <f>IF(OR(DataRecebimento="",C625=""),"",C625-$F$7)</f>
        <v/>
      </c>
      <c r="F625" s="16" t="str">
        <f>IF(OR(TaxaJuros="",C625=""),"",-D625*E625*($F$8/30))</f>
        <v/>
      </c>
      <c r="G625" s="16" t="str">
        <f>IF(OR(TaxaJuros="",C625=""),"",-$F$9)</f>
        <v/>
      </c>
      <c r="H625" s="21" t="str">
        <f>IF(OR(TaxaJuros="",C625=""),"",IF(ComSemIOF=FALSE,0,IF(E625&gt;365,-(D625+F625)*365*IOFDiario,-(D625+F625)*E625*IOFDiario)))</f>
        <v/>
      </c>
      <c r="I625" s="21" t="str">
        <f>IF(OR(TaxaJuros="",C625=""),"",IF(ComSemIOF=FALSE,0,-(D625+F625)*IOFAdic))</f>
        <v/>
      </c>
      <c r="J625" s="16" t="str">
        <f>IF(OR(TaxaJuros="",C625=""),"",D625+SUM(F625:I625))</f>
        <v/>
      </c>
      <c r="K625" s="67" t="str">
        <f>IF(OR(TaxaJuros="",C625=""),"",100%-J625/D625)</f>
        <v/>
      </c>
    </row>
    <row r="626" spans="5:11" x14ac:dyDescent="0.25">
      <c r="E626" s="15" t="str">
        <f>IF(OR(DataRecebimento="",C626=""),"",C626-$F$7)</f>
        <v/>
      </c>
      <c r="F626" s="16" t="str">
        <f>IF(OR(TaxaJuros="",C626=""),"",-D626*E626*($F$8/30))</f>
        <v/>
      </c>
      <c r="G626" s="16" t="str">
        <f>IF(OR(TaxaJuros="",C626=""),"",-$F$9)</f>
        <v/>
      </c>
      <c r="H626" s="21" t="str">
        <f>IF(OR(TaxaJuros="",C626=""),"",IF(ComSemIOF=FALSE,0,IF(E626&gt;365,-(D626+F626)*365*IOFDiario,-(D626+F626)*E626*IOFDiario)))</f>
        <v/>
      </c>
      <c r="I626" s="21" t="str">
        <f>IF(OR(TaxaJuros="",C626=""),"",IF(ComSemIOF=FALSE,0,-(D626+F626)*IOFAdic))</f>
        <v/>
      </c>
      <c r="J626" s="16" t="str">
        <f>IF(OR(TaxaJuros="",C626=""),"",D626+SUM(F626:I626))</f>
        <v/>
      </c>
      <c r="K626" s="67" t="str">
        <f>IF(OR(TaxaJuros="",C626=""),"",100%-J626/D626)</f>
        <v/>
      </c>
    </row>
    <row r="627" spans="5:11" x14ac:dyDescent="0.25">
      <c r="E627" s="15" t="str">
        <f>IF(OR(DataRecebimento="",C627=""),"",C627-$F$7)</f>
        <v/>
      </c>
      <c r="F627" s="16" t="str">
        <f>IF(OR(TaxaJuros="",C627=""),"",-D627*E627*($F$8/30))</f>
        <v/>
      </c>
      <c r="G627" s="16" t="str">
        <f>IF(OR(TaxaJuros="",C627=""),"",-$F$9)</f>
        <v/>
      </c>
      <c r="H627" s="21" t="str">
        <f>IF(OR(TaxaJuros="",C627=""),"",IF(ComSemIOF=FALSE,0,IF(E627&gt;365,-(D627+F627)*365*IOFDiario,-(D627+F627)*E627*IOFDiario)))</f>
        <v/>
      </c>
      <c r="I627" s="21" t="str">
        <f>IF(OR(TaxaJuros="",C627=""),"",IF(ComSemIOF=FALSE,0,-(D627+F627)*IOFAdic))</f>
        <v/>
      </c>
      <c r="J627" s="16" t="str">
        <f>IF(OR(TaxaJuros="",C627=""),"",D627+SUM(F627:I627))</f>
        <v/>
      </c>
      <c r="K627" s="67" t="str">
        <f>IF(OR(TaxaJuros="",C627=""),"",100%-J627/D627)</f>
        <v/>
      </c>
    </row>
    <row r="628" spans="5:11" x14ac:dyDescent="0.25">
      <c r="E628" s="15" t="str">
        <f>IF(OR(DataRecebimento="",C628=""),"",C628-$F$7)</f>
        <v/>
      </c>
      <c r="F628" s="16" t="str">
        <f>IF(OR(TaxaJuros="",C628=""),"",-D628*E628*($F$8/30))</f>
        <v/>
      </c>
      <c r="G628" s="16" t="str">
        <f>IF(OR(TaxaJuros="",C628=""),"",-$F$9)</f>
        <v/>
      </c>
      <c r="H628" s="21" t="str">
        <f>IF(OR(TaxaJuros="",C628=""),"",IF(ComSemIOF=FALSE,0,IF(E628&gt;365,-(D628+F628)*365*IOFDiario,-(D628+F628)*E628*IOFDiario)))</f>
        <v/>
      </c>
      <c r="I628" s="21" t="str">
        <f>IF(OR(TaxaJuros="",C628=""),"",IF(ComSemIOF=FALSE,0,-(D628+F628)*IOFAdic))</f>
        <v/>
      </c>
      <c r="J628" s="16" t="str">
        <f>IF(OR(TaxaJuros="",C628=""),"",D628+SUM(F628:I628))</f>
        <v/>
      </c>
      <c r="K628" s="67" t="str">
        <f>IF(OR(TaxaJuros="",C628=""),"",100%-J628/D628)</f>
        <v/>
      </c>
    </row>
    <row r="629" spans="5:11" x14ac:dyDescent="0.25">
      <c r="E629" s="15" t="str">
        <f>IF(OR(DataRecebimento="",C629=""),"",C629-$F$7)</f>
        <v/>
      </c>
      <c r="F629" s="16" t="str">
        <f>IF(OR(TaxaJuros="",C629=""),"",-D629*E629*($F$8/30))</f>
        <v/>
      </c>
      <c r="G629" s="16" t="str">
        <f>IF(OR(TaxaJuros="",C629=""),"",-$F$9)</f>
        <v/>
      </c>
      <c r="H629" s="21" t="str">
        <f>IF(OR(TaxaJuros="",C629=""),"",IF(ComSemIOF=FALSE,0,IF(E629&gt;365,-(D629+F629)*365*IOFDiario,-(D629+F629)*E629*IOFDiario)))</f>
        <v/>
      </c>
      <c r="I629" s="21" t="str">
        <f>IF(OR(TaxaJuros="",C629=""),"",IF(ComSemIOF=FALSE,0,-(D629+F629)*IOFAdic))</f>
        <v/>
      </c>
      <c r="J629" s="16" t="str">
        <f>IF(OR(TaxaJuros="",C629=""),"",D629+SUM(F629:I629))</f>
        <v/>
      </c>
      <c r="K629" s="67" t="str">
        <f>IF(OR(TaxaJuros="",C629=""),"",100%-J629/D629)</f>
        <v/>
      </c>
    </row>
    <row r="630" spans="5:11" x14ac:dyDescent="0.25">
      <c r="E630" s="15" t="str">
        <f>IF(OR(DataRecebimento="",C630=""),"",C630-$F$7)</f>
        <v/>
      </c>
      <c r="F630" s="16" t="str">
        <f>IF(OR(TaxaJuros="",C630=""),"",-D630*E630*($F$8/30))</f>
        <v/>
      </c>
      <c r="G630" s="16" t="str">
        <f>IF(OR(TaxaJuros="",C630=""),"",-$F$9)</f>
        <v/>
      </c>
      <c r="H630" s="21" t="str">
        <f>IF(OR(TaxaJuros="",C630=""),"",IF(ComSemIOF=FALSE,0,IF(E630&gt;365,-(D630+F630)*365*IOFDiario,-(D630+F630)*E630*IOFDiario)))</f>
        <v/>
      </c>
      <c r="I630" s="21" t="str">
        <f>IF(OR(TaxaJuros="",C630=""),"",IF(ComSemIOF=FALSE,0,-(D630+F630)*IOFAdic))</f>
        <v/>
      </c>
      <c r="J630" s="16" t="str">
        <f>IF(OR(TaxaJuros="",C630=""),"",D630+SUM(F630:I630))</f>
        <v/>
      </c>
      <c r="K630" s="67" t="str">
        <f>IF(OR(TaxaJuros="",C630=""),"",100%-J630/D630)</f>
        <v/>
      </c>
    </row>
    <row r="631" spans="5:11" x14ac:dyDescent="0.25">
      <c r="E631" s="15" t="str">
        <f>IF(OR(DataRecebimento="",C631=""),"",C631-$F$7)</f>
        <v/>
      </c>
      <c r="F631" s="16" t="str">
        <f>IF(OR(TaxaJuros="",C631=""),"",-D631*E631*($F$8/30))</f>
        <v/>
      </c>
      <c r="G631" s="16" t="str">
        <f>IF(OR(TaxaJuros="",C631=""),"",-$F$9)</f>
        <v/>
      </c>
      <c r="H631" s="21" t="str">
        <f>IF(OR(TaxaJuros="",C631=""),"",IF(ComSemIOF=FALSE,0,IF(E631&gt;365,-(D631+F631)*365*IOFDiario,-(D631+F631)*E631*IOFDiario)))</f>
        <v/>
      </c>
      <c r="I631" s="21" t="str">
        <f>IF(OR(TaxaJuros="",C631=""),"",IF(ComSemIOF=FALSE,0,-(D631+F631)*IOFAdic))</f>
        <v/>
      </c>
      <c r="J631" s="16" t="str">
        <f>IF(OR(TaxaJuros="",C631=""),"",D631+SUM(F631:I631))</f>
        <v/>
      </c>
      <c r="K631" s="67" t="str">
        <f>IF(OR(TaxaJuros="",C631=""),"",100%-J631/D631)</f>
        <v/>
      </c>
    </row>
    <row r="632" spans="5:11" x14ac:dyDescent="0.25">
      <c r="E632" s="15" t="str">
        <f>IF(OR(DataRecebimento="",C632=""),"",C632-$F$7)</f>
        <v/>
      </c>
      <c r="F632" s="16" t="str">
        <f>IF(OR(TaxaJuros="",C632=""),"",-D632*E632*($F$8/30))</f>
        <v/>
      </c>
      <c r="G632" s="16" t="str">
        <f>IF(OR(TaxaJuros="",C632=""),"",-$F$9)</f>
        <v/>
      </c>
      <c r="H632" s="21" t="str">
        <f>IF(OR(TaxaJuros="",C632=""),"",IF(ComSemIOF=FALSE,0,IF(E632&gt;365,-(D632+F632)*365*IOFDiario,-(D632+F632)*E632*IOFDiario)))</f>
        <v/>
      </c>
      <c r="I632" s="21" t="str">
        <f>IF(OR(TaxaJuros="",C632=""),"",IF(ComSemIOF=FALSE,0,-(D632+F632)*IOFAdic))</f>
        <v/>
      </c>
      <c r="J632" s="16" t="str">
        <f>IF(OR(TaxaJuros="",C632=""),"",D632+SUM(F632:I632))</f>
        <v/>
      </c>
      <c r="K632" s="67" t="str">
        <f>IF(OR(TaxaJuros="",C632=""),"",100%-J632/D632)</f>
        <v/>
      </c>
    </row>
    <row r="633" spans="5:11" x14ac:dyDescent="0.25">
      <c r="E633" s="15" t="str">
        <f>IF(OR(DataRecebimento="",C633=""),"",C633-$F$7)</f>
        <v/>
      </c>
      <c r="F633" s="16" t="str">
        <f>IF(OR(TaxaJuros="",C633=""),"",-D633*E633*($F$8/30))</f>
        <v/>
      </c>
      <c r="G633" s="16" t="str">
        <f>IF(OR(TaxaJuros="",C633=""),"",-$F$9)</f>
        <v/>
      </c>
      <c r="H633" s="21" t="str">
        <f>IF(OR(TaxaJuros="",C633=""),"",IF(ComSemIOF=FALSE,0,IF(E633&gt;365,-(D633+F633)*365*IOFDiario,-(D633+F633)*E633*IOFDiario)))</f>
        <v/>
      </c>
      <c r="I633" s="21" t="str">
        <f>IF(OR(TaxaJuros="",C633=""),"",IF(ComSemIOF=FALSE,0,-(D633+F633)*IOFAdic))</f>
        <v/>
      </c>
      <c r="J633" s="16" t="str">
        <f>IF(OR(TaxaJuros="",C633=""),"",D633+SUM(F633:I633))</f>
        <v/>
      </c>
      <c r="K633" s="67" t="str">
        <f>IF(OR(TaxaJuros="",C633=""),"",100%-J633/D633)</f>
        <v/>
      </c>
    </row>
    <row r="634" spans="5:11" x14ac:dyDescent="0.25">
      <c r="E634" s="15" t="str">
        <f>IF(OR(DataRecebimento="",C634=""),"",C634-$F$7)</f>
        <v/>
      </c>
      <c r="F634" s="16" t="str">
        <f>IF(OR(TaxaJuros="",C634=""),"",-D634*E634*($F$8/30))</f>
        <v/>
      </c>
      <c r="G634" s="16" t="str">
        <f>IF(OR(TaxaJuros="",C634=""),"",-$F$9)</f>
        <v/>
      </c>
      <c r="H634" s="21" t="str">
        <f>IF(OR(TaxaJuros="",C634=""),"",IF(ComSemIOF=FALSE,0,IF(E634&gt;365,-(D634+F634)*365*IOFDiario,-(D634+F634)*E634*IOFDiario)))</f>
        <v/>
      </c>
      <c r="I634" s="21" t="str">
        <f>IF(OR(TaxaJuros="",C634=""),"",IF(ComSemIOF=FALSE,0,-(D634+F634)*IOFAdic))</f>
        <v/>
      </c>
      <c r="J634" s="16" t="str">
        <f>IF(OR(TaxaJuros="",C634=""),"",D634+SUM(F634:I634))</f>
        <v/>
      </c>
      <c r="K634" s="67" t="str">
        <f>IF(OR(TaxaJuros="",C634=""),"",100%-J634/D634)</f>
        <v/>
      </c>
    </row>
    <row r="635" spans="5:11" x14ac:dyDescent="0.25">
      <c r="E635" s="15" t="str">
        <f>IF(OR(DataRecebimento="",C635=""),"",C635-$F$7)</f>
        <v/>
      </c>
      <c r="F635" s="16" t="str">
        <f>IF(OR(TaxaJuros="",C635=""),"",-D635*E635*($F$8/30))</f>
        <v/>
      </c>
      <c r="G635" s="16" t="str">
        <f>IF(OR(TaxaJuros="",C635=""),"",-$F$9)</f>
        <v/>
      </c>
      <c r="H635" s="21" t="str">
        <f>IF(OR(TaxaJuros="",C635=""),"",IF(ComSemIOF=FALSE,0,IF(E635&gt;365,-(D635+F635)*365*IOFDiario,-(D635+F635)*E635*IOFDiario)))</f>
        <v/>
      </c>
      <c r="I635" s="21" t="str">
        <f>IF(OR(TaxaJuros="",C635=""),"",IF(ComSemIOF=FALSE,0,-(D635+F635)*IOFAdic))</f>
        <v/>
      </c>
      <c r="J635" s="16" t="str">
        <f>IF(OR(TaxaJuros="",C635=""),"",D635+SUM(F635:I635))</f>
        <v/>
      </c>
      <c r="K635" s="67" t="str">
        <f>IF(OR(TaxaJuros="",C635=""),"",100%-J635/D635)</f>
        <v/>
      </c>
    </row>
    <row r="636" spans="5:11" x14ac:dyDescent="0.25">
      <c r="E636" s="15" t="str">
        <f>IF(OR(DataRecebimento="",C636=""),"",C636-$F$7)</f>
        <v/>
      </c>
      <c r="F636" s="16" t="str">
        <f>IF(OR(TaxaJuros="",C636=""),"",-D636*E636*($F$8/30))</f>
        <v/>
      </c>
      <c r="G636" s="16" t="str">
        <f>IF(OR(TaxaJuros="",C636=""),"",-$F$9)</f>
        <v/>
      </c>
      <c r="H636" s="21" t="str">
        <f>IF(OR(TaxaJuros="",C636=""),"",IF(ComSemIOF=FALSE,0,IF(E636&gt;365,-(D636+F636)*365*IOFDiario,-(D636+F636)*E636*IOFDiario)))</f>
        <v/>
      </c>
      <c r="I636" s="21" t="str">
        <f>IF(OR(TaxaJuros="",C636=""),"",IF(ComSemIOF=FALSE,0,-(D636+F636)*IOFAdic))</f>
        <v/>
      </c>
      <c r="J636" s="16" t="str">
        <f>IF(OR(TaxaJuros="",C636=""),"",D636+SUM(F636:I636))</f>
        <v/>
      </c>
      <c r="K636" s="67" t="str">
        <f>IF(OR(TaxaJuros="",C636=""),"",100%-J636/D636)</f>
        <v/>
      </c>
    </row>
    <row r="637" spans="5:11" x14ac:dyDescent="0.25">
      <c r="E637" s="15" t="str">
        <f>IF(OR(DataRecebimento="",C637=""),"",C637-$F$7)</f>
        <v/>
      </c>
      <c r="F637" s="16" t="str">
        <f>IF(OR(TaxaJuros="",C637=""),"",-D637*E637*($F$8/30))</f>
        <v/>
      </c>
      <c r="G637" s="16" t="str">
        <f>IF(OR(TaxaJuros="",C637=""),"",-$F$9)</f>
        <v/>
      </c>
      <c r="H637" s="21" t="str">
        <f>IF(OR(TaxaJuros="",C637=""),"",IF(ComSemIOF=FALSE,0,IF(E637&gt;365,-(D637+F637)*365*IOFDiario,-(D637+F637)*E637*IOFDiario)))</f>
        <v/>
      </c>
      <c r="I637" s="21" t="str">
        <f>IF(OR(TaxaJuros="",C637=""),"",IF(ComSemIOF=FALSE,0,-(D637+F637)*IOFAdic))</f>
        <v/>
      </c>
      <c r="J637" s="16" t="str">
        <f>IF(OR(TaxaJuros="",C637=""),"",D637+SUM(F637:I637))</f>
        <v/>
      </c>
      <c r="K637" s="67" t="str">
        <f>IF(OR(TaxaJuros="",C637=""),"",100%-J637/D637)</f>
        <v/>
      </c>
    </row>
    <row r="638" spans="5:11" x14ac:dyDescent="0.25">
      <c r="E638" s="15" t="str">
        <f>IF(OR(DataRecebimento="",C638=""),"",C638-$F$7)</f>
        <v/>
      </c>
      <c r="F638" s="16" t="str">
        <f>IF(OR(TaxaJuros="",C638=""),"",-D638*E638*($F$8/30))</f>
        <v/>
      </c>
      <c r="G638" s="16" t="str">
        <f>IF(OR(TaxaJuros="",C638=""),"",-$F$9)</f>
        <v/>
      </c>
      <c r="H638" s="21" t="str">
        <f>IF(OR(TaxaJuros="",C638=""),"",IF(ComSemIOF=FALSE,0,IF(E638&gt;365,-(D638+F638)*365*IOFDiario,-(D638+F638)*E638*IOFDiario)))</f>
        <v/>
      </c>
      <c r="I638" s="21" t="str">
        <f>IF(OR(TaxaJuros="",C638=""),"",IF(ComSemIOF=FALSE,0,-(D638+F638)*IOFAdic))</f>
        <v/>
      </c>
      <c r="J638" s="16" t="str">
        <f>IF(OR(TaxaJuros="",C638=""),"",D638+SUM(F638:I638))</f>
        <v/>
      </c>
      <c r="K638" s="67" t="str">
        <f>IF(OR(TaxaJuros="",C638=""),"",100%-J638/D638)</f>
        <v/>
      </c>
    </row>
    <row r="639" spans="5:11" x14ac:dyDescent="0.25">
      <c r="E639" s="15" t="str">
        <f>IF(OR(DataRecebimento="",C639=""),"",C639-$F$7)</f>
        <v/>
      </c>
      <c r="F639" s="16" t="str">
        <f>IF(OR(TaxaJuros="",C639=""),"",-D639*E639*($F$8/30))</f>
        <v/>
      </c>
      <c r="G639" s="16" t="str">
        <f>IF(OR(TaxaJuros="",C639=""),"",-$F$9)</f>
        <v/>
      </c>
      <c r="H639" s="21" t="str">
        <f>IF(OR(TaxaJuros="",C639=""),"",IF(ComSemIOF=FALSE,0,IF(E639&gt;365,-(D639+F639)*365*IOFDiario,-(D639+F639)*E639*IOFDiario)))</f>
        <v/>
      </c>
      <c r="I639" s="21" t="str">
        <f>IF(OR(TaxaJuros="",C639=""),"",IF(ComSemIOF=FALSE,0,-(D639+F639)*IOFAdic))</f>
        <v/>
      </c>
      <c r="J639" s="16" t="str">
        <f>IF(OR(TaxaJuros="",C639=""),"",D639+SUM(F639:I639))</f>
        <v/>
      </c>
      <c r="K639" s="67" t="str">
        <f>IF(OR(TaxaJuros="",C639=""),"",100%-J639/D639)</f>
        <v/>
      </c>
    </row>
    <row r="640" spans="5:11" x14ac:dyDescent="0.25">
      <c r="E640" s="15" t="str">
        <f>IF(OR(DataRecebimento="",C640=""),"",C640-$F$7)</f>
        <v/>
      </c>
      <c r="F640" s="16" t="str">
        <f>IF(OR(TaxaJuros="",C640=""),"",-D640*E640*($F$8/30))</f>
        <v/>
      </c>
      <c r="G640" s="16" t="str">
        <f>IF(OR(TaxaJuros="",C640=""),"",-$F$9)</f>
        <v/>
      </c>
      <c r="H640" s="21" t="str">
        <f>IF(OR(TaxaJuros="",C640=""),"",IF(ComSemIOF=FALSE,0,IF(E640&gt;365,-(D640+F640)*365*IOFDiario,-(D640+F640)*E640*IOFDiario)))</f>
        <v/>
      </c>
      <c r="I640" s="21" t="str">
        <f>IF(OR(TaxaJuros="",C640=""),"",IF(ComSemIOF=FALSE,0,-(D640+F640)*IOFAdic))</f>
        <v/>
      </c>
      <c r="J640" s="16" t="str">
        <f>IF(OR(TaxaJuros="",C640=""),"",D640+SUM(F640:I640))</f>
        <v/>
      </c>
      <c r="K640" s="67" t="str">
        <f>IF(OR(TaxaJuros="",C640=""),"",100%-J640/D640)</f>
        <v/>
      </c>
    </row>
    <row r="641" spans="5:11" x14ac:dyDescent="0.25">
      <c r="E641" s="15" t="str">
        <f>IF(OR(DataRecebimento="",C641=""),"",C641-$F$7)</f>
        <v/>
      </c>
      <c r="F641" s="16" t="str">
        <f>IF(OR(TaxaJuros="",C641=""),"",-D641*E641*($F$8/30))</f>
        <v/>
      </c>
      <c r="G641" s="16" t="str">
        <f>IF(OR(TaxaJuros="",C641=""),"",-$F$9)</f>
        <v/>
      </c>
      <c r="H641" s="21" t="str">
        <f>IF(OR(TaxaJuros="",C641=""),"",IF(ComSemIOF=FALSE,0,IF(E641&gt;365,-(D641+F641)*365*IOFDiario,-(D641+F641)*E641*IOFDiario)))</f>
        <v/>
      </c>
      <c r="I641" s="21" t="str">
        <f>IF(OR(TaxaJuros="",C641=""),"",IF(ComSemIOF=FALSE,0,-(D641+F641)*IOFAdic))</f>
        <v/>
      </c>
      <c r="J641" s="16" t="str">
        <f>IF(OR(TaxaJuros="",C641=""),"",D641+SUM(F641:I641))</f>
        <v/>
      </c>
      <c r="K641" s="67" t="str">
        <f>IF(OR(TaxaJuros="",C641=""),"",100%-J641/D641)</f>
        <v/>
      </c>
    </row>
    <row r="642" spans="5:11" x14ac:dyDescent="0.25">
      <c r="E642" s="15" t="str">
        <f>IF(OR(DataRecebimento="",C642=""),"",C642-$F$7)</f>
        <v/>
      </c>
      <c r="F642" s="16" t="str">
        <f>IF(OR(TaxaJuros="",C642=""),"",-D642*E642*($F$8/30))</f>
        <v/>
      </c>
      <c r="G642" s="16" t="str">
        <f>IF(OR(TaxaJuros="",C642=""),"",-$F$9)</f>
        <v/>
      </c>
      <c r="H642" s="21" t="str">
        <f>IF(OR(TaxaJuros="",C642=""),"",IF(ComSemIOF=FALSE,0,IF(E642&gt;365,-(D642+F642)*365*IOFDiario,-(D642+F642)*E642*IOFDiario)))</f>
        <v/>
      </c>
      <c r="I642" s="21" t="str">
        <f>IF(OR(TaxaJuros="",C642=""),"",IF(ComSemIOF=FALSE,0,-(D642+F642)*IOFAdic))</f>
        <v/>
      </c>
      <c r="J642" s="16" t="str">
        <f>IF(OR(TaxaJuros="",C642=""),"",D642+SUM(F642:I642))</f>
        <v/>
      </c>
      <c r="K642" s="67" t="str">
        <f>IF(OR(TaxaJuros="",C642=""),"",100%-J642/D642)</f>
        <v/>
      </c>
    </row>
    <row r="643" spans="5:11" x14ac:dyDescent="0.25">
      <c r="E643" s="15" t="str">
        <f>IF(OR(DataRecebimento="",C643=""),"",C643-$F$7)</f>
        <v/>
      </c>
      <c r="F643" s="16" t="str">
        <f>IF(OR(TaxaJuros="",C643=""),"",-D643*E643*($F$8/30))</f>
        <v/>
      </c>
      <c r="G643" s="16" t="str">
        <f>IF(OR(TaxaJuros="",C643=""),"",-$F$9)</f>
        <v/>
      </c>
      <c r="H643" s="21" t="str">
        <f>IF(OR(TaxaJuros="",C643=""),"",IF(ComSemIOF=FALSE,0,IF(E643&gt;365,-(D643+F643)*365*IOFDiario,-(D643+F643)*E643*IOFDiario)))</f>
        <v/>
      </c>
      <c r="I643" s="21" t="str">
        <f>IF(OR(TaxaJuros="",C643=""),"",IF(ComSemIOF=FALSE,0,-(D643+F643)*IOFAdic))</f>
        <v/>
      </c>
      <c r="J643" s="16" t="str">
        <f>IF(OR(TaxaJuros="",C643=""),"",D643+SUM(F643:I643))</f>
        <v/>
      </c>
      <c r="K643" s="67" t="str">
        <f>IF(OR(TaxaJuros="",C643=""),"",100%-J643/D643)</f>
        <v/>
      </c>
    </row>
    <row r="644" spans="5:11" x14ac:dyDescent="0.25">
      <c r="E644" s="15" t="str">
        <f>IF(OR(DataRecebimento="",C644=""),"",C644-$F$7)</f>
        <v/>
      </c>
      <c r="F644" s="16" t="str">
        <f>IF(OR(TaxaJuros="",C644=""),"",-D644*E644*($F$8/30))</f>
        <v/>
      </c>
      <c r="G644" s="16" t="str">
        <f>IF(OR(TaxaJuros="",C644=""),"",-$F$9)</f>
        <v/>
      </c>
      <c r="H644" s="21" t="str">
        <f>IF(OR(TaxaJuros="",C644=""),"",IF(ComSemIOF=FALSE,0,IF(E644&gt;365,-(D644+F644)*365*IOFDiario,-(D644+F644)*E644*IOFDiario)))</f>
        <v/>
      </c>
      <c r="I644" s="21" t="str">
        <f>IF(OR(TaxaJuros="",C644=""),"",IF(ComSemIOF=FALSE,0,-(D644+F644)*IOFAdic))</f>
        <v/>
      </c>
      <c r="J644" s="16" t="str">
        <f>IF(OR(TaxaJuros="",C644=""),"",D644+SUM(F644:I644))</f>
        <v/>
      </c>
      <c r="K644" s="67" t="str">
        <f>IF(OR(TaxaJuros="",C644=""),"",100%-J644/D644)</f>
        <v/>
      </c>
    </row>
    <row r="645" spans="5:11" x14ac:dyDescent="0.25">
      <c r="E645" s="15" t="str">
        <f>IF(OR(DataRecebimento="",C645=""),"",C645-$F$7)</f>
        <v/>
      </c>
      <c r="F645" s="16" t="str">
        <f>IF(OR(TaxaJuros="",C645=""),"",-D645*E645*($F$8/30))</f>
        <v/>
      </c>
      <c r="G645" s="16" t="str">
        <f>IF(OR(TaxaJuros="",C645=""),"",-$F$9)</f>
        <v/>
      </c>
      <c r="H645" s="21" t="str">
        <f>IF(OR(TaxaJuros="",C645=""),"",IF(ComSemIOF=FALSE,0,IF(E645&gt;365,-(D645+F645)*365*IOFDiario,-(D645+F645)*E645*IOFDiario)))</f>
        <v/>
      </c>
      <c r="I645" s="21" t="str">
        <f>IF(OR(TaxaJuros="",C645=""),"",IF(ComSemIOF=FALSE,0,-(D645+F645)*IOFAdic))</f>
        <v/>
      </c>
      <c r="J645" s="16" t="str">
        <f>IF(OR(TaxaJuros="",C645=""),"",D645+SUM(F645:I645))</f>
        <v/>
      </c>
      <c r="K645" s="67" t="str">
        <f>IF(OR(TaxaJuros="",C645=""),"",100%-J645/D645)</f>
        <v/>
      </c>
    </row>
    <row r="646" spans="5:11" x14ac:dyDescent="0.25">
      <c r="E646" s="15" t="str">
        <f>IF(OR(DataRecebimento="",C646=""),"",C646-$F$7)</f>
        <v/>
      </c>
      <c r="F646" s="16" t="str">
        <f>IF(OR(TaxaJuros="",C646=""),"",-D646*E646*($F$8/30))</f>
        <v/>
      </c>
      <c r="G646" s="16" t="str">
        <f>IF(OR(TaxaJuros="",C646=""),"",-$F$9)</f>
        <v/>
      </c>
      <c r="H646" s="21" t="str">
        <f>IF(OR(TaxaJuros="",C646=""),"",IF(ComSemIOF=FALSE,0,IF(E646&gt;365,-(D646+F646)*365*IOFDiario,-(D646+F646)*E646*IOFDiario)))</f>
        <v/>
      </c>
      <c r="I646" s="21" t="str">
        <f>IF(OR(TaxaJuros="",C646=""),"",IF(ComSemIOF=FALSE,0,-(D646+F646)*IOFAdic))</f>
        <v/>
      </c>
      <c r="J646" s="16" t="str">
        <f>IF(OR(TaxaJuros="",C646=""),"",D646+SUM(F646:I646))</f>
        <v/>
      </c>
      <c r="K646" s="67" t="str">
        <f>IF(OR(TaxaJuros="",C646=""),"",100%-J646/D646)</f>
        <v/>
      </c>
    </row>
    <row r="647" spans="5:11" x14ac:dyDescent="0.25">
      <c r="E647" s="15" t="str">
        <f>IF(OR(DataRecebimento="",C647=""),"",C647-$F$7)</f>
        <v/>
      </c>
      <c r="F647" s="16" t="str">
        <f>IF(OR(TaxaJuros="",C647=""),"",-D647*E647*($F$8/30))</f>
        <v/>
      </c>
      <c r="G647" s="16" t="str">
        <f>IF(OR(TaxaJuros="",C647=""),"",-$F$9)</f>
        <v/>
      </c>
      <c r="H647" s="21" t="str">
        <f>IF(OR(TaxaJuros="",C647=""),"",IF(ComSemIOF=FALSE,0,IF(E647&gt;365,-(D647+F647)*365*IOFDiario,-(D647+F647)*E647*IOFDiario)))</f>
        <v/>
      </c>
      <c r="I647" s="21" t="str">
        <f>IF(OR(TaxaJuros="",C647=""),"",IF(ComSemIOF=FALSE,0,-(D647+F647)*IOFAdic))</f>
        <v/>
      </c>
      <c r="J647" s="16" t="str">
        <f>IF(OR(TaxaJuros="",C647=""),"",D647+SUM(F647:I647))</f>
        <v/>
      </c>
      <c r="K647" s="67" t="str">
        <f>IF(OR(TaxaJuros="",C647=""),"",100%-J647/D647)</f>
        <v/>
      </c>
    </row>
    <row r="648" spans="5:11" x14ac:dyDescent="0.25">
      <c r="E648" s="15" t="str">
        <f>IF(OR(DataRecebimento="",C648=""),"",C648-$F$7)</f>
        <v/>
      </c>
      <c r="F648" s="16" t="str">
        <f>IF(OR(TaxaJuros="",C648=""),"",-D648*E648*($F$8/30))</f>
        <v/>
      </c>
      <c r="G648" s="16" t="str">
        <f>IF(OR(TaxaJuros="",C648=""),"",-$F$9)</f>
        <v/>
      </c>
      <c r="H648" s="21" t="str">
        <f>IF(OR(TaxaJuros="",C648=""),"",IF(ComSemIOF=FALSE,0,IF(E648&gt;365,-(D648+F648)*365*IOFDiario,-(D648+F648)*E648*IOFDiario)))</f>
        <v/>
      </c>
      <c r="I648" s="21" t="str">
        <f>IF(OR(TaxaJuros="",C648=""),"",IF(ComSemIOF=FALSE,0,-(D648+F648)*IOFAdic))</f>
        <v/>
      </c>
      <c r="J648" s="16" t="str">
        <f>IF(OR(TaxaJuros="",C648=""),"",D648+SUM(F648:I648))</f>
        <v/>
      </c>
      <c r="K648" s="67" t="str">
        <f>IF(OR(TaxaJuros="",C648=""),"",100%-J648/D648)</f>
        <v/>
      </c>
    </row>
    <row r="649" spans="5:11" x14ac:dyDescent="0.25">
      <c r="E649" s="15" t="str">
        <f>IF(OR(DataRecebimento="",C649=""),"",C649-$F$7)</f>
        <v/>
      </c>
      <c r="F649" s="16" t="str">
        <f>IF(OR(TaxaJuros="",C649=""),"",-D649*E649*($F$8/30))</f>
        <v/>
      </c>
      <c r="G649" s="16" t="str">
        <f>IF(OR(TaxaJuros="",C649=""),"",-$F$9)</f>
        <v/>
      </c>
      <c r="H649" s="21" t="str">
        <f>IF(OR(TaxaJuros="",C649=""),"",IF(ComSemIOF=FALSE,0,IF(E649&gt;365,-(D649+F649)*365*IOFDiario,-(D649+F649)*E649*IOFDiario)))</f>
        <v/>
      </c>
      <c r="I649" s="21" t="str">
        <f>IF(OR(TaxaJuros="",C649=""),"",IF(ComSemIOF=FALSE,0,-(D649+F649)*IOFAdic))</f>
        <v/>
      </c>
      <c r="J649" s="16" t="str">
        <f>IF(OR(TaxaJuros="",C649=""),"",D649+SUM(F649:I649))</f>
        <v/>
      </c>
      <c r="K649" s="67" t="str">
        <f>IF(OR(TaxaJuros="",C649=""),"",100%-J649/D649)</f>
        <v/>
      </c>
    </row>
    <row r="650" spans="5:11" x14ac:dyDescent="0.25">
      <c r="E650" s="15" t="str">
        <f>IF(OR(DataRecebimento="",C650=""),"",C650-$F$7)</f>
        <v/>
      </c>
      <c r="F650" s="16" t="str">
        <f>IF(OR(TaxaJuros="",C650=""),"",-D650*E650*($F$8/30))</f>
        <v/>
      </c>
      <c r="G650" s="16" t="str">
        <f>IF(OR(TaxaJuros="",C650=""),"",-$F$9)</f>
        <v/>
      </c>
      <c r="H650" s="21" t="str">
        <f>IF(OR(TaxaJuros="",C650=""),"",IF(ComSemIOF=FALSE,0,IF(E650&gt;365,-(D650+F650)*365*IOFDiario,-(D650+F650)*E650*IOFDiario)))</f>
        <v/>
      </c>
      <c r="I650" s="21" t="str">
        <f>IF(OR(TaxaJuros="",C650=""),"",IF(ComSemIOF=FALSE,0,-(D650+F650)*IOFAdic))</f>
        <v/>
      </c>
      <c r="J650" s="16" t="str">
        <f>IF(OR(TaxaJuros="",C650=""),"",D650+SUM(F650:I650))</f>
        <v/>
      </c>
      <c r="K650" s="67" t="str">
        <f>IF(OR(TaxaJuros="",C650=""),"",100%-J650/D650)</f>
        <v/>
      </c>
    </row>
    <row r="651" spans="5:11" x14ac:dyDescent="0.25">
      <c r="E651" s="15" t="str">
        <f>IF(OR(DataRecebimento="",C651=""),"",C651-$F$7)</f>
        <v/>
      </c>
      <c r="F651" s="16" t="str">
        <f>IF(OR(TaxaJuros="",C651=""),"",-D651*E651*($F$8/30))</f>
        <v/>
      </c>
      <c r="G651" s="16" t="str">
        <f>IF(OR(TaxaJuros="",C651=""),"",-$F$9)</f>
        <v/>
      </c>
      <c r="H651" s="21" t="str">
        <f>IF(OR(TaxaJuros="",C651=""),"",IF(ComSemIOF=FALSE,0,IF(E651&gt;365,-(D651+F651)*365*IOFDiario,-(D651+F651)*E651*IOFDiario)))</f>
        <v/>
      </c>
      <c r="I651" s="21" t="str">
        <f>IF(OR(TaxaJuros="",C651=""),"",IF(ComSemIOF=FALSE,0,-(D651+F651)*IOFAdic))</f>
        <v/>
      </c>
      <c r="J651" s="16" t="str">
        <f>IF(OR(TaxaJuros="",C651=""),"",D651+SUM(F651:I651))</f>
        <v/>
      </c>
      <c r="K651" s="67" t="str">
        <f>IF(OR(TaxaJuros="",C651=""),"",100%-J651/D651)</f>
        <v/>
      </c>
    </row>
    <row r="652" spans="5:11" x14ac:dyDescent="0.25">
      <c r="E652" s="15" t="str">
        <f>IF(OR(DataRecebimento="",C652=""),"",C652-$F$7)</f>
        <v/>
      </c>
      <c r="F652" s="16" t="str">
        <f>IF(OR(TaxaJuros="",C652=""),"",-D652*E652*($F$8/30))</f>
        <v/>
      </c>
      <c r="G652" s="16" t="str">
        <f>IF(OR(TaxaJuros="",C652=""),"",-$F$9)</f>
        <v/>
      </c>
      <c r="H652" s="21" t="str">
        <f>IF(OR(TaxaJuros="",C652=""),"",IF(ComSemIOF=FALSE,0,IF(E652&gt;365,-(D652+F652)*365*IOFDiario,-(D652+F652)*E652*IOFDiario)))</f>
        <v/>
      </c>
      <c r="I652" s="21" t="str">
        <f>IF(OR(TaxaJuros="",C652=""),"",IF(ComSemIOF=FALSE,0,-(D652+F652)*IOFAdic))</f>
        <v/>
      </c>
      <c r="J652" s="16" t="str">
        <f>IF(OR(TaxaJuros="",C652=""),"",D652+SUM(F652:I652))</f>
        <v/>
      </c>
      <c r="K652" s="67" t="str">
        <f>IF(OR(TaxaJuros="",C652=""),"",100%-J652/D652)</f>
        <v/>
      </c>
    </row>
    <row r="653" spans="5:11" x14ac:dyDescent="0.25">
      <c r="E653" s="15" t="str">
        <f>IF(OR(DataRecebimento="",C653=""),"",C653-$F$7)</f>
        <v/>
      </c>
      <c r="F653" s="16" t="str">
        <f>IF(OR(TaxaJuros="",C653=""),"",-D653*E653*($F$8/30))</f>
        <v/>
      </c>
      <c r="G653" s="16" t="str">
        <f>IF(OR(TaxaJuros="",C653=""),"",-$F$9)</f>
        <v/>
      </c>
      <c r="H653" s="21" t="str">
        <f>IF(OR(TaxaJuros="",C653=""),"",IF(ComSemIOF=FALSE,0,IF(E653&gt;365,-(D653+F653)*365*IOFDiario,-(D653+F653)*E653*IOFDiario)))</f>
        <v/>
      </c>
      <c r="I653" s="21" t="str">
        <f>IF(OR(TaxaJuros="",C653=""),"",IF(ComSemIOF=FALSE,0,-(D653+F653)*IOFAdic))</f>
        <v/>
      </c>
      <c r="J653" s="16" t="str">
        <f>IF(OR(TaxaJuros="",C653=""),"",D653+SUM(F653:I653))</f>
        <v/>
      </c>
      <c r="K653" s="67" t="str">
        <f>IF(OR(TaxaJuros="",C653=""),"",100%-J653/D653)</f>
        <v/>
      </c>
    </row>
    <row r="654" spans="5:11" x14ac:dyDescent="0.25">
      <c r="E654" s="15" t="str">
        <f>IF(OR(DataRecebimento="",C654=""),"",C654-$F$7)</f>
        <v/>
      </c>
      <c r="F654" s="16" t="str">
        <f>IF(OR(TaxaJuros="",C654=""),"",-D654*E654*($F$8/30))</f>
        <v/>
      </c>
      <c r="G654" s="16" t="str">
        <f>IF(OR(TaxaJuros="",C654=""),"",-$F$9)</f>
        <v/>
      </c>
      <c r="H654" s="21" t="str">
        <f>IF(OR(TaxaJuros="",C654=""),"",IF(ComSemIOF=FALSE,0,IF(E654&gt;365,-(D654+F654)*365*IOFDiario,-(D654+F654)*E654*IOFDiario)))</f>
        <v/>
      </c>
      <c r="I654" s="21" t="str">
        <f>IF(OR(TaxaJuros="",C654=""),"",IF(ComSemIOF=FALSE,0,-(D654+F654)*IOFAdic))</f>
        <v/>
      </c>
      <c r="J654" s="16" t="str">
        <f>IF(OR(TaxaJuros="",C654=""),"",D654+SUM(F654:I654))</f>
        <v/>
      </c>
      <c r="K654" s="67" t="str">
        <f>IF(OR(TaxaJuros="",C654=""),"",100%-J654/D654)</f>
        <v/>
      </c>
    </row>
    <row r="655" spans="5:11" x14ac:dyDescent="0.25">
      <c r="E655" s="15" t="str">
        <f>IF(OR(DataRecebimento="",C655=""),"",C655-$F$7)</f>
        <v/>
      </c>
      <c r="F655" s="16" t="str">
        <f>IF(OR(TaxaJuros="",C655=""),"",-D655*E655*($F$8/30))</f>
        <v/>
      </c>
      <c r="G655" s="16" t="str">
        <f>IF(OR(TaxaJuros="",C655=""),"",-$F$9)</f>
        <v/>
      </c>
      <c r="H655" s="21" t="str">
        <f>IF(OR(TaxaJuros="",C655=""),"",IF(ComSemIOF=FALSE,0,IF(E655&gt;365,-(D655+F655)*365*IOFDiario,-(D655+F655)*E655*IOFDiario)))</f>
        <v/>
      </c>
      <c r="I655" s="21" t="str">
        <f>IF(OR(TaxaJuros="",C655=""),"",IF(ComSemIOF=FALSE,0,-(D655+F655)*IOFAdic))</f>
        <v/>
      </c>
      <c r="J655" s="16" t="str">
        <f>IF(OR(TaxaJuros="",C655=""),"",D655+SUM(F655:I655))</f>
        <v/>
      </c>
      <c r="K655" s="67" t="str">
        <f>IF(OR(TaxaJuros="",C655=""),"",100%-J655/D655)</f>
        <v/>
      </c>
    </row>
    <row r="656" spans="5:11" x14ac:dyDescent="0.25">
      <c r="E656" s="15" t="str">
        <f>IF(OR(DataRecebimento="",C656=""),"",C656-$F$7)</f>
        <v/>
      </c>
      <c r="F656" s="16" t="str">
        <f>IF(OR(TaxaJuros="",C656=""),"",-D656*E656*($F$8/30))</f>
        <v/>
      </c>
      <c r="G656" s="16" t="str">
        <f>IF(OR(TaxaJuros="",C656=""),"",-$F$9)</f>
        <v/>
      </c>
      <c r="H656" s="21" t="str">
        <f>IF(OR(TaxaJuros="",C656=""),"",IF(ComSemIOF=FALSE,0,IF(E656&gt;365,-(D656+F656)*365*IOFDiario,-(D656+F656)*E656*IOFDiario)))</f>
        <v/>
      </c>
      <c r="I656" s="21" t="str">
        <f>IF(OR(TaxaJuros="",C656=""),"",IF(ComSemIOF=FALSE,0,-(D656+F656)*IOFAdic))</f>
        <v/>
      </c>
      <c r="J656" s="16" t="str">
        <f>IF(OR(TaxaJuros="",C656=""),"",D656+SUM(F656:I656))</f>
        <v/>
      </c>
      <c r="K656" s="67" t="str">
        <f>IF(OR(TaxaJuros="",C656=""),"",100%-J656/D656)</f>
        <v/>
      </c>
    </row>
    <row r="657" spans="5:11" x14ac:dyDescent="0.25">
      <c r="E657" s="15" t="str">
        <f>IF(OR(DataRecebimento="",C657=""),"",C657-$F$7)</f>
        <v/>
      </c>
      <c r="F657" s="16" t="str">
        <f>IF(OR(TaxaJuros="",C657=""),"",-D657*E657*($F$8/30))</f>
        <v/>
      </c>
      <c r="G657" s="16" t="str">
        <f>IF(OR(TaxaJuros="",C657=""),"",-$F$9)</f>
        <v/>
      </c>
      <c r="H657" s="21" t="str">
        <f>IF(OR(TaxaJuros="",C657=""),"",IF(ComSemIOF=FALSE,0,IF(E657&gt;365,-(D657+F657)*365*IOFDiario,-(D657+F657)*E657*IOFDiario)))</f>
        <v/>
      </c>
      <c r="I657" s="21" t="str">
        <f>IF(OR(TaxaJuros="",C657=""),"",IF(ComSemIOF=FALSE,0,-(D657+F657)*IOFAdic))</f>
        <v/>
      </c>
      <c r="J657" s="16" t="str">
        <f>IF(OR(TaxaJuros="",C657=""),"",D657+SUM(F657:I657))</f>
        <v/>
      </c>
      <c r="K657" s="67" t="str">
        <f>IF(OR(TaxaJuros="",C657=""),"",100%-J657/D657)</f>
        <v/>
      </c>
    </row>
    <row r="658" spans="5:11" x14ac:dyDescent="0.25">
      <c r="E658" s="15" t="str">
        <f>IF(OR(DataRecebimento="",C658=""),"",C658-$F$7)</f>
        <v/>
      </c>
      <c r="F658" s="16" t="str">
        <f>IF(OR(TaxaJuros="",C658=""),"",-D658*E658*($F$8/30))</f>
        <v/>
      </c>
      <c r="G658" s="16" t="str">
        <f>IF(OR(TaxaJuros="",C658=""),"",-$F$9)</f>
        <v/>
      </c>
      <c r="H658" s="21" t="str">
        <f>IF(OR(TaxaJuros="",C658=""),"",IF(ComSemIOF=FALSE,0,IF(E658&gt;365,-(D658+F658)*365*IOFDiario,-(D658+F658)*E658*IOFDiario)))</f>
        <v/>
      </c>
      <c r="I658" s="21" t="str">
        <f>IF(OR(TaxaJuros="",C658=""),"",IF(ComSemIOF=FALSE,0,-(D658+F658)*IOFAdic))</f>
        <v/>
      </c>
      <c r="J658" s="16" t="str">
        <f>IF(OR(TaxaJuros="",C658=""),"",D658+SUM(F658:I658))</f>
        <v/>
      </c>
      <c r="K658" s="67" t="str">
        <f>IF(OR(TaxaJuros="",C658=""),"",100%-J658/D658)</f>
        <v/>
      </c>
    </row>
    <row r="659" spans="5:11" x14ac:dyDescent="0.25">
      <c r="E659" s="15" t="str">
        <f>IF(OR(DataRecebimento="",C659=""),"",C659-$F$7)</f>
        <v/>
      </c>
      <c r="F659" s="16" t="str">
        <f>IF(OR(TaxaJuros="",C659=""),"",-D659*E659*($F$8/30))</f>
        <v/>
      </c>
      <c r="G659" s="16" t="str">
        <f>IF(OR(TaxaJuros="",C659=""),"",-$F$9)</f>
        <v/>
      </c>
      <c r="H659" s="21" t="str">
        <f>IF(OR(TaxaJuros="",C659=""),"",IF(ComSemIOF=FALSE,0,IF(E659&gt;365,-(D659+F659)*365*IOFDiario,-(D659+F659)*E659*IOFDiario)))</f>
        <v/>
      </c>
      <c r="I659" s="21" t="str">
        <f>IF(OR(TaxaJuros="",C659=""),"",IF(ComSemIOF=FALSE,0,-(D659+F659)*IOFAdic))</f>
        <v/>
      </c>
      <c r="J659" s="16" t="str">
        <f>IF(OR(TaxaJuros="",C659=""),"",D659+SUM(F659:I659))</f>
        <v/>
      </c>
      <c r="K659" s="67" t="str">
        <f>IF(OR(TaxaJuros="",C659=""),"",100%-J659/D659)</f>
        <v/>
      </c>
    </row>
    <row r="660" spans="5:11" x14ac:dyDescent="0.25">
      <c r="E660" s="15" t="str">
        <f>IF(OR(DataRecebimento="",C660=""),"",C660-$F$7)</f>
        <v/>
      </c>
      <c r="F660" s="16" t="str">
        <f>IF(OR(TaxaJuros="",C660=""),"",-D660*E660*($F$8/30))</f>
        <v/>
      </c>
      <c r="G660" s="16" t="str">
        <f>IF(OR(TaxaJuros="",C660=""),"",-$F$9)</f>
        <v/>
      </c>
      <c r="H660" s="21" t="str">
        <f>IF(OR(TaxaJuros="",C660=""),"",IF(ComSemIOF=FALSE,0,IF(E660&gt;365,-(D660+F660)*365*IOFDiario,-(D660+F660)*E660*IOFDiario)))</f>
        <v/>
      </c>
      <c r="I660" s="21" t="str">
        <f>IF(OR(TaxaJuros="",C660=""),"",IF(ComSemIOF=FALSE,0,-(D660+F660)*IOFAdic))</f>
        <v/>
      </c>
      <c r="J660" s="16" t="str">
        <f>IF(OR(TaxaJuros="",C660=""),"",D660+SUM(F660:I660))</f>
        <v/>
      </c>
      <c r="K660" s="67" t="str">
        <f>IF(OR(TaxaJuros="",C660=""),"",100%-J660/D660)</f>
        <v/>
      </c>
    </row>
    <row r="661" spans="5:11" x14ac:dyDescent="0.25">
      <c r="E661" s="15" t="str">
        <f>IF(OR(DataRecebimento="",C661=""),"",C661-$F$7)</f>
        <v/>
      </c>
      <c r="F661" s="16" t="str">
        <f>IF(OR(TaxaJuros="",C661=""),"",-D661*E661*($F$8/30))</f>
        <v/>
      </c>
      <c r="G661" s="16" t="str">
        <f>IF(OR(TaxaJuros="",C661=""),"",-$F$9)</f>
        <v/>
      </c>
      <c r="H661" s="21" t="str">
        <f>IF(OR(TaxaJuros="",C661=""),"",IF(ComSemIOF=FALSE,0,IF(E661&gt;365,-(D661+F661)*365*IOFDiario,-(D661+F661)*E661*IOFDiario)))</f>
        <v/>
      </c>
      <c r="I661" s="21" t="str">
        <f>IF(OR(TaxaJuros="",C661=""),"",IF(ComSemIOF=FALSE,0,-(D661+F661)*IOFAdic))</f>
        <v/>
      </c>
      <c r="J661" s="16" t="str">
        <f>IF(OR(TaxaJuros="",C661=""),"",D661+SUM(F661:I661))</f>
        <v/>
      </c>
      <c r="K661" s="67" t="str">
        <f>IF(OR(TaxaJuros="",C661=""),"",100%-J661/D661)</f>
        <v/>
      </c>
    </row>
    <row r="662" spans="5:11" x14ac:dyDescent="0.25">
      <c r="E662" s="15" t="str">
        <f>IF(OR(DataRecebimento="",C662=""),"",C662-$F$7)</f>
        <v/>
      </c>
      <c r="F662" s="16" t="str">
        <f>IF(OR(TaxaJuros="",C662=""),"",-D662*E662*($F$8/30))</f>
        <v/>
      </c>
      <c r="G662" s="16" t="str">
        <f>IF(OR(TaxaJuros="",C662=""),"",-$F$9)</f>
        <v/>
      </c>
      <c r="H662" s="21" t="str">
        <f>IF(OR(TaxaJuros="",C662=""),"",IF(ComSemIOF=FALSE,0,IF(E662&gt;365,-(D662+F662)*365*IOFDiario,-(D662+F662)*E662*IOFDiario)))</f>
        <v/>
      </c>
      <c r="I662" s="21" t="str">
        <f>IF(OR(TaxaJuros="",C662=""),"",IF(ComSemIOF=FALSE,0,-(D662+F662)*IOFAdic))</f>
        <v/>
      </c>
      <c r="J662" s="16" t="str">
        <f>IF(OR(TaxaJuros="",C662=""),"",D662+SUM(F662:I662))</f>
        <v/>
      </c>
      <c r="K662" s="67" t="str">
        <f>IF(OR(TaxaJuros="",C662=""),"",100%-J662/D662)</f>
        <v/>
      </c>
    </row>
    <row r="663" spans="5:11" x14ac:dyDescent="0.25">
      <c r="E663" s="15" t="str">
        <f>IF(OR(DataRecebimento="",C663=""),"",C663-$F$7)</f>
        <v/>
      </c>
      <c r="F663" s="16" t="str">
        <f>IF(OR(TaxaJuros="",C663=""),"",-D663*E663*($F$8/30))</f>
        <v/>
      </c>
      <c r="G663" s="16" t="str">
        <f>IF(OR(TaxaJuros="",C663=""),"",-$F$9)</f>
        <v/>
      </c>
      <c r="H663" s="21" t="str">
        <f>IF(OR(TaxaJuros="",C663=""),"",IF(ComSemIOF=FALSE,0,IF(E663&gt;365,-(D663+F663)*365*IOFDiario,-(D663+F663)*E663*IOFDiario)))</f>
        <v/>
      </c>
      <c r="I663" s="21" t="str">
        <f>IF(OR(TaxaJuros="",C663=""),"",IF(ComSemIOF=FALSE,0,-(D663+F663)*IOFAdic))</f>
        <v/>
      </c>
      <c r="J663" s="16" t="str">
        <f>IF(OR(TaxaJuros="",C663=""),"",D663+SUM(F663:I663))</f>
        <v/>
      </c>
      <c r="K663" s="67" t="str">
        <f>IF(OR(TaxaJuros="",C663=""),"",100%-J663/D663)</f>
        <v/>
      </c>
    </row>
    <row r="664" spans="5:11" x14ac:dyDescent="0.25">
      <c r="E664" s="15" t="str">
        <f>IF(OR(DataRecebimento="",C664=""),"",C664-$F$7)</f>
        <v/>
      </c>
      <c r="F664" s="16" t="str">
        <f>IF(OR(TaxaJuros="",C664=""),"",-D664*E664*($F$8/30))</f>
        <v/>
      </c>
      <c r="G664" s="16" t="str">
        <f>IF(OR(TaxaJuros="",C664=""),"",-$F$9)</f>
        <v/>
      </c>
      <c r="H664" s="21" t="str">
        <f>IF(OR(TaxaJuros="",C664=""),"",IF(ComSemIOF=FALSE,0,IF(E664&gt;365,-(D664+F664)*365*IOFDiario,-(D664+F664)*E664*IOFDiario)))</f>
        <v/>
      </c>
      <c r="I664" s="21" t="str">
        <f>IF(OR(TaxaJuros="",C664=""),"",IF(ComSemIOF=FALSE,0,-(D664+F664)*IOFAdic))</f>
        <v/>
      </c>
      <c r="J664" s="16" t="str">
        <f>IF(OR(TaxaJuros="",C664=""),"",D664+SUM(F664:I664))</f>
        <v/>
      </c>
      <c r="K664" s="67" t="str">
        <f>IF(OR(TaxaJuros="",C664=""),"",100%-J664/D664)</f>
        <v/>
      </c>
    </row>
    <row r="665" spans="5:11" x14ac:dyDescent="0.25">
      <c r="E665" s="15" t="str">
        <f>IF(OR(DataRecebimento="",C665=""),"",C665-$F$7)</f>
        <v/>
      </c>
      <c r="F665" s="16" t="str">
        <f>IF(OR(TaxaJuros="",C665=""),"",-D665*E665*($F$8/30))</f>
        <v/>
      </c>
      <c r="G665" s="16" t="str">
        <f>IF(OR(TaxaJuros="",C665=""),"",-$F$9)</f>
        <v/>
      </c>
      <c r="H665" s="21" t="str">
        <f>IF(OR(TaxaJuros="",C665=""),"",IF(ComSemIOF=FALSE,0,IF(E665&gt;365,-(D665+F665)*365*IOFDiario,-(D665+F665)*E665*IOFDiario)))</f>
        <v/>
      </c>
      <c r="I665" s="21" t="str">
        <f>IF(OR(TaxaJuros="",C665=""),"",IF(ComSemIOF=FALSE,0,-(D665+F665)*IOFAdic))</f>
        <v/>
      </c>
      <c r="J665" s="16" t="str">
        <f>IF(OR(TaxaJuros="",C665=""),"",D665+SUM(F665:I665))</f>
        <v/>
      </c>
      <c r="K665" s="67" t="str">
        <f>IF(OR(TaxaJuros="",C665=""),"",100%-J665/D665)</f>
        <v/>
      </c>
    </row>
    <row r="666" spans="5:11" x14ac:dyDescent="0.25">
      <c r="E666" s="15" t="str">
        <f>IF(OR(DataRecebimento="",C666=""),"",C666-$F$7)</f>
        <v/>
      </c>
      <c r="F666" s="16" t="str">
        <f>IF(OR(TaxaJuros="",C666=""),"",-D666*E666*($F$8/30))</f>
        <v/>
      </c>
      <c r="G666" s="16" t="str">
        <f>IF(OR(TaxaJuros="",C666=""),"",-$F$9)</f>
        <v/>
      </c>
      <c r="H666" s="21" t="str">
        <f>IF(OR(TaxaJuros="",C666=""),"",IF(ComSemIOF=FALSE,0,IF(E666&gt;365,-(D666+F666)*365*IOFDiario,-(D666+F666)*E666*IOFDiario)))</f>
        <v/>
      </c>
      <c r="I666" s="21" t="str">
        <f>IF(OR(TaxaJuros="",C666=""),"",IF(ComSemIOF=FALSE,0,-(D666+F666)*IOFAdic))</f>
        <v/>
      </c>
      <c r="J666" s="16" t="str">
        <f>IF(OR(TaxaJuros="",C666=""),"",D666+SUM(F666:I666))</f>
        <v/>
      </c>
      <c r="K666" s="67" t="str">
        <f>IF(OR(TaxaJuros="",C666=""),"",100%-J666/D666)</f>
        <v/>
      </c>
    </row>
    <row r="667" spans="5:11" x14ac:dyDescent="0.25">
      <c r="E667" s="15" t="str">
        <f>IF(OR(DataRecebimento="",C667=""),"",C667-$F$7)</f>
        <v/>
      </c>
      <c r="F667" s="16" t="str">
        <f>IF(OR(TaxaJuros="",C667=""),"",-D667*E667*($F$8/30))</f>
        <v/>
      </c>
      <c r="G667" s="16" t="str">
        <f>IF(OR(TaxaJuros="",C667=""),"",-$F$9)</f>
        <v/>
      </c>
      <c r="H667" s="21" t="str">
        <f>IF(OR(TaxaJuros="",C667=""),"",IF(ComSemIOF=FALSE,0,IF(E667&gt;365,-(D667+F667)*365*IOFDiario,-(D667+F667)*E667*IOFDiario)))</f>
        <v/>
      </c>
      <c r="I667" s="21" t="str">
        <f>IF(OR(TaxaJuros="",C667=""),"",IF(ComSemIOF=FALSE,0,-(D667+F667)*IOFAdic))</f>
        <v/>
      </c>
      <c r="J667" s="16" t="str">
        <f>IF(OR(TaxaJuros="",C667=""),"",D667+SUM(F667:I667))</f>
        <v/>
      </c>
      <c r="K667" s="67" t="str">
        <f>IF(OR(TaxaJuros="",C667=""),"",100%-J667/D667)</f>
        <v/>
      </c>
    </row>
    <row r="668" spans="5:11" x14ac:dyDescent="0.25">
      <c r="E668" s="15" t="str">
        <f>IF(OR(DataRecebimento="",C668=""),"",C668-$F$7)</f>
        <v/>
      </c>
      <c r="F668" s="16" t="str">
        <f>IF(OR(TaxaJuros="",C668=""),"",-D668*E668*($F$8/30))</f>
        <v/>
      </c>
      <c r="G668" s="16" t="str">
        <f>IF(OR(TaxaJuros="",C668=""),"",-$F$9)</f>
        <v/>
      </c>
      <c r="H668" s="21" t="str">
        <f>IF(OR(TaxaJuros="",C668=""),"",IF(ComSemIOF=FALSE,0,IF(E668&gt;365,-(D668+F668)*365*IOFDiario,-(D668+F668)*E668*IOFDiario)))</f>
        <v/>
      </c>
      <c r="I668" s="21" t="str">
        <f>IF(OR(TaxaJuros="",C668=""),"",IF(ComSemIOF=FALSE,0,-(D668+F668)*IOFAdic))</f>
        <v/>
      </c>
      <c r="J668" s="16" t="str">
        <f>IF(OR(TaxaJuros="",C668=""),"",D668+SUM(F668:I668))</f>
        <v/>
      </c>
      <c r="K668" s="67" t="str">
        <f>IF(OR(TaxaJuros="",C668=""),"",100%-J668/D668)</f>
        <v/>
      </c>
    </row>
    <row r="669" spans="5:11" x14ac:dyDescent="0.25">
      <c r="E669" s="15" t="str">
        <f>IF(OR(DataRecebimento="",C669=""),"",C669-$F$7)</f>
        <v/>
      </c>
      <c r="F669" s="16" t="str">
        <f>IF(OR(TaxaJuros="",C669=""),"",-D669*E669*($F$8/30))</f>
        <v/>
      </c>
      <c r="G669" s="16" t="str">
        <f>IF(OR(TaxaJuros="",C669=""),"",-$F$9)</f>
        <v/>
      </c>
      <c r="H669" s="21" t="str">
        <f>IF(OR(TaxaJuros="",C669=""),"",IF(ComSemIOF=FALSE,0,IF(E669&gt;365,-(D669+F669)*365*IOFDiario,-(D669+F669)*E669*IOFDiario)))</f>
        <v/>
      </c>
      <c r="I669" s="21" t="str">
        <f>IF(OR(TaxaJuros="",C669=""),"",IF(ComSemIOF=FALSE,0,-(D669+F669)*IOFAdic))</f>
        <v/>
      </c>
      <c r="J669" s="16" t="str">
        <f>IF(OR(TaxaJuros="",C669=""),"",D669+SUM(F669:I669))</f>
        <v/>
      </c>
      <c r="K669" s="67" t="str">
        <f>IF(OR(TaxaJuros="",C669=""),"",100%-J669/D669)</f>
        <v/>
      </c>
    </row>
    <row r="670" spans="5:11" x14ac:dyDescent="0.25">
      <c r="E670" s="15" t="str">
        <f>IF(OR(DataRecebimento="",C670=""),"",C670-$F$7)</f>
        <v/>
      </c>
      <c r="F670" s="16" t="str">
        <f>IF(OR(TaxaJuros="",C670=""),"",-D670*E670*($F$8/30))</f>
        <v/>
      </c>
      <c r="G670" s="16" t="str">
        <f>IF(OR(TaxaJuros="",C670=""),"",-$F$9)</f>
        <v/>
      </c>
      <c r="H670" s="21" t="str">
        <f>IF(OR(TaxaJuros="",C670=""),"",IF(ComSemIOF=FALSE,0,IF(E670&gt;365,-(D670+F670)*365*IOFDiario,-(D670+F670)*E670*IOFDiario)))</f>
        <v/>
      </c>
      <c r="I670" s="21" t="str">
        <f>IF(OR(TaxaJuros="",C670=""),"",IF(ComSemIOF=FALSE,0,-(D670+F670)*IOFAdic))</f>
        <v/>
      </c>
      <c r="J670" s="16" t="str">
        <f>IF(OR(TaxaJuros="",C670=""),"",D670+SUM(F670:I670))</f>
        <v/>
      </c>
      <c r="K670" s="67" t="str">
        <f>IF(OR(TaxaJuros="",C670=""),"",100%-J670/D670)</f>
        <v/>
      </c>
    </row>
    <row r="671" spans="5:11" x14ac:dyDescent="0.25">
      <c r="E671" s="15" t="str">
        <f>IF(OR(DataRecebimento="",C671=""),"",C671-$F$7)</f>
        <v/>
      </c>
      <c r="F671" s="16" t="str">
        <f>IF(OR(TaxaJuros="",C671=""),"",-D671*E671*($F$8/30))</f>
        <v/>
      </c>
      <c r="G671" s="16" t="str">
        <f>IF(OR(TaxaJuros="",C671=""),"",-$F$9)</f>
        <v/>
      </c>
      <c r="H671" s="21" t="str">
        <f>IF(OR(TaxaJuros="",C671=""),"",IF(ComSemIOF=FALSE,0,IF(E671&gt;365,-(D671+F671)*365*IOFDiario,-(D671+F671)*E671*IOFDiario)))</f>
        <v/>
      </c>
      <c r="I671" s="21" t="str">
        <f>IF(OR(TaxaJuros="",C671=""),"",IF(ComSemIOF=FALSE,0,-(D671+F671)*IOFAdic))</f>
        <v/>
      </c>
      <c r="J671" s="16" t="str">
        <f>IF(OR(TaxaJuros="",C671=""),"",D671+SUM(F671:I671))</f>
        <v/>
      </c>
      <c r="K671" s="67" t="str">
        <f>IF(OR(TaxaJuros="",C671=""),"",100%-J671/D671)</f>
        <v/>
      </c>
    </row>
    <row r="672" spans="5:11" x14ac:dyDescent="0.25">
      <c r="E672" s="15" t="str">
        <f>IF(OR(DataRecebimento="",C672=""),"",C672-$F$7)</f>
        <v/>
      </c>
      <c r="F672" s="16" t="str">
        <f>IF(OR(TaxaJuros="",C672=""),"",-D672*E672*($F$8/30))</f>
        <v/>
      </c>
      <c r="G672" s="16" t="str">
        <f>IF(OR(TaxaJuros="",C672=""),"",-$F$9)</f>
        <v/>
      </c>
      <c r="H672" s="21" t="str">
        <f>IF(OR(TaxaJuros="",C672=""),"",IF(ComSemIOF=FALSE,0,IF(E672&gt;365,-(D672+F672)*365*IOFDiario,-(D672+F672)*E672*IOFDiario)))</f>
        <v/>
      </c>
      <c r="I672" s="21" t="str">
        <f>IF(OR(TaxaJuros="",C672=""),"",IF(ComSemIOF=FALSE,0,-(D672+F672)*IOFAdic))</f>
        <v/>
      </c>
      <c r="J672" s="16" t="str">
        <f>IF(OR(TaxaJuros="",C672=""),"",D672+SUM(F672:I672))</f>
        <v/>
      </c>
      <c r="K672" s="67" t="str">
        <f>IF(OR(TaxaJuros="",C672=""),"",100%-J672/D672)</f>
        <v/>
      </c>
    </row>
    <row r="673" spans="5:11" x14ac:dyDescent="0.25">
      <c r="E673" s="15" t="str">
        <f>IF(OR(DataRecebimento="",C673=""),"",C673-$F$7)</f>
        <v/>
      </c>
      <c r="F673" s="16" t="str">
        <f>IF(OR(TaxaJuros="",C673=""),"",-D673*E673*($F$8/30))</f>
        <v/>
      </c>
      <c r="G673" s="16" t="str">
        <f>IF(OR(TaxaJuros="",C673=""),"",-$F$9)</f>
        <v/>
      </c>
      <c r="H673" s="21" t="str">
        <f>IF(OR(TaxaJuros="",C673=""),"",IF(ComSemIOF=FALSE,0,IF(E673&gt;365,-(D673+F673)*365*IOFDiario,-(D673+F673)*E673*IOFDiario)))</f>
        <v/>
      </c>
      <c r="I673" s="21" t="str">
        <f>IF(OR(TaxaJuros="",C673=""),"",IF(ComSemIOF=FALSE,0,-(D673+F673)*IOFAdic))</f>
        <v/>
      </c>
      <c r="J673" s="16" t="str">
        <f>IF(OR(TaxaJuros="",C673=""),"",D673+SUM(F673:I673))</f>
        <v/>
      </c>
      <c r="K673" s="67" t="str">
        <f>IF(OR(TaxaJuros="",C673=""),"",100%-J673/D673)</f>
        <v/>
      </c>
    </row>
    <row r="674" spans="5:11" x14ac:dyDescent="0.25">
      <c r="E674" s="15" t="str">
        <f>IF(OR(DataRecebimento="",C674=""),"",C674-$F$7)</f>
        <v/>
      </c>
      <c r="F674" s="16" t="str">
        <f>IF(OR(TaxaJuros="",C674=""),"",-D674*E674*($F$8/30))</f>
        <v/>
      </c>
      <c r="G674" s="16" t="str">
        <f>IF(OR(TaxaJuros="",C674=""),"",-$F$9)</f>
        <v/>
      </c>
      <c r="H674" s="21" t="str">
        <f>IF(OR(TaxaJuros="",C674=""),"",IF(ComSemIOF=FALSE,0,IF(E674&gt;365,-(D674+F674)*365*IOFDiario,-(D674+F674)*E674*IOFDiario)))</f>
        <v/>
      </c>
      <c r="I674" s="21" t="str">
        <f>IF(OR(TaxaJuros="",C674=""),"",IF(ComSemIOF=FALSE,0,-(D674+F674)*IOFAdic))</f>
        <v/>
      </c>
      <c r="J674" s="16" t="str">
        <f>IF(OR(TaxaJuros="",C674=""),"",D674+SUM(F674:I674))</f>
        <v/>
      </c>
      <c r="K674" s="67" t="str">
        <f>IF(OR(TaxaJuros="",C674=""),"",100%-J674/D674)</f>
        <v/>
      </c>
    </row>
    <row r="675" spans="5:11" x14ac:dyDescent="0.25">
      <c r="E675" s="15" t="str">
        <f>IF(OR(DataRecebimento="",C675=""),"",C675-$F$7)</f>
        <v/>
      </c>
      <c r="F675" s="16" t="str">
        <f>IF(OR(TaxaJuros="",C675=""),"",-D675*E675*($F$8/30))</f>
        <v/>
      </c>
      <c r="G675" s="16" t="str">
        <f>IF(OR(TaxaJuros="",C675=""),"",-$F$9)</f>
        <v/>
      </c>
      <c r="H675" s="21" t="str">
        <f>IF(OR(TaxaJuros="",C675=""),"",IF(ComSemIOF=FALSE,0,IF(E675&gt;365,-(D675+F675)*365*IOFDiario,-(D675+F675)*E675*IOFDiario)))</f>
        <v/>
      </c>
      <c r="I675" s="21" t="str">
        <f>IF(OR(TaxaJuros="",C675=""),"",IF(ComSemIOF=FALSE,0,-(D675+F675)*IOFAdic))</f>
        <v/>
      </c>
      <c r="J675" s="16" t="str">
        <f>IF(OR(TaxaJuros="",C675=""),"",D675+SUM(F675:I675))</f>
        <v/>
      </c>
      <c r="K675" s="67" t="str">
        <f>IF(OR(TaxaJuros="",C675=""),"",100%-J675/D675)</f>
        <v/>
      </c>
    </row>
    <row r="676" spans="5:11" x14ac:dyDescent="0.25">
      <c r="E676" s="15" t="str">
        <f>IF(OR(DataRecebimento="",C676=""),"",C676-$F$7)</f>
        <v/>
      </c>
      <c r="F676" s="16" t="str">
        <f>IF(OR(TaxaJuros="",C676=""),"",-D676*E676*($F$8/30))</f>
        <v/>
      </c>
      <c r="G676" s="16" t="str">
        <f>IF(OR(TaxaJuros="",C676=""),"",-$F$9)</f>
        <v/>
      </c>
      <c r="H676" s="21" t="str">
        <f>IF(OR(TaxaJuros="",C676=""),"",IF(ComSemIOF=FALSE,0,IF(E676&gt;365,-(D676+F676)*365*IOFDiario,-(D676+F676)*E676*IOFDiario)))</f>
        <v/>
      </c>
      <c r="I676" s="21" t="str">
        <f>IF(OR(TaxaJuros="",C676=""),"",IF(ComSemIOF=FALSE,0,-(D676+F676)*IOFAdic))</f>
        <v/>
      </c>
      <c r="J676" s="16" t="str">
        <f>IF(OR(TaxaJuros="",C676=""),"",D676+SUM(F676:I676))</f>
        <v/>
      </c>
      <c r="K676" s="67" t="str">
        <f>IF(OR(TaxaJuros="",C676=""),"",100%-J676/D676)</f>
        <v/>
      </c>
    </row>
    <row r="677" spans="5:11" x14ac:dyDescent="0.25">
      <c r="E677" s="15" t="str">
        <f>IF(OR(DataRecebimento="",C677=""),"",C677-$F$7)</f>
        <v/>
      </c>
      <c r="F677" s="16" t="str">
        <f>IF(OR(TaxaJuros="",C677=""),"",-D677*E677*($F$8/30))</f>
        <v/>
      </c>
      <c r="G677" s="16" t="str">
        <f>IF(OR(TaxaJuros="",C677=""),"",-$F$9)</f>
        <v/>
      </c>
      <c r="H677" s="21" t="str">
        <f>IF(OR(TaxaJuros="",C677=""),"",IF(ComSemIOF=FALSE,0,IF(E677&gt;365,-(D677+F677)*365*IOFDiario,-(D677+F677)*E677*IOFDiario)))</f>
        <v/>
      </c>
      <c r="I677" s="21" t="str">
        <f>IF(OR(TaxaJuros="",C677=""),"",IF(ComSemIOF=FALSE,0,-(D677+F677)*IOFAdic))</f>
        <v/>
      </c>
      <c r="J677" s="16" t="str">
        <f>IF(OR(TaxaJuros="",C677=""),"",D677+SUM(F677:I677))</f>
        <v/>
      </c>
      <c r="K677" s="67" t="str">
        <f>IF(OR(TaxaJuros="",C677=""),"",100%-J677/D677)</f>
        <v/>
      </c>
    </row>
    <row r="678" spans="5:11" x14ac:dyDescent="0.25">
      <c r="E678" s="15" t="str">
        <f>IF(OR(DataRecebimento="",C678=""),"",C678-$F$7)</f>
        <v/>
      </c>
      <c r="F678" s="16" t="str">
        <f>IF(OR(TaxaJuros="",C678=""),"",-D678*E678*($F$8/30))</f>
        <v/>
      </c>
      <c r="G678" s="16" t="str">
        <f>IF(OR(TaxaJuros="",C678=""),"",-$F$9)</f>
        <v/>
      </c>
      <c r="H678" s="21" t="str">
        <f>IF(OR(TaxaJuros="",C678=""),"",IF(ComSemIOF=FALSE,0,IF(E678&gt;365,-(D678+F678)*365*IOFDiario,-(D678+F678)*E678*IOFDiario)))</f>
        <v/>
      </c>
      <c r="I678" s="21" t="str">
        <f>IF(OR(TaxaJuros="",C678=""),"",IF(ComSemIOF=FALSE,0,-(D678+F678)*IOFAdic))</f>
        <v/>
      </c>
      <c r="J678" s="16" t="str">
        <f>IF(OR(TaxaJuros="",C678=""),"",D678+SUM(F678:I678))</f>
        <v/>
      </c>
      <c r="K678" s="67" t="str">
        <f>IF(OR(TaxaJuros="",C678=""),"",100%-J678/D678)</f>
        <v/>
      </c>
    </row>
    <row r="679" spans="5:11" x14ac:dyDescent="0.25">
      <c r="E679" s="15" t="str">
        <f>IF(OR(DataRecebimento="",C679=""),"",C679-$F$7)</f>
        <v/>
      </c>
      <c r="F679" s="16" t="str">
        <f>IF(OR(TaxaJuros="",C679=""),"",-D679*E679*($F$8/30))</f>
        <v/>
      </c>
      <c r="G679" s="16" t="str">
        <f>IF(OR(TaxaJuros="",C679=""),"",-$F$9)</f>
        <v/>
      </c>
      <c r="H679" s="21" t="str">
        <f>IF(OR(TaxaJuros="",C679=""),"",IF(ComSemIOF=FALSE,0,IF(E679&gt;365,-(D679+F679)*365*IOFDiario,-(D679+F679)*E679*IOFDiario)))</f>
        <v/>
      </c>
      <c r="I679" s="21" t="str">
        <f>IF(OR(TaxaJuros="",C679=""),"",IF(ComSemIOF=FALSE,0,-(D679+F679)*IOFAdic))</f>
        <v/>
      </c>
      <c r="J679" s="16" t="str">
        <f>IF(OR(TaxaJuros="",C679=""),"",D679+SUM(F679:I679))</f>
        <v/>
      </c>
      <c r="K679" s="67" t="str">
        <f>IF(OR(TaxaJuros="",C679=""),"",100%-J679/D679)</f>
        <v/>
      </c>
    </row>
    <row r="680" spans="5:11" x14ac:dyDescent="0.25">
      <c r="E680" s="15" t="str">
        <f>IF(OR(DataRecebimento="",C680=""),"",C680-$F$7)</f>
        <v/>
      </c>
      <c r="F680" s="16" t="str">
        <f>IF(OR(TaxaJuros="",C680=""),"",-D680*E680*($F$8/30))</f>
        <v/>
      </c>
      <c r="G680" s="16" t="str">
        <f>IF(OR(TaxaJuros="",C680=""),"",-$F$9)</f>
        <v/>
      </c>
      <c r="H680" s="21" t="str">
        <f>IF(OR(TaxaJuros="",C680=""),"",IF(ComSemIOF=FALSE,0,IF(E680&gt;365,-(D680+F680)*365*IOFDiario,-(D680+F680)*E680*IOFDiario)))</f>
        <v/>
      </c>
      <c r="I680" s="21" t="str">
        <f>IF(OR(TaxaJuros="",C680=""),"",IF(ComSemIOF=FALSE,0,-(D680+F680)*IOFAdic))</f>
        <v/>
      </c>
      <c r="J680" s="16" t="str">
        <f>IF(OR(TaxaJuros="",C680=""),"",D680+SUM(F680:I680))</f>
        <v/>
      </c>
      <c r="K680" s="67" t="str">
        <f>IF(OR(TaxaJuros="",C680=""),"",100%-J680/D680)</f>
        <v/>
      </c>
    </row>
    <row r="681" spans="5:11" x14ac:dyDescent="0.25">
      <c r="E681" s="15" t="str">
        <f>IF(OR(DataRecebimento="",C681=""),"",C681-$F$7)</f>
        <v/>
      </c>
      <c r="F681" s="16" t="str">
        <f>IF(OR(TaxaJuros="",C681=""),"",-D681*E681*($F$8/30))</f>
        <v/>
      </c>
      <c r="G681" s="16" t="str">
        <f>IF(OR(TaxaJuros="",C681=""),"",-$F$9)</f>
        <v/>
      </c>
      <c r="H681" s="21" t="str">
        <f>IF(OR(TaxaJuros="",C681=""),"",IF(ComSemIOF=FALSE,0,IF(E681&gt;365,-(D681+F681)*365*IOFDiario,-(D681+F681)*E681*IOFDiario)))</f>
        <v/>
      </c>
      <c r="I681" s="21" t="str">
        <f>IF(OR(TaxaJuros="",C681=""),"",IF(ComSemIOF=FALSE,0,-(D681+F681)*IOFAdic))</f>
        <v/>
      </c>
      <c r="J681" s="16" t="str">
        <f>IF(OR(TaxaJuros="",C681=""),"",D681+SUM(F681:I681))</f>
        <v/>
      </c>
      <c r="K681" s="67" t="str">
        <f>IF(OR(TaxaJuros="",C681=""),"",100%-J681/D681)</f>
        <v/>
      </c>
    </row>
    <row r="682" spans="5:11" x14ac:dyDescent="0.25">
      <c r="E682" s="15" t="str">
        <f>IF(OR(DataRecebimento="",C682=""),"",C682-$F$7)</f>
        <v/>
      </c>
      <c r="F682" s="16" t="str">
        <f>IF(OR(TaxaJuros="",C682=""),"",-D682*E682*($F$8/30))</f>
        <v/>
      </c>
      <c r="G682" s="16" t="str">
        <f>IF(OR(TaxaJuros="",C682=""),"",-$F$9)</f>
        <v/>
      </c>
      <c r="H682" s="21" t="str">
        <f>IF(OR(TaxaJuros="",C682=""),"",IF(ComSemIOF=FALSE,0,IF(E682&gt;365,-(D682+F682)*365*IOFDiario,-(D682+F682)*E682*IOFDiario)))</f>
        <v/>
      </c>
      <c r="I682" s="21" t="str">
        <f>IF(OR(TaxaJuros="",C682=""),"",IF(ComSemIOF=FALSE,0,-(D682+F682)*IOFAdic))</f>
        <v/>
      </c>
      <c r="J682" s="16" t="str">
        <f>IF(OR(TaxaJuros="",C682=""),"",D682+SUM(F682:I682))</f>
        <v/>
      </c>
      <c r="K682" s="67" t="str">
        <f>IF(OR(TaxaJuros="",C682=""),"",100%-J682/D682)</f>
        <v/>
      </c>
    </row>
    <row r="683" spans="5:11" x14ac:dyDescent="0.25">
      <c r="E683" s="15" t="str">
        <f>IF(OR(DataRecebimento="",C683=""),"",C683-$F$7)</f>
        <v/>
      </c>
      <c r="F683" s="16" t="str">
        <f>IF(OR(TaxaJuros="",C683=""),"",-D683*E683*($F$8/30))</f>
        <v/>
      </c>
      <c r="G683" s="16" t="str">
        <f>IF(OR(TaxaJuros="",C683=""),"",-$F$9)</f>
        <v/>
      </c>
      <c r="H683" s="21" t="str">
        <f>IF(OR(TaxaJuros="",C683=""),"",IF(ComSemIOF=FALSE,0,IF(E683&gt;365,-(D683+F683)*365*IOFDiario,-(D683+F683)*E683*IOFDiario)))</f>
        <v/>
      </c>
      <c r="I683" s="21" t="str">
        <f>IF(OR(TaxaJuros="",C683=""),"",IF(ComSemIOF=FALSE,0,-(D683+F683)*IOFAdic))</f>
        <v/>
      </c>
      <c r="J683" s="16" t="str">
        <f>IF(OR(TaxaJuros="",C683=""),"",D683+SUM(F683:I683))</f>
        <v/>
      </c>
      <c r="K683" s="67" t="str">
        <f>IF(OR(TaxaJuros="",C683=""),"",100%-J683/D683)</f>
        <v/>
      </c>
    </row>
    <row r="684" spans="5:11" x14ac:dyDescent="0.25">
      <c r="E684" s="15" t="str">
        <f>IF(OR(DataRecebimento="",C684=""),"",C684-$F$7)</f>
        <v/>
      </c>
      <c r="F684" s="16" t="str">
        <f>IF(OR(TaxaJuros="",C684=""),"",-D684*E684*($F$8/30))</f>
        <v/>
      </c>
      <c r="G684" s="16" t="str">
        <f>IF(OR(TaxaJuros="",C684=""),"",-$F$9)</f>
        <v/>
      </c>
      <c r="H684" s="21" t="str">
        <f>IF(OR(TaxaJuros="",C684=""),"",IF(ComSemIOF=FALSE,0,IF(E684&gt;365,-(D684+F684)*365*IOFDiario,-(D684+F684)*E684*IOFDiario)))</f>
        <v/>
      </c>
      <c r="I684" s="21" t="str">
        <f>IF(OR(TaxaJuros="",C684=""),"",IF(ComSemIOF=FALSE,0,-(D684+F684)*IOFAdic))</f>
        <v/>
      </c>
      <c r="J684" s="16" t="str">
        <f>IF(OR(TaxaJuros="",C684=""),"",D684+SUM(F684:I684))</f>
        <v/>
      </c>
      <c r="K684" s="67" t="str">
        <f>IF(OR(TaxaJuros="",C684=""),"",100%-J684/D684)</f>
        <v/>
      </c>
    </row>
    <row r="685" spans="5:11" x14ac:dyDescent="0.25">
      <c r="E685" s="15" t="str">
        <f>IF(OR(DataRecebimento="",C685=""),"",C685-$F$7)</f>
        <v/>
      </c>
      <c r="F685" s="16" t="str">
        <f>IF(OR(TaxaJuros="",C685=""),"",-D685*E685*($F$8/30))</f>
        <v/>
      </c>
      <c r="G685" s="16" t="str">
        <f>IF(OR(TaxaJuros="",C685=""),"",-$F$9)</f>
        <v/>
      </c>
      <c r="H685" s="21" t="str">
        <f>IF(OR(TaxaJuros="",C685=""),"",IF(ComSemIOF=FALSE,0,IF(E685&gt;365,-(D685+F685)*365*IOFDiario,-(D685+F685)*E685*IOFDiario)))</f>
        <v/>
      </c>
      <c r="I685" s="21" t="str">
        <f>IF(OR(TaxaJuros="",C685=""),"",IF(ComSemIOF=FALSE,0,-(D685+F685)*IOFAdic))</f>
        <v/>
      </c>
      <c r="J685" s="16" t="str">
        <f>IF(OR(TaxaJuros="",C685=""),"",D685+SUM(F685:I685))</f>
        <v/>
      </c>
      <c r="K685" s="67" t="str">
        <f>IF(OR(TaxaJuros="",C685=""),"",100%-J685/D685)</f>
        <v/>
      </c>
    </row>
    <row r="686" spans="5:11" x14ac:dyDescent="0.25">
      <c r="E686" s="15" t="str">
        <f>IF(OR(DataRecebimento="",C686=""),"",C686-$F$7)</f>
        <v/>
      </c>
      <c r="F686" s="16" t="str">
        <f>IF(OR(TaxaJuros="",C686=""),"",-D686*E686*($F$8/30))</f>
        <v/>
      </c>
      <c r="G686" s="16" t="str">
        <f>IF(OR(TaxaJuros="",C686=""),"",-$F$9)</f>
        <v/>
      </c>
      <c r="H686" s="21" t="str">
        <f>IF(OR(TaxaJuros="",C686=""),"",IF(ComSemIOF=FALSE,0,IF(E686&gt;365,-(D686+F686)*365*IOFDiario,-(D686+F686)*E686*IOFDiario)))</f>
        <v/>
      </c>
      <c r="I686" s="21" t="str">
        <f>IF(OR(TaxaJuros="",C686=""),"",IF(ComSemIOF=FALSE,0,-(D686+F686)*IOFAdic))</f>
        <v/>
      </c>
      <c r="J686" s="16" t="str">
        <f>IF(OR(TaxaJuros="",C686=""),"",D686+SUM(F686:I686))</f>
        <v/>
      </c>
      <c r="K686" s="67" t="str">
        <f>IF(OR(TaxaJuros="",C686=""),"",100%-J686/D686)</f>
        <v/>
      </c>
    </row>
    <row r="687" spans="5:11" x14ac:dyDescent="0.25">
      <c r="E687" s="15" t="str">
        <f>IF(OR(DataRecebimento="",C687=""),"",C687-$F$7)</f>
        <v/>
      </c>
      <c r="F687" s="16" t="str">
        <f>IF(OR(TaxaJuros="",C687=""),"",-D687*E687*($F$8/30))</f>
        <v/>
      </c>
      <c r="G687" s="16" t="str">
        <f>IF(OR(TaxaJuros="",C687=""),"",-$F$9)</f>
        <v/>
      </c>
      <c r="H687" s="21" t="str">
        <f>IF(OR(TaxaJuros="",C687=""),"",IF(ComSemIOF=FALSE,0,IF(E687&gt;365,-(D687+F687)*365*IOFDiario,-(D687+F687)*E687*IOFDiario)))</f>
        <v/>
      </c>
      <c r="I687" s="21" t="str">
        <f>IF(OR(TaxaJuros="",C687=""),"",IF(ComSemIOF=FALSE,0,-(D687+F687)*IOFAdic))</f>
        <v/>
      </c>
      <c r="J687" s="16" t="str">
        <f>IF(OR(TaxaJuros="",C687=""),"",D687+SUM(F687:I687))</f>
        <v/>
      </c>
      <c r="K687" s="67" t="str">
        <f>IF(OR(TaxaJuros="",C687=""),"",100%-J687/D687)</f>
        <v/>
      </c>
    </row>
    <row r="688" spans="5:11" x14ac:dyDescent="0.25">
      <c r="E688" s="15" t="str">
        <f>IF(OR(DataRecebimento="",C688=""),"",C688-$F$7)</f>
        <v/>
      </c>
      <c r="F688" s="16" t="str">
        <f>IF(OR(TaxaJuros="",C688=""),"",-D688*E688*($F$8/30))</f>
        <v/>
      </c>
      <c r="G688" s="16" t="str">
        <f>IF(OR(TaxaJuros="",C688=""),"",-$F$9)</f>
        <v/>
      </c>
      <c r="H688" s="21" t="str">
        <f>IF(OR(TaxaJuros="",C688=""),"",IF(ComSemIOF=FALSE,0,IF(E688&gt;365,-(D688+F688)*365*IOFDiario,-(D688+F688)*E688*IOFDiario)))</f>
        <v/>
      </c>
      <c r="I688" s="21" t="str">
        <f>IF(OR(TaxaJuros="",C688=""),"",IF(ComSemIOF=FALSE,0,-(D688+F688)*IOFAdic))</f>
        <v/>
      </c>
      <c r="J688" s="16" t="str">
        <f>IF(OR(TaxaJuros="",C688=""),"",D688+SUM(F688:I688))</f>
        <v/>
      </c>
      <c r="K688" s="67" t="str">
        <f>IF(OR(TaxaJuros="",C688=""),"",100%-J688/D688)</f>
        <v/>
      </c>
    </row>
    <row r="689" spans="5:11" x14ac:dyDescent="0.25">
      <c r="E689" s="15" t="str">
        <f>IF(OR(DataRecebimento="",C689=""),"",C689-$F$7)</f>
        <v/>
      </c>
      <c r="F689" s="16" t="str">
        <f>IF(OR(TaxaJuros="",C689=""),"",-D689*E689*($F$8/30))</f>
        <v/>
      </c>
      <c r="G689" s="16" t="str">
        <f>IF(OR(TaxaJuros="",C689=""),"",-$F$9)</f>
        <v/>
      </c>
      <c r="H689" s="21" t="str">
        <f>IF(OR(TaxaJuros="",C689=""),"",IF(ComSemIOF=FALSE,0,IF(E689&gt;365,-(D689+F689)*365*IOFDiario,-(D689+F689)*E689*IOFDiario)))</f>
        <v/>
      </c>
      <c r="I689" s="21" t="str">
        <f>IF(OR(TaxaJuros="",C689=""),"",IF(ComSemIOF=FALSE,0,-(D689+F689)*IOFAdic))</f>
        <v/>
      </c>
      <c r="J689" s="16" t="str">
        <f>IF(OR(TaxaJuros="",C689=""),"",D689+SUM(F689:I689))</f>
        <v/>
      </c>
      <c r="K689" s="67" t="str">
        <f>IF(OR(TaxaJuros="",C689=""),"",100%-J689/D689)</f>
        <v/>
      </c>
    </row>
    <row r="690" spans="5:11" x14ac:dyDescent="0.25">
      <c r="E690" s="15" t="str">
        <f>IF(OR(DataRecebimento="",C690=""),"",C690-$F$7)</f>
        <v/>
      </c>
      <c r="F690" s="16" t="str">
        <f>IF(OR(TaxaJuros="",C690=""),"",-D690*E690*($F$8/30))</f>
        <v/>
      </c>
      <c r="G690" s="16" t="str">
        <f>IF(OR(TaxaJuros="",C690=""),"",-$F$9)</f>
        <v/>
      </c>
      <c r="H690" s="21" t="str">
        <f>IF(OR(TaxaJuros="",C690=""),"",IF(ComSemIOF=FALSE,0,IF(E690&gt;365,-(D690+F690)*365*IOFDiario,-(D690+F690)*E690*IOFDiario)))</f>
        <v/>
      </c>
      <c r="I690" s="21" t="str">
        <f>IF(OR(TaxaJuros="",C690=""),"",IF(ComSemIOF=FALSE,0,-(D690+F690)*IOFAdic))</f>
        <v/>
      </c>
      <c r="J690" s="16" t="str">
        <f>IF(OR(TaxaJuros="",C690=""),"",D690+SUM(F690:I690))</f>
        <v/>
      </c>
      <c r="K690" s="67" t="str">
        <f>IF(OR(TaxaJuros="",C690=""),"",100%-J690/D690)</f>
        <v/>
      </c>
    </row>
    <row r="691" spans="5:11" x14ac:dyDescent="0.25">
      <c r="E691" s="15" t="str">
        <f>IF(OR(DataRecebimento="",C691=""),"",C691-$F$7)</f>
        <v/>
      </c>
      <c r="F691" s="16" t="str">
        <f>IF(OR(TaxaJuros="",C691=""),"",-D691*E691*($F$8/30))</f>
        <v/>
      </c>
      <c r="G691" s="16" t="str">
        <f>IF(OR(TaxaJuros="",C691=""),"",-$F$9)</f>
        <v/>
      </c>
      <c r="H691" s="21" t="str">
        <f>IF(OR(TaxaJuros="",C691=""),"",IF(ComSemIOF=FALSE,0,IF(E691&gt;365,-(D691+F691)*365*IOFDiario,-(D691+F691)*E691*IOFDiario)))</f>
        <v/>
      </c>
      <c r="I691" s="21" t="str">
        <f>IF(OR(TaxaJuros="",C691=""),"",IF(ComSemIOF=FALSE,0,-(D691+F691)*IOFAdic))</f>
        <v/>
      </c>
      <c r="J691" s="16" t="str">
        <f>IF(OR(TaxaJuros="",C691=""),"",D691+SUM(F691:I691))</f>
        <v/>
      </c>
      <c r="K691" s="67" t="str">
        <f>IF(OR(TaxaJuros="",C691=""),"",100%-J691/D691)</f>
        <v/>
      </c>
    </row>
    <row r="692" spans="5:11" x14ac:dyDescent="0.25">
      <c r="E692" s="15" t="str">
        <f>IF(OR(DataRecebimento="",C692=""),"",C692-$F$7)</f>
        <v/>
      </c>
      <c r="F692" s="16" t="str">
        <f>IF(OR(TaxaJuros="",C692=""),"",-D692*E692*($F$8/30))</f>
        <v/>
      </c>
      <c r="G692" s="16" t="str">
        <f>IF(OR(TaxaJuros="",C692=""),"",-$F$9)</f>
        <v/>
      </c>
      <c r="H692" s="21" t="str">
        <f>IF(OR(TaxaJuros="",C692=""),"",IF(ComSemIOF=FALSE,0,IF(E692&gt;365,-(D692+F692)*365*IOFDiario,-(D692+F692)*E692*IOFDiario)))</f>
        <v/>
      </c>
      <c r="I692" s="21" t="str">
        <f>IF(OR(TaxaJuros="",C692=""),"",IF(ComSemIOF=FALSE,0,-(D692+F692)*IOFAdic))</f>
        <v/>
      </c>
      <c r="J692" s="16" t="str">
        <f>IF(OR(TaxaJuros="",C692=""),"",D692+SUM(F692:I692))</f>
        <v/>
      </c>
      <c r="K692" s="67" t="str">
        <f>IF(OR(TaxaJuros="",C692=""),"",100%-J692/D692)</f>
        <v/>
      </c>
    </row>
    <row r="693" spans="5:11" x14ac:dyDescent="0.25">
      <c r="E693" s="15" t="str">
        <f>IF(OR(DataRecebimento="",C693=""),"",C693-$F$7)</f>
        <v/>
      </c>
      <c r="F693" s="16" t="str">
        <f>IF(OR(TaxaJuros="",C693=""),"",-D693*E693*($F$8/30))</f>
        <v/>
      </c>
      <c r="G693" s="16" t="str">
        <f>IF(OR(TaxaJuros="",C693=""),"",-$F$9)</f>
        <v/>
      </c>
      <c r="H693" s="21" t="str">
        <f>IF(OR(TaxaJuros="",C693=""),"",IF(ComSemIOF=FALSE,0,IF(E693&gt;365,-(D693+F693)*365*IOFDiario,-(D693+F693)*E693*IOFDiario)))</f>
        <v/>
      </c>
      <c r="I693" s="21" t="str">
        <f>IF(OR(TaxaJuros="",C693=""),"",IF(ComSemIOF=FALSE,0,-(D693+F693)*IOFAdic))</f>
        <v/>
      </c>
      <c r="J693" s="16" t="str">
        <f>IF(OR(TaxaJuros="",C693=""),"",D693+SUM(F693:I693))</f>
        <v/>
      </c>
      <c r="K693" s="67" t="str">
        <f>IF(OR(TaxaJuros="",C693=""),"",100%-J693/D693)</f>
        <v/>
      </c>
    </row>
    <row r="694" spans="5:11" x14ac:dyDescent="0.25">
      <c r="E694" s="15" t="str">
        <f>IF(OR(DataRecebimento="",C694=""),"",C694-$F$7)</f>
        <v/>
      </c>
      <c r="F694" s="16" t="str">
        <f>IF(OR(TaxaJuros="",C694=""),"",-D694*E694*($F$8/30))</f>
        <v/>
      </c>
      <c r="G694" s="16" t="str">
        <f>IF(OR(TaxaJuros="",C694=""),"",-$F$9)</f>
        <v/>
      </c>
      <c r="H694" s="21" t="str">
        <f>IF(OR(TaxaJuros="",C694=""),"",IF(ComSemIOF=FALSE,0,IF(E694&gt;365,-(D694+F694)*365*IOFDiario,-(D694+F694)*E694*IOFDiario)))</f>
        <v/>
      </c>
      <c r="I694" s="21" t="str">
        <f>IF(OR(TaxaJuros="",C694=""),"",IF(ComSemIOF=FALSE,0,-(D694+F694)*IOFAdic))</f>
        <v/>
      </c>
      <c r="J694" s="16" t="str">
        <f>IF(OR(TaxaJuros="",C694=""),"",D694+SUM(F694:I694))</f>
        <v/>
      </c>
      <c r="K694" s="67" t="str">
        <f>IF(OR(TaxaJuros="",C694=""),"",100%-J694/D694)</f>
        <v/>
      </c>
    </row>
    <row r="695" spans="5:11" x14ac:dyDescent="0.25">
      <c r="E695" s="15" t="str">
        <f>IF(OR(DataRecebimento="",C695=""),"",C695-$F$7)</f>
        <v/>
      </c>
      <c r="F695" s="16" t="str">
        <f>IF(OR(TaxaJuros="",C695=""),"",-D695*E695*($F$8/30))</f>
        <v/>
      </c>
      <c r="G695" s="16" t="str">
        <f>IF(OR(TaxaJuros="",C695=""),"",-$F$9)</f>
        <v/>
      </c>
      <c r="H695" s="21" t="str">
        <f>IF(OR(TaxaJuros="",C695=""),"",IF(ComSemIOF=FALSE,0,IF(E695&gt;365,-(D695+F695)*365*IOFDiario,-(D695+F695)*E695*IOFDiario)))</f>
        <v/>
      </c>
      <c r="I695" s="21" t="str">
        <f>IF(OR(TaxaJuros="",C695=""),"",IF(ComSemIOF=FALSE,0,-(D695+F695)*IOFAdic))</f>
        <v/>
      </c>
      <c r="J695" s="16" t="str">
        <f>IF(OR(TaxaJuros="",C695=""),"",D695+SUM(F695:I695))</f>
        <v/>
      </c>
      <c r="K695" s="67" t="str">
        <f>IF(OR(TaxaJuros="",C695=""),"",100%-J695/D695)</f>
        <v/>
      </c>
    </row>
    <row r="696" spans="5:11" x14ac:dyDescent="0.25">
      <c r="E696" s="15" t="str">
        <f>IF(OR(DataRecebimento="",C696=""),"",C696-$F$7)</f>
        <v/>
      </c>
      <c r="F696" s="16" t="str">
        <f>IF(OR(TaxaJuros="",C696=""),"",-D696*E696*($F$8/30))</f>
        <v/>
      </c>
      <c r="G696" s="16" t="str">
        <f>IF(OR(TaxaJuros="",C696=""),"",-$F$9)</f>
        <v/>
      </c>
      <c r="H696" s="21" t="str">
        <f>IF(OR(TaxaJuros="",C696=""),"",IF(ComSemIOF=FALSE,0,IF(E696&gt;365,-(D696+F696)*365*IOFDiario,-(D696+F696)*E696*IOFDiario)))</f>
        <v/>
      </c>
      <c r="I696" s="21" t="str">
        <f>IF(OR(TaxaJuros="",C696=""),"",IF(ComSemIOF=FALSE,0,-(D696+F696)*IOFAdic))</f>
        <v/>
      </c>
      <c r="J696" s="16" t="str">
        <f>IF(OR(TaxaJuros="",C696=""),"",D696+SUM(F696:I696))</f>
        <v/>
      </c>
      <c r="K696" s="67" t="str">
        <f>IF(OR(TaxaJuros="",C696=""),"",100%-J696/D696)</f>
        <v/>
      </c>
    </row>
    <row r="697" spans="5:11" x14ac:dyDescent="0.25">
      <c r="E697" s="15" t="str">
        <f>IF(OR(DataRecebimento="",C697=""),"",C697-$F$7)</f>
        <v/>
      </c>
      <c r="F697" s="16" t="str">
        <f>IF(OR(TaxaJuros="",C697=""),"",-D697*E697*($F$8/30))</f>
        <v/>
      </c>
      <c r="G697" s="16" t="str">
        <f>IF(OR(TaxaJuros="",C697=""),"",-$F$9)</f>
        <v/>
      </c>
      <c r="H697" s="21" t="str">
        <f>IF(OR(TaxaJuros="",C697=""),"",IF(ComSemIOF=FALSE,0,IF(E697&gt;365,-(D697+F697)*365*IOFDiario,-(D697+F697)*E697*IOFDiario)))</f>
        <v/>
      </c>
      <c r="I697" s="21" t="str">
        <f>IF(OR(TaxaJuros="",C697=""),"",IF(ComSemIOF=FALSE,0,-(D697+F697)*IOFAdic))</f>
        <v/>
      </c>
      <c r="J697" s="16" t="str">
        <f>IF(OR(TaxaJuros="",C697=""),"",D697+SUM(F697:I697))</f>
        <v/>
      </c>
      <c r="K697" s="67" t="str">
        <f>IF(OR(TaxaJuros="",C697=""),"",100%-J697/D697)</f>
        <v/>
      </c>
    </row>
    <row r="698" spans="5:11" x14ac:dyDescent="0.25">
      <c r="E698" s="15" t="str">
        <f>IF(OR(DataRecebimento="",C698=""),"",C698-$F$7)</f>
        <v/>
      </c>
      <c r="F698" s="16" t="str">
        <f>IF(OR(TaxaJuros="",C698=""),"",-D698*E698*($F$8/30))</f>
        <v/>
      </c>
      <c r="G698" s="16" t="str">
        <f>IF(OR(TaxaJuros="",C698=""),"",-$F$9)</f>
        <v/>
      </c>
      <c r="H698" s="21" t="str">
        <f>IF(OR(TaxaJuros="",C698=""),"",IF(ComSemIOF=FALSE,0,IF(E698&gt;365,-(D698+F698)*365*IOFDiario,-(D698+F698)*E698*IOFDiario)))</f>
        <v/>
      </c>
      <c r="I698" s="21" t="str">
        <f>IF(OR(TaxaJuros="",C698=""),"",IF(ComSemIOF=FALSE,0,-(D698+F698)*IOFAdic))</f>
        <v/>
      </c>
      <c r="J698" s="16" t="str">
        <f>IF(OR(TaxaJuros="",C698=""),"",D698+SUM(F698:I698))</f>
        <v/>
      </c>
      <c r="K698" s="67" t="str">
        <f>IF(OR(TaxaJuros="",C698=""),"",100%-J698/D698)</f>
        <v/>
      </c>
    </row>
    <row r="699" spans="5:11" x14ac:dyDescent="0.25">
      <c r="E699" s="15" t="str">
        <f>IF(OR(DataRecebimento="",C699=""),"",C699-$F$7)</f>
        <v/>
      </c>
      <c r="F699" s="16" t="str">
        <f>IF(OR(TaxaJuros="",C699=""),"",-D699*E699*($F$8/30))</f>
        <v/>
      </c>
      <c r="G699" s="16" t="str">
        <f>IF(OR(TaxaJuros="",C699=""),"",-$F$9)</f>
        <v/>
      </c>
      <c r="H699" s="21" t="str">
        <f>IF(OR(TaxaJuros="",C699=""),"",IF(ComSemIOF=FALSE,0,IF(E699&gt;365,-(D699+F699)*365*IOFDiario,-(D699+F699)*E699*IOFDiario)))</f>
        <v/>
      </c>
      <c r="I699" s="21" t="str">
        <f>IF(OR(TaxaJuros="",C699=""),"",IF(ComSemIOF=FALSE,0,-(D699+F699)*IOFAdic))</f>
        <v/>
      </c>
      <c r="J699" s="16" t="str">
        <f>IF(OR(TaxaJuros="",C699=""),"",D699+SUM(F699:I699))</f>
        <v/>
      </c>
      <c r="K699" s="67" t="str">
        <f>IF(OR(TaxaJuros="",C699=""),"",100%-J699/D699)</f>
        <v/>
      </c>
    </row>
    <row r="700" spans="5:11" x14ac:dyDescent="0.25">
      <c r="E700" s="15" t="str">
        <f>IF(OR(DataRecebimento="",C700=""),"",C700-$F$7)</f>
        <v/>
      </c>
      <c r="F700" s="16" t="str">
        <f>IF(OR(TaxaJuros="",C700=""),"",-D700*E700*($F$8/30))</f>
        <v/>
      </c>
      <c r="G700" s="16" t="str">
        <f>IF(OR(TaxaJuros="",C700=""),"",-$F$9)</f>
        <v/>
      </c>
      <c r="H700" s="21" t="str">
        <f>IF(OR(TaxaJuros="",C700=""),"",IF(ComSemIOF=FALSE,0,IF(E700&gt;365,-(D700+F700)*365*IOFDiario,-(D700+F700)*E700*IOFDiario)))</f>
        <v/>
      </c>
      <c r="I700" s="21" t="str">
        <f>IF(OR(TaxaJuros="",C700=""),"",IF(ComSemIOF=FALSE,0,-(D700+F700)*IOFAdic))</f>
        <v/>
      </c>
      <c r="J700" s="16" t="str">
        <f>IF(OR(TaxaJuros="",C700=""),"",D700+SUM(F700:I700))</f>
        <v/>
      </c>
      <c r="K700" s="67" t="str">
        <f>IF(OR(TaxaJuros="",C700=""),"",100%-J700/D700)</f>
        <v/>
      </c>
    </row>
    <row r="701" spans="5:11" x14ac:dyDescent="0.25">
      <c r="E701" s="15" t="str">
        <f>IF(OR(DataRecebimento="",C701=""),"",C701-$F$7)</f>
        <v/>
      </c>
      <c r="F701" s="16" t="str">
        <f>IF(OR(TaxaJuros="",C701=""),"",-D701*E701*($F$8/30))</f>
        <v/>
      </c>
      <c r="G701" s="16" t="str">
        <f>IF(OR(TaxaJuros="",C701=""),"",-$F$9)</f>
        <v/>
      </c>
      <c r="H701" s="21" t="str">
        <f>IF(OR(TaxaJuros="",C701=""),"",IF(ComSemIOF=FALSE,0,IF(E701&gt;365,-(D701+F701)*365*IOFDiario,-(D701+F701)*E701*IOFDiario)))</f>
        <v/>
      </c>
      <c r="I701" s="21" t="str">
        <f>IF(OR(TaxaJuros="",C701=""),"",IF(ComSemIOF=FALSE,0,-(D701+F701)*IOFAdic))</f>
        <v/>
      </c>
      <c r="J701" s="16" t="str">
        <f>IF(OR(TaxaJuros="",C701=""),"",D701+SUM(F701:I701))</f>
        <v/>
      </c>
      <c r="K701" s="67" t="str">
        <f>IF(OR(TaxaJuros="",C701=""),"",100%-J701/D701)</f>
        <v/>
      </c>
    </row>
    <row r="702" spans="5:11" x14ac:dyDescent="0.25">
      <c r="E702" s="15" t="str">
        <f>IF(OR(DataRecebimento="",C702=""),"",C702-$F$7)</f>
        <v/>
      </c>
      <c r="F702" s="16" t="str">
        <f>IF(OR(TaxaJuros="",C702=""),"",-D702*E702*($F$8/30))</f>
        <v/>
      </c>
      <c r="G702" s="16" t="str">
        <f>IF(OR(TaxaJuros="",C702=""),"",-$F$9)</f>
        <v/>
      </c>
      <c r="H702" s="21" t="str">
        <f>IF(OR(TaxaJuros="",C702=""),"",IF(ComSemIOF=FALSE,0,IF(E702&gt;365,-(D702+F702)*365*IOFDiario,-(D702+F702)*E702*IOFDiario)))</f>
        <v/>
      </c>
      <c r="I702" s="21" t="str">
        <f>IF(OR(TaxaJuros="",C702=""),"",IF(ComSemIOF=FALSE,0,-(D702+F702)*IOFAdic))</f>
        <v/>
      </c>
      <c r="J702" s="16" t="str">
        <f>IF(OR(TaxaJuros="",C702=""),"",D702+SUM(F702:I702))</f>
        <v/>
      </c>
      <c r="K702" s="67" t="str">
        <f>IF(OR(TaxaJuros="",C702=""),"",100%-J702/D702)</f>
        <v/>
      </c>
    </row>
    <row r="703" spans="5:11" x14ac:dyDescent="0.25">
      <c r="E703" s="15" t="str">
        <f>IF(OR(DataRecebimento="",C703=""),"",C703-$F$7)</f>
        <v/>
      </c>
      <c r="F703" s="16" t="str">
        <f>IF(OR(TaxaJuros="",C703=""),"",-D703*E703*($F$8/30))</f>
        <v/>
      </c>
      <c r="G703" s="16" t="str">
        <f>IF(OR(TaxaJuros="",C703=""),"",-$F$9)</f>
        <v/>
      </c>
      <c r="H703" s="21" t="str">
        <f>IF(OR(TaxaJuros="",C703=""),"",IF(ComSemIOF=FALSE,0,IF(E703&gt;365,-(D703+F703)*365*IOFDiario,-(D703+F703)*E703*IOFDiario)))</f>
        <v/>
      </c>
      <c r="I703" s="21" t="str">
        <f>IF(OR(TaxaJuros="",C703=""),"",IF(ComSemIOF=FALSE,0,-(D703+F703)*IOFAdic))</f>
        <v/>
      </c>
      <c r="J703" s="16" t="str">
        <f>IF(OR(TaxaJuros="",C703=""),"",D703+SUM(F703:I703))</f>
        <v/>
      </c>
      <c r="K703" s="67" t="str">
        <f>IF(OR(TaxaJuros="",C703=""),"",100%-J703/D703)</f>
        <v/>
      </c>
    </row>
    <row r="704" spans="5:11" x14ac:dyDescent="0.25">
      <c r="E704" s="15" t="str">
        <f>IF(OR(DataRecebimento="",C704=""),"",C704-$F$7)</f>
        <v/>
      </c>
      <c r="F704" s="16" t="str">
        <f>IF(OR(TaxaJuros="",C704=""),"",-D704*E704*($F$8/30))</f>
        <v/>
      </c>
      <c r="G704" s="16" t="str">
        <f>IF(OR(TaxaJuros="",C704=""),"",-$F$9)</f>
        <v/>
      </c>
      <c r="H704" s="21" t="str">
        <f>IF(OR(TaxaJuros="",C704=""),"",IF(ComSemIOF=FALSE,0,IF(E704&gt;365,-(D704+F704)*365*IOFDiario,-(D704+F704)*E704*IOFDiario)))</f>
        <v/>
      </c>
      <c r="I704" s="21" t="str">
        <f>IF(OR(TaxaJuros="",C704=""),"",IF(ComSemIOF=FALSE,0,-(D704+F704)*IOFAdic))</f>
        <v/>
      </c>
      <c r="J704" s="16" t="str">
        <f>IF(OR(TaxaJuros="",C704=""),"",D704+SUM(F704:I704))</f>
        <v/>
      </c>
      <c r="K704" s="67" t="str">
        <f>IF(OR(TaxaJuros="",C704=""),"",100%-J704/D704)</f>
        <v/>
      </c>
    </row>
    <row r="705" spans="5:11" x14ac:dyDescent="0.25">
      <c r="E705" s="15" t="str">
        <f>IF(OR(DataRecebimento="",C705=""),"",C705-$F$7)</f>
        <v/>
      </c>
      <c r="F705" s="16" t="str">
        <f>IF(OR(TaxaJuros="",C705=""),"",-D705*E705*($F$8/30))</f>
        <v/>
      </c>
      <c r="G705" s="16" t="str">
        <f>IF(OR(TaxaJuros="",C705=""),"",-$F$9)</f>
        <v/>
      </c>
      <c r="H705" s="21" t="str">
        <f>IF(OR(TaxaJuros="",C705=""),"",IF(ComSemIOF=FALSE,0,IF(E705&gt;365,-(D705+F705)*365*IOFDiario,-(D705+F705)*E705*IOFDiario)))</f>
        <v/>
      </c>
      <c r="I705" s="21" t="str">
        <f>IF(OR(TaxaJuros="",C705=""),"",IF(ComSemIOF=FALSE,0,-(D705+F705)*IOFAdic))</f>
        <v/>
      </c>
      <c r="J705" s="16" t="str">
        <f>IF(OR(TaxaJuros="",C705=""),"",D705+SUM(F705:I705))</f>
        <v/>
      </c>
      <c r="K705" s="67" t="str">
        <f>IF(OR(TaxaJuros="",C705=""),"",100%-J705/D705)</f>
        <v/>
      </c>
    </row>
    <row r="706" spans="5:11" x14ac:dyDescent="0.25">
      <c r="E706" s="15" t="str">
        <f>IF(OR(DataRecebimento="",C706=""),"",C706-$F$7)</f>
        <v/>
      </c>
      <c r="F706" s="16" t="str">
        <f>IF(OR(TaxaJuros="",C706=""),"",-D706*E706*($F$8/30))</f>
        <v/>
      </c>
      <c r="G706" s="16" t="str">
        <f>IF(OR(TaxaJuros="",C706=""),"",-$F$9)</f>
        <v/>
      </c>
      <c r="H706" s="21" t="str">
        <f>IF(OR(TaxaJuros="",C706=""),"",IF(ComSemIOF=FALSE,0,IF(E706&gt;365,-(D706+F706)*365*IOFDiario,-(D706+F706)*E706*IOFDiario)))</f>
        <v/>
      </c>
      <c r="I706" s="21" t="str">
        <f>IF(OR(TaxaJuros="",C706=""),"",IF(ComSemIOF=FALSE,0,-(D706+F706)*IOFAdic))</f>
        <v/>
      </c>
      <c r="J706" s="16" t="str">
        <f>IF(OR(TaxaJuros="",C706=""),"",D706+SUM(F706:I706))</f>
        <v/>
      </c>
      <c r="K706" s="67" t="str">
        <f>IF(OR(TaxaJuros="",C706=""),"",100%-J706/D706)</f>
        <v/>
      </c>
    </row>
    <row r="707" spans="5:11" x14ac:dyDescent="0.25">
      <c r="E707" s="15" t="str">
        <f>IF(OR(DataRecebimento="",C707=""),"",C707-$F$7)</f>
        <v/>
      </c>
      <c r="F707" s="16" t="str">
        <f>IF(OR(TaxaJuros="",C707=""),"",-D707*E707*($F$8/30))</f>
        <v/>
      </c>
      <c r="G707" s="16" t="str">
        <f>IF(OR(TaxaJuros="",C707=""),"",-$F$9)</f>
        <v/>
      </c>
      <c r="H707" s="21" t="str">
        <f>IF(OR(TaxaJuros="",C707=""),"",IF(ComSemIOF=FALSE,0,IF(E707&gt;365,-(D707+F707)*365*IOFDiario,-(D707+F707)*E707*IOFDiario)))</f>
        <v/>
      </c>
      <c r="I707" s="21" t="str">
        <f>IF(OR(TaxaJuros="",C707=""),"",IF(ComSemIOF=FALSE,0,-(D707+F707)*IOFAdic))</f>
        <v/>
      </c>
      <c r="J707" s="16" t="str">
        <f>IF(OR(TaxaJuros="",C707=""),"",D707+SUM(F707:I707))</f>
        <v/>
      </c>
      <c r="K707" s="67" t="str">
        <f>IF(OR(TaxaJuros="",C707=""),"",100%-J707/D707)</f>
        <v/>
      </c>
    </row>
    <row r="708" spans="5:11" x14ac:dyDescent="0.25">
      <c r="E708" s="15" t="str">
        <f>IF(OR(DataRecebimento="",C708=""),"",C708-$F$7)</f>
        <v/>
      </c>
      <c r="F708" s="16" t="str">
        <f>IF(OR(TaxaJuros="",C708=""),"",-D708*E708*($F$8/30))</f>
        <v/>
      </c>
      <c r="G708" s="16" t="str">
        <f>IF(OR(TaxaJuros="",C708=""),"",-$F$9)</f>
        <v/>
      </c>
      <c r="H708" s="21" t="str">
        <f>IF(OR(TaxaJuros="",C708=""),"",IF(ComSemIOF=FALSE,0,IF(E708&gt;365,-(D708+F708)*365*IOFDiario,-(D708+F708)*E708*IOFDiario)))</f>
        <v/>
      </c>
      <c r="I708" s="21" t="str">
        <f>IF(OR(TaxaJuros="",C708=""),"",IF(ComSemIOF=FALSE,0,-(D708+F708)*IOFAdic))</f>
        <v/>
      </c>
      <c r="J708" s="16" t="str">
        <f>IF(OR(TaxaJuros="",C708=""),"",D708+SUM(F708:I708))</f>
        <v/>
      </c>
      <c r="K708" s="67" t="str">
        <f>IF(OR(TaxaJuros="",C708=""),"",100%-J708/D708)</f>
        <v/>
      </c>
    </row>
    <row r="709" spans="5:11" x14ac:dyDescent="0.25">
      <c r="E709" s="15" t="str">
        <f>IF(OR(DataRecebimento="",C709=""),"",C709-$F$7)</f>
        <v/>
      </c>
      <c r="F709" s="16" t="str">
        <f>IF(OR(TaxaJuros="",C709=""),"",-D709*E709*($F$8/30))</f>
        <v/>
      </c>
      <c r="G709" s="16" t="str">
        <f>IF(OR(TaxaJuros="",C709=""),"",-$F$9)</f>
        <v/>
      </c>
      <c r="H709" s="21" t="str">
        <f>IF(OR(TaxaJuros="",C709=""),"",IF(ComSemIOF=FALSE,0,IF(E709&gt;365,-(D709+F709)*365*IOFDiario,-(D709+F709)*E709*IOFDiario)))</f>
        <v/>
      </c>
      <c r="I709" s="21" t="str">
        <f>IF(OR(TaxaJuros="",C709=""),"",IF(ComSemIOF=FALSE,0,-(D709+F709)*IOFAdic))</f>
        <v/>
      </c>
      <c r="J709" s="16" t="str">
        <f>IF(OR(TaxaJuros="",C709=""),"",D709+SUM(F709:I709))</f>
        <v/>
      </c>
      <c r="K709" s="67" t="str">
        <f>IF(OR(TaxaJuros="",C709=""),"",100%-J709/D709)</f>
        <v/>
      </c>
    </row>
    <row r="710" spans="5:11" x14ac:dyDescent="0.25">
      <c r="E710" s="15" t="str">
        <f>IF(OR(DataRecebimento="",C710=""),"",C710-$F$7)</f>
        <v/>
      </c>
      <c r="F710" s="16" t="str">
        <f>IF(OR(TaxaJuros="",C710=""),"",-D710*E710*($F$8/30))</f>
        <v/>
      </c>
      <c r="G710" s="16" t="str">
        <f>IF(OR(TaxaJuros="",C710=""),"",-$F$9)</f>
        <v/>
      </c>
      <c r="H710" s="21" t="str">
        <f>IF(OR(TaxaJuros="",C710=""),"",IF(ComSemIOF=FALSE,0,IF(E710&gt;365,-(D710+F710)*365*IOFDiario,-(D710+F710)*E710*IOFDiario)))</f>
        <v/>
      </c>
      <c r="I710" s="21" t="str">
        <f>IF(OR(TaxaJuros="",C710=""),"",IF(ComSemIOF=FALSE,0,-(D710+F710)*IOFAdic))</f>
        <v/>
      </c>
      <c r="J710" s="16" t="str">
        <f>IF(OR(TaxaJuros="",C710=""),"",D710+SUM(F710:I710))</f>
        <v/>
      </c>
      <c r="K710" s="67" t="str">
        <f>IF(OR(TaxaJuros="",C710=""),"",100%-J710/D710)</f>
        <v/>
      </c>
    </row>
    <row r="711" spans="5:11" x14ac:dyDescent="0.25">
      <c r="E711" s="15" t="str">
        <f>IF(OR(DataRecebimento="",C711=""),"",C711-$F$7)</f>
        <v/>
      </c>
      <c r="F711" s="16" t="str">
        <f>IF(OR(TaxaJuros="",C711=""),"",-D711*E711*($F$8/30))</f>
        <v/>
      </c>
      <c r="G711" s="16" t="str">
        <f>IF(OR(TaxaJuros="",C711=""),"",-$F$9)</f>
        <v/>
      </c>
      <c r="H711" s="21" t="str">
        <f>IF(OR(TaxaJuros="",C711=""),"",IF(ComSemIOF=FALSE,0,IF(E711&gt;365,-(D711+F711)*365*IOFDiario,-(D711+F711)*E711*IOFDiario)))</f>
        <v/>
      </c>
      <c r="I711" s="21" t="str">
        <f>IF(OR(TaxaJuros="",C711=""),"",IF(ComSemIOF=FALSE,0,-(D711+F711)*IOFAdic))</f>
        <v/>
      </c>
      <c r="J711" s="16" t="str">
        <f>IF(OR(TaxaJuros="",C711=""),"",D711+SUM(F711:I711))</f>
        <v/>
      </c>
      <c r="K711" s="67" t="str">
        <f>IF(OR(TaxaJuros="",C711=""),"",100%-J711/D711)</f>
        <v/>
      </c>
    </row>
    <row r="712" spans="5:11" x14ac:dyDescent="0.25">
      <c r="E712" s="15" t="str">
        <f>IF(OR(DataRecebimento="",C712=""),"",C712-$F$7)</f>
        <v/>
      </c>
      <c r="F712" s="16" t="str">
        <f>IF(OR(TaxaJuros="",C712=""),"",-D712*E712*($F$8/30))</f>
        <v/>
      </c>
      <c r="G712" s="16" t="str">
        <f>IF(OR(TaxaJuros="",C712=""),"",-$F$9)</f>
        <v/>
      </c>
      <c r="H712" s="21" t="str">
        <f>IF(OR(TaxaJuros="",C712=""),"",IF(ComSemIOF=FALSE,0,IF(E712&gt;365,-(D712+F712)*365*IOFDiario,-(D712+F712)*E712*IOFDiario)))</f>
        <v/>
      </c>
      <c r="I712" s="21" t="str">
        <f>IF(OR(TaxaJuros="",C712=""),"",IF(ComSemIOF=FALSE,0,-(D712+F712)*IOFAdic))</f>
        <v/>
      </c>
      <c r="J712" s="16" t="str">
        <f>IF(OR(TaxaJuros="",C712=""),"",D712+SUM(F712:I712))</f>
        <v/>
      </c>
      <c r="K712" s="67" t="str">
        <f>IF(OR(TaxaJuros="",C712=""),"",100%-J712/D712)</f>
        <v/>
      </c>
    </row>
    <row r="713" spans="5:11" x14ac:dyDescent="0.25">
      <c r="E713" s="15" t="str">
        <f>IF(OR(DataRecebimento="",C713=""),"",C713-$F$7)</f>
        <v/>
      </c>
      <c r="F713" s="16" t="str">
        <f>IF(OR(TaxaJuros="",C713=""),"",-D713*E713*($F$8/30))</f>
        <v/>
      </c>
      <c r="G713" s="16" t="str">
        <f>IF(OR(TaxaJuros="",C713=""),"",-$F$9)</f>
        <v/>
      </c>
      <c r="H713" s="21" t="str">
        <f>IF(OR(TaxaJuros="",C713=""),"",IF(ComSemIOF=FALSE,0,IF(E713&gt;365,-(D713+F713)*365*IOFDiario,-(D713+F713)*E713*IOFDiario)))</f>
        <v/>
      </c>
      <c r="I713" s="21" t="str">
        <f>IF(OR(TaxaJuros="",C713=""),"",IF(ComSemIOF=FALSE,0,-(D713+F713)*IOFAdic))</f>
        <v/>
      </c>
      <c r="J713" s="16" t="str">
        <f>IF(OR(TaxaJuros="",C713=""),"",D713+SUM(F713:I713))</f>
        <v/>
      </c>
      <c r="K713" s="67" t="str">
        <f>IF(OR(TaxaJuros="",C713=""),"",100%-J713/D713)</f>
        <v/>
      </c>
    </row>
    <row r="714" spans="5:11" x14ac:dyDescent="0.25">
      <c r="E714" s="15" t="str">
        <f>IF(OR(DataRecebimento="",C714=""),"",C714-$F$7)</f>
        <v/>
      </c>
      <c r="F714" s="16" t="str">
        <f>IF(OR(TaxaJuros="",C714=""),"",-D714*E714*($F$8/30))</f>
        <v/>
      </c>
      <c r="G714" s="16" t="str">
        <f>IF(OR(TaxaJuros="",C714=""),"",-$F$9)</f>
        <v/>
      </c>
      <c r="H714" s="21" t="str">
        <f>IF(OR(TaxaJuros="",C714=""),"",IF(ComSemIOF=FALSE,0,IF(E714&gt;365,-(D714+F714)*365*IOFDiario,-(D714+F714)*E714*IOFDiario)))</f>
        <v/>
      </c>
      <c r="I714" s="21" t="str">
        <f>IF(OR(TaxaJuros="",C714=""),"",IF(ComSemIOF=FALSE,0,-(D714+F714)*IOFAdic))</f>
        <v/>
      </c>
      <c r="J714" s="16" t="str">
        <f>IF(OR(TaxaJuros="",C714=""),"",D714+SUM(F714:I714))</f>
        <v/>
      </c>
      <c r="K714" s="67" t="str">
        <f>IF(OR(TaxaJuros="",C714=""),"",100%-J714/D714)</f>
        <v/>
      </c>
    </row>
    <row r="715" spans="5:11" x14ac:dyDescent="0.25">
      <c r="E715" s="15" t="str">
        <f>IF(OR(DataRecebimento="",C715=""),"",C715-$F$7)</f>
        <v/>
      </c>
      <c r="F715" s="16" t="str">
        <f>IF(OR(TaxaJuros="",C715=""),"",-D715*E715*($F$8/30))</f>
        <v/>
      </c>
      <c r="G715" s="16" t="str">
        <f>IF(OR(TaxaJuros="",C715=""),"",-$F$9)</f>
        <v/>
      </c>
      <c r="H715" s="21" t="str">
        <f>IF(OR(TaxaJuros="",C715=""),"",IF(ComSemIOF=FALSE,0,IF(E715&gt;365,-(D715+F715)*365*IOFDiario,-(D715+F715)*E715*IOFDiario)))</f>
        <v/>
      </c>
      <c r="I715" s="21" t="str">
        <f>IF(OR(TaxaJuros="",C715=""),"",IF(ComSemIOF=FALSE,0,-(D715+F715)*IOFAdic))</f>
        <v/>
      </c>
      <c r="J715" s="16" t="str">
        <f>IF(OR(TaxaJuros="",C715=""),"",D715+SUM(F715:I715))</f>
        <v/>
      </c>
      <c r="K715" s="67" t="str">
        <f>IF(OR(TaxaJuros="",C715=""),"",100%-J715/D715)</f>
        <v/>
      </c>
    </row>
    <row r="716" spans="5:11" x14ac:dyDescent="0.25">
      <c r="E716" s="15" t="str">
        <f>IF(OR(DataRecebimento="",C716=""),"",C716-$F$7)</f>
        <v/>
      </c>
      <c r="F716" s="16" t="str">
        <f>IF(OR(TaxaJuros="",C716=""),"",-D716*E716*($F$8/30))</f>
        <v/>
      </c>
      <c r="G716" s="16" t="str">
        <f>IF(OR(TaxaJuros="",C716=""),"",-$F$9)</f>
        <v/>
      </c>
      <c r="H716" s="21" t="str">
        <f>IF(OR(TaxaJuros="",C716=""),"",IF(ComSemIOF=FALSE,0,IF(E716&gt;365,-(D716+F716)*365*IOFDiario,-(D716+F716)*E716*IOFDiario)))</f>
        <v/>
      </c>
      <c r="I716" s="21" t="str">
        <f>IF(OR(TaxaJuros="",C716=""),"",IF(ComSemIOF=FALSE,0,-(D716+F716)*IOFAdic))</f>
        <v/>
      </c>
      <c r="J716" s="16" t="str">
        <f>IF(OR(TaxaJuros="",C716=""),"",D716+SUM(F716:I716))</f>
        <v/>
      </c>
      <c r="K716" s="67" t="str">
        <f>IF(OR(TaxaJuros="",C716=""),"",100%-J716/D716)</f>
        <v/>
      </c>
    </row>
    <row r="717" spans="5:11" x14ac:dyDescent="0.25">
      <c r="E717" s="15" t="str">
        <f>IF(OR(DataRecebimento="",C717=""),"",C717-$F$7)</f>
        <v/>
      </c>
      <c r="F717" s="16" t="str">
        <f>IF(OR(TaxaJuros="",C717=""),"",-D717*E717*($F$8/30))</f>
        <v/>
      </c>
      <c r="G717" s="16" t="str">
        <f>IF(OR(TaxaJuros="",C717=""),"",-$F$9)</f>
        <v/>
      </c>
      <c r="H717" s="21" t="str">
        <f>IF(OR(TaxaJuros="",C717=""),"",IF(ComSemIOF=FALSE,0,IF(E717&gt;365,-(D717+F717)*365*IOFDiario,-(D717+F717)*E717*IOFDiario)))</f>
        <v/>
      </c>
      <c r="I717" s="21" t="str">
        <f>IF(OR(TaxaJuros="",C717=""),"",IF(ComSemIOF=FALSE,0,-(D717+F717)*IOFAdic))</f>
        <v/>
      </c>
      <c r="J717" s="16" t="str">
        <f>IF(OR(TaxaJuros="",C717=""),"",D717+SUM(F717:I717))</f>
        <v/>
      </c>
      <c r="K717" s="67" t="str">
        <f>IF(OR(TaxaJuros="",C717=""),"",100%-J717/D717)</f>
        <v/>
      </c>
    </row>
    <row r="718" spans="5:11" x14ac:dyDescent="0.25">
      <c r="E718" s="15" t="str">
        <f>IF(OR(DataRecebimento="",C718=""),"",C718-$F$7)</f>
        <v/>
      </c>
      <c r="F718" s="16" t="str">
        <f>IF(OR(TaxaJuros="",C718=""),"",-D718*E718*($F$8/30))</f>
        <v/>
      </c>
      <c r="G718" s="16" t="str">
        <f>IF(OR(TaxaJuros="",C718=""),"",-$F$9)</f>
        <v/>
      </c>
      <c r="H718" s="21" t="str">
        <f>IF(OR(TaxaJuros="",C718=""),"",IF(ComSemIOF=FALSE,0,IF(E718&gt;365,-(D718+F718)*365*IOFDiario,-(D718+F718)*E718*IOFDiario)))</f>
        <v/>
      </c>
      <c r="I718" s="21" t="str">
        <f>IF(OR(TaxaJuros="",C718=""),"",IF(ComSemIOF=FALSE,0,-(D718+F718)*IOFAdic))</f>
        <v/>
      </c>
      <c r="J718" s="16" t="str">
        <f>IF(OR(TaxaJuros="",C718=""),"",D718+SUM(F718:I718))</f>
        <v/>
      </c>
      <c r="K718" s="67" t="str">
        <f>IF(OR(TaxaJuros="",C718=""),"",100%-J718/D718)</f>
        <v/>
      </c>
    </row>
    <row r="719" spans="5:11" x14ac:dyDescent="0.25">
      <c r="E719" s="15" t="str">
        <f>IF(OR(DataRecebimento="",C719=""),"",C719-$F$7)</f>
        <v/>
      </c>
      <c r="F719" s="16" t="str">
        <f>IF(OR(TaxaJuros="",C719=""),"",-D719*E719*($F$8/30))</f>
        <v/>
      </c>
      <c r="G719" s="16" t="str">
        <f>IF(OR(TaxaJuros="",C719=""),"",-$F$9)</f>
        <v/>
      </c>
      <c r="H719" s="21" t="str">
        <f>IF(OR(TaxaJuros="",C719=""),"",IF(ComSemIOF=FALSE,0,IF(E719&gt;365,-(D719+F719)*365*IOFDiario,-(D719+F719)*E719*IOFDiario)))</f>
        <v/>
      </c>
      <c r="I719" s="21" t="str">
        <f>IF(OR(TaxaJuros="",C719=""),"",IF(ComSemIOF=FALSE,0,-(D719+F719)*IOFAdic))</f>
        <v/>
      </c>
      <c r="J719" s="16" t="str">
        <f>IF(OR(TaxaJuros="",C719=""),"",D719+SUM(F719:I719))</f>
        <v/>
      </c>
      <c r="K719" s="67" t="str">
        <f>IF(OR(TaxaJuros="",C719=""),"",100%-J719/D719)</f>
        <v/>
      </c>
    </row>
    <row r="720" spans="5:11" x14ac:dyDescent="0.25">
      <c r="E720" s="15" t="str">
        <f>IF(OR(DataRecebimento="",C720=""),"",C720-$F$7)</f>
        <v/>
      </c>
      <c r="F720" s="16" t="str">
        <f>IF(OR(TaxaJuros="",C720=""),"",-D720*E720*($F$8/30))</f>
        <v/>
      </c>
      <c r="G720" s="16" t="str">
        <f>IF(OR(TaxaJuros="",C720=""),"",-$F$9)</f>
        <v/>
      </c>
      <c r="H720" s="21" t="str">
        <f>IF(OR(TaxaJuros="",C720=""),"",IF(ComSemIOF=FALSE,0,IF(E720&gt;365,-(D720+F720)*365*IOFDiario,-(D720+F720)*E720*IOFDiario)))</f>
        <v/>
      </c>
      <c r="I720" s="21" t="str">
        <f>IF(OR(TaxaJuros="",C720=""),"",IF(ComSemIOF=FALSE,0,-(D720+F720)*IOFAdic))</f>
        <v/>
      </c>
      <c r="J720" s="16" t="str">
        <f>IF(OR(TaxaJuros="",C720=""),"",D720+SUM(F720:I720))</f>
        <v/>
      </c>
      <c r="K720" s="67" t="str">
        <f>IF(OR(TaxaJuros="",C720=""),"",100%-J720/D720)</f>
        <v/>
      </c>
    </row>
    <row r="721" spans="5:11" x14ac:dyDescent="0.25">
      <c r="E721" s="15" t="str">
        <f>IF(OR(DataRecebimento="",C721=""),"",C721-$F$7)</f>
        <v/>
      </c>
      <c r="F721" s="16" t="str">
        <f>IF(OR(TaxaJuros="",C721=""),"",-D721*E721*($F$8/30))</f>
        <v/>
      </c>
      <c r="G721" s="16" t="str">
        <f>IF(OR(TaxaJuros="",C721=""),"",-$F$9)</f>
        <v/>
      </c>
      <c r="H721" s="21" t="str">
        <f>IF(OR(TaxaJuros="",C721=""),"",IF(ComSemIOF=FALSE,0,IF(E721&gt;365,-(D721+F721)*365*IOFDiario,-(D721+F721)*E721*IOFDiario)))</f>
        <v/>
      </c>
      <c r="I721" s="21" t="str">
        <f>IF(OR(TaxaJuros="",C721=""),"",IF(ComSemIOF=FALSE,0,-(D721+F721)*IOFAdic))</f>
        <v/>
      </c>
      <c r="J721" s="16" t="str">
        <f>IF(OR(TaxaJuros="",C721=""),"",D721+SUM(F721:I721))</f>
        <v/>
      </c>
      <c r="K721" s="67" t="str">
        <f>IF(OR(TaxaJuros="",C721=""),"",100%-J721/D721)</f>
        <v/>
      </c>
    </row>
    <row r="722" spans="5:11" x14ac:dyDescent="0.25">
      <c r="E722" s="15" t="str">
        <f>IF(OR(DataRecebimento="",C722=""),"",C722-$F$7)</f>
        <v/>
      </c>
      <c r="F722" s="16" t="str">
        <f>IF(OR(TaxaJuros="",C722=""),"",-D722*E722*($F$8/30))</f>
        <v/>
      </c>
      <c r="G722" s="16" t="str">
        <f>IF(OR(TaxaJuros="",C722=""),"",-$F$9)</f>
        <v/>
      </c>
      <c r="H722" s="21" t="str">
        <f>IF(OR(TaxaJuros="",C722=""),"",IF(ComSemIOF=FALSE,0,IF(E722&gt;365,-(D722+F722)*365*IOFDiario,-(D722+F722)*E722*IOFDiario)))</f>
        <v/>
      </c>
      <c r="I722" s="21" t="str">
        <f>IF(OR(TaxaJuros="",C722=""),"",IF(ComSemIOF=FALSE,0,-(D722+F722)*IOFAdic))</f>
        <v/>
      </c>
      <c r="J722" s="16" t="str">
        <f>IF(OR(TaxaJuros="",C722=""),"",D722+SUM(F722:I722))</f>
        <v/>
      </c>
      <c r="K722" s="67" t="str">
        <f>IF(OR(TaxaJuros="",C722=""),"",100%-J722/D722)</f>
        <v/>
      </c>
    </row>
    <row r="723" spans="5:11" x14ac:dyDescent="0.25">
      <c r="E723" s="15" t="str">
        <f>IF(OR(DataRecebimento="",C723=""),"",C723-$F$7)</f>
        <v/>
      </c>
      <c r="F723" s="16" t="str">
        <f>IF(OR(TaxaJuros="",C723=""),"",-D723*E723*($F$8/30))</f>
        <v/>
      </c>
      <c r="G723" s="16" t="str">
        <f>IF(OR(TaxaJuros="",C723=""),"",-$F$9)</f>
        <v/>
      </c>
      <c r="H723" s="21" t="str">
        <f>IF(OR(TaxaJuros="",C723=""),"",IF(ComSemIOF=FALSE,0,IF(E723&gt;365,-(D723+F723)*365*IOFDiario,-(D723+F723)*E723*IOFDiario)))</f>
        <v/>
      </c>
      <c r="I723" s="21" t="str">
        <f>IF(OR(TaxaJuros="",C723=""),"",IF(ComSemIOF=FALSE,0,-(D723+F723)*IOFAdic))</f>
        <v/>
      </c>
      <c r="J723" s="16" t="str">
        <f>IF(OR(TaxaJuros="",C723=""),"",D723+SUM(F723:I723))</f>
        <v/>
      </c>
      <c r="K723" s="67" t="str">
        <f>IF(OR(TaxaJuros="",C723=""),"",100%-J723/D723)</f>
        <v/>
      </c>
    </row>
    <row r="724" spans="5:11" x14ac:dyDescent="0.25">
      <c r="E724" s="15" t="str">
        <f>IF(OR(DataRecebimento="",C724=""),"",C724-$F$7)</f>
        <v/>
      </c>
      <c r="F724" s="16" t="str">
        <f>IF(OR(TaxaJuros="",C724=""),"",-D724*E724*($F$8/30))</f>
        <v/>
      </c>
      <c r="G724" s="16" t="str">
        <f>IF(OR(TaxaJuros="",C724=""),"",-$F$9)</f>
        <v/>
      </c>
      <c r="H724" s="21" t="str">
        <f>IF(OR(TaxaJuros="",C724=""),"",IF(ComSemIOF=FALSE,0,IF(E724&gt;365,-(D724+F724)*365*IOFDiario,-(D724+F724)*E724*IOFDiario)))</f>
        <v/>
      </c>
      <c r="I724" s="21" t="str">
        <f>IF(OR(TaxaJuros="",C724=""),"",IF(ComSemIOF=FALSE,0,-(D724+F724)*IOFAdic))</f>
        <v/>
      </c>
      <c r="J724" s="16" t="str">
        <f>IF(OR(TaxaJuros="",C724=""),"",D724+SUM(F724:I724))</f>
        <v/>
      </c>
      <c r="K724" s="67" t="str">
        <f>IF(OR(TaxaJuros="",C724=""),"",100%-J724/D724)</f>
        <v/>
      </c>
    </row>
    <row r="725" spans="5:11" x14ac:dyDescent="0.25">
      <c r="E725" s="15" t="str">
        <f>IF(OR(DataRecebimento="",C725=""),"",C725-$F$7)</f>
        <v/>
      </c>
      <c r="F725" s="16" t="str">
        <f>IF(OR(TaxaJuros="",C725=""),"",-D725*E725*($F$8/30))</f>
        <v/>
      </c>
      <c r="G725" s="16" t="str">
        <f>IF(OR(TaxaJuros="",C725=""),"",-$F$9)</f>
        <v/>
      </c>
      <c r="H725" s="21" t="str">
        <f>IF(OR(TaxaJuros="",C725=""),"",IF(ComSemIOF=FALSE,0,IF(E725&gt;365,-(D725+F725)*365*IOFDiario,-(D725+F725)*E725*IOFDiario)))</f>
        <v/>
      </c>
      <c r="I725" s="21" t="str">
        <f>IF(OR(TaxaJuros="",C725=""),"",IF(ComSemIOF=FALSE,0,-(D725+F725)*IOFAdic))</f>
        <v/>
      </c>
      <c r="J725" s="16" t="str">
        <f>IF(OR(TaxaJuros="",C725=""),"",D725+SUM(F725:I725))</f>
        <v/>
      </c>
      <c r="K725" s="67" t="str">
        <f>IF(OR(TaxaJuros="",C725=""),"",100%-J725/D725)</f>
        <v/>
      </c>
    </row>
    <row r="726" spans="5:11" x14ac:dyDescent="0.25">
      <c r="E726" s="15" t="str">
        <f>IF(OR(DataRecebimento="",C726=""),"",C726-$F$7)</f>
        <v/>
      </c>
      <c r="F726" s="16" t="str">
        <f>IF(OR(TaxaJuros="",C726=""),"",-D726*E726*($F$8/30))</f>
        <v/>
      </c>
      <c r="G726" s="16" t="str">
        <f>IF(OR(TaxaJuros="",C726=""),"",-$F$9)</f>
        <v/>
      </c>
      <c r="H726" s="21" t="str">
        <f>IF(OR(TaxaJuros="",C726=""),"",IF(ComSemIOF=FALSE,0,IF(E726&gt;365,-(D726+F726)*365*IOFDiario,-(D726+F726)*E726*IOFDiario)))</f>
        <v/>
      </c>
      <c r="I726" s="21" t="str">
        <f>IF(OR(TaxaJuros="",C726=""),"",IF(ComSemIOF=FALSE,0,-(D726+F726)*IOFAdic))</f>
        <v/>
      </c>
      <c r="J726" s="16" t="str">
        <f>IF(OR(TaxaJuros="",C726=""),"",D726+SUM(F726:I726))</f>
        <v/>
      </c>
      <c r="K726" s="67" t="str">
        <f>IF(OR(TaxaJuros="",C726=""),"",100%-J726/D726)</f>
        <v/>
      </c>
    </row>
    <row r="727" spans="5:11" x14ac:dyDescent="0.25">
      <c r="E727" s="15" t="str">
        <f>IF(OR(DataRecebimento="",C727=""),"",C727-$F$7)</f>
        <v/>
      </c>
      <c r="F727" s="16" t="str">
        <f>IF(OR(TaxaJuros="",C727=""),"",-D727*E727*($F$8/30))</f>
        <v/>
      </c>
      <c r="G727" s="16" t="str">
        <f>IF(OR(TaxaJuros="",C727=""),"",-$F$9)</f>
        <v/>
      </c>
      <c r="H727" s="21" t="str">
        <f>IF(OR(TaxaJuros="",C727=""),"",IF(ComSemIOF=FALSE,0,IF(E727&gt;365,-(D727+F727)*365*IOFDiario,-(D727+F727)*E727*IOFDiario)))</f>
        <v/>
      </c>
      <c r="I727" s="21" t="str">
        <f>IF(OR(TaxaJuros="",C727=""),"",IF(ComSemIOF=FALSE,0,-(D727+F727)*IOFAdic))</f>
        <v/>
      </c>
      <c r="J727" s="16" t="str">
        <f>IF(OR(TaxaJuros="",C727=""),"",D727+SUM(F727:I727))</f>
        <v/>
      </c>
      <c r="K727" s="67" t="str">
        <f>IF(OR(TaxaJuros="",C727=""),"",100%-J727/D727)</f>
        <v/>
      </c>
    </row>
    <row r="728" spans="5:11" x14ac:dyDescent="0.25">
      <c r="E728" s="15" t="str">
        <f>IF(OR(DataRecebimento="",C728=""),"",C728-$F$7)</f>
        <v/>
      </c>
      <c r="F728" s="16" t="str">
        <f>IF(OR(TaxaJuros="",C728=""),"",-D728*E728*($F$8/30))</f>
        <v/>
      </c>
      <c r="G728" s="16" t="str">
        <f>IF(OR(TaxaJuros="",C728=""),"",-$F$9)</f>
        <v/>
      </c>
      <c r="H728" s="21" t="str">
        <f>IF(OR(TaxaJuros="",C728=""),"",IF(ComSemIOF=FALSE,0,IF(E728&gt;365,-(D728+F728)*365*IOFDiario,-(D728+F728)*E728*IOFDiario)))</f>
        <v/>
      </c>
      <c r="I728" s="21" t="str">
        <f>IF(OR(TaxaJuros="",C728=""),"",IF(ComSemIOF=FALSE,0,-(D728+F728)*IOFAdic))</f>
        <v/>
      </c>
      <c r="J728" s="16" t="str">
        <f>IF(OR(TaxaJuros="",C728=""),"",D728+SUM(F728:I728))</f>
        <v/>
      </c>
      <c r="K728" s="67" t="str">
        <f>IF(OR(TaxaJuros="",C728=""),"",100%-J728/D728)</f>
        <v/>
      </c>
    </row>
    <row r="729" spans="5:11" x14ac:dyDescent="0.25">
      <c r="E729" s="15" t="str">
        <f>IF(OR(DataRecebimento="",C729=""),"",C729-$F$7)</f>
        <v/>
      </c>
      <c r="F729" s="16" t="str">
        <f>IF(OR(TaxaJuros="",C729=""),"",-D729*E729*($F$8/30))</f>
        <v/>
      </c>
      <c r="G729" s="16" t="str">
        <f>IF(OR(TaxaJuros="",C729=""),"",-$F$9)</f>
        <v/>
      </c>
      <c r="H729" s="21" t="str">
        <f>IF(OR(TaxaJuros="",C729=""),"",IF(ComSemIOF=FALSE,0,IF(E729&gt;365,-(D729+F729)*365*IOFDiario,-(D729+F729)*E729*IOFDiario)))</f>
        <v/>
      </c>
      <c r="I729" s="21" t="str">
        <f>IF(OR(TaxaJuros="",C729=""),"",IF(ComSemIOF=FALSE,0,-(D729+F729)*IOFAdic))</f>
        <v/>
      </c>
      <c r="J729" s="16" t="str">
        <f>IF(OR(TaxaJuros="",C729=""),"",D729+SUM(F729:I729))</f>
        <v/>
      </c>
      <c r="K729" s="67" t="str">
        <f>IF(OR(TaxaJuros="",C729=""),"",100%-J729/D729)</f>
        <v/>
      </c>
    </row>
    <row r="730" spans="5:11" x14ac:dyDescent="0.25">
      <c r="E730" s="15" t="str">
        <f>IF(OR(DataRecebimento="",C730=""),"",C730-$F$7)</f>
        <v/>
      </c>
      <c r="F730" s="16" t="str">
        <f>IF(OR(TaxaJuros="",C730=""),"",-D730*E730*($F$8/30))</f>
        <v/>
      </c>
      <c r="G730" s="16" t="str">
        <f>IF(OR(TaxaJuros="",C730=""),"",-$F$9)</f>
        <v/>
      </c>
      <c r="H730" s="21" t="str">
        <f>IF(OR(TaxaJuros="",C730=""),"",IF(ComSemIOF=FALSE,0,IF(E730&gt;365,-(D730+F730)*365*IOFDiario,-(D730+F730)*E730*IOFDiario)))</f>
        <v/>
      </c>
      <c r="I730" s="21" t="str">
        <f>IF(OR(TaxaJuros="",C730=""),"",IF(ComSemIOF=FALSE,0,-(D730+F730)*IOFAdic))</f>
        <v/>
      </c>
      <c r="J730" s="16" t="str">
        <f>IF(OR(TaxaJuros="",C730=""),"",D730+SUM(F730:I730))</f>
        <v/>
      </c>
      <c r="K730" s="67" t="str">
        <f>IF(OR(TaxaJuros="",C730=""),"",100%-J730/D730)</f>
        <v/>
      </c>
    </row>
    <row r="731" spans="5:11" x14ac:dyDescent="0.25">
      <c r="E731" s="15" t="str">
        <f>IF(OR(DataRecebimento="",C731=""),"",C731-$F$7)</f>
        <v/>
      </c>
      <c r="F731" s="16" t="str">
        <f>IF(OR(TaxaJuros="",C731=""),"",-D731*E731*($F$8/30))</f>
        <v/>
      </c>
      <c r="G731" s="16" t="str">
        <f>IF(OR(TaxaJuros="",C731=""),"",-$F$9)</f>
        <v/>
      </c>
      <c r="H731" s="21" t="str">
        <f>IF(OR(TaxaJuros="",C731=""),"",IF(ComSemIOF=FALSE,0,IF(E731&gt;365,-(D731+F731)*365*IOFDiario,-(D731+F731)*E731*IOFDiario)))</f>
        <v/>
      </c>
      <c r="I731" s="21" t="str">
        <f>IF(OR(TaxaJuros="",C731=""),"",IF(ComSemIOF=FALSE,0,-(D731+F731)*IOFAdic))</f>
        <v/>
      </c>
      <c r="J731" s="16" t="str">
        <f>IF(OR(TaxaJuros="",C731=""),"",D731+SUM(F731:I731))</f>
        <v/>
      </c>
      <c r="K731" s="67" t="str">
        <f>IF(OR(TaxaJuros="",C731=""),"",100%-J731/D731)</f>
        <v/>
      </c>
    </row>
    <row r="732" spans="5:11" x14ac:dyDescent="0.25">
      <c r="E732" s="15" t="str">
        <f>IF(OR(DataRecebimento="",C732=""),"",C732-$F$7)</f>
        <v/>
      </c>
      <c r="F732" s="16" t="str">
        <f>IF(OR(TaxaJuros="",C732=""),"",-D732*E732*($F$8/30))</f>
        <v/>
      </c>
      <c r="G732" s="16" t="str">
        <f>IF(OR(TaxaJuros="",C732=""),"",-$F$9)</f>
        <v/>
      </c>
      <c r="H732" s="21" t="str">
        <f>IF(OR(TaxaJuros="",C732=""),"",IF(ComSemIOF=FALSE,0,IF(E732&gt;365,-(D732+F732)*365*IOFDiario,-(D732+F732)*E732*IOFDiario)))</f>
        <v/>
      </c>
      <c r="I732" s="21" t="str">
        <f>IF(OR(TaxaJuros="",C732=""),"",IF(ComSemIOF=FALSE,0,-(D732+F732)*IOFAdic))</f>
        <v/>
      </c>
      <c r="J732" s="16" t="str">
        <f>IF(OR(TaxaJuros="",C732=""),"",D732+SUM(F732:I732))</f>
        <v/>
      </c>
      <c r="K732" s="67" t="str">
        <f>IF(OR(TaxaJuros="",C732=""),"",100%-J732/D732)</f>
        <v/>
      </c>
    </row>
    <row r="733" spans="5:11" x14ac:dyDescent="0.25">
      <c r="E733" s="15" t="str">
        <f>IF(OR(DataRecebimento="",C733=""),"",C733-$F$7)</f>
        <v/>
      </c>
      <c r="F733" s="16" t="str">
        <f>IF(OR(TaxaJuros="",C733=""),"",-D733*E733*($F$8/30))</f>
        <v/>
      </c>
      <c r="G733" s="16" t="str">
        <f>IF(OR(TaxaJuros="",C733=""),"",-$F$9)</f>
        <v/>
      </c>
      <c r="H733" s="21" t="str">
        <f>IF(OR(TaxaJuros="",C733=""),"",IF(ComSemIOF=FALSE,0,IF(E733&gt;365,-(D733+F733)*365*IOFDiario,-(D733+F733)*E733*IOFDiario)))</f>
        <v/>
      </c>
      <c r="I733" s="21" t="str">
        <f>IF(OR(TaxaJuros="",C733=""),"",IF(ComSemIOF=FALSE,0,-(D733+F733)*IOFAdic))</f>
        <v/>
      </c>
      <c r="J733" s="16" t="str">
        <f>IF(OR(TaxaJuros="",C733=""),"",D733+SUM(F733:I733))</f>
        <v/>
      </c>
      <c r="K733" s="67" t="str">
        <f>IF(OR(TaxaJuros="",C733=""),"",100%-J733/D733)</f>
        <v/>
      </c>
    </row>
    <row r="734" spans="5:11" x14ac:dyDescent="0.25">
      <c r="E734" s="15" t="str">
        <f>IF(OR(DataRecebimento="",C734=""),"",C734-$F$7)</f>
        <v/>
      </c>
      <c r="F734" s="16" t="str">
        <f>IF(OR(TaxaJuros="",C734=""),"",-D734*E734*($F$8/30))</f>
        <v/>
      </c>
      <c r="G734" s="16" t="str">
        <f>IF(OR(TaxaJuros="",C734=""),"",-$F$9)</f>
        <v/>
      </c>
      <c r="H734" s="21" t="str">
        <f>IF(OR(TaxaJuros="",C734=""),"",IF(ComSemIOF=FALSE,0,IF(E734&gt;365,-(D734+F734)*365*IOFDiario,-(D734+F734)*E734*IOFDiario)))</f>
        <v/>
      </c>
      <c r="I734" s="21" t="str">
        <f>IF(OR(TaxaJuros="",C734=""),"",IF(ComSemIOF=FALSE,0,-(D734+F734)*IOFAdic))</f>
        <v/>
      </c>
      <c r="J734" s="16" t="str">
        <f>IF(OR(TaxaJuros="",C734=""),"",D734+SUM(F734:I734))</f>
        <v/>
      </c>
      <c r="K734" s="67" t="str">
        <f>IF(OR(TaxaJuros="",C734=""),"",100%-J734/D734)</f>
        <v/>
      </c>
    </row>
    <row r="735" spans="5:11" x14ac:dyDescent="0.25">
      <c r="E735" s="15" t="str">
        <f>IF(OR(DataRecebimento="",C735=""),"",C735-$F$7)</f>
        <v/>
      </c>
      <c r="F735" s="16" t="str">
        <f>IF(OR(TaxaJuros="",C735=""),"",-D735*E735*($F$8/30))</f>
        <v/>
      </c>
      <c r="G735" s="16" t="str">
        <f>IF(OR(TaxaJuros="",C735=""),"",-$F$9)</f>
        <v/>
      </c>
      <c r="H735" s="21" t="str">
        <f>IF(OR(TaxaJuros="",C735=""),"",IF(ComSemIOF=FALSE,0,IF(E735&gt;365,-(D735+F735)*365*IOFDiario,-(D735+F735)*E735*IOFDiario)))</f>
        <v/>
      </c>
      <c r="I735" s="21" t="str">
        <f>IF(OR(TaxaJuros="",C735=""),"",IF(ComSemIOF=FALSE,0,-(D735+F735)*IOFAdic))</f>
        <v/>
      </c>
      <c r="J735" s="16" t="str">
        <f>IF(OR(TaxaJuros="",C735=""),"",D735+SUM(F735:I735))</f>
        <v/>
      </c>
      <c r="K735" s="67" t="str">
        <f>IF(OR(TaxaJuros="",C735=""),"",100%-J735/D735)</f>
        <v/>
      </c>
    </row>
    <row r="736" spans="5:11" x14ac:dyDescent="0.25">
      <c r="E736" s="15" t="str">
        <f>IF(OR(DataRecebimento="",C736=""),"",C736-$F$7)</f>
        <v/>
      </c>
      <c r="F736" s="16" t="str">
        <f>IF(OR(TaxaJuros="",C736=""),"",-D736*E736*($F$8/30))</f>
        <v/>
      </c>
      <c r="G736" s="16" t="str">
        <f>IF(OR(TaxaJuros="",C736=""),"",-$F$9)</f>
        <v/>
      </c>
      <c r="H736" s="21" t="str">
        <f>IF(OR(TaxaJuros="",C736=""),"",IF(ComSemIOF=FALSE,0,IF(E736&gt;365,-(D736+F736)*365*IOFDiario,-(D736+F736)*E736*IOFDiario)))</f>
        <v/>
      </c>
      <c r="I736" s="21" t="str">
        <f>IF(OR(TaxaJuros="",C736=""),"",IF(ComSemIOF=FALSE,0,-(D736+F736)*IOFAdic))</f>
        <v/>
      </c>
      <c r="J736" s="16" t="str">
        <f>IF(OR(TaxaJuros="",C736=""),"",D736+SUM(F736:I736))</f>
        <v/>
      </c>
      <c r="K736" s="67" t="str">
        <f>IF(OR(TaxaJuros="",C736=""),"",100%-J736/D736)</f>
        <v/>
      </c>
    </row>
    <row r="737" spans="5:11" x14ac:dyDescent="0.25">
      <c r="E737" s="15" t="str">
        <f>IF(OR(DataRecebimento="",C737=""),"",C737-$F$7)</f>
        <v/>
      </c>
      <c r="F737" s="16" t="str">
        <f>IF(OR(TaxaJuros="",C737=""),"",-D737*E737*($F$8/30))</f>
        <v/>
      </c>
      <c r="G737" s="16" t="str">
        <f>IF(OR(TaxaJuros="",C737=""),"",-$F$9)</f>
        <v/>
      </c>
      <c r="H737" s="21" t="str">
        <f>IF(OR(TaxaJuros="",C737=""),"",IF(ComSemIOF=FALSE,0,IF(E737&gt;365,-(D737+F737)*365*IOFDiario,-(D737+F737)*E737*IOFDiario)))</f>
        <v/>
      </c>
      <c r="I737" s="21" t="str">
        <f>IF(OR(TaxaJuros="",C737=""),"",IF(ComSemIOF=FALSE,0,-(D737+F737)*IOFAdic))</f>
        <v/>
      </c>
      <c r="J737" s="16" t="str">
        <f>IF(OR(TaxaJuros="",C737=""),"",D737+SUM(F737:I737))</f>
        <v/>
      </c>
      <c r="K737" s="67" t="str">
        <f>IF(OR(TaxaJuros="",C737=""),"",100%-J737/D737)</f>
        <v/>
      </c>
    </row>
    <row r="738" spans="5:11" x14ac:dyDescent="0.25">
      <c r="E738" s="15" t="str">
        <f>IF(OR(DataRecebimento="",C738=""),"",C738-$F$7)</f>
        <v/>
      </c>
      <c r="F738" s="16" t="str">
        <f>IF(OR(TaxaJuros="",C738=""),"",-D738*E738*($F$8/30))</f>
        <v/>
      </c>
      <c r="G738" s="16" t="str">
        <f>IF(OR(TaxaJuros="",C738=""),"",-$F$9)</f>
        <v/>
      </c>
      <c r="H738" s="21" t="str">
        <f>IF(OR(TaxaJuros="",C738=""),"",IF(ComSemIOF=FALSE,0,IF(E738&gt;365,-(D738+F738)*365*IOFDiario,-(D738+F738)*E738*IOFDiario)))</f>
        <v/>
      </c>
      <c r="I738" s="21" t="str">
        <f>IF(OR(TaxaJuros="",C738=""),"",IF(ComSemIOF=FALSE,0,-(D738+F738)*IOFAdic))</f>
        <v/>
      </c>
      <c r="J738" s="16" t="str">
        <f>IF(OR(TaxaJuros="",C738=""),"",D738+SUM(F738:I738))</f>
        <v/>
      </c>
      <c r="K738" s="67" t="str">
        <f>IF(OR(TaxaJuros="",C738=""),"",100%-J738/D738)</f>
        <v/>
      </c>
    </row>
    <row r="739" spans="5:11" x14ac:dyDescent="0.25">
      <c r="E739" s="15" t="str">
        <f>IF(OR(DataRecebimento="",C739=""),"",C739-$F$7)</f>
        <v/>
      </c>
      <c r="F739" s="16" t="str">
        <f>IF(OR(TaxaJuros="",C739=""),"",-D739*E739*($F$8/30))</f>
        <v/>
      </c>
      <c r="G739" s="16" t="str">
        <f>IF(OR(TaxaJuros="",C739=""),"",-$F$9)</f>
        <v/>
      </c>
      <c r="H739" s="21" t="str">
        <f>IF(OR(TaxaJuros="",C739=""),"",IF(ComSemIOF=FALSE,0,IF(E739&gt;365,-(D739+F739)*365*IOFDiario,-(D739+F739)*E739*IOFDiario)))</f>
        <v/>
      </c>
      <c r="I739" s="21" t="str">
        <f>IF(OR(TaxaJuros="",C739=""),"",IF(ComSemIOF=FALSE,0,-(D739+F739)*IOFAdic))</f>
        <v/>
      </c>
      <c r="J739" s="16" t="str">
        <f>IF(OR(TaxaJuros="",C739=""),"",D739+SUM(F739:I739))</f>
        <v/>
      </c>
      <c r="K739" s="67" t="str">
        <f>IF(OR(TaxaJuros="",C739=""),"",100%-J739/D739)</f>
        <v/>
      </c>
    </row>
    <row r="740" spans="5:11" x14ac:dyDescent="0.25">
      <c r="E740" s="15" t="str">
        <f>IF(OR(DataRecebimento="",C740=""),"",C740-$F$7)</f>
        <v/>
      </c>
      <c r="F740" s="16" t="str">
        <f>IF(OR(TaxaJuros="",C740=""),"",-D740*E740*($F$8/30))</f>
        <v/>
      </c>
      <c r="G740" s="16" t="str">
        <f>IF(OR(TaxaJuros="",C740=""),"",-$F$9)</f>
        <v/>
      </c>
      <c r="H740" s="21" t="str">
        <f>IF(OR(TaxaJuros="",C740=""),"",IF(ComSemIOF=FALSE,0,IF(E740&gt;365,-(D740+F740)*365*IOFDiario,-(D740+F740)*E740*IOFDiario)))</f>
        <v/>
      </c>
      <c r="I740" s="21" t="str">
        <f>IF(OR(TaxaJuros="",C740=""),"",IF(ComSemIOF=FALSE,0,-(D740+F740)*IOFAdic))</f>
        <v/>
      </c>
      <c r="J740" s="16" t="str">
        <f>IF(OR(TaxaJuros="",C740=""),"",D740+SUM(F740:I740))</f>
        <v/>
      </c>
      <c r="K740" s="67" t="str">
        <f>IF(OR(TaxaJuros="",C740=""),"",100%-J740/D740)</f>
        <v/>
      </c>
    </row>
    <row r="741" spans="5:11" x14ac:dyDescent="0.25">
      <c r="E741" s="15" t="str">
        <f>IF(OR(DataRecebimento="",C741=""),"",C741-$F$7)</f>
        <v/>
      </c>
      <c r="F741" s="16" t="str">
        <f>IF(OR(TaxaJuros="",C741=""),"",-D741*E741*($F$8/30))</f>
        <v/>
      </c>
      <c r="G741" s="16" t="str">
        <f>IF(OR(TaxaJuros="",C741=""),"",-$F$9)</f>
        <v/>
      </c>
      <c r="H741" s="21" t="str">
        <f>IF(OR(TaxaJuros="",C741=""),"",IF(ComSemIOF=FALSE,0,IF(E741&gt;365,-(D741+F741)*365*IOFDiario,-(D741+F741)*E741*IOFDiario)))</f>
        <v/>
      </c>
      <c r="I741" s="21" t="str">
        <f>IF(OR(TaxaJuros="",C741=""),"",IF(ComSemIOF=FALSE,0,-(D741+F741)*IOFAdic))</f>
        <v/>
      </c>
      <c r="J741" s="16" t="str">
        <f>IF(OR(TaxaJuros="",C741=""),"",D741+SUM(F741:I741))</f>
        <v/>
      </c>
      <c r="K741" s="67" t="str">
        <f>IF(OR(TaxaJuros="",C741=""),"",100%-J741/D741)</f>
        <v/>
      </c>
    </row>
    <row r="742" spans="5:11" x14ac:dyDescent="0.25">
      <c r="E742" s="15" t="str">
        <f>IF(OR(DataRecebimento="",C742=""),"",C742-$F$7)</f>
        <v/>
      </c>
      <c r="F742" s="16" t="str">
        <f>IF(OR(TaxaJuros="",C742=""),"",-D742*E742*($F$8/30))</f>
        <v/>
      </c>
      <c r="G742" s="16" t="str">
        <f>IF(OR(TaxaJuros="",C742=""),"",-$F$9)</f>
        <v/>
      </c>
      <c r="H742" s="21" t="str">
        <f>IF(OR(TaxaJuros="",C742=""),"",IF(ComSemIOF=FALSE,0,IF(E742&gt;365,-(D742+F742)*365*IOFDiario,-(D742+F742)*E742*IOFDiario)))</f>
        <v/>
      </c>
      <c r="I742" s="21" t="str">
        <f>IF(OR(TaxaJuros="",C742=""),"",IF(ComSemIOF=FALSE,0,-(D742+F742)*IOFAdic))</f>
        <v/>
      </c>
      <c r="J742" s="16" t="str">
        <f>IF(OR(TaxaJuros="",C742=""),"",D742+SUM(F742:I742))</f>
        <v/>
      </c>
      <c r="K742" s="67" t="str">
        <f>IF(OR(TaxaJuros="",C742=""),"",100%-J742/D742)</f>
        <v/>
      </c>
    </row>
    <row r="743" spans="5:11" x14ac:dyDescent="0.25">
      <c r="E743" s="15" t="str">
        <f>IF(OR(DataRecebimento="",C743=""),"",C743-$F$7)</f>
        <v/>
      </c>
      <c r="F743" s="16" t="str">
        <f>IF(OR(TaxaJuros="",C743=""),"",-D743*E743*($F$8/30))</f>
        <v/>
      </c>
      <c r="G743" s="16" t="str">
        <f>IF(OR(TaxaJuros="",C743=""),"",-$F$9)</f>
        <v/>
      </c>
      <c r="H743" s="21" t="str">
        <f>IF(OR(TaxaJuros="",C743=""),"",IF(ComSemIOF=FALSE,0,IF(E743&gt;365,-(D743+F743)*365*IOFDiario,-(D743+F743)*E743*IOFDiario)))</f>
        <v/>
      </c>
      <c r="I743" s="21" t="str">
        <f>IF(OR(TaxaJuros="",C743=""),"",IF(ComSemIOF=FALSE,0,-(D743+F743)*IOFAdic))</f>
        <v/>
      </c>
      <c r="J743" s="16" t="str">
        <f>IF(OR(TaxaJuros="",C743=""),"",D743+SUM(F743:I743))</f>
        <v/>
      </c>
      <c r="K743" s="67" t="str">
        <f>IF(OR(TaxaJuros="",C743=""),"",100%-J743/D743)</f>
        <v/>
      </c>
    </row>
    <row r="744" spans="5:11" x14ac:dyDescent="0.25">
      <c r="E744" s="15" t="str">
        <f>IF(OR(DataRecebimento="",C744=""),"",C744-$F$7)</f>
        <v/>
      </c>
      <c r="F744" s="16" t="str">
        <f>IF(OR(TaxaJuros="",C744=""),"",-D744*E744*($F$8/30))</f>
        <v/>
      </c>
      <c r="G744" s="16" t="str">
        <f>IF(OR(TaxaJuros="",C744=""),"",-$F$9)</f>
        <v/>
      </c>
      <c r="H744" s="21" t="str">
        <f>IF(OR(TaxaJuros="",C744=""),"",IF(ComSemIOF=FALSE,0,IF(E744&gt;365,-(D744+F744)*365*IOFDiario,-(D744+F744)*E744*IOFDiario)))</f>
        <v/>
      </c>
      <c r="I744" s="21" t="str">
        <f>IF(OR(TaxaJuros="",C744=""),"",IF(ComSemIOF=FALSE,0,-(D744+F744)*IOFAdic))</f>
        <v/>
      </c>
      <c r="J744" s="16" t="str">
        <f>IF(OR(TaxaJuros="",C744=""),"",D744+SUM(F744:I744))</f>
        <v/>
      </c>
      <c r="K744" s="67" t="str">
        <f>IF(OR(TaxaJuros="",C744=""),"",100%-J744/D744)</f>
        <v/>
      </c>
    </row>
    <row r="745" spans="5:11" x14ac:dyDescent="0.25">
      <c r="E745" s="15" t="str">
        <f>IF(OR(DataRecebimento="",C745=""),"",C745-$F$7)</f>
        <v/>
      </c>
      <c r="F745" s="16" t="str">
        <f>IF(OR(TaxaJuros="",C745=""),"",-D745*E745*($F$8/30))</f>
        <v/>
      </c>
      <c r="G745" s="16" t="str">
        <f>IF(OR(TaxaJuros="",C745=""),"",-$F$9)</f>
        <v/>
      </c>
      <c r="H745" s="21" t="str">
        <f>IF(OR(TaxaJuros="",C745=""),"",IF(ComSemIOF=FALSE,0,IF(E745&gt;365,-(D745+F745)*365*IOFDiario,-(D745+F745)*E745*IOFDiario)))</f>
        <v/>
      </c>
      <c r="I745" s="21" t="str">
        <f>IF(OR(TaxaJuros="",C745=""),"",IF(ComSemIOF=FALSE,0,-(D745+F745)*IOFAdic))</f>
        <v/>
      </c>
      <c r="J745" s="16" t="str">
        <f>IF(OR(TaxaJuros="",C745=""),"",D745+SUM(F745:I745))</f>
        <v/>
      </c>
      <c r="K745" s="67" t="str">
        <f>IF(OR(TaxaJuros="",C745=""),"",100%-J745/D745)</f>
        <v/>
      </c>
    </row>
    <row r="746" spans="5:11" x14ac:dyDescent="0.25">
      <c r="E746" s="15" t="str">
        <f>IF(OR(DataRecebimento="",C746=""),"",C746-$F$7)</f>
        <v/>
      </c>
      <c r="F746" s="16" t="str">
        <f>IF(OR(TaxaJuros="",C746=""),"",-D746*E746*($F$8/30))</f>
        <v/>
      </c>
      <c r="G746" s="16" t="str">
        <f>IF(OR(TaxaJuros="",C746=""),"",-$F$9)</f>
        <v/>
      </c>
      <c r="H746" s="21" t="str">
        <f>IF(OR(TaxaJuros="",C746=""),"",IF(ComSemIOF=FALSE,0,IF(E746&gt;365,-(D746+F746)*365*IOFDiario,-(D746+F746)*E746*IOFDiario)))</f>
        <v/>
      </c>
      <c r="I746" s="21" t="str">
        <f>IF(OR(TaxaJuros="",C746=""),"",IF(ComSemIOF=FALSE,0,-(D746+F746)*IOFAdic))</f>
        <v/>
      </c>
      <c r="J746" s="16" t="str">
        <f>IF(OR(TaxaJuros="",C746=""),"",D746+SUM(F746:I746))</f>
        <v/>
      </c>
      <c r="K746" s="67" t="str">
        <f>IF(OR(TaxaJuros="",C746=""),"",100%-J746/D746)</f>
        <v/>
      </c>
    </row>
    <row r="747" spans="5:11" x14ac:dyDescent="0.25">
      <c r="E747" s="15" t="str">
        <f>IF(OR(DataRecebimento="",C747=""),"",C747-$F$7)</f>
        <v/>
      </c>
      <c r="F747" s="16" t="str">
        <f>IF(OR(TaxaJuros="",C747=""),"",-D747*E747*($F$8/30))</f>
        <v/>
      </c>
      <c r="G747" s="16" t="str">
        <f>IF(OR(TaxaJuros="",C747=""),"",-$F$9)</f>
        <v/>
      </c>
      <c r="H747" s="21" t="str">
        <f>IF(OR(TaxaJuros="",C747=""),"",IF(ComSemIOF=FALSE,0,IF(E747&gt;365,-(D747+F747)*365*IOFDiario,-(D747+F747)*E747*IOFDiario)))</f>
        <v/>
      </c>
      <c r="I747" s="21" t="str">
        <f>IF(OR(TaxaJuros="",C747=""),"",IF(ComSemIOF=FALSE,0,-(D747+F747)*IOFAdic))</f>
        <v/>
      </c>
      <c r="J747" s="16" t="str">
        <f>IF(OR(TaxaJuros="",C747=""),"",D747+SUM(F747:I747))</f>
        <v/>
      </c>
      <c r="K747" s="67" t="str">
        <f>IF(OR(TaxaJuros="",C747=""),"",100%-J747/D747)</f>
        <v/>
      </c>
    </row>
    <row r="748" spans="5:11" x14ac:dyDescent="0.25">
      <c r="E748" s="15" t="str">
        <f>IF(OR(DataRecebimento="",C748=""),"",C748-$F$7)</f>
        <v/>
      </c>
      <c r="F748" s="16" t="str">
        <f>IF(OR(TaxaJuros="",C748=""),"",-D748*E748*($F$8/30))</f>
        <v/>
      </c>
      <c r="G748" s="16" t="str">
        <f>IF(OR(TaxaJuros="",C748=""),"",-$F$9)</f>
        <v/>
      </c>
      <c r="H748" s="21" t="str">
        <f>IF(OR(TaxaJuros="",C748=""),"",IF(ComSemIOF=FALSE,0,IF(E748&gt;365,-(D748+F748)*365*IOFDiario,-(D748+F748)*E748*IOFDiario)))</f>
        <v/>
      </c>
      <c r="I748" s="21" t="str">
        <f>IF(OR(TaxaJuros="",C748=""),"",IF(ComSemIOF=FALSE,0,-(D748+F748)*IOFAdic))</f>
        <v/>
      </c>
      <c r="J748" s="16" t="str">
        <f>IF(OR(TaxaJuros="",C748=""),"",D748+SUM(F748:I748))</f>
        <v/>
      </c>
      <c r="K748" s="67" t="str">
        <f>IF(OR(TaxaJuros="",C748=""),"",100%-J748/D748)</f>
        <v/>
      </c>
    </row>
    <row r="749" spans="5:11" x14ac:dyDescent="0.25">
      <c r="E749" s="15" t="str">
        <f>IF(OR(DataRecebimento="",C749=""),"",C749-$F$7)</f>
        <v/>
      </c>
      <c r="F749" s="16" t="str">
        <f>IF(OR(TaxaJuros="",C749=""),"",-D749*E749*($F$8/30))</f>
        <v/>
      </c>
      <c r="G749" s="16" t="str">
        <f>IF(OR(TaxaJuros="",C749=""),"",-$F$9)</f>
        <v/>
      </c>
      <c r="H749" s="21" t="str">
        <f>IF(OR(TaxaJuros="",C749=""),"",IF(ComSemIOF=FALSE,0,IF(E749&gt;365,-(D749+F749)*365*IOFDiario,-(D749+F749)*E749*IOFDiario)))</f>
        <v/>
      </c>
      <c r="I749" s="21" t="str">
        <f>IF(OR(TaxaJuros="",C749=""),"",IF(ComSemIOF=FALSE,0,-(D749+F749)*IOFAdic))</f>
        <v/>
      </c>
      <c r="J749" s="16" t="str">
        <f>IF(OR(TaxaJuros="",C749=""),"",D749+SUM(F749:I749))</f>
        <v/>
      </c>
      <c r="K749" s="67" t="str">
        <f>IF(OR(TaxaJuros="",C749=""),"",100%-J749/D749)</f>
        <v/>
      </c>
    </row>
    <row r="750" spans="5:11" x14ac:dyDescent="0.25">
      <c r="E750" s="15" t="str">
        <f>IF(OR(DataRecebimento="",C750=""),"",C750-$F$7)</f>
        <v/>
      </c>
      <c r="F750" s="16" t="str">
        <f>IF(OR(TaxaJuros="",C750=""),"",-D750*E750*($F$8/30))</f>
        <v/>
      </c>
      <c r="G750" s="16" t="str">
        <f>IF(OR(TaxaJuros="",C750=""),"",-$F$9)</f>
        <v/>
      </c>
      <c r="H750" s="21" t="str">
        <f>IF(OR(TaxaJuros="",C750=""),"",IF(ComSemIOF=FALSE,0,IF(E750&gt;365,-(D750+F750)*365*IOFDiario,-(D750+F750)*E750*IOFDiario)))</f>
        <v/>
      </c>
      <c r="I750" s="21" t="str">
        <f>IF(OR(TaxaJuros="",C750=""),"",IF(ComSemIOF=FALSE,0,-(D750+F750)*IOFAdic))</f>
        <v/>
      </c>
      <c r="J750" s="16" t="str">
        <f>IF(OR(TaxaJuros="",C750=""),"",D750+SUM(F750:I750))</f>
        <v/>
      </c>
      <c r="K750" s="67" t="str">
        <f>IF(OR(TaxaJuros="",C750=""),"",100%-J750/D750)</f>
        <v/>
      </c>
    </row>
    <row r="751" spans="5:11" x14ac:dyDescent="0.25">
      <c r="E751" s="15" t="str">
        <f>IF(OR(DataRecebimento="",C751=""),"",C751-$F$7)</f>
        <v/>
      </c>
      <c r="F751" s="16" t="str">
        <f>IF(OR(TaxaJuros="",C751=""),"",-D751*E751*($F$8/30))</f>
        <v/>
      </c>
      <c r="G751" s="16" t="str">
        <f>IF(OR(TaxaJuros="",C751=""),"",-$F$9)</f>
        <v/>
      </c>
      <c r="H751" s="21" t="str">
        <f>IF(OR(TaxaJuros="",C751=""),"",IF(ComSemIOF=FALSE,0,IF(E751&gt;365,-(D751+F751)*365*IOFDiario,-(D751+F751)*E751*IOFDiario)))</f>
        <v/>
      </c>
      <c r="I751" s="21" t="str">
        <f>IF(OR(TaxaJuros="",C751=""),"",IF(ComSemIOF=FALSE,0,-(D751+F751)*IOFAdic))</f>
        <v/>
      </c>
      <c r="J751" s="16" t="str">
        <f>IF(OR(TaxaJuros="",C751=""),"",D751+SUM(F751:I751))</f>
        <v/>
      </c>
      <c r="K751" s="67" t="str">
        <f>IF(OR(TaxaJuros="",C751=""),"",100%-J751/D751)</f>
        <v/>
      </c>
    </row>
    <row r="752" spans="5:11" x14ac:dyDescent="0.25">
      <c r="E752" s="15" t="str">
        <f>IF(OR(DataRecebimento="",C752=""),"",C752-$F$7)</f>
        <v/>
      </c>
      <c r="F752" s="16" t="str">
        <f>IF(OR(TaxaJuros="",C752=""),"",-D752*E752*($F$8/30))</f>
        <v/>
      </c>
      <c r="G752" s="16" t="str">
        <f>IF(OR(TaxaJuros="",C752=""),"",-$F$9)</f>
        <v/>
      </c>
      <c r="H752" s="21" t="str">
        <f>IF(OR(TaxaJuros="",C752=""),"",IF(ComSemIOF=FALSE,0,IF(E752&gt;365,-(D752+F752)*365*IOFDiario,-(D752+F752)*E752*IOFDiario)))</f>
        <v/>
      </c>
      <c r="I752" s="21" t="str">
        <f>IF(OR(TaxaJuros="",C752=""),"",IF(ComSemIOF=FALSE,0,-(D752+F752)*IOFAdic))</f>
        <v/>
      </c>
      <c r="J752" s="16" t="str">
        <f>IF(OR(TaxaJuros="",C752=""),"",D752+SUM(F752:I752))</f>
        <v/>
      </c>
      <c r="K752" s="67" t="str">
        <f>IF(OR(TaxaJuros="",C752=""),"",100%-J752/D752)</f>
        <v/>
      </c>
    </row>
    <row r="753" spans="5:11" x14ac:dyDescent="0.25">
      <c r="E753" s="15" t="str">
        <f>IF(OR(DataRecebimento="",C753=""),"",C753-$F$7)</f>
        <v/>
      </c>
      <c r="F753" s="16" t="str">
        <f>IF(OR(TaxaJuros="",C753=""),"",-D753*E753*($F$8/30))</f>
        <v/>
      </c>
      <c r="G753" s="16" t="str">
        <f>IF(OR(TaxaJuros="",C753=""),"",-$F$9)</f>
        <v/>
      </c>
      <c r="H753" s="21" t="str">
        <f>IF(OR(TaxaJuros="",C753=""),"",IF(ComSemIOF=FALSE,0,IF(E753&gt;365,-(D753+F753)*365*IOFDiario,-(D753+F753)*E753*IOFDiario)))</f>
        <v/>
      </c>
      <c r="I753" s="21" t="str">
        <f>IF(OR(TaxaJuros="",C753=""),"",IF(ComSemIOF=FALSE,0,-(D753+F753)*IOFAdic))</f>
        <v/>
      </c>
      <c r="J753" s="16" t="str">
        <f>IF(OR(TaxaJuros="",C753=""),"",D753+SUM(F753:I753))</f>
        <v/>
      </c>
      <c r="K753" s="67" t="str">
        <f>IF(OR(TaxaJuros="",C753=""),"",100%-J753/D753)</f>
        <v/>
      </c>
    </row>
    <row r="754" spans="5:11" x14ac:dyDescent="0.25">
      <c r="E754" s="15" t="str">
        <f>IF(OR(DataRecebimento="",C754=""),"",C754-$F$7)</f>
        <v/>
      </c>
      <c r="F754" s="16" t="str">
        <f>IF(OR(TaxaJuros="",C754=""),"",-D754*E754*($F$8/30))</f>
        <v/>
      </c>
      <c r="G754" s="16" t="str">
        <f>IF(OR(TaxaJuros="",C754=""),"",-$F$9)</f>
        <v/>
      </c>
      <c r="H754" s="21" t="str">
        <f>IF(OR(TaxaJuros="",C754=""),"",IF(ComSemIOF=FALSE,0,IF(E754&gt;365,-(D754+F754)*365*IOFDiario,-(D754+F754)*E754*IOFDiario)))</f>
        <v/>
      </c>
      <c r="I754" s="21" t="str">
        <f>IF(OR(TaxaJuros="",C754=""),"",IF(ComSemIOF=FALSE,0,-(D754+F754)*IOFAdic))</f>
        <v/>
      </c>
      <c r="J754" s="16" t="str">
        <f>IF(OR(TaxaJuros="",C754=""),"",D754+SUM(F754:I754))</f>
        <v/>
      </c>
      <c r="K754" s="67" t="str">
        <f>IF(OR(TaxaJuros="",C754=""),"",100%-J754/D754)</f>
        <v/>
      </c>
    </row>
    <row r="755" spans="5:11" x14ac:dyDescent="0.25">
      <c r="E755" s="15" t="str">
        <f>IF(OR(DataRecebimento="",C755=""),"",C755-$F$7)</f>
        <v/>
      </c>
      <c r="F755" s="16" t="str">
        <f>IF(OR(TaxaJuros="",C755=""),"",-D755*E755*($F$8/30))</f>
        <v/>
      </c>
      <c r="G755" s="16" t="str">
        <f>IF(OR(TaxaJuros="",C755=""),"",-$F$9)</f>
        <v/>
      </c>
      <c r="H755" s="21" t="str">
        <f>IF(OR(TaxaJuros="",C755=""),"",IF(ComSemIOF=FALSE,0,IF(E755&gt;365,-(D755+F755)*365*IOFDiario,-(D755+F755)*E755*IOFDiario)))</f>
        <v/>
      </c>
      <c r="I755" s="21" t="str">
        <f>IF(OR(TaxaJuros="",C755=""),"",IF(ComSemIOF=FALSE,0,-(D755+F755)*IOFAdic))</f>
        <v/>
      </c>
      <c r="J755" s="16" t="str">
        <f>IF(OR(TaxaJuros="",C755=""),"",D755+SUM(F755:I755))</f>
        <v/>
      </c>
      <c r="K755" s="67" t="str">
        <f>IF(OR(TaxaJuros="",C755=""),"",100%-J755/D755)</f>
        <v/>
      </c>
    </row>
    <row r="756" spans="5:11" x14ac:dyDescent="0.25">
      <c r="E756" s="15" t="str">
        <f>IF(OR(DataRecebimento="",C756=""),"",C756-$F$7)</f>
        <v/>
      </c>
      <c r="F756" s="16" t="str">
        <f>IF(OR(TaxaJuros="",C756=""),"",-D756*E756*($F$8/30))</f>
        <v/>
      </c>
      <c r="G756" s="16" t="str">
        <f>IF(OR(TaxaJuros="",C756=""),"",-$F$9)</f>
        <v/>
      </c>
      <c r="H756" s="21" t="str">
        <f>IF(OR(TaxaJuros="",C756=""),"",IF(ComSemIOF=FALSE,0,IF(E756&gt;365,-(D756+F756)*365*IOFDiario,-(D756+F756)*E756*IOFDiario)))</f>
        <v/>
      </c>
      <c r="I756" s="21" t="str">
        <f>IF(OR(TaxaJuros="",C756=""),"",IF(ComSemIOF=FALSE,0,-(D756+F756)*IOFAdic))</f>
        <v/>
      </c>
      <c r="J756" s="16" t="str">
        <f>IF(OR(TaxaJuros="",C756=""),"",D756+SUM(F756:I756))</f>
        <v/>
      </c>
      <c r="K756" s="67" t="str">
        <f>IF(OR(TaxaJuros="",C756=""),"",100%-J756/D756)</f>
        <v/>
      </c>
    </row>
    <row r="757" spans="5:11" x14ac:dyDescent="0.25">
      <c r="E757" s="15" t="str">
        <f>IF(OR(DataRecebimento="",C757=""),"",C757-$F$7)</f>
        <v/>
      </c>
      <c r="F757" s="16" t="str">
        <f>IF(OR(TaxaJuros="",C757=""),"",-D757*E757*($F$8/30))</f>
        <v/>
      </c>
      <c r="G757" s="16" t="str">
        <f>IF(OR(TaxaJuros="",C757=""),"",-$F$9)</f>
        <v/>
      </c>
      <c r="H757" s="21" t="str">
        <f>IF(OR(TaxaJuros="",C757=""),"",IF(ComSemIOF=FALSE,0,IF(E757&gt;365,-(D757+F757)*365*IOFDiario,-(D757+F757)*E757*IOFDiario)))</f>
        <v/>
      </c>
      <c r="I757" s="21" t="str">
        <f>IF(OR(TaxaJuros="",C757=""),"",IF(ComSemIOF=FALSE,0,-(D757+F757)*IOFAdic))</f>
        <v/>
      </c>
      <c r="J757" s="16" t="str">
        <f>IF(OR(TaxaJuros="",C757=""),"",D757+SUM(F757:I757))</f>
        <v/>
      </c>
      <c r="K757" s="67" t="str">
        <f>IF(OR(TaxaJuros="",C757=""),"",100%-J757/D757)</f>
        <v/>
      </c>
    </row>
    <row r="758" spans="5:11" x14ac:dyDescent="0.25">
      <c r="E758" s="15" t="str">
        <f>IF(OR(DataRecebimento="",C758=""),"",C758-$F$7)</f>
        <v/>
      </c>
      <c r="F758" s="16" t="str">
        <f>IF(OR(TaxaJuros="",C758=""),"",-D758*E758*($F$8/30))</f>
        <v/>
      </c>
      <c r="G758" s="16" t="str">
        <f>IF(OR(TaxaJuros="",C758=""),"",-$F$9)</f>
        <v/>
      </c>
      <c r="H758" s="21" t="str">
        <f>IF(OR(TaxaJuros="",C758=""),"",IF(ComSemIOF=FALSE,0,IF(E758&gt;365,-(D758+F758)*365*IOFDiario,-(D758+F758)*E758*IOFDiario)))</f>
        <v/>
      </c>
      <c r="I758" s="21" t="str">
        <f>IF(OR(TaxaJuros="",C758=""),"",IF(ComSemIOF=FALSE,0,-(D758+F758)*IOFAdic))</f>
        <v/>
      </c>
      <c r="J758" s="16" t="str">
        <f>IF(OR(TaxaJuros="",C758=""),"",D758+SUM(F758:I758))</f>
        <v/>
      </c>
      <c r="K758" s="67" t="str">
        <f>IF(OR(TaxaJuros="",C758=""),"",100%-J758/D758)</f>
        <v/>
      </c>
    </row>
    <row r="759" spans="5:11" x14ac:dyDescent="0.25">
      <c r="E759" s="15" t="str">
        <f>IF(OR(DataRecebimento="",C759=""),"",C759-$F$7)</f>
        <v/>
      </c>
      <c r="F759" s="16" t="str">
        <f>IF(OR(TaxaJuros="",C759=""),"",-D759*E759*($F$8/30))</f>
        <v/>
      </c>
      <c r="G759" s="16" t="str">
        <f>IF(OR(TaxaJuros="",C759=""),"",-$F$9)</f>
        <v/>
      </c>
      <c r="H759" s="21" t="str">
        <f>IF(OR(TaxaJuros="",C759=""),"",IF(ComSemIOF=FALSE,0,IF(E759&gt;365,-(D759+F759)*365*IOFDiario,-(D759+F759)*E759*IOFDiario)))</f>
        <v/>
      </c>
      <c r="I759" s="21" t="str">
        <f>IF(OR(TaxaJuros="",C759=""),"",IF(ComSemIOF=FALSE,0,-(D759+F759)*IOFAdic))</f>
        <v/>
      </c>
      <c r="J759" s="16" t="str">
        <f>IF(OR(TaxaJuros="",C759=""),"",D759+SUM(F759:I759))</f>
        <v/>
      </c>
      <c r="K759" s="67" t="str">
        <f>IF(OR(TaxaJuros="",C759=""),"",100%-J759/D759)</f>
        <v/>
      </c>
    </row>
    <row r="760" spans="5:11" x14ac:dyDescent="0.25">
      <c r="E760" s="15" t="str">
        <f>IF(OR(DataRecebimento="",C760=""),"",C760-$F$7)</f>
        <v/>
      </c>
      <c r="F760" s="16" t="str">
        <f>IF(OR(TaxaJuros="",C760=""),"",-D760*E760*($F$8/30))</f>
        <v/>
      </c>
      <c r="G760" s="16" t="str">
        <f>IF(OR(TaxaJuros="",C760=""),"",-$F$9)</f>
        <v/>
      </c>
      <c r="H760" s="21" t="str">
        <f>IF(OR(TaxaJuros="",C760=""),"",IF(ComSemIOF=FALSE,0,IF(E760&gt;365,-(D760+F760)*365*IOFDiario,-(D760+F760)*E760*IOFDiario)))</f>
        <v/>
      </c>
      <c r="I760" s="21" t="str">
        <f>IF(OR(TaxaJuros="",C760=""),"",IF(ComSemIOF=FALSE,0,-(D760+F760)*IOFAdic))</f>
        <v/>
      </c>
      <c r="J760" s="16" t="str">
        <f>IF(OR(TaxaJuros="",C760=""),"",D760+SUM(F760:I760))</f>
        <v/>
      </c>
      <c r="K760" s="67" t="str">
        <f>IF(OR(TaxaJuros="",C760=""),"",100%-J760/D760)</f>
        <v/>
      </c>
    </row>
    <row r="761" spans="5:11" x14ac:dyDescent="0.25">
      <c r="E761" s="15" t="str">
        <f>IF(OR(DataRecebimento="",C761=""),"",C761-$F$7)</f>
        <v/>
      </c>
      <c r="F761" s="16" t="str">
        <f>IF(OR(TaxaJuros="",C761=""),"",-D761*E761*($F$8/30))</f>
        <v/>
      </c>
      <c r="G761" s="16" t="str">
        <f>IF(OR(TaxaJuros="",C761=""),"",-$F$9)</f>
        <v/>
      </c>
      <c r="H761" s="21" t="str">
        <f>IF(OR(TaxaJuros="",C761=""),"",IF(ComSemIOF=FALSE,0,IF(E761&gt;365,-(D761+F761)*365*IOFDiario,-(D761+F761)*E761*IOFDiario)))</f>
        <v/>
      </c>
      <c r="I761" s="21" t="str">
        <f>IF(OR(TaxaJuros="",C761=""),"",IF(ComSemIOF=FALSE,0,-(D761+F761)*IOFAdic))</f>
        <v/>
      </c>
      <c r="J761" s="16" t="str">
        <f>IF(OR(TaxaJuros="",C761=""),"",D761+SUM(F761:I761))</f>
        <v/>
      </c>
      <c r="K761" s="67" t="str">
        <f>IF(OR(TaxaJuros="",C761=""),"",100%-J761/D761)</f>
        <v/>
      </c>
    </row>
    <row r="762" spans="5:11" x14ac:dyDescent="0.25">
      <c r="E762" s="15" t="str">
        <f>IF(OR(DataRecebimento="",C762=""),"",C762-$F$7)</f>
        <v/>
      </c>
      <c r="F762" s="16" t="str">
        <f>IF(OR(TaxaJuros="",C762=""),"",-D762*E762*($F$8/30))</f>
        <v/>
      </c>
      <c r="G762" s="16" t="str">
        <f>IF(OR(TaxaJuros="",C762=""),"",-$F$9)</f>
        <v/>
      </c>
      <c r="H762" s="21" t="str">
        <f>IF(OR(TaxaJuros="",C762=""),"",IF(ComSemIOF=FALSE,0,IF(E762&gt;365,-(D762+F762)*365*IOFDiario,-(D762+F762)*E762*IOFDiario)))</f>
        <v/>
      </c>
      <c r="I762" s="21" t="str">
        <f>IF(OR(TaxaJuros="",C762=""),"",IF(ComSemIOF=FALSE,0,-(D762+F762)*IOFAdic))</f>
        <v/>
      </c>
      <c r="J762" s="16" t="str">
        <f>IF(OR(TaxaJuros="",C762=""),"",D762+SUM(F762:I762))</f>
        <v/>
      </c>
      <c r="K762" s="67" t="str">
        <f>IF(OR(TaxaJuros="",C762=""),"",100%-J762/D762)</f>
        <v/>
      </c>
    </row>
    <row r="763" spans="5:11" x14ac:dyDescent="0.25">
      <c r="E763" s="15" t="str">
        <f>IF(OR(DataRecebimento="",C763=""),"",C763-$F$7)</f>
        <v/>
      </c>
      <c r="F763" s="16" t="str">
        <f>IF(OR(TaxaJuros="",C763=""),"",-D763*E763*($F$8/30))</f>
        <v/>
      </c>
      <c r="G763" s="16" t="str">
        <f>IF(OR(TaxaJuros="",C763=""),"",-$F$9)</f>
        <v/>
      </c>
      <c r="H763" s="21" t="str">
        <f>IF(OR(TaxaJuros="",C763=""),"",IF(ComSemIOF=FALSE,0,IF(E763&gt;365,-(D763+F763)*365*IOFDiario,-(D763+F763)*E763*IOFDiario)))</f>
        <v/>
      </c>
      <c r="I763" s="21" t="str">
        <f>IF(OR(TaxaJuros="",C763=""),"",IF(ComSemIOF=FALSE,0,-(D763+F763)*IOFAdic))</f>
        <v/>
      </c>
      <c r="J763" s="16" t="str">
        <f>IF(OR(TaxaJuros="",C763=""),"",D763+SUM(F763:I763))</f>
        <v/>
      </c>
      <c r="K763" s="67" t="str">
        <f>IF(OR(TaxaJuros="",C763=""),"",100%-J763/D763)</f>
        <v/>
      </c>
    </row>
    <row r="764" spans="5:11" x14ac:dyDescent="0.25">
      <c r="E764" s="15" t="str">
        <f>IF(OR(DataRecebimento="",C764=""),"",C764-$F$7)</f>
        <v/>
      </c>
      <c r="F764" s="16" t="str">
        <f>IF(OR(TaxaJuros="",C764=""),"",-D764*E764*($F$8/30))</f>
        <v/>
      </c>
      <c r="G764" s="16" t="str">
        <f>IF(OR(TaxaJuros="",C764=""),"",-$F$9)</f>
        <v/>
      </c>
      <c r="H764" s="21" t="str">
        <f>IF(OR(TaxaJuros="",C764=""),"",IF(ComSemIOF=FALSE,0,IF(E764&gt;365,-(D764+F764)*365*IOFDiario,-(D764+F764)*E764*IOFDiario)))</f>
        <v/>
      </c>
      <c r="I764" s="21" t="str">
        <f>IF(OR(TaxaJuros="",C764=""),"",IF(ComSemIOF=FALSE,0,-(D764+F764)*IOFAdic))</f>
        <v/>
      </c>
      <c r="J764" s="16" t="str">
        <f>IF(OR(TaxaJuros="",C764=""),"",D764+SUM(F764:I764))</f>
        <v/>
      </c>
      <c r="K764" s="67" t="str">
        <f>IF(OR(TaxaJuros="",C764=""),"",100%-J764/D764)</f>
        <v/>
      </c>
    </row>
    <row r="765" spans="5:11" x14ac:dyDescent="0.25">
      <c r="E765" s="15" t="str">
        <f>IF(OR(DataRecebimento="",C765=""),"",C765-$F$7)</f>
        <v/>
      </c>
      <c r="F765" s="16" t="str">
        <f>IF(OR(TaxaJuros="",C765=""),"",-D765*E765*($F$8/30))</f>
        <v/>
      </c>
      <c r="G765" s="16" t="str">
        <f>IF(OR(TaxaJuros="",C765=""),"",-$F$9)</f>
        <v/>
      </c>
      <c r="H765" s="21" t="str">
        <f>IF(OR(TaxaJuros="",C765=""),"",IF(ComSemIOF=FALSE,0,IF(E765&gt;365,-(D765+F765)*365*IOFDiario,-(D765+F765)*E765*IOFDiario)))</f>
        <v/>
      </c>
      <c r="I765" s="21" t="str">
        <f>IF(OR(TaxaJuros="",C765=""),"",IF(ComSemIOF=FALSE,0,-(D765+F765)*IOFAdic))</f>
        <v/>
      </c>
      <c r="J765" s="16" t="str">
        <f>IF(OR(TaxaJuros="",C765=""),"",D765+SUM(F765:I765))</f>
        <v/>
      </c>
      <c r="K765" s="67" t="str">
        <f>IF(OR(TaxaJuros="",C765=""),"",100%-J765/D765)</f>
        <v/>
      </c>
    </row>
    <row r="766" spans="5:11" x14ac:dyDescent="0.25">
      <c r="E766" s="15" t="str">
        <f>IF(OR(DataRecebimento="",C766=""),"",C766-$F$7)</f>
        <v/>
      </c>
      <c r="F766" s="16" t="str">
        <f>IF(OR(TaxaJuros="",C766=""),"",-D766*E766*($F$8/30))</f>
        <v/>
      </c>
      <c r="G766" s="16" t="str">
        <f>IF(OR(TaxaJuros="",C766=""),"",-$F$9)</f>
        <v/>
      </c>
      <c r="H766" s="21" t="str">
        <f>IF(OR(TaxaJuros="",C766=""),"",IF(ComSemIOF=FALSE,0,IF(E766&gt;365,-(D766+F766)*365*IOFDiario,-(D766+F766)*E766*IOFDiario)))</f>
        <v/>
      </c>
      <c r="I766" s="21" t="str">
        <f>IF(OR(TaxaJuros="",C766=""),"",IF(ComSemIOF=FALSE,0,-(D766+F766)*IOFAdic))</f>
        <v/>
      </c>
      <c r="J766" s="16" t="str">
        <f>IF(OR(TaxaJuros="",C766=""),"",D766+SUM(F766:I766))</f>
        <v/>
      </c>
      <c r="K766" s="67" t="str">
        <f>IF(OR(TaxaJuros="",C766=""),"",100%-J766/D766)</f>
        <v/>
      </c>
    </row>
    <row r="767" spans="5:11" x14ac:dyDescent="0.25">
      <c r="E767" s="15" t="str">
        <f>IF(OR(DataRecebimento="",C767=""),"",C767-$F$7)</f>
        <v/>
      </c>
      <c r="F767" s="16" t="str">
        <f>IF(OR(TaxaJuros="",C767=""),"",-D767*E767*($F$8/30))</f>
        <v/>
      </c>
      <c r="G767" s="16" t="str">
        <f>IF(OR(TaxaJuros="",C767=""),"",-$F$9)</f>
        <v/>
      </c>
      <c r="H767" s="21" t="str">
        <f>IF(OR(TaxaJuros="",C767=""),"",IF(ComSemIOF=FALSE,0,IF(E767&gt;365,-(D767+F767)*365*IOFDiario,-(D767+F767)*E767*IOFDiario)))</f>
        <v/>
      </c>
      <c r="I767" s="21" t="str">
        <f>IF(OR(TaxaJuros="",C767=""),"",IF(ComSemIOF=FALSE,0,-(D767+F767)*IOFAdic))</f>
        <v/>
      </c>
      <c r="J767" s="16" t="str">
        <f>IF(OR(TaxaJuros="",C767=""),"",D767+SUM(F767:I767))</f>
        <v/>
      </c>
      <c r="K767" s="67" t="str">
        <f>IF(OR(TaxaJuros="",C767=""),"",100%-J767/D767)</f>
        <v/>
      </c>
    </row>
    <row r="768" spans="5:11" x14ac:dyDescent="0.25">
      <c r="E768" s="15" t="str">
        <f>IF(OR(DataRecebimento="",C768=""),"",C768-$F$7)</f>
        <v/>
      </c>
      <c r="F768" s="16" t="str">
        <f>IF(OR(TaxaJuros="",C768=""),"",-D768*E768*($F$8/30))</f>
        <v/>
      </c>
      <c r="G768" s="16" t="str">
        <f>IF(OR(TaxaJuros="",C768=""),"",-$F$9)</f>
        <v/>
      </c>
      <c r="H768" s="21" t="str">
        <f>IF(OR(TaxaJuros="",C768=""),"",IF(ComSemIOF=FALSE,0,IF(E768&gt;365,-(D768+F768)*365*IOFDiario,-(D768+F768)*E768*IOFDiario)))</f>
        <v/>
      </c>
      <c r="I768" s="21" t="str">
        <f>IF(OR(TaxaJuros="",C768=""),"",IF(ComSemIOF=FALSE,0,-(D768+F768)*IOFAdic))</f>
        <v/>
      </c>
      <c r="J768" s="16" t="str">
        <f>IF(OR(TaxaJuros="",C768=""),"",D768+SUM(F768:I768))</f>
        <v/>
      </c>
      <c r="K768" s="67" t="str">
        <f>IF(OR(TaxaJuros="",C768=""),"",100%-J768/D768)</f>
        <v/>
      </c>
    </row>
    <row r="769" spans="5:11" x14ac:dyDescent="0.25">
      <c r="E769" s="15" t="str">
        <f>IF(OR(DataRecebimento="",C769=""),"",C769-$F$7)</f>
        <v/>
      </c>
      <c r="F769" s="16" t="str">
        <f>IF(OR(TaxaJuros="",C769=""),"",-D769*E769*($F$8/30))</f>
        <v/>
      </c>
      <c r="G769" s="16" t="str">
        <f>IF(OR(TaxaJuros="",C769=""),"",-$F$9)</f>
        <v/>
      </c>
      <c r="H769" s="21" t="str">
        <f>IF(OR(TaxaJuros="",C769=""),"",IF(ComSemIOF=FALSE,0,IF(E769&gt;365,-(D769+F769)*365*IOFDiario,-(D769+F769)*E769*IOFDiario)))</f>
        <v/>
      </c>
      <c r="I769" s="21" t="str">
        <f>IF(OR(TaxaJuros="",C769=""),"",IF(ComSemIOF=FALSE,0,-(D769+F769)*IOFAdic))</f>
        <v/>
      </c>
      <c r="J769" s="16" t="str">
        <f>IF(OR(TaxaJuros="",C769=""),"",D769+SUM(F769:I769))</f>
        <v/>
      </c>
      <c r="K769" s="67" t="str">
        <f>IF(OR(TaxaJuros="",C769=""),"",100%-J769/D769)</f>
        <v/>
      </c>
    </row>
    <row r="770" spans="5:11" x14ac:dyDescent="0.25">
      <c r="E770" s="15" t="str">
        <f>IF(OR(DataRecebimento="",C770=""),"",C770-$F$7)</f>
        <v/>
      </c>
      <c r="F770" s="16" t="str">
        <f>IF(OR(TaxaJuros="",C770=""),"",-D770*E770*($F$8/30))</f>
        <v/>
      </c>
      <c r="G770" s="16" t="str">
        <f>IF(OR(TaxaJuros="",C770=""),"",-$F$9)</f>
        <v/>
      </c>
      <c r="H770" s="21" t="str">
        <f>IF(OR(TaxaJuros="",C770=""),"",IF(ComSemIOF=FALSE,0,IF(E770&gt;365,-(D770+F770)*365*IOFDiario,-(D770+F770)*E770*IOFDiario)))</f>
        <v/>
      </c>
      <c r="I770" s="21" t="str">
        <f>IF(OR(TaxaJuros="",C770=""),"",IF(ComSemIOF=FALSE,0,-(D770+F770)*IOFAdic))</f>
        <v/>
      </c>
      <c r="J770" s="16" t="str">
        <f>IF(OR(TaxaJuros="",C770=""),"",D770+SUM(F770:I770))</f>
        <v/>
      </c>
      <c r="K770" s="67" t="str">
        <f>IF(OR(TaxaJuros="",C770=""),"",100%-J770/D770)</f>
        <v/>
      </c>
    </row>
    <row r="771" spans="5:11" x14ac:dyDescent="0.25">
      <c r="E771" s="15" t="str">
        <f>IF(OR(DataRecebimento="",C771=""),"",C771-$F$7)</f>
        <v/>
      </c>
      <c r="F771" s="16" t="str">
        <f>IF(OR(TaxaJuros="",C771=""),"",-D771*E771*($F$8/30))</f>
        <v/>
      </c>
      <c r="G771" s="16" t="str">
        <f>IF(OR(TaxaJuros="",C771=""),"",-$F$9)</f>
        <v/>
      </c>
      <c r="H771" s="21" t="str">
        <f>IF(OR(TaxaJuros="",C771=""),"",IF(ComSemIOF=FALSE,0,IF(E771&gt;365,-(D771+F771)*365*IOFDiario,-(D771+F771)*E771*IOFDiario)))</f>
        <v/>
      </c>
      <c r="I771" s="21" t="str">
        <f>IF(OR(TaxaJuros="",C771=""),"",IF(ComSemIOF=FALSE,0,-(D771+F771)*IOFAdic))</f>
        <v/>
      </c>
      <c r="J771" s="16" t="str">
        <f>IF(OR(TaxaJuros="",C771=""),"",D771+SUM(F771:I771))</f>
        <v/>
      </c>
      <c r="K771" s="67" t="str">
        <f>IF(OR(TaxaJuros="",C771=""),"",100%-J771/D771)</f>
        <v/>
      </c>
    </row>
    <row r="772" spans="5:11" x14ac:dyDescent="0.25">
      <c r="E772" s="15" t="str">
        <f>IF(OR(DataRecebimento="",C772=""),"",C772-$F$7)</f>
        <v/>
      </c>
      <c r="F772" s="16" t="str">
        <f>IF(OR(TaxaJuros="",C772=""),"",-D772*E772*($F$8/30))</f>
        <v/>
      </c>
      <c r="G772" s="16" t="str">
        <f>IF(OR(TaxaJuros="",C772=""),"",-$F$9)</f>
        <v/>
      </c>
      <c r="H772" s="21" t="str">
        <f>IF(OR(TaxaJuros="",C772=""),"",IF(ComSemIOF=FALSE,0,IF(E772&gt;365,-(D772+F772)*365*IOFDiario,-(D772+F772)*E772*IOFDiario)))</f>
        <v/>
      </c>
      <c r="I772" s="21" t="str">
        <f>IF(OR(TaxaJuros="",C772=""),"",IF(ComSemIOF=FALSE,0,-(D772+F772)*IOFAdic))</f>
        <v/>
      </c>
      <c r="J772" s="16" t="str">
        <f>IF(OR(TaxaJuros="",C772=""),"",D772+SUM(F772:I772))</f>
        <v/>
      </c>
      <c r="K772" s="67" t="str">
        <f>IF(OR(TaxaJuros="",C772=""),"",100%-J772/D772)</f>
        <v/>
      </c>
    </row>
    <row r="773" spans="5:11" x14ac:dyDescent="0.25">
      <c r="E773" s="15" t="str">
        <f>IF(OR(DataRecebimento="",C773=""),"",C773-$F$7)</f>
        <v/>
      </c>
      <c r="F773" s="16" t="str">
        <f>IF(OR(TaxaJuros="",C773=""),"",-D773*E773*($F$8/30))</f>
        <v/>
      </c>
      <c r="G773" s="16" t="str">
        <f>IF(OR(TaxaJuros="",C773=""),"",-$F$9)</f>
        <v/>
      </c>
      <c r="H773" s="21" t="str">
        <f>IF(OR(TaxaJuros="",C773=""),"",IF(ComSemIOF=FALSE,0,IF(E773&gt;365,-(D773+F773)*365*IOFDiario,-(D773+F773)*E773*IOFDiario)))</f>
        <v/>
      </c>
      <c r="I773" s="21" t="str">
        <f>IF(OR(TaxaJuros="",C773=""),"",IF(ComSemIOF=FALSE,0,-(D773+F773)*IOFAdic))</f>
        <v/>
      </c>
      <c r="J773" s="16" t="str">
        <f>IF(OR(TaxaJuros="",C773=""),"",D773+SUM(F773:I773))</f>
        <v/>
      </c>
      <c r="K773" s="67" t="str">
        <f>IF(OR(TaxaJuros="",C773=""),"",100%-J773/D773)</f>
        <v/>
      </c>
    </row>
    <row r="774" spans="5:11" x14ac:dyDescent="0.25">
      <c r="E774" s="15" t="str">
        <f>IF(OR(DataRecebimento="",C774=""),"",C774-$F$7)</f>
        <v/>
      </c>
      <c r="F774" s="16" t="str">
        <f>IF(OR(TaxaJuros="",C774=""),"",-D774*E774*($F$8/30))</f>
        <v/>
      </c>
      <c r="G774" s="16" t="str">
        <f>IF(OR(TaxaJuros="",C774=""),"",-$F$9)</f>
        <v/>
      </c>
      <c r="H774" s="21" t="str">
        <f>IF(OR(TaxaJuros="",C774=""),"",IF(ComSemIOF=FALSE,0,IF(E774&gt;365,-(D774+F774)*365*IOFDiario,-(D774+F774)*E774*IOFDiario)))</f>
        <v/>
      </c>
      <c r="I774" s="21" t="str">
        <f>IF(OR(TaxaJuros="",C774=""),"",IF(ComSemIOF=FALSE,0,-(D774+F774)*IOFAdic))</f>
        <v/>
      </c>
      <c r="J774" s="16" t="str">
        <f>IF(OR(TaxaJuros="",C774=""),"",D774+SUM(F774:I774))</f>
        <v/>
      </c>
      <c r="K774" s="67" t="str">
        <f>IF(OR(TaxaJuros="",C774=""),"",100%-J774/D774)</f>
        <v/>
      </c>
    </row>
    <row r="775" spans="5:11" x14ac:dyDescent="0.25">
      <c r="E775" s="15" t="str">
        <f>IF(OR(DataRecebimento="",C775=""),"",C775-$F$7)</f>
        <v/>
      </c>
      <c r="F775" s="16" t="str">
        <f>IF(OR(TaxaJuros="",C775=""),"",-D775*E775*($F$8/30))</f>
        <v/>
      </c>
      <c r="G775" s="16" t="str">
        <f>IF(OR(TaxaJuros="",C775=""),"",-$F$9)</f>
        <v/>
      </c>
      <c r="H775" s="21" t="str">
        <f>IF(OR(TaxaJuros="",C775=""),"",IF(ComSemIOF=FALSE,0,IF(E775&gt;365,-(D775+F775)*365*IOFDiario,-(D775+F775)*E775*IOFDiario)))</f>
        <v/>
      </c>
      <c r="I775" s="21" t="str">
        <f>IF(OR(TaxaJuros="",C775=""),"",IF(ComSemIOF=FALSE,0,-(D775+F775)*IOFAdic))</f>
        <v/>
      </c>
      <c r="J775" s="16" t="str">
        <f>IF(OR(TaxaJuros="",C775=""),"",D775+SUM(F775:I775))</f>
        <v/>
      </c>
      <c r="K775" s="67" t="str">
        <f>IF(OR(TaxaJuros="",C775=""),"",100%-J775/D775)</f>
        <v/>
      </c>
    </row>
    <row r="776" spans="5:11" x14ac:dyDescent="0.25">
      <c r="E776" s="15" t="str">
        <f>IF(OR(DataRecebimento="",C776=""),"",C776-$F$7)</f>
        <v/>
      </c>
      <c r="F776" s="16" t="str">
        <f>IF(OR(TaxaJuros="",C776=""),"",-D776*E776*($F$8/30))</f>
        <v/>
      </c>
      <c r="G776" s="16" t="str">
        <f>IF(OR(TaxaJuros="",C776=""),"",-$F$9)</f>
        <v/>
      </c>
      <c r="H776" s="21" t="str">
        <f>IF(OR(TaxaJuros="",C776=""),"",IF(ComSemIOF=FALSE,0,IF(E776&gt;365,-(D776+F776)*365*IOFDiario,-(D776+F776)*E776*IOFDiario)))</f>
        <v/>
      </c>
      <c r="I776" s="21" t="str">
        <f>IF(OR(TaxaJuros="",C776=""),"",IF(ComSemIOF=FALSE,0,-(D776+F776)*IOFAdic))</f>
        <v/>
      </c>
      <c r="J776" s="16" t="str">
        <f>IF(OR(TaxaJuros="",C776=""),"",D776+SUM(F776:I776))</f>
        <v/>
      </c>
      <c r="K776" s="67" t="str">
        <f>IF(OR(TaxaJuros="",C776=""),"",100%-J776/D776)</f>
        <v/>
      </c>
    </row>
    <row r="777" spans="5:11" x14ac:dyDescent="0.25">
      <c r="E777" s="15" t="str">
        <f>IF(OR(DataRecebimento="",C777=""),"",C777-$F$7)</f>
        <v/>
      </c>
      <c r="F777" s="16" t="str">
        <f>IF(OR(TaxaJuros="",C777=""),"",-D777*E777*($F$8/30))</f>
        <v/>
      </c>
      <c r="G777" s="16" t="str">
        <f>IF(OR(TaxaJuros="",C777=""),"",-$F$9)</f>
        <v/>
      </c>
      <c r="H777" s="21" t="str">
        <f>IF(OR(TaxaJuros="",C777=""),"",IF(ComSemIOF=FALSE,0,IF(E777&gt;365,-(D777+F777)*365*IOFDiario,-(D777+F777)*E777*IOFDiario)))</f>
        <v/>
      </c>
      <c r="I777" s="21" t="str">
        <f>IF(OR(TaxaJuros="",C777=""),"",IF(ComSemIOF=FALSE,0,-(D777+F777)*IOFAdic))</f>
        <v/>
      </c>
      <c r="J777" s="16" t="str">
        <f>IF(OR(TaxaJuros="",C777=""),"",D777+SUM(F777:I777))</f>
        <v/>
      </c>
      <c r="K777" s="67" t="str">
        <f>IF(OR(TaxaJuros="",C777=""),"",100%-J777/D777)</f>
        <v/>
      </c>
    </row>
    <row r="778" spans="5:11" x14ac:dyDescent="0.25">
      <c r="E778" s="15" t="str">
        <f>IF(OR(DataRecebimento="",C778=""),"",C778-$F$7)</f>
        <v/>
      </c>
      <c r="F778" s="16" t="str">
        <f>IF(OR(TaxaJuros="",C778=""),"",-D778*E778*($F$8/30))</f>
        <v/>
      </c>
      <c r="G778" s="16" t="str">
        <f>IF(OR(TaxaJuros="",C778=""),"",-$F$9)</f>
        <v/>
      </c>
      <c r="H778" s="21" t="str">
        <f>IF(OR(TaxaJuros="",C778=""),"",IF(ComSemIOF=FALSE,0,IF(E778&gt;365,-(D778+F778)*365*IOFDiario,-(D778+F778)*E778*IOFDiario)))</f>
        <v/>
      </c>
      <c r="I778" s="21" t="str">
        <f>IF(OR(TaxaJuros="",C778=""),"",IF(ComSemIOF=FALSE,0,-(D778+F778)*IOFAdic))</f>
        <v/>
      </c>
      <c r="J778" s="16" t="str">
        <f>IF(OR(TaxaJuros="",C778=""),"",D778+SUM(F778:I778))</f>
        <v/>
      </c>
      <c r="K778" s="67" t="str">
        <f>IF(OR(TaxaJuros="",C778=""),"",100%-J778/D778)</f>
        <v/>
      </c>
    </row>
    <row r="779" spans="5:11" x14ac:dyDescent="0.25">
      <c r="E779" s="15" t="str">
        <f>IF(OR(DataRecebimento="",C779=""),"",C779-$F$7)</f>
        <v/>
      </c>
      <c r="F779" s="16" t="str">
        <f>IF(OR(TaxaJuros="",C779=""),"",-D779*E779*($F$8/30))</f>
        <v/>
      </c>
      <c r="G779" s="16" t="str">
        <f>IF(OR(TaxaJuros="",C779=""),"",-$F$9)</f>
        <v/>
      </c>
      <c r="H779" s="21" t="str">
        <f>IF(OR(TaxaJuros="",C779=""),"",IF(ComSemIOF=FALSE,0,IF(E779&gt;365,-(D779+F779)*365*IOFDiario,-(D779+F779)*E779*IOFDiario)))</f>
        <v/>
      </c>
      <c r="I779" s="21" t="str">
        <f>IF(OR(TaxaJuros="",C779=""),"",IF(ComSemIOF=FALSE,0,-(D779+F779)*IOFAdic))</f>
        <v/>
      </c>
      <c r="J779" s="16" t="str">
        <f>IF(OR(TaxaJuros="",C779=""),"",D779+SUM(F779:I779))</f>
        <v/>
      </c>
      <c r="K779" s="67" t="str">
        <f>IF(OR(TaxaJuros="",C779=""),"",100%-J779/D779)</f>
        <v/>
      </c>
    </row>
    <row r="780" spans="5:11" x14ac:dyDescent="0.25">
      <c r="E780" s="15" t="str">
        <f>IF(OR(DataRecebimento="",C780=""),"",C780-$F$7)</f>
        <v/>
      </c>
      <c r="F780" s="16" t="str">
        <f>IF(OR(TaxaJuros="",C780=""),"",-D780*E780*($F$8/30))</f>
        <v/>
      </c>
      <c r="G780" s="16" t="str">
        <f>IF(OR(TaxaJuros="",C780=""),"",-$F$9)</f>
        <v/>
      </c>
      <c r="H780" s="21" t="str">
        <f>IF(OR(TaxaJuros="",C780=""),"",IF(ComSemIOF=FALSE,0,IF(E780&gt;365,-(D780+F780)*365*IOFDiario,-(D780+F780)*E780*IOFDiario)))</f>
        <v/>
      </c>
      <c r="I780" s="21" t="str">
        <f>IF(OR(TaxaJuros="",C780=""),"",IF(ComSemIOF=FALSE,0,-(D780+F780)*IOFAdic))</f>
        <v/>
      </c>
      <c r="J780" s="16" t="str">
        <f>IF(OR(TaxaJuros="",C780=""),"",D780+SUM(F780:I780))</f>
        <v/>
      </c>
      <c r="K780" s="67" t="str">
        <f>IF(OR(TaxaJuros="",C780=""),"",100%-J780/D780)</f>
        <v/>
      </c>
    </row>
    <row r="781" spans="5:11" x14ac:dyDescent="0.25">
      <c r="E781" s="15" t="str">
        <f>IF(OR(DataRecebimento="",C781=""),"",C781-$F$7)</f>
        <v/>
      </c>
      <c r="F781" s="16" t="str">
        <f>IF(OR(TaxaJuros="",C781=""),"",-D781*E781*($F$8/30))</f>
        <v/>
      </c>
      <c r="G781" s="16" t="str">
        <f>IF(OR(TaxaJuros="",C781=""),"",-$F$9)</f>
        <v/>
      </c>
      <c r="H781" s="21" t="str">
        <f>IF(OR(TaxaJuros="",C781=""),"",IF(ComSemIOF=FALSE,0,IF(E781&gt;365,-(D781+F781)*365*IOFDiario,-(D781+F781)*E781*IOFDiario)))</f>
        <v/>
      </c>
      <c r="I781" s="21" t="str">
        <f>IF(OR(TaxaJuros="",C781=""),"",IF(ComSemIOF=FALSE,0,-(D781+F781)*IOFAdic))</f>
        <v/>
      </c>
      <c r="J781" s="16" t="str">
        <f>IF(OR(TaxaJuros="",C781=""),"",D781+SUM(F781:I781))</f>
        <v/>
      </c>
      <c r="K781" s="67" t="str">
        <f>IF(OR(TaxaJuros="",C781=""),"",100%-J781/D781)</f>
        <v/>
      </c>
    </row>
    <row r="782" spans="5:11" x14ac:dyDescent="0.25">
      <c r="E782" s="15" t="str">
        <f>IF(OR(DataRecebimento="",C782=""),"",C782-$F$7)</f>
        <v/>
      </c>
      <c r="F782" s="16" t="str">
        <f>IF(OR(TaxaJuros="",C782=""),"",-D782*E782*($F$8/30))</f>
        <v/>
      </c>
      <c r="G782" s="16" t="str">
        <f>IF(OR(TaxaJuros="",C782=""),"",-$F$9)</f>
        <v/>
      </c>
      <c r="H782" s="21" t="str">
        <f>IF(OR(TaxaJuros="",C782=""),"",IF(ComSemIOF=FALSE,0,IF(E782&gt;365,-(D782+F782)*365*IOFDiario,-(D782+F782)*E782*IOFDiario)))</f>
        <v/>
      </c>
      <c r="I782" s="21" t="str">
        <f>IF(OR(TaxaJuros="",C782=""),"",IF(ComSemIOF=FALSE,0,-(D782+F782)*IOFAdic))</f>
        <v/>
      </c>
      <c r="J782" s="16" t="str">
        <f>IF(OR(TaxaJuros="",C782=""),"",D782+SUM(F782:I782))</f>
        <v/>
      </c>
      <c r="K782" s="67" t="str">
        <f>IF(OR(TaxaJuros="",C782=""),"",100%-J782/D782)</f>
        <v/>
      </c>
    </row>
    <row r="783" spans="5:11" x14ac:dyDescent="0.25">
      <c r="E783" s="15" t="str">
        <f>IF(OR(DataRecebimento="",C783=""),"",C783-$F$7)</f>
        <v/>
      </c>
      <c r="F783" s="16" t="str">
        <f>IF(OR(TaxaJuros="",C783=""),"",-D783*E783*($F$8/30))</f>
        <v/>
      </c>
      <c r="G783" s="16" t="str">
        <f>IF(OR(TaxaJuros="",C783=""),"",-$F$9)</f>
        <v/>
      </c>
      <c r="H783" s="21" t="str">
        <f>IF(OR(TaxaJuros="",C783=""),"",IF(ComSemIOF=FALSE,0,IF(E783&gt;365,-(D783+F783)*365*IOFDiario,-(D783+F783)*E783*IOFDiario)))</f>
        <v/>
      </c>
      <c r="I783" s="21" t="str">
        <f>IF(OR(TaxaJuros="",C783=""),"",IF(ComSemIOF=FALSE,0,-(D783+F783)*IOFAdic))</f>
        <v/>
      </c>
      <c r="J783" s="16" t="str">
        <f>IF(OR(TaxaJuros="",C783=""),"",D783+SUM(F783:I783))</f>
        <v/>
      </c>
      <c r="K783" s="67" t="str">
        <f>IF(OR(TaxaJuros="",C783=""),"",100%-J783/D783)</f>
        <v/>
      </c>
    </row>
    <row r="784" spans="5:11" x14ac:dyDescent="0.25">
      <c r="E784" s="15" t="str">
        <f>IF(OR(DataRecebimento="",C784=""),"",C784-$F$7)</f>
        <v/>
      </c>
      <c r="F784" s="16" t="str">
        <f>IF(OR(TaxaJuros="",C784=""),"",-D784*E784*($F$8/30))</f>
        <v/>
      </c>
      <c r="G784" s="16" t="str">
        <f>IF(OR(TaxaJuros="",C784=""),"",-$F$9)</f>
        <v/>
      </c>
      <c r="H784" s="21" t="str">
        <f>IF(OR(TaxaJuros="",C784=""),"",IF(ComSemIOF=FALSE,0,IF(E784&gt;365,-(D784+F784)*365*IOFDiario,-(D784+F784)*E784*IOFDiario)))</f>
        <v/>
      </c>
      <c r="I784" s="21" t="str">
        <f>IF(OR(TaxaJuros="",C784=""),"",IF(ComSemIOF=FALSE,0,-(D784+F784)*IOFAdic))</f>
        <v/>
      </c>
      <c r="J784" s="16" t="str">
        <f>IF(OR(TaxaJuros="",C784=""),"",D784+SUM(F784:I784))</f>
        <v/>
      </c>
      <c r="K784" s="67" t="str">
        <f>IF(OR(TaxaJuros="",C784=""),"",100%-J784/D784)</f>
        <v/>
      </c>
    </row>
    <row r="785" spans="5:11" x14ac:dyDescent="0.25">
      <c r="E785" s="15" t="str">
        <f>IF(OR(DataRecebimento="",C785=""),"",C785-$F$7)</f>
        <v/>
      </c>
      <c r="F785" s="16" t="str">
        <f>IF(OR(TaxaJuros="",C785=""),"",-D785*E785*($F$8/30))</f>
        <v/>
      </c>
      <c r="G785" s="16" t="str">
        <f>IF(OR(TaxaJuros="",C785=""),"",-$F$9)</f>
        <v/>
      </c>
      <c r="H785" s="21" t="str">
        <f>IF(OR(TaxaJuros="",C785=""),"",IF(ComSemIOF=FALSE,0,IF(E785&gt;365,-(D785+F785)*365*IOFDiario,-(D785+F785)*E785*IOFDiario)))</f>
        <v/>
      </c>
      <c r="I785" s="21" t="str">
        <f>IF(OR(TaxaJuros="",C785=""),"",IF(ComSemIOF=FALSE,0,-(D785+F785)*IOFAdic))</f>
        <v/>
      </c>
      <c r="J785" s="16" t="str">
        <f>IF(OR(TaxaJuros="",C785=""),"",D785+SUM(F785:I785))</f>
        <v/>
      </c>
      <c r="K785" s="67" t="str">
        <f>IF(OR(TaxaJuros="",C785=""),"",100%-J785/D785)</f>
        <v/>
      </c>
    </row>
    <row r="786" spans="5:11" x14ac:dyDescent="0.25">
      <c r="E786" s="15" t="str">
        <f>IF(OR(DataRecebimento="",C786=""),"",C786-$F$7)</f>
        <v/>
      </c>
      <c r="F786" s="16" t="str">
        <f>IF(OR(TaxaJuros="",C786=""),"",-D786*E786*($F$8/30))</f>
        <v/>
      </c>
      <c r="G786" s="16" t="str">
        <f>IF(OR(TaxaJuros="",C786=""),"",-$F$9)</f>
        <v/>
      </c>
      <c r="H786" s="21" t="str">
        <f>IF(OR(TaxaJuros="",C786=""),"",IF(ComSemIOF=FALSE,0,IF(E786&gt;365,-(D786+F786)*365*IOFDiario,-(D786+F786)*E786*IOFDiario)))</f>
        <v/>
      </c>
      <c r="I786" s="21" t="str">
        <f>IF(OR(TaxaJuros="",C786=""),"",IF(ComSemIOF=FALSE,0,-(D786+F786)*IOFAdic))</f>
        <v/>
      </c>
      <c r="J786" s="16" t="str">
        <f>IF(OR(TaxaJuros="",C786=""),"",D786+SUM(F786:I786))</f>
        <v/>
      </c>
      <c r="K786" s="67" t="str">
        <f>IF(OR(TaxaJuros="",C786=""),"",100%-J786/D786)</f>
        <v/>
      </c>
    </row>
    <row r="787" spans="5:11" x14ac:dyDescent="0.25">
      <c r="E787" s="15" t="str">
        <f>IF(OR(DataRecebimento="",C787=""),"",C787-$F$7)</f>
        <v/>
      </c>
      <c r="F787" s="16" t="str">
        <f>IF(OR(TaxaJuros="",C787=""),"",-D787*E787*($F$8/30))</f>
        <v/>
      </c>
      <c r="G787" s="16" t="str">
        <f>IF(OR(TaxaJuros="",C787=""),"",-$F$9)</f>
        <v/>
      </c>
      <c r="H787" s="21" t="str">
        <f>IF(OR(TaxaJuros="",C787=""),"",IF(ComSemIOF=FALSE,0,IF(E787&gt;365,-(D787+F787)*365*IOFDiario,-(D787+F787)*E787*IOFDiario)))</f>
        <v/>
      </c>
      <c r="I787" s="21" t="str">
        <f>IF(OR(TaxaJuros="",C787=""),"",IF(ComSemIOF=FALSE,0,-(D787+F787)*IOFAdic))</f>
        <v/>
      </c>
      <c r="J787" s="16" t="str">
        <f>IF(OR(TaxaJuros="",C787=""),"",D787+SUM(F787:I787))</f>
        <v/>
      </c>
      <c r="K787" s="67" t="str">
        <f>IF(OR(TaxaJuros="",C787=""),"",100%-J787/D787)</f>
        <v/>
      </c>
    </row>
    <row r="788" spans="5:11" x14ac:dyDescent="0.25">
      <c r="E788" s="15" t="str">
        <f>IF(OR(DataRecebimento="",C788=""),"",C788-$F$7)</f>
        <v/>
      </c>
      <c r="F788" s="16" t="str">
        <f>IF(OR(TaxaJuros="",C788=""),"",-D788*E788*($F$8/30))</f>
        <v/>
      </c>
      <c r="G788" s="16" t="str">
        <f>IF(OR(TaxaJuros="",C788=""),"",-$F$9)</f>
        <v/>
      </c>
      <c r="H788" s="21" t="str">
        <f>IF(OR(TaxaJuros="",C788=""),"",IF(ComSemIOF=FALSE,0,IF(E788&gt;365,-(D788+F788)*365*IOFDiario,-(D788+F788)*E788*IOFDiario)))</f>
        <v/>
      </c>
      <c r="I788" s="21" t="str">
        <f>IF(OR(TaxaJuros="",C788=""),"",IF(ComSemIOF=FALSE,0,-(D788+F788)*IOFAdic))</f>
        <v/>
      </c>
      <c r="J788" s="16" t="str">
        <f>IF(OR(TaxaJuros="",C788=""),"",D788+SUM(F788:I788))</f>
        <v/>
      </c>
      <c r="K788" s="67" t="str">
        <f>IF(OR(TaxaJuros="",C788=""),"",100%-J788/D788)</f>
        <v/>
      </c>
    </row>
    <row r="789" spans="5:11" x14ac:dyDescent="0.25">
      <c r="E789" s="15" t="str">
        <f>IF(OR(DataRecebimento="",C789=""),"",C789-$F$7)</f>
        <v/>
      </c>
      <c r="F789" s="16" t="str">
        <f>IF(OR(TaxaJuros="",C789=""),"",-D789*E789*($F$8/30))</f>
        <v/>
      </c>
      <c r="G789" s="16" t="str">
        <f>IF(OR(TaxaJuros="",C789=""),"",-$F$9)</f>
        <v/>
      </c>
      <c r="H789" s="21" t="str">
        <f>IF(OR(TaxaJuros="",C789=""),"",IF(ComSemIOF=FALSE,0,IF(E789&gt;365,-(D789+F789)*365*IOFDiario,-(D789+F789)*E789*IOFDiario)))</f>
        <v/>
      </c>
      <c r="I789" s="21" t="str">
        <f>IF(OR(TaxaJuros="",C789=""),"",IF(ComSemIOF=FALSE,0,-(D789+F789)*IOFAdic))</f>
        <v/>
      </c>
      <c r="J789" s="16" t="str">
        <f>IF(OR(TaxaJuros="",C789=""),"",D789+SUM(F789:I789))</f>
        <v/>
      </c>
      <c r="K789" s="67" t="str">
        <f>IF(OR(TaxaJuros="",C789=""),"",100%-J789/D789)</f>
        <v/>
      </c>
    </row>
    <row r="790" spans="5:11" x14ac:dyDescent="0.25">
      <c r="E790" s="15" t="str">
        <f>IF(OR(DataRecebimento="",C790=""),"",C790-$F$7)</f>
        <v/>
      </c>
      <c r="F790" s="16" t="str">
        <f>IF(OR(TaxaJuros="",C790=""),"",-D790*E790*($F$8/30))</f>
        <v/>
      </c>
      <c r="G790" s="16" t="str">
        <f>IF(OR(TaxaJuros="",C790=""),"",-$F$9)</f>
        <v/>
      </c>
      <c r="H790" s="21" t="str">
        <f>IF(OR(TaxaJuros="",C790=""),"",IF(ComSemIOF=FALSE,0,IF(E790&gt;365,-(D790+F790)*365*IOFDiario,-(D790+F790)*E790*IOFDiario)))</f>
        <v/>
      </c>
      <c r="I790" s="21" t="str">
        <f>IF(OR(TaxaJuros="",C790=""),"",IF(ComSemIOF=FALSE,0,-(D790+F790)*IOFAdic))</f>
        <v/>
      </c>
      <c r="J790" s="16" t="str">
        <f>IF(OR(TaxaJuros="",C790=""),"",D790+SUM(F790:I790))</f>
        <v/>
      </c>
      <c r="K790" s="67" t="str">
        <f>IF(OR(TaxaJuros="",C790=""),"",100%-J790/D790)</f>
        <v/>
      </c>
    </row>
    <row r="791" spans="5:11" x14ac:dyDescent="0.25">
      <c r="E791" s="15" t="str">
        <f>IF(OR(DataRecebimento="",C791=""),"",C791-$F$7)</f>
        <v/>
      </c>
      <c r="F791" s="16" t="str">
        <f>IF(OR(TaxaJuros="",C791=""),"",-D791*E791*($F$8/30))</f>
        <v/>
      </c>
      <c r="G791" s="16" t="str">
        <f>IF(OR(TaxaJuros="",C791=""),"",-$F$9)</f>
        <v/>
      </c>
      <c r="H791" s="21" t="str">
        <f>IF(OR(TaxaJuros="",C791=""),"",IF(ComSemIOF=FALSE,0,IF(E791&gt;365,-(D791+F791)*365*IOFDiario,-(D791+F791)*E791*IOFDiario)))</f>
        <v/>
      </c>
      <c r="I791" s="21" t="str">
        <f>IF(OR(TaxaJuros="",C791=""),"",IF(ComSemIOF=FALSE,0,-(D791+F791)*IOFAdic))</f>
        <v/>
      </c>
      <c r="J791" s="16" t="str">
        <f>IF(OR(TaxaJuros="",C791=""),"",D791+SUM(F791:I791))</f>
        <v/>
      </c>
      <c r="K791" s="67" t="str">
        <f>IF(OR(TaxaJuros="",C791=""),"",100%-J791/D791)</f>
        <v/>
      </c>
    </row>
    <row r="792" spans="5:11" x14ac:dyDescent="0.25">
      <c r="E792" s="15" t="str">
        <f>IF(OR(DataRecebimento="",C792=""),"",C792-$F$7)</f>
        <v/>
      </c>
      <c r="F792" s="16" t="str">
        <f>IF(OR(TaxaJuros="",C792=""),"",-D792*E792*($F$8/30))</f>
        <v/>
      </c>
      <c r="G792" s="16" t="str">
        <f>IF(OR(TaxaJuros="",C792=""),"",-$F$9)</f>
        <v/>
      </c>
      <c r="H792" s="21" t="str">
        <f>IF(OR(TaxaJuros="",C792=""),"",IF(ComSemIOF=FALSE,0,IF(E792&gt;365,-(D792+F792)*365*IOFDiario,-(D792+F792)*E792*IOFDiario)))</f>
        <v/>
      </c>
      <c r="I792" s="21" t="str">
        <f>IF(OR(TaxaJuros="",C792=""),"",IF(ComSemIOF=FALSE,0,-(D792+F792)*IOFAdic))</f>
        <v/>
      </c>
      <c r="J792" s="16" t="str">
        <f>IF(OR(TaxaJuros="",C792=""),"",D792+SUM(F792:I792))</f>
        <v/>
      </c>
      <c r="K792" s="67" t="str">
        <f>IF(OR(TaxaJuros="",C792=""),"",100%-J792/D792)</f>
        <v/>
      </c>
    </row>
    <row r="793" spans="5:11" x14ac:dyDescent="0.25">
      <c r="E793" s="15" t="str">
        <f>IF(OR(DataRecebimento="",C793=""),"",C793-$F$7)</f>
        <v/>
      </c>
      <c r="F793" s="16" t="str">
        <f>IF(OR(TaxaJuros="",C793=""),"",-D793*E793*($F$8/30))</f>
        <v/>
      </c>
      <c r="G793" s="16" t="str">
        <f>IF(OR(TaxaJuros="",C793=""),"",-$F$9)</f>
        <v/>
      </c>
      <c r="H793" s="21" t="str">
        <f>IF(OR(TaxaJuros="",C793=""),"",IF(ComSemIOF=FALSE,0,IF(E793&gt;365,-(D793+F793)*365*IOFDiario,-(D793+F793)*E793*IOFDiario)))</f>
        <v/>
      </c>
      <c r="I793" s="21" t="str">
        <f>IF(OR(TaxaJuros="",C793=""),"",IF(ComSemIOF=FALSE,0,-(D793+F793)*IOFAdic))</f>
        <v/>
      </c>
      <c r="J793" s="16" t="str">
        <f>IF(OR(TaxaJuros="",C793=""),"",D793+SUM(F793:I793))</f>
        <v/>
      </c>
      <c r="K793" s="67" t="str">
        <f>IF(OR(TaxaJuros="",C793=""),"",100%-J793/D793)</f>
        <v/>
      </c>
    </row>
    <row r="794" spans="5:11" x14ac:dyDescent="0.25">
      <c r="E794" s="15" t="str">
        <f>IF(OR(DataRecebimento="",C794=""),"",C794-$F$7)</f>
        <v/>
      </c>
      <c r="F794" s="16" t="str">
        <f>IF(OR(TaxaJuros="",C794=""),"",-D794*E794*($F$8/30))</f>
        <v/>
      </c>
      <c r="G794" s="16" t="str">
        <f>IF(OR(TaxaJuros="",C794=""),"",-$F$9)</f>
        <v/>
      </c>
      <c r="H794" s="21" t="str">
        <f>IF(OR(TaxaJuros="",C794=""),"",IF(ComSemIOF=FALSE,0,IF(E794&gt;365,-(D794+F794)*365*IOFDiario,-(D794+F794)*E794*IOFDiario)))</f>
        <v/>
      </c>
      <c r="I794" s="21" t="str">
        <f>IF(OR(TaxaJuros="",C794=""),"",IF(ComSemIOF=FALSE,0,-(D794+F794)*IOFAdic))</f>
        <v/>
      </c>
      <c r="J794" s="16" t="str">
        <f>IF(OR(TaxaJuros="",C794=""),"",D794+SUM(F794:I794))</f>
        <v/>
      </c>
      <c r="K794" s="67" t="str">
        <f>IF(OR(TaxaJuros="",C794=""),"",100%-J794/D794)</f>
        <v/>
      </c>
    </row>
    <row r="795" spans="5:11" x14ac:dyDescent="0.25">
      <c r="E795" s="15" t="str">
        <f>IF(OR(DataRecebimento="",C795=""),"",C795-$F$7)</f>
        <v/>
      </c>
      <c r="F795" s="16" t="str">
        <f>IF(OR(TaxaJuros="",C795=""),"",-D795*E795*($F$8/30))</f>
        <v/>
      </c>
      <c r="G795" s="16" t="str">
        <f>IF(OR(TaxaJuros="",C795=""),"",-$F$9)</f>
        <v/>
      </c>
      <c r="H795" s="21" t="str">
        <f>IF(OR(TaxaJuros="",C795=""),"",IF(ComSemIOF=FALSE,0,IF(E795&gt;365,-(D795+F795)*365*IOFDiario,-(D795+F795)*E795*IOFDiario)))</f>
        <v/>
      </c>
      <c r="I795" s="21" t="str">
        <f>IF(OR(TaxaJuros="",C795=""),"",IF(ComSemIOF=FALSE,0,-(D795+F795)*IOFAdic))</f>
        <v/>
      </c>
      <c r="J795" s="16" t="str">
        <f>IF(OR(TaxaJuros="",C795=""),"",D795+SUM(F795:I795))</f>
        <v/>
      </c>
      <c r="K795" s="67" t="str">
        <f>IF(OR(TaxaJuros="",C795=""),"",100%-J795/D795)</f>
        <v/>
      </c>
    </row>
    <row r="796" spans="5:11" x14ac:dyDescent="0.25">
      <c r="E796" s="15" t="str">
        <f>IF(OR(DataRecebimento="",C796=""),"",C796-$F$7)</f>
        <v/>
      </c>
      <c r="F796" s="16" t="str">
        <f>IF(OR(TaxaJuros="",C796=""),"",-D796*E796*($F$8/30))</f>
        <v/>
      </c>
      <c r="G796" s="16" t="str">
        <f>IF(OR(TaxaJuros="",C796=""),"",-$F$9)</f>
        <v/>
      </c>
      <c r="H796" s="21" t="str">
        <f>IF(OR(TaxaJuros="",C796=""),"",IF(ComSemIOF=FALSE,0,IF(E796&gt;365,-(D796+F796)*365*IOFDiario,-(D796+F796)*E796*IOFDiario)))</f>
        <v/>
      </c>
      <c r="I796" s="21" t="str">
        <f>IF(OR(TaxaJuros="",C796=""),"",IF(ComSemIOF=FALSE,0,-(D796+F796)*IOFAdic))</f>
        <v/>
      </c>
      <c r="J796" s="16" t="str">
        <f>IF(OR(TaxaJuros="",C796=""),"",D796+SUM(F796:I796))</f>
        <v/>
      </c>
      <c r="K796" s="67" t="str">
        <f>IF(OR(TaxaJuros="",C796=""),"",100%-J796/D796)</f>
        <v/>
      </c>
    </row>
    <row r="797" spans="5:11" x14ac:dyDescent="0.25">
      <c r="E797" s="15" t="str">
        <f>IF(OR(DataRecebimento="",C797=""),"",C797-$F$7)</f>
        <v/>
      </c>
      <c r="F797" s="16" t="str">
        <f>IF(OR(TaxaJuros="",C797=""),"",-D797*E797*($F$8/30))</f>
        <v/>
      </c>
      <c r="G797" s="16" t="str">
        <f>IF(OR(TaxaJuros="",C797=""),"",-$F$9)</f>
        <v/>
      </c>
      <c r="H797" s="21" t="str">
        <f>IF(OR(TaxaJuros="",C797=""),"",IF(ComSemIOF=FALSE,0,IF(E797&gt;365,-(D797+F797)*365*IOFDiario,-(D797+F797)*E797*IOFDiario)))</f>
        <v/>
      </c>
      <c r="I797" s="21" t="str">
        <f>IF(OR(TaxaJuros="",C797=""),"",IF(ComSemIOF=FALSE,0,-(D797+F797)*IOFAdic))</f>
        <v/>
      </c>
      <c r="J797" s="16" t="str">
        <f>IF(OR(TaxaJuros="",C797=""),"",D797+SUM(F797:I797))</f>
        <v/>
      </c>
      <c r="K797" s="67" t="str">
        <f>IF(OR(TaxaJuros="",C797=""),"",100%-J797/D797)</f>
        <v/>
      </c>
    </row>
    <row r="798" spans="5:11" x14ac:dyDescent="0.25">
      <c r="E798" s="15" t="str">
        <f>IF(OR(DataRecebimento="",C798=""),"",C798-$F$7)</f>
        <v/>
      </c>
      <c r="F798" s="16" t="str">
        <f>IF(OR(TaxaJuros="",C798=""),"",-D798*E798*($F$8/30))</f>
        <v/>
      </c>
      <c r="G798" s="16" t="str">
        <f>IF(OR(TaxaJuros="",C798=""),"",-$F$9)</f>
        <v/>
      </c>
      <c r="H798" s="21" t="str">
        <f>IF(OR(TaxaJuros="",C798=""),"",IF(ComSemIOF=FALSE,0,IF(E798&gt;365,-(D798+F798)*365*IOFDiario,-(D798+F798)*E798*IOFDiario)))</f>
        <v/>
      </c>
      <c r="I798" s="21" t="str">
        <f>IF(OR(TaxaJuros="",C798=""),"",IF(ComSemIOF=FALSE,0,-(D798+F798)*IOFAdic))</f>
        <v/>
      </c>
      <c r="J798" s="16" t="str">
        <f>IF(OR(TaxaJuros="",C798=""),"",D798+SUM(F798:I798))</f>
        <v/>
      </c>
      <c r="K798" s="67" t="str">
        <f>IF(OR(TaxaJuros="",C798=""),"",100%-J798/D798)</f>
        <v/>
      </c>
    </row>
    <row r="799" spans="5:11" x14ac:dyDescent="0.25">
      <c r="E799" s="15" t="str">
        <f>IF(OR(DataRecebimento="",C799=""),"",C799-$F$7)</f>
        <v/>
      </c>
      <c r="F799" s="16" t="str">
        <f>IF(OR(TaxaJuros="",C799=""),"",-D799*E799*($F$8/30))</f>
        <v/>
      </c>
      <c r="G799" s="16" t="str">
        <f>IF(OR(TaxaJuros="",C799=""),"",-$F$9)</f>
        <v/>
      </c>
      <c r="H799" s="21" t="str">
        <f>IF(OR(TaxaJuros="",C799=""),"",IF(ComSemIOF=FALSE,0,IF(E799&gt;365,-(D799+F799)*365*IOFDiario,-(D799+F799)*E799*IOFDiario)))</f>
        <v/>
      </c>
      <c r="I799" s="21" t="str">
        <f>IF(OR(TaxaJuros="",C799=""),"",IF(ComSemIOF=FALSE,0,-(D799+F799)*IOFAdic))</f>
        <v/>
      </c>
      <c r="J799" s="16" t="str">
        <f>IF(OR(TaxaJuros="",C799=""),"",D799+SUM(F799:I799))</f>
        <v/>
      </c>
      <c r="K799" s="67" t="str">
        <f>IF(OR(TaxaJuros="",C799=""),"",100%-J799/D799)</f>
        <v/>
      </c>
    </row>
    <row r="800" spans="5:11" x14ac:dyDescent="0.25">
      <c r="E800" s="15" t="str">
        <f>IF(OR(DataRecebimento="",C800=""),"",C800-$F$7)</f>
        <v/>
      </c>
      <c r="F800" s="16" t="str">
        <f>IF(OR(TaxaJuros="",C800=""),"",-D800*E800*($F$8/30))</f>
        <v/>
      </c>
      <c r="G800" s="16" t="str">
        <f>IF(OR(TaxaJuros="",C800=""),"",-$F$9)</f>
        <v/>
      </c>
      <c r="H800" s="21" t="str">
        <f>IF(OR(TaxaJuros="",C800=""),"",IF(ComSemIOF=FALSE,0,IF(E800&gt;365,-(D800+F800)*365*IOFDiario,-(D800+F800)*E800*IOFDiario)))</f>
        <v/>
      </c>
      <c r="I800" s="21" t="str">
        <f>IF(OR(TaxaJuros="",C800=""),"",IF(ComSemIOF=FALSE,0,-(D800+F800)*IOFAdic))</f>
        <v/>
      </c>
      <c r="J800" s="16" t="str">
        <f>IF(OR(TaxaJuros="",C800=""),"",D800+SUM(F800:I800))</f>
        <v/>
      </c>
      <c r="K800" s="67" t="str">
        <f>IF(OR(TaxaJuros="",C800=""),"",100%-J800/D800)</f>
        <v/>
      </c>
    </row>
    <row r="801" spans="5:11" x14ac:dyDescent="0.25">
      <c r="E801" s="15" t="str">
        <f>IF(OR(DataRecebimento="",C801=""),"",C801-$F$7)</f>
        <v/>
      </c>
      <c r="F801" s="16" t="str">
        <f>IF(OR(TaxaJuros="",C801=""),"",-D801*E801*($F$8/30))</f>
        <v/>
      </c>
      <c r="G801" s="16" t="str">
        <f>IF(OR(TaxaJuros="",C801=""),"",-$F$9)</f>
        <v/>
      </c>
      <c r="H801" s="21" t="str">
        <f>IF(OR(TaxaJuros="",C801=""),"",IF(ComSemIOF=FALSE,0,IF(E801&gt;365,-(D801+F801)*365*IOFDiario,-(D801+F801)*E801*IOFDiario)))</f>
        <v/>
      </c>
      <c r="I801" s="21" t="str">
        <f>IF(OR(TaxaJuros="",C801=""),"",IF(ComSemIOF=FALSE,0,-(D801+F801)*IOFAdic))</f>
        <v/>
      </c>
      <c r="J801" s="16" t="str">
        <f>IF(OR(TaxaJuros="",C801=""),"",D801+SUM(F801:I801))</f>
        <v/>
      </c>
      <c r="K801" s="67" t="str">
        <f>IF(OR(TaxaJuros="",C801=""),"",100%-J801/D801)</f>
        <v/>
      </c>
    </row>
    <row r="802" spans="5:11" x14ac:dyDescent="0.25">
      <c r="E802" s="15" t="str">
        <f>IF(OR(DataRecebimento="",C802=""),"",C802-$F$7)</f>
        <v/>
      </c>
      <c r="F802" s="16" t="str">
        <f>IF(OR(TaxaJuros="",C802=""),"",-D802*E802*($F$8/30))</f>
        <v/>
      </c>
      <c r="G802" s="16" t="str">
        <f>IF(OR(TaxaJuros="",C802=""),"",-$F$9)</f>
        <v/>
      </c>
      <c r="H802" s="21" t="str">
        <f>IF(OR(TaxaJuros="",C802=""),"",IF(ComSemIOF=FALSE,0,IF(E802&gt;365,-(D802+F802)*365*IOFDiario,-(D802+F802)*E802*IOFDiario)))</f>
        <v/>
      </c>
      <c r="I802" s="21" t="str">
        <f>IF(OR(TaxaJuros="",C802=""),"",IF(ComSemIOF=FALSE,0,-(D802+F802)*IOFAdic))</f>
        <v/>
      </c>
      <c r="J802" s="16" t="str">
        <f>IF(OR(TaxaJuros="",C802=""),"",D802+SUM(F802:I802))</f>
        <v/>
      </c>
      <c r="K802" s="67" t="str">
        <f>IF(OR(TaxaJuros="",C802=""),"",100%-J802/D802)</f>
        <v/>
      </c>
    </row>
    <row r="803" spans="5:11" x14ac:dyDescent="0.25">
      <c r="E803" s="15" t="str">
        <f>IF(OR(DataRecebimento="",C803=""),"",C803-$F$7)</f>
        <v/>
      </c>
      <c r="F803" s="16" t="str">
        <f>IF(OR(TaxaJuros="",C803=""),"",-D803*E803*($F$8/30))</f>
        <v/>
      </c>
      <c r="G803" s="16" t="str">
        <f>IF(OR(TaxaJuros="",C803=""),"",-$F$9)</f>
        <v/>
      </c>
      <c r="H803" s="21" t="str">
        <f>IF(OR(TaxaJuros="",C803=""),"",IF(ComSemIOF=FALSE,0,IF(E803&gt;365,-(D803+F803)*365*IOFDiario,-(D803+F803)*E803*IOFDiario)))</f>
        <v/>
      </c>
      <c r="I803" s="21" t="str">
        <f>IF(OR(TaxaJuros="",C803=""),"",IF(ComSemIOF=FALSE,0,-(D803+F803)*IOFAdic))</f>
        <v/>
      </c>
      <c r="J803" s="16" t="str">
        <f>IF(OR(TaxaJuros="",C803=""),"",D803+SUM(F803:I803))</f>
        <v/>
      </c>
      <c r="K803" s="67" t="str">
        <f>IF(OR(TaxaJuros="",C803=""),"",100%-J803/D803)</f>
        <v/>
      </c>
    </row>
    <row r="804" spans="5:11" x14ac:dyDescent="0.25">
      <c r="E804" s="15" t="str">
        <f>IF(OR(DataRecebimento="",C804=""),"",C804-$F$7)</f>
        <v/>
      </c>
      <c r="F804" s="16" t="str">
        <f>IF(OR(TaxaJuros="",C804=""),"",-D804*E804*($F$8/30))</f>
        <v/>
      </c>
      <c r="G804" s="16" t="str">
        <f>IF(OR(TaxaJuros="",C804=""),"",-$F$9)</f>
        <v/>
      </c>
      <c r="H804" s="21" t="str">
        <f>IF(OR(TaxaJuros="",C804=""),"",IF(ComSemIOF=FALSE,0,IF(E804&gt;365,-(D804+F804)*365*IOFDiario,-(D804+F804)*E804*IOFDiario)))</f>
        <v/>
      </c>
      <c r="I804" s="21" t="str">
        <f>IF(OR(TaxaJuros="",C804=""),"",IF(ComSemIOF=FALSE,0,-(D804+F804)*IOFAdic))</f>
        <v/>
      </c>
      <c r="J804" s="16" t="str">
        <f>IF(OR(TaxaJuros="",C804=""),"",D804+SUM(F804:I804))</f>
        <v/>
      </c>
      <c r="K804" s="67" t="str">
        <f>IF(OR(TaxaJuros="",C804=""),"",100%-J804/D804)</f>
        <v/>
      </c>
    </row>
    <row r="805" spans="5:11" x14ac:dyDescent="0.25">
      <c r="E805" s="15" t="str">
        <f>IF(OR(DataRecebimento="",C805=""),"",C805-$F$7)</f>
        <v/>
      </c>
      <c r="F805" s="16" t="str">
        <f>IF(OR(TaxaJuros="",C805=""),"",-D805*E805*($F$8/30))</f>
        <v/>
      </c>
      <c r="G805" s="16" t="str">
        <f>IF(OR(TaxaJuros="",C805=""),"",-$F$9)</f>
        <v/>
      </c>
      <c r="H805" s="21" t="str">
        <f>IF(OR(TaxaJuros="",C805=""),"",IF(ComSemIOF=FALSE,0,IF(E805&gt;365,-(D805+F805)*365*IOFDiario,-(D805+F805)*E805*IOFDiario)))</f>
        <v/>
      </c>
      <c r="I805" s="21" t="str">
        <f>IF(OR(TaxaJuros="",C805=""),"",IF(ComSemIOF=FALSE,0,-(D805+F805)*IOFAdic))</f>
        <v/>
      </c>
      <c r="J805" s="16" t="str">
        <f>IF(OR(TaxaJuros="",C805=""),"",D805+SUM(F805:I805))</f>
        <v/>
      </c>
      <c r="K805" s="67" t="str">
        <f>IF(OR(TaxaJuros="",C805=""),"",100%-J805/D805)</f>
        <v/>
      </c>
    </row>
    <row r="806" spans="5:11" x14ac:dyDescent="0.25">
      <c r="E806" s="15" t="str">
        <f>IF(OR(DataRecebimento="",C806=""),"",C806-$F$7)</f>
        <v/>
      </c>
      <c r="F806" s="16" t="str">
        <f>IF(OR(TaxaJuros="",C806=""),"",-D806*E806*($F$8/30))</f>
        <v/>
      </c>
      <c r="G806" s="16" t="str">
        <f>IF(OR(TaxaJuros="",C806=""),"",-$F$9)</f>
        <v/>
      </c>
      <c r="H806" s="21" t="str">
        <f>IF(OR(TaxaJuros="",C806=""),"",IF(ComSemIOF=FALSE,0,IF(E806&gt;365,-(D806+F806)*365*IOFDiario,-(D806+F806)*E806*IOFDiario)))</f>
        <v/>
      </c>
      <c r="I806" s="21" t="str">
        <f>IF(OR(TaxaJuros="",C806=""),"",IF(ComSemIOF=FALSE,0,-(D806+F806)*IOFAdic))</f>
        <v/>
      </c>
      <c r="J806" s="16" t="str">
        <f>IF(OR(TaxaJuros="",C806=""),"",D806+SUM(F806:I806))</f>
        <v/>
      </c>
      <c r="K806" s="67" t="str">
        <f>IF(OR(TaxaJuros="",C806=""),"",100%-J806/D806)</f>
        <v/>
      </c>
    </row>
    <row r="807" spans="5:11" x14ac:dyDescent="0.25">
      <c r="E807" s="15" t="str">
        <f>IF(OR(DataRecebimento="",C807=""),"",C807-$F$7)</f>
        <v/>
      </c>
      <c r="F807" s="16" t="str">
        <f>IF(OR(TaxaJuros="",C807=""),"",-D807*E807*($F$8/30))</f>
        <v/>
      </c>
      <c r="G807" s="16" t="str">
        <f>IF(OR(TaxaJuros="",C807=""),"",-$F$9)</f>
        <v/>
      </c>
      <c r="H807" s="21" t="str">
        <f>IF(OR(TaxaJuros="",C807=""),"",IF(ComSemIOF=FALSE,0,IF(E807&gt;365,-(D807+F807)*365*IOFDiario,-(D807+F807)*E807*IOFDiario)))</f>
        <v/>
      </c>
      <c r="I807" s="21" t="str">
        <f>IF(OR(TaxaJuros="",C807=""),"",IF(ComSemIOF=FALSE,0,-(D807+F807)*IOFAdic))</f>
        <v/>
      </c>
      <c r="J807" s="16" t="str">
        <f>IF(OR(TaxaJuros="",C807=""),"",D807+SUM(F807:I807))</f>
        <v/>
      </c>
      <c r="K807" s="67" t="str">
        <f>IF(OR(TaxaJuros="",C807=""),"",100%-J807/D807)</f>
        <v/>
      </c>
    </row>
    <row r="808" spans="5:11" x14ac:dyDescent="0.25">
      <c r="E808" s="15" t="str">
        <f>IF(OR(DataRecebimento="",C808=""),"",C808-$F$7)</f>
        <v/>
      </c>
      <c r="F808" s="16" t="str">
        <f>IF(OR(TaxaJuros="",C808=""),"",-D808*E808*($F$8/30))</f>
        <v/>
      </c>
      <c r="G808" s="16" t="str">
        <f>IF(OR(TaxaJuros="",C808=""),"",-$F$9)</f>
        <v/>
      </c>
      <c r="H808" s="21" t="str">
        <f>IF(OR(TaxaJuros="",C808=""),"",IF(ComSemIOF=FALSE,0,IF(E808&gt;365,-(D808+F808)*365*IOFDiario,-(D808+F808)*E808*IOFDiario)))</f>
        <v/>
      </c>
      <c r="I808" s="21" t="str">
        <f>IF(OR(TaxaJuros="",C808=""),"",IF(ComSemIOF=FALSE,0,-(D808+F808)*IOFAdic))</f>
        <v/>
      </c>
      <c r="J808" s="16" t="str">
        <f>IF(OR(TaxaJuros="",C808=""),"",D808+SUM(F808:I808))</f>
        <v/>
      </c>
      <c r="K808" s="67" t="str">
        <f>IF(OR(TaxaJuros="",C808=""),"",100%-J808/D808)</f>
        <v/>
      </c>
    </row>
    <row r="809" spans="5:11" x14ac:dyDescent="0.25">
      <c r="E809" s="15" t="str">
        <f>IF(OR(DataRecebimento="",C809=""),"",C809-$F$7)</f>
        <v/>
      </c>
      <c r="F809" s="16" t="str">
        <f>IF(OR(TaxaJuros="",C809=""),"",-D809*E809*($F$8/30))</f>
        <v/>
      </c>
      <c r="G809" s="16" t="str">
        <f>IF(OR(TaxaJuros="",C809=""),"",-$F$9)</f>
        <v/>
      </c>
      <c r="H809" s="21" t="str">
        <f>IF(OR(TaxaJuros="",C809=""),"",IF(ComSemIOF=FALSE,0,IF(E809&gt;365,-(D809+F809)*365*IOFDiario,-(D809+F809)*E809*IOFDiario)))</f>
        <v/>
      </c>
      <c r="I809" s="21" t="str">
        <f>IF(OR(TaxaJuros="",C809=""),"",IF(ComSemIOF=FALSE,0,-(D809+F809)*IOFAdic))</f>
        <v/>
      </c>
      <c r="J809" s="16" t="str">
        <f>IF(OR(TaxaJuros="",C809=""),"",D809+SUM(F809:I809))</f>
        <v/>
      </c>
      <c r="K809" s="67" t="str">
        <f>IF(OR(TaxaJuros="",C809=""),"",100%-J809/D809)</f>
        <v/>
      </c>
    </row>
    <row r="810" spans="5:11" x14ac:dyDescent="0.25">
      <c r="E810" s="15" t="str">
        <f>IF(OR(DataRecebimento="",C810=""),"",C810-$F$7)</f>
        <v/>
      </c>
      <c r="F810" s="16" t="str">
        <f>IF(OR(TaxaJuros="",C810=""),"",-D810*E810*($F$8/30))</f>
        <v/>
      </c>
      <c r="G810" s="16" t="str">
        <f>IF(OR(TaxaJuros="",C810=""),"",-$F$9)</f>
        <v/>
      </c>
      <c r="H810" s="21" t="str">
        <f>IF(OR(TaxaJuros="",C810=""),"",IF(ComSemIOF=FALSE,0,IF(E810&gt;365,-(D810+F810)*365*IOFDiario,-(D810+F810)*E810*IOFDiario)))</f>
        <v/>
      </c>
      <c r="I810" s="21" t="str">
        <f>IF(OR(TaxaJuros="",C810=""),"",IF(ComSemIOF=FALSE,0,-(D810+F810)*IOFAdic))</f>
        <v/>
      </c>
      <c r="J810" s="16" t="str">
        <f>IF(OR(TaxaJuros="",C810=""),"",D810+SUM(F810:I810))</f>
        <v/>
      </c>
      <c r="K810" s="67" t="str">
        <f>IF(OR(TaxaJuros="",C810=""),"",100%-J810/D810)</f>
        <v/>
      </c>
    </row>
    <row r="811" spans="5:11" x14ac:dyDescent="0.25">
      <c r="E811" s="15" t="str">
        <f>IF(OR(DataRecebimento="",C811=""),"",C811-$F$7)</f>
        <v/>
      </c>
      <c r="F811" s="16" t="str">
        <f>IF(OR(TaxaJuros="",C811=""),"",-D811*E811*($F$8/30))</f>
        <v/>
      </c>
      <c r="G811" s="16" t="str">
        <f>IF(OR(TaxaJuros="",C811=""),"",-$F$9)</f>
        <v/>
      </c>
      <c r="H811" s="21" t="str">
        <f>IF(OR(TaxaJuros="",C811=""),"",IF(ComSemIOF=FALSE,0,IF(E811&gt;365,-(D811+F811)*365*IOFDiario,-(D811+F811)*E811*IOFDiario)))</f>
        <v/>
      </c>
      <c r="I811" s="21" t="str">
        <f>IF(OR(TaxaJuros="",C811=""),"",IF(ComSemIOF=FALSE,0,-(D811+F811)*IOFAdic))</f>
        <v/>
      </c>
      <c r="J811" s="16" t="str">
        <f>IF(OR(TaxaJuros="",C811=""),"",D811+SUM(F811:I811))</f>
        <v/>
      </c>
      <c r="K811" s="67" t="str">
        <f>IF(OR(TaxaJuros="",C811=""),"",100%-J811/D811)</f>
        <v/>
      </c>
    </row>
    <row r="812" spans="5:11" x14ac:dyDescent="0.25">
      <c r="E812" s="15" t="str">
        <f>IF(OR(DataRecebimento="",C812=""),"",C812-$F$7)</f>
        <v/>
      </c>
      <c r="F812" s="16" t="str">
        <f>IF(OR(TaxaJuros="",C812=""),"",-D812*E812*($F$8/30))</f>
        <v/>
      </c>
      <c r="G812" s="16" t="str">
        <f>IF(OR(TaxaJuros="",C812=""),"",-$F$9)</f>
        <v/>
      </c>
      <c r="H812" s="21" t="str">
        <f>IF(OR(TaxaJuros="",C812=""),"",IF(ComSemIOF=FALSE,0,IF(E812&gt;365,-(D812+F812)*365*IOFDiario,-(D812+F812)*E812*IOFDiario)))</f>
        <v/>
      </c>
      <c r="I812" s="21" t="str">
        <f>IF(OR(TaxaJuros="",C812=""),"",IF(ComSemIOF=FALSE,0,-(D812+F812)*IOFAdic))</f>
        <v/>
      </c>
      <c r="J812" s="16" t="str">
        <f>IF(OR(TaxaJuros="",C812=""),"",D812+SUM(F812:I812))</f>
        <v/>
      </c>
      <c r="K812" s="67" t="str">
        <f>IF(OR(TaxaJuros="",C812=""),"",100%-J812/D812)</f>
        <v/>
      </c>
    </row>
    <row r="813" spans="5:11" x14ac:dyDescent="0.25">
      <c r="E813" s="15" t="str">
        <f>IF(OR(DataRecebimento="",C813=""),"",C813-$F$7)</f>
        <v/>
      </c>
      <c r="F813" s="16" t="str">
        <f>IF(OR(TaxaJuros="",C813=""),"",-D813*E813*($F$8/30))</f>
        <v/>
      </c>
      <c r="G813" s="16" t="str">
        <f>IF(OR(TaxaJuros="",C813=""),"",-$F$9)</f>
        <v/>
      </c>
      <c r="H813" s="21" t="str">
        <f>IF(OR(TaxaJuros="",C813=""),"",IF(ComSemIOF=FALSE,0,IF(E813&gt;365,-(D813+F813)*365*IOFDiario,-(D813+F813)*E813*IOFDiario)))</f>
        <v/>
      </c>
      <c r="I813" s="21" t="str">
        <f>IF(OR(TaxaJuros="",C813=""),"",IF(ComSemIOF=FALSE,0,-(D813+F813)*IOFAdic))</f>
        <v/>
      </c>
      <c r="J813" s="16" t="str">
        <f>IF(OR(TaxaJuros="",C813=""),"",D813+SUM(F813:I813))</f>
        <v/>
      </c>
      <c r="K813" s="67" t="str">
        <f>IF(OR(TaxaJuros="",C813=""),"",100%-J813/D813)</f>
        <v/>
      </c>
    </row>
    <row r="814" spans="5:11" x14ac:dyDescent="0.25">
      <c r="E814" s="15" t="str">
        <f>IF(OR(DataRecebimento="",C814=""),"",C814-$F$7)</f>
        <v/>
      </c>
      <c r="F814" s="16" t="str">
        <f>IF(OR(TaxaJuros="",C814=""),"",-D814*E814*($F$8/30))</f>
        <v/>
      </c>
      <c r="G814" s="16" t="str">
        <f>IF(OR(TaxaJuros="",C814=""),"",-$F$9)</f>
        <v/>
      </c>
      <c r="H814" s="21" t="str">
        <f>IF(OR(TaxaJuros="",C814=""),"",IF(ComSemIOF=FALSE,0,IF(E814&gt;365,-(D814+F814)*365*IOFDiario,-(D814+F814)*E814*IOFDiario)))</f>
        <v/>
      </c>
      <c r="I814" s="21" t="str">
        <f>IF(OR(TaxaJuros="",C814=""),"",IF(ComSemIOF=FALSE,0,-(D814+F814)*IOFAdic))</f>
        <v/>
      </c>
      <c r="J814" s="16" t="str">
        <f>IF(OR(TaxaJuros="",C814=""),"",D814+SUM(F814:I814))</f>
        <v/>
      </c>
      <c r="K814" s="67" t="str">
        <f>IF(OR(TaxaJuros="",C814=""),"",100%-J814/D814)</f>
        <v/>
      </c>
    </row>
    <row r="815" spans="5:11" x14ac:dyDescent="0.25">
      <c r="E815" s="15" t="str">
        <f>IF(OR(DataRecebimento="",C815=""),"",C815-$F$7)</f>
        <v/>
      </c>
      <c r="F815" s="16" t="str">
        <f>IF(OR(TaxaJuros="",C815=""),"",-D815*E815*($F$8/30))</f>
        <v/>
      </c>
      <c r="G815" s="16" t="str">
        <f>IF(OR(TaxaJuros="",C815=""),"",-$F$9)</f>
        <v/>
      </c>
      <c r="H815" s="21" t="str">
        <f>IF(OR(TaxaJuros="",C815=""),"",IF(ComSemIOF=FALSE,0,IF(E815&gt;365,-(D815+F815)*365*IOFDiario,-(D815+F815)*E815*IOFDiario)))</f>
        <v/>
      </c>
      <c r="I815" s="21" t="str">
        <f>IF(OR(TaxaJuros="",C815=""),"",IF(ComSemIOF=FALSE,0,-(D815+F815)*IOFAdic))</f>
        <v/>
      </c>
      <c r="J815" s="16" t="str">
        <f>IF(OR(TaxaJuros="",C815=""),"",D815+SUM(F815:I815))</f>
        <v/>
      </c>
      <c r="K815" s="67" t="str">
        <f>IF(OR(TaxaJuros="",C815=""),"",100%-J815/D815)</f>
        <v/>
      </c>
    </row>
    <row r="816" spans="5:11" x14ac:dyDescent="0.25">
      <c r="E816" s="15" t="str">
        <f>IF(OR(DataRecebimento="",C816=""),"",C816-$F$7)</f>
        <v/>
      </c>
      <c r="F816" s="16" t="str">
        <f>IF(OR(TaxaJuros="",C816=""),"",-D816*E816*($F$8/30))</f>
        <v/>
      </c>
      <c r="G816" s="16" t="str">
        <f>IF(OR(TaxaJuros="",C816=""),"",-$F$9)</f>
        <v/>
      </c>
      <c r="H816" s="21" t="str">
        <f>IF(OR(TaxaJuros="",C816=""),"",IF(ComSemIOF=FALSE,0,IF(E816&gt;365,-(D816+F816)*365*IOFDiario,-(D816+F816)*E816*IOFDiario)))</f>
        <v/>
      </c>
      <c r="I816" s="21" t="str">
        <f>IF(OR(TaxaJuros="",C816=""),"",IF(ComSemIOF=FALSE,0,-(D816+F816)*IOFAdic))</f>
        <v/>
      </c>
      <c r="J816" s="16" t="str">
        <f>IF(OR(TaxaJuros="",C816=""),"",D816+SUM(F816:I816))</f>
        <v/>
      </c>
      <c r="K816" s="67" t="str">
        <f>IF(OR(TaxaJuros="",C816=""),"",100%-J816/D816)</f>
        <v/>
      </c>
    </row>
    <row r="817" spans="5:11" x14ac:dyDescent="0.25">
      <c r="E817" s="15" t="str">
        <f>IF(OR(DataRecebimento="",C817=""),"",C817-$F$7)</f>
        <v/>
      </c>
      <c r="F817" s="16" t="str">
        <f>IF(OR(TaxaJuros="",C817=""),"",-D817*E817*($F$8/30))</f>
        <v/>
      </c>
      <c r="G817" s="16" t="str">
        <f>IF(OR(TaxaJuros="",C817=""),"",-$F$9)</f>
        <v/>
      </c>
      <c r="H817" s="21" t="str">
        <f>IF(OR(TaxaJuros="",C817=""),"",IF(ComSemIOF=FALSE,0,IF(E817&gt;365,-(D817+F817)*365*IOFDiario,-(D817+F817)*E817*IOFDiario)))</f>
        <v/>
      </c>
      <c r="I817" s="21" t="str">
        <f>IF(OR(TaxaJuros="",C817=""),"",IF(ComSemIOF=FALSE,0,-(D817+F817)*IOFAdic))</f>
        <v/>
      </c>
      <c r="J817" s="16" t="str">
        <f>IF(OR(TaxaJuros="",C817=""),"",D817+SUM(F817:I817))</f>
        <v/>
      </c>
      <c r="K817" s="67" t="str">
        <f>IF(OR(TaxaJuros="",C817=""),"",100%-J817/D817)</f>
        <v/>
      </c>
    </row>
    <row r="818" spans="5:11" x14ac:dyDescent="0.25">
      <c r="E818" s="15" t="str">
        <f>IF(OR(DataRecebimento="",C818=""),"",C818-$F$7)</f>
        <v/>
      </c>
      <c r="F818" s="16" t="str">
        <f>IF(OR(TaxaJuros="",C818=""),"",-D818*E818*($F$8/30))</f>
        <v/>
      </c>
      <c r="G818" s="16" t="str">
        <f>IF(OR(TaxaJuros="",C818=""),"",-$F$9)</f>
        <v/>
      </c>
      <c r="H818" s="21" t="str">
        <f>IF(OR(TaxaJuros="",C818=""),"",IF(ComSemIOF=FALSE,0,IF(E818&gt;365,-(D818+F818)*365*IOFDiario,-(D818+F818)*E818*IOFDiario)))</f>
        <v/>
      </c>
      <c r="I818" s="21" t="str">
        <f>IF(OR(TaxaJuros="",C818=""),"",IF(ComSemIOF=FALSE,0,-(D818+F818)*IOFAdic))</f>
        <v/>
      </c>
      <c r="J818" s="16" t="str">
        <f>IF(OR(TaxaJuros="",C818=""),"",D818+SUM(F818:I818))</f>
        <v/>
      </c>
      <c r="K818" s="67" t="str">
        <f>IF(OR(TaxaJuros="",C818=""),"",100%-J818/D818)</f>
        <v/>
      </c>
    </row>
    <row r="819" spans="5:11" x14ac:dyDescent="0.25">
      <c r="E819" s="15" t="str">
        <f>IF(OR(DataRecebimento="",C819=""),"",C819-$F$7)</f>
        <v/>
      </c>
      <c r="F819" s="16" t="str">
        <f>IF(OR(TaxaJuros="",C819=""),"",-D819*E819*($F$8/30))</f>
        <v/>
      </c>
      <c r="G819" s="16" t="str">
        <f>IF(OR(TaxaJuros="",C819=""),"",-$F$9)</f>
        <v/>
      </c>
      <c r="H819" s="21" t="str">
        <f>IF(OR(TaxaJuros="",C819=""),"",IF(ComSemIOF=FALSE,0,IF(E819&gt;365,-(D819+F819)*365*IOFDiario,-(D819+F819)*E819*IOFDiario)))</f>
        <v/>
      </c>
      <c r="I819" s="21" t="str">
        <f>IF(OR(TaxaJuros="",C819=""),"",IF(ComSemIOF=FALSE,0,-(D819+F819)*IOFAdic))</f>
        <v/>
      </c>
      <c r="J819" s="16" t="str">
        <f>IF(OR(TaxaJuros="",C819=""),"",D819+SUM(F819:I819))</f>
        <v/>
      </c>
      <c r="K819" s="67" t="str">
        <f>IF(OR(TaxaJuros="",C819=""),"",100%-J819/D819)</f>
        <v/>
      </c>
    </row>
    <row r="820" spans="5:11" x14ac:dyDescent="0.25">
      <c r="E820" s="15" t="str">
        <f>IF(OR(DataRecebimento="",C820=""),"",C820-$F$7)</f>
        <v/>
      </c>
      <c r="F820" s="16" t="str">
        <f>IF(OR(TaxaJuros="",C820=""),"",-D820*E820*($F$8/30))</f>
        <v/>
      </c>
      <c r="G820" s="16" t="str">
        <f>IF(OR(TaxaJuros="",C820=""),"",-$F$9)</f>
        <v/>
      </c>
      <c r="H820" s="21" t="str">
        <f>IF(OR(TaxaJuros="",C820=""),"",IF(ComSemIOF=FALSE,0,IF(E820&gt;365,-(D820+F820)*365*IOFDiario,-(D820+F820)*E820*IOFDiario)))</f>
        <v/>
      </c>
      <c r="I820" s="21" t="str">
        <f>IF(OR(TaxaJuros="",C820=""),"",IF(ComSemIOF=FALSE,0,-(D820+F820)*IOFAdic))</f>
        <v/>
      </c>
      <c r="J820" s="16" t="str">
        <f>IF(OR(TaxaJuros="",C820=""),"",D820+SUM(F820:I820))</f>
        <v/>
      </c>
      <c r="K820" s="67" t="str">
        <f>IF(OR(TaxaJuros="",C820=""),"",100%-J820/D820)</f>
        <v/>
      </c>
    </row>
    <row r="821" spans="5:11" x14ac:dyDescent="0.25">
      <c r="E821" s="15" t="str">
        <f>IF(OR(DataRecebimento="",C821=""),"",C821-$F$7)</f>
        <v/>
      </c>
      <c r="F821" s="16" t="str">
        <f>IF(OR(TaxaJuros="",C821=""),"",-D821*E821*($F$8/30))</f>
        <v/>
      </c>
      <c r="G821" s="16" t="str">
        <f>IF(OR(TaxaJuros="",C821=""),"",-$F$9)</f>
        <v/>
      </c>
      <c r="H821" s="21" t="str">
        <f>IF(OR(TaxaJuros="",C821=""),"",IF(ComSemIOF=FALSE,0,IF(E821&gt;365,-(D821+F821)*365*IOFDiario,-(D821+F821)*E821*IOFDiario)))</f>
        <v/>
      </c>
      <c r="I821" s="21" t="str">
        <f>IF(OR(TaxaJuros="",C821=""),"",IF(ComSemIOF=FALSE,0,-(D821+F821)*IOFAdic))</f>
        <v/>
      </c>
      <c r="J821" s="16" t="str">
        <f>IF(OR(TaxaJuros="",C821=""),"",D821+SUM(F821:I821))</f>
        <v/>
      </c>
      <c r="K821" s="67" t="str">
        <f>IF(OR(TaxaJuros="",C821=""),"",100%-J821/D821)</f>
        <v/>
      </c>
    </row>
    <row r="822" spans="5:11" x14ac:dyDescent="0.25">
      <c r="E822" s="15" t="str">
        <f>IF(OR(DataRecebimento="",C822=""),"",C822-$F$7)</f>
        <v/>
      </c>
      <c r="F822" s="16" t="str">
        <f>IF(OR(TaxaJuros="",C822=""),"",-D822*E822*($F$8/30))</f>
        <v/>
      </c>
      <c r="G822" s="16" t="str">
        <f>IF(OR(TaxaJuros="",C822=""),"",-$F$9)</f>
        <v/>
      </c>
      <c r="H822" s="21" t="str">
        <f>IF(OR(TaxaJuros="",C822=""),"",IF(ComSemIOF=FALSE,0,IF(E822&gt;365,-(D822+F822)*365*IOFDiario,-(D822+F822)*E822*IOFDiario)))</f>
        <v/>
      </c>
      <c r="I822" s="21" t="str">
        <f>IF(OR(TaxaJuros="",C822=""),"",IF(ComSemIOF=FALSE,0,-(D822+F822)*IOFAdic))</f>
        <v/>
      </c>
      <c r="J822" s="16" t="str">
        <f>IF(OR(TaxaJuros="",C822=""),"",D822+SUM(F822:I822))</f>
        <v/>
      </c>
      <c r="K822" s="67" t="str">
        <f>IF(OR(TaxaJuros="",C822=""),"",100%-J822/D822)</f>
        <v/>
      </c>
    </row>
    <row r="823" spans="5:11" x14ac:dyDescent="0.25">
      <c r="E823" s="15" t="str">
        <f>IF(OR(DataRecebimento="",C823=""),"",C823-$F$7)</f>
        <v/>
      </c>
      <c r="F823" s="16" t="str">
        <f>IF(OR(TaxaJuros="",C823=""),"",-D823*E823*($F$8/30))</f>
        <v/>
      </c>
      <c r="G823" s="16" t="str">
        <f>IF(OR(TaxaJuros="",C823=""),"",-$F$9)</f>
        <v/>
      </c>
      <c r="H823" s="21" t="str">
        <f>IF(OR(TaxaJuros="",C823=""),"",IF(ComSemIOF=FALSE,0,IF(E823&gt;365,-(D823+F823)*365*IOFDiario,-(D823+F823)*E823*IOFDiario)))</f>
        <v/>
      </c>
      <c r="I823" s="21" t="str">
        <f>IF(OR(TaxaJuros="",C823=""),"",IF(ComSemIOF=FALSE,0,-(D823+F823)*IOFAdic))</f>
        <v/>
      </c>
      <c r="J823" s="16" t="str">
        <f>IF(OR(TaxaJuros="",C823=""),"",D823+SUM(F823:I823))</f>
        <v/>
      </c>
      <c r="K823" s="67" t="str">
        <f>IF(OR(TaxaJuros="",C823=""),"",100%-J823/D823)</f>
        <v/>
      </c>
    </row>
    <row r="824" spans="5:11" x14ac:dyDescent="0.25">
      <c r="E824" s="15" t="str">
        <f>IF(OR(DataRecebimento="",C824=""),"",C824-$F$7)</f>
        <v/>
      </c>
      <c r="F824" s="16" t="str">
        <f>IF(OR(TaxaJuros="",C824=""),"",-D824*E824*($F$8/30))</f>
        <v/>
      </c>
      <c r="G824" s="16" t="str">
        <f>IF(OR(TaxaJuros="",C824=""),"",-$F$9)</f>
        <v/>
      </c>
      <c r="H824" s="21" t="str">
        <f>IF(OR(TaxaJuros="",C824=""),"",IF(ComSemIOF=FALSE,0,IF(E824&gt;365,-(D824+F824)*365*IOFDiario,-(D824+F824)*E824*IOFDiario)))</f>
        <v/>
      </c>
      <c r="I824" s="21" t="str">
        <f>IF(OR(TaxaJuros="",C824=""),"",IF(ComSemIOF=FALSE,0,-(D824+F824)*IOFAdic))</f>
        <v/>
      </c>
      <c r="J824" s="16" t="str">
        <f>IF(OR(TaxaJuros="",C824=""),"",D824+SUM(F824:I824))</f>
        <v/>
      </c>
      <c r="K824" s="67" t="str">
        <f>IF(OR(TaxaJuros="",C824=""),"",100%-J824/D824)</f>
        <v/>
      </c>
    </row>
    <row r="825" spans="5:11" x14ac:dyDescent="0.25">
      <c r="E825" s="15" t="str">
        <f>IF(OR(DataRecebimento="",C825=""),"",C825-$F$7)</f>
        <v/>
      </c>
      <c r="F825" s="16" t="str">
        <f>IF(OR(TaxaJuros="",C825=""),"",-D825*E825*($F$8/30))</f>
        <v/>
      </c>
      <c r="G825" s="16" t="str">
        <f>IF(OR(TaxaJuros="",C825=""),"",-$F$9)</f>
        <v/>
      </c>
      <c r="H825" s="21" t="str">
        <f>IF(OR(TaxaJuros="",C825=""),"",IF(ComSemIOF=FALSE,0,IF(E825&gt;365,-(D825+F825)*365*IOFDiario,-(D825+F825)*E825*IOFDiario)))</f>
        <v/>
      </c>
      <c r="I825" s="21" t="str">
        <f>IF(OR(TaxaJuros="",C825=""),"",IF(ComSemIOF=FALSE,0,-(D825+F825)*IOFAdic))</f>
        <v/>
      </c>
      <c r="J825" s="16" t="str">
        <f>IF(OR(TaxaJuros="",C825=""),"",D825+SUM(F825:I825))</f>
        <v/>
      </c>
      <c r="K825" s="67" t="str">
        <f>IF(OR(TaxaJuros="",C825=""),"",100%-J825/D825)</f>
        <v/>
      </c>
    </row>
    <row r="826" spans="5:11" x14ac:dyDescent="0.25">
      <c r="E826" s="15" t="str">
        <f>IF(OR(DataRecebimento="",C826=""),"",C826-$F$7)</f>
        <v/>
      </c>
      <c r="F826" s="16" t="str">
        <f>IF(OR(TaxaJuros="",C826=""),"",-D826*E826*($F$8/30))</f>
        <v/>
      </c>
      <c r="G826" s="16" t="str">
        <f>IF(OR(TaxaJuros="",C826=""),"",-$F$9)</f>
        <v/>
      </c>
      <c r="H826" s="21" t="str">
        <f>IF(OR(TaxaJuros="",C826=""),"",IF(ComSemIOF=FALSE,0,IF(E826&gt;365,-(D826+F826)*365*IOFDiario,-(D826+F826)*E826*IOFDiario)))</f>
        <v/>
      </c>
      <c r="I826" s="21" t="str">
        <f>IF(OR(TaxaJuros="",C826=""),"",IF(ComSemIOF=FALSE,0,-(D826+F826)*IOFAdic))</f>
        <v/>
      </c>
      <c r="J826" s="16" t="str">
        <f>IF(OR(TaxaJuros="",C826=""),"",D826+SUM(F826:I826))</f>
        <v/>
      </c>
      <c r="K826" s="67" t="str">
        <f>IF(OR(TaxaJuros="",C826=""),"",100%-J826/D826)</f>
        <v/>
      </c>
    </row>
    <row r="827" spans="5:11" x14ac:dyDescent="0.25">
      <c r="E827" s="15" t="str">
        <f>IF(OR(DataRecebimento="",C827=""),"",C827-$F$7)</f>
        <v/>
      </c>
      <c r="F827" s="16" t="str">
        <f>IF(OR(TaxaJuros="",C827=""),"",-D827*E827*($F$8/30))</f>
        <v/>
      </c>
      <c r="G827" s="16" t="str">
        <f>IF(OR(TaxaJuros="",C827=""),"",-$F$9)</f>
        <v/>
      </c>
      <c r="H827" s="21" t="str">
        <f>IF(OR(TaxaJuros="",C827=""),"",IF(ComSemIOF=FALSE,0,IF(E827&gt;365,-(D827+F827)*365*IOFDiario,-(D827+F827)*E827*IOFDiario)))</f>
        <v/>
      </c>
      <c r="I827" s="21" t="str">
        <f>IF(OR(TaxaJuros="",C827=""),"",IF(ComSemIOF=FALSE,0,-(D827+F827)*IOFAdic))</f>
        <v/>
      </c>
      <c r="J827" s="16" t="str">
        <f>IF(OR(TaxaJuros="",C827=""),"",D827+SUM(F827:I827))</f>
        <v/>
      </c>
      <c r="K827" s="67" t="str">
        <f>IF(OR(TaxaJuros="",C827=""),"",100%-J827/D827)</f>
        <v/>
      </c>
    </row>
    <row r="828" spans="5:11" x14ac:dyDescent="0.25">
      <c r="E828" s="15" t="str">
        <f>IF(OR(DataRecebimento="",C828=""),"",C828-$F$7)</f>
        <v/>
      </c>
      <c r="F828" s="16" t="str">
        <f>IF(OR(TaxaJuros="",C828=""),"",-D828*E828*($F$8/30))</f>
        <v/>
      </c>
      <c r="G828" s="16" t="str">
        <f>IF(OR(TaxaJuros="",C828=""),"",-$F$9)</f>
        <v/>
      </c>
      <c r="H828" s="21" t="str">
        <f>IF(OR(TaxaJuros="",C828=""),"",IF(ComSemIOF=FALSE,0,IF(E828&gt;365,-(D828+F828)*365*IOFDiario,-(D828+F828)*E828*IOFDiario)))</f>
        <v/>
      </c>
      <c r="I828" s="21" t="str">
        <f>IF(OR(TaxaJuros="",C828=""),"",IF(ComSemIOF=FALSE,0,-(D828+F828)*IOFAdic))</f>
        <v/>
      </c>
      <c r="J828" s="16" t="str">
        <f>IF(OR(TaxaJuros="",C828=""),"",D828+SUM(F828:I828))</f>
        <v/>
      </c>
      <c r="K828" s="67" t="str">
        <f>IF(OR(TaxaJuros="",C828=""),"",100%-J828/D828)</f>
        <v/>
      </c>
    </row>
    <row r="829" spans="5:11" x14ac:dyDescent="0.25">
      <c r="E829" s="15" t="str">
        <f>IF(OR(DataRecebimento="",C829=""),"",C829-$F$7)</f>
        <v/>
      </c>
      <c r="F829" s="16" t="str">
        <f>IF(OR(TaxaJuros="",C829=""),"",-D829*E829*($F$8/30))</f>
        <v/>
      </c>
      <c r="G829" s="16" t="str">
        <f>IF(OR(TaxaJuros="",C829=""),"",-$F$9)</f>
        <v/>
      </c>
      <c r="H829" s="21" t="str">
        <f>IF(OR(TaxaJuros="",C829=""),"",IF(ComSemIOF=FALSE,0,IF(E829&gt;365,-(D829+F829)*365*IOFDiario,-(D829+F829)*E829*IOFDiario)))</f>
        <v/>
      </c>
      <c r="I829" s="21" t="str">
        <f>IF(OR(TaxaJuros="",C829=""),"",IF(ComSemIOF=FALSE,0,-(D829+F829)*IOFAdic))</f>
        <v/>
      </c>
      <c r="J829" s="16" t="str">
        <f>IF(OR(TaxaJuros="",C829=""),"",D829+SUM(F829:I829))</f>
        <v/>
      </c>
      <c r="K829" s="67" t="str">
        <f>IF(OR(TaxaJuros="",C829=""),"",100%-J829/D829)</f>
        <v/>
      </c>
    </row>
    <row r="830" spans="5:11" x14ac:dyDescent="0.25">
      <c r="E830" s="15" t="str">
        <f>IF(OR(DataRecebimento="",C830=""),"",C830-$F$7)</f>
        <v/>
      </c>
      <c r="F830" s="16" t="str">
        <f>IF(OR(TaxaJuros="",C830=""),"",-D830*E830*($F$8/30))</f>
        <v/>
      </c>
      <c r="G830" s="16" t="str">
        <f>IF(OR(TaxaJuros="",C830=""),"",-$F$9)</f>
        <v/>
      </c>
      <c r="H830" s="21" t="str">
        <f>IF(OR(TaxaJuros="",C830=""),"",IF(ComSemIOF=FALSE,0,IF(E830&gt;365,-(D830+F830)*365*IOFDiario,-(D830+F830)*E830*IOFDiario)))</f>
        <v/>
      </c>
      <c r="I830" s="21" t="str">
        <f>IF(OR(TaxaJuros="",C830=""),"",IF(ComSemIOF=FALSE,0,-(D830+F830)*IOFAdic))</f>
        <v/>
      </c>
      <c r="J830" s="16" t="str">
        <f>IF(OR(TaxaJuros="",C830=""),"",D830+SUM(F830:I830))</f>
        <v/>
      </c>
      <c r="K830" s="67" t="str">
        <f>IF(OR(TaxaJuros="",C830=""),"",100%-J830/D830)</f>
        <v/>
      </c>
    </row>
    <row r="831" spans="5:11" x14ac:dyDescent="0.25">
      <c r="E831" s="15" t="str">
        <f>IF(OR(DataRecebimento="",C831=""),"",C831-$F$7)</f>
        <v/>
      </c>
      <c r="F831" s="16" t="str">
        <f>IF(OR(TaxaJuros="",C831=""),"",-D831*E831*($F$8/30))</f>
        <v/>
      </c>
      <c r="G831" s="16" t="str">
        <f>IF(OR(TaxaJuros="",C831=""),"",-$F$9)</f>
        <v/>
      </c>
      <c r="H831" s="21" t="str">
        <f>IF(OR(TaxaJuros="",C831=""),"",IF(ComSemIOF=FALSE,0,IF(E831&gt;365,-(D831+F831)*365*IOFDiario,-(D831+F831)*E831*IOFDiario)))</f>
        <v/>
      </c>
      <c r="I831" s="21" t="str">
        <f>IF(OR(TaxaJuros="",C831=""),"",IF(ComSemIOF=FALSE,0,-(D831+F831)*IOFAdic))</f>
        <v/>
      </c>
      <c r="J831" s="16" t="str">
        <f>IF(OR(TaxaJuros="",C831=""),"",D831+SUM(F831:I831))</f>
        <v/>
      </c>
      <c r="K831" s="67" t="str">
        <f>IF(OR(TaxaJuros="",C831=""),"",100%-J831/D831)</f>
        <v/>
      </c>
    </row>
    <row r="832" spans="5:11" x14ac:dyDescent="0.25">
      <c r="E832" s="15" t="str">
        <f>IF(OR(DataRecebimento="",C832=""),"",C832-$F$7)</f>
        <v/>
      </c>
      <c r="F832" s="16" t="str">
        <f>IF(OR(TaxaJuros="",C832=""),"",-D832*E832*($F$8/30))</f>
        <v/>
      </c>
      <c r="G832" s="16" t="str">
        <f>IF(OR(TaxaJuros="",C832=""),"",-$F$9)</f>
        <v/>
      </c>
      <c r="H832" s="21" t="str">
        <f>IF(OR(TaxaJuros="",C832=""),"",IF(ComSemIOF=FALSE,0,IF(E832&gt;365,-(D832+F832)*365*IOFDiario,-(D832+F832)*E832*IOFDiario)))</f>
        <v/>
      </c>
      <c r="I832" s="21" t="str">
        <f>IF(OR(TaxaJuros="",C832=""),"",IF(ComSemIOF=FALSE,0,-(D832+F832)*IOFAdic))</f>
        <v/>
      </c>
      <c r="J832" s="16" t="str">
        <f>IF(OR(TaxaJuros="",C832=""),"",D832+SUM(F832:I832))</f>
        <v/>
      </c>
      <c r="K832" s="67" t="str">
        <f>IF(OR(TaxaJuros="",C832=""),"",100%-J832/D832)</f>
        <v/>
      </c>
    </row>
    <row r="833" spans="5:11" x14ac:dyDescent="0.25">
      <c r="E833" s="15" t="str">
        <f>IF(OR(DataRecebimento="",C833=""),"",C833-$F$7)</f>
        <v/>
      </c>
      <c r="F833" s="16" t="str">
        <f>IF(OR(TaxaJuros="",C833=""),"",-D833*E833*($F$8/30))</f>
        <v/>
      </c>
      <c r="G833" s="16" t="str">
        <f>IF(OR(TaxaJuros="",C833=""),"",-$F$9)</f>
        <v/>
      </c>
      <c r="H833" s="21" t="str">
        <f>IF(OR(TaxaJuros="",C833=""),"",IF(ComSemIOF=FALSE,0,IF(E833&gt;365,-(D833+F833)*365*IOFDiario,-(D833+F833)*E833*IOFDiario)))</f>
        <v/>
      </c>
      <c r="I833" s="21" t="str">
        <f>IF(OR(TaxaJuros="",C833=""),"",IF(ComSemIOF=FALSE,0,-(D833+F833)*IOFAdic))</f>
        <v/>
      </c>
      <c r="J833" s="16" t="str">
        <f>IF(OR(TaxaJuros="",C833=""),"",D833+SUM(F833:I833))</f>
        <v/>
      </c>
      <c r="K833" s="67" t="str">
        <f>IF(OR(TaxaJuros="",C833=""),"",100%-J833/D833)</f>
        <v/>
      </c>
    </row>
    <row r="834" spans="5:11" x14ac:dyDescent="0.25">
      <c r="E834" s="15" t="str">
        <f>IF(OR(DataRecebimento="",C834=""),"",C834-$F$7)</f>
        <v/>
      </c>
      <c r="F834" s="16" t="str">
        <f>IF(OR(TaxaJuros="",C834=""),"",-D834*E834*($F$8/30))</f>
        <v/>
      </c>
      <c r="G834" s="16" t="str">
        <f>IF(OR(TaxaJuros="",C834=""),"",-$F$9)</f>
        <v/>
      </c>
      <c r="H834" s="21" t="str">
        <f>IF(OR(TaxaJuros="",C834=""),"",IF(ComSemIOF=FALSE,0,IF(E834&gt;365,-(D834+F834)*365*IOFDiario,-(D834+F834)*E834*IOFDiario)))</f>
        <v/>
      </c>
      <c r="I834" s="21" t="str">
        <f>IF(OR(TaxaJuros="",C834=""),"",IF(ComSemIOF=FALSE,0,-(D834+F834)*IOFAdic))</f>
        <v/>
      </c>
      <c r="J834" s="16" t="str">
        <f>IF(OR(TaxaJuros="",C834=""),"",D834+SUM(F834:I834))</f>
        <v/>
      </c>
      <c r="K834" s="67" t="str">
        <f>IF(OR(TaxaJuros="",C834=""),"",100%-J834/D834)</f>
        <v/>
      </c>
    </row>
    <row r="835" spans="5:11" x14ac:dyDescent="0.25">
      <c r="E835" s="15" t="str">
        <f>IF(OR(DataRecebimento="",C835=""),"",C835-$F$7)</f>
        <v/>
      </c>
      <c r="F835" s="16" t="str">
        <f>IF(OR(TaxaJuros="",C835=""),"",-D835*E835*($F$8/30))</f>
        <v/>
      </c>
      <c r="G835" s="16" t="str">
        <f>IF(OR(TaxaJuros="",C835=""),"",-$F$9)</f>
        <v/>
      </c>
      <c r="H835" s="21" t="str">
        <f>IF(OR(TaxaJuros="",C835=""),"",IF(ComSemIOF=FALSE,0,IF(E835&gt;365,-(D835+F835)*365*IOFDiario,-(D835+F835)*E835*IOFDiario)))</f>
        <v/>
      </c>
      <c r="I835" s="21" t="str">
        <f>IF(OR(TaxaJuros="",C835=""),"",IF(ComSemIOF=FALSE,0,-(D835+F835)*IOFAdic))</f>
        <v/>
      </c>
      <c r="J835" s="16" t="str">
        <f>IF(OR(TaxaJuros="",C835=""),"",D835+SUM(F835:I835))</f>
        <v/>
      </c>
      <c r="K835" s="67" t="str">
        <f>IF(OR(TaxaJuros="",C835=""),"",100%-J835/D835)</f>
        <v/>
      </c>
    </row>
    <row r="836" spans="5:11" x14ac:dyDescent="0.25">
      <c r="E836" s="15" t="str">
        <f>IF(OR(DataRecebimento="",C836=""),"",C836-$F$7)</f>
        <v/>
      </c>
      <c r="F836" s="16" t="str">
        <f>IF(OR(TaxaJuros="",C836=""),"",-D836*E836*($F$8/30))</f>
        <v/>
      </c>
      <c r="G836" s="16" t="str">
        <f>IF(OR(TaxaJuros="",C836=""),"",-$F$9)</f>
        <v/>
      </c>
      <c r="H836" s="21" t="str">
        <f>IF(OR(TaxaJuros="",C836=""),"",IF(ComSemIOF=FALSE,0,IF(E836&gt;365,-(D836+F836)*365*IOFDiario,-(D836+F836)*E836*IOFDiario)))</f>
        <v/>
      </c>
      <c r="I836" s="21" t="str">
        <f>IF(OR(TaxaJuros="",C836=""),"",IF(ComSemIOF=FALSE,0,-(D836+F836)*IOFAdic))</f>
        <v/>
      </c>
      <c r="J836" s="16" t="str">
        <f>IF(OR(TaxaJuros="",C836=""),"",D836+SUM(F836:I836))</f>
        <v/>
      </c>
      <c r="K836" s="67" t="str">
        <f>IF(OR(TaxaJuros="",C836=""),"",100%-J836/D836)</f>
        <v/>
      </c>
    </row>
    <row r="837" spans="5:11" x14ac:dyDescent="0.25">
      <c r="E837" s="15" t="str">
        <f>IF(OR(DataRecebimento="",C837=""),"",C837-$F$7)</f>
        <v/>
      </c>
      <c r="F837" s="16" t="str">
        <f>IF(OR(TaxaJuros="",C837=""),"",-D837*E837*($F$8/30))</f>
        <v/>
      </c>
      <c r="G837" s="16" t="str">
        <f>IF(OR(TaxaJuros="",C837=""),"",-$F$9)</f>
        <v/>
      </c>
      <c r="H837" s="21" t="str">
        <f>IF(OR(TaxaJuros="",C837=""),"",IF(ComSemIOF=FALSE,0,IF(E837&gt;365,-(D837+F837)*365*IOFDiario,-(D837+F837)*E837*IOFDiario)))</f>
        <v/>
      </c>
      <c r="I837" s="21" t="str">
        <f>IF(OR(TaxaJuros="",C837=""),"",IF(ComSemIOF=FALSE,0,-(D837+F837)*IOFAdic))</f>
        <v/>
      </c>
      <c r="J837" s="16" t="str">
        <f>IF(OR(TaxaJuros="",C837=""),"",D837+SUM(F837:I837))</f>
        <v/>
      </c>
      <c r="K837" s="67" t="str">
        <f>IF(OR(TaxaJuros="",C837=""),"",100%-J837/D837)</f>
        <v/>
      </c>
    </row>
    <row r="838" spans="5:11" x14ac:dyDescent="0.25">
      <c r="E838" s="15" t="str">
        <f>IF(OR(DataRecebimento="",C838=""),"",C838-$F$7)</f>
        <v/>
      </c>
      <c r="F838" s="16" t="str">
        <f>IF(OR(TaxaJuros="",C838=""),"",-D838*E838*($F$8/30))</f>
        <v/>
      </c>
      <c r="G838" s="16" t="str">
        <f>IF(OR(TaxaJuros="",C838=""),"",-$F$9)</f>
        <v/>
      </c>
      <c r="H838" s="21" t="str">
        <f>IF(OR(TaxaJuros="",C838=""),"",IF(ComSemIOF=FALSE,0,IF(E838&gt;365,-(D838+F838)*365*IOFDiario,-(D838+F838)*E838*IOFDiario)))</f>
        <v/>
      </c>
      <c r="I838" s="21" t="str">
        <f>IF(OR(TaxaJuros="",C838=""),"",IF(ComSemIOF=FALSE,0,-(D838+F838)*IOFAdic))</f>
        <v/>
      </c>
      <c r="J838" s="16" t="str">
        <f>IF(OR(TaxaJuros="",C838=""),"",D838+SUM(F838:I838))</f>
        <v/>
      </c>
      <c r="K838" s="67" t="str">
        <f>IF(OR(TaxaJuros="",C838=""),"",100%-J838/D838)</f>
        <v/>
      </c>
    </row>
    <row r="839" spans="5:11" x14ac:dyDescent="0.25">
      <c r="E839" s="15" t="str">
        <f>IF(OR(DataRecebimento="",C839=""),"",C839-$F$7)</f>
        <v/>
      </c>
      <c r="F839" s="16" t="str">
        <f>IF(OR(TaxaJuros="",C839=""),"",-D839*E839*($F$8/30))</f>
        <v/>
      </c>
      <c r="G839" s="16" t="str">
        <f>IF(OR(TaxaJuros="",C839=""),"",-$F$9)</f>
        <v/>
      </c>
      <c r="H839" s="21" t="str">
        <f>IF(OR(TaxaJuros="",C839=""),"",IF(ComSemIOF=FALSE,0,IF(E839&gt;365,-(D839+F839)*365*IOFDiario,-(D839+F839)*E839*IOFDiario)))</f>
        <v/>
      </c>
      <c r="I839" s="21" t="str">
        <f>IF(OR(TaxaJuros="",C839=""),"",IF(ComSemIOF=FALSE,0,-(D839+F839)*IOFAdic))</f>
        <v/>
      </c>
      <c r="J839" s="16" t="str">
        <f>IF(OR(TaxaJuros="",C839=""),"",D839+SUM(F839:I839))</f>
        <v/>
      </c>
      <c r="K839" s="67" t="str">
        <f>IF(OR(TaxaJuros="",C839=""),"",100%-J839/D839)</f>
        <v/>
      </c>
    </row>
    <row r="840" spans="5:11" x14ac:dyDescent="0.25">
      <c r="E840" s="15" t="str">
        <f>IF(OR(DataRecebimento="",C840=""),"",C840-$F$7)</f>
        <v/>
      </c>
      <c r="F840" s="16" t="str">
        <f>IF(OR(TaxaJuros="",C840=""),"",-D840*E840*($F$8/30))</f>
        <v/>
      </c>
      <c r="G840" s="16" t="str">
        <f>IF(OR(TaxaJuros="",C840=""),"",-$F$9)</f>
        <v/>
      </c>
      <c r="H840" s="21" t="str">
        <f>IF(OR(TaxaJuros="",C840=""),"",IF(ComSemIOF=FALSE,0,IF(E840&gt;365,-(D840+F840)*365*IOFDiario,-(D840+F840)*E840*IOFDiario)))</f>
        <v/>
      </c>
      <c r="I840" s="21" t="str">
        <f>IF(OR(TaxaJuros="",C840=""),"",IF(ComSemIOF=FALSE,0,-(D840+F840)*IOFAdic))</f>
        <v/>
      </c>
      <c r="J840" s="16" t="str">
        <f>IF(OR(TaxaJuros="",C840=""),"",D840+SUM(F840:I840))</f>
        <v/>
      </c>
      <c r="K840" s="67" t="str">
        <f>IF(OR(TaxaJuros="",C840=""),"",100%-J840/D840)</f>
        <v/>
      </c>
    </row>
    <row r="841" spans="5:11" x14ac:dyDescent="0.25">
      <c r="E841" s="15" t="str">
        <f>IF(OR(DataRecebimento="",C841=""),"",C841-$F$7)</f>
        <v/>
      </c>
      <c r="F841" s="16" t="str">
        <f>IF(OR(TaxaJuros="",C841=""),"",-D841*E841*($F$8/30))</f>
        <v/>
      </c>
      <c r="G841" s="16" t="str">
        <f>IF(OR(TaxaJuros="",C841=""),"",-$F$9)</f>
        <v/>
      </c>
      <c r="H841" s="21" t="str">
        <f>IF(OR(TaxaJuros="",C841=""),"",IF(ComSemIOF=FALSE,0,IF(E841&gt;365,-(D841+F841)*365*IOFDiario,-(D841+F841)*E841*IOFDiario)))</f>
        <v/>
      </c>
      <c r="I841" s="21" t="str">
        <f>IF(OR(TaxaJuros="",C841=""),"",IF(ComSemIOF=FALSE,0,-(D841+F841)*IOFAdic))</f>
        <v/>
      </c>
      <c r="J841" s="16" t="str">
        <f>IF(OR(TaxaJuros="",C841=""),"",D841+SUM(F841:I841))</f>
        <v/>
      </c>
      <c r="K841" s="67" t="str">
        <f>IF(OR(TaxaJuros="",C841=""),"",100%-J841/D841)</f>
        <v/>
      </c>
    </row>
    <row r="842" spans="5:11" x14ac:dyDescent="0.25">
      <c r="E842" s="15" t="str">
        <f>IF(OR(DataRecebimento="",C842=""),"",C842-$F$7)</f>
        <v/>
      </c>
      <c r="F842" s="16" t="str">
        <f>IF(OR(TaxaJuros="",C842=""),"",-D842*E842*($F$8/30))</f>
        <v/>
      </c>
      <c r="G842" s="16" t="str">
        <f>IF(OR(TaxaJuros="",C842=""),"",-$F$9)</f>
        <v/>
      </c>
      <c r="H842" s="21" t="str">
        <f>IF(OR(TaxaJuros="",C842=""),"",IF(ComSemIOF=FALSE,0,IF(E842&gt;365,-(D842+F842)*365*IOFDiario,-(D842+F842)*E842*IOFDiario)))</f>
        <v/>
      </c>
      <c r="I842" s="21" t="str">
        <f>IF(OR(TaxaJuros="",C842=""),"",IF(ComSemIOF=FALSE,0,-(D842+F842)*IOFAdic))</f>
        <v/>
      </c>
      <c r="J842" s="16" t="str">
        <f>IF(OR(TaxaJuros="",C842=""),"",D842+SUM(F842:I842))</f>
        <v/>
      </c>
      <c r="K842" s="67" t="str">
        <f>IF(OR(TaxaJuros="",C842=""),"",100%-J842/D842)</f>
        <v/>
      </c>
    </row>
    <row r="843" spans="5:11" x14ac:dyDescent="0.25">
      <c r="E843" s="15" t="str">
        <f>IF(OR(DataRecebimento="",C843=""),"",C843-$F$7)</f>
        <v/>
      </c>
      <c r="F843" s="16" t="str">
        <f>IF(OR(TaxaJuros="",C843=""),"",-D843*E843*($F$8/30))</f>
        <v/>
      </c>
      <c r="G843" s="16" t="str">
        <f>IF(OR(TaxaJuros="",C843=""),"",-$F$9)</f>
        <v/>
      </c>
      <c r="H843" s="21" t="str">
        <f>IF(OR(TaxaJuros="",C843=""),"",IF(ComSemIOF=FALSE,0,IF(E843&gt;365,-(D843+F843)*365*IOFDiario,-(D843+F843)*E843*IOFDiario)))</f>
        <v/>
      </c>
      <c r="I843" s="21" t="str">
        <f>IF(OR(TaxaJuros="",C843=""),"",IF(ComSemIOF=FALSE,0,-(D843+F843)*IOFAdic))</f>
        <v/>
      </c>
      <c r="J843" s="16" t="str">
        <f>IF(OR(TaxaJuros="",C843=""),"",D843+SUM(F843:I843))</f>
        <v/>
      </c>
      <c r="K843" s="67" t="str">
        <f>IF(OR(TaxaJuros="",C843=""),"",100%-J843/D843)</f>
        <v/>
      </c>
    </row>
    <row r="844" spans="5:11" x14ac:dyDescent="0.25">
      <c r="E844" s="15" t="str">
        <f>IF(OR(DataRecebimento="",C844=""),"",C844-$F$7)</f>
        <v/>
      </c>
      <c r="F844" s="16" t="str">
        <f>IF(OR(TaxaJuros="",C844=""),"",-D844*E844*($F$8/30))</f>
        <v/>
      </c>
      <c r="G844" s="16" t="str">
        <f>IF(OR(TaxaJuros="",C844=""),"",-$F$9)</f>
        <v/>
      </c>
      <c r="H844" s="21" t="str">
        <f>IF(OR(TaxaJuros="",C844=""),"",IF(ComSemIOF=FALSE,0,IF(E844&gt;365,-(D844+F844)*365*IOFDiario,-(D844+F844)*E844*IOFDiario)))</f>
        <v/>
      </c>
      <c r="I844" s="21" t="str">
        <f>IF(OR(TaxaJuros="",C844=""),"",IF(ComSemIOF=FALSE,0,-(D844+F844)*IOFAdic))</f>
        <v/>
      </c>
      <c r="J844" s="16" t="str">
        <f>IF(OR(TaxaJuros="",C844=""),"",D844+SUM(F844:I844))</f>
        <v/>
      </c>
      <c r="K844" s="67" t="str">
        <f>IF(OR(TaxaJuros="",C844=""),"",100%-J844/D844)</f>
        <v/>
      </c>
    </row>
    <row r="845" spans="5:11" x14ac:dyDescent="0.25">
      <c r="E845" s="15" t="str">
        <f>IF(OR(DataRecebimento="",C845=""),"",C845-$F$7)</f>
        <v/>
      </c>
      <c r="F845" s="16" t="str">
        <f>IF(OR(TaxaJuros="",C845=""),"",-D845*E845*($F$8/30))</f>
        <v/>
      </c>
      <c r="G845" s="16" t="str">
        <f>IF(OR(TaxaJuros="",C845=""),"",-$F$9)</f>
        <v/>
      </c>
      <c r="H845" s="21" t="str">
        <f>IF(OR(TaxaJuros="",C845=""),"",IF(ComSemIOF=FALSE,0,IF(E845&gt;365,-(D845+F845)*365*IOFDiario,-(D845+F845)*E845*IOFDiario)))</f>
        <v/>
      </c>
      <c r="I845" s="21" t="str">
        <f>IF(OR(TaxaJuros="",C845=""),"",IF(ComSemIOF=FALSE,0,-(D845+F845)*IOFAdic))</f>
        <v/>
      </c>
      <c r="J845" s="16" t="str">
        <f>IF(OR(TaxaJuros="",C845=""),"",D845+SUM(F845:I845))</f>
        <v/>
      </c>
      <c r="K845" s="67" t="str">
        <f>IF(OR(TaxaJuros="",C845=""),"",100%-J845/D845)</f>
        <v/>
      </c>
    </row>
    <row r="846" spans="5:11" x14ac:dyDescent="0.25">
      <c r="E846" s="15" t="str">
        <f>IF(OR(DataRecebimento="",C846=""),"",C846-$F$7)</f>
        <v/>
      </c>
      <c r="F846" s="16" t="str">
        <f>IF(OR(TaxaJuros="",C846=""),"",-D846*E846*($F$8/30))</f>
        <v/>
      </c>
      <c r="G846" s="16" t="str">
        <f>IF(OR(TaxaJuros="",C846=""),"",-$F$9)</f>
        <v/>
      </c>
      <c r="H846" s="21" t="str">
        <f>IF(OR(TaxaJuros="",C846=""),"",IF(ComSemIOF=FALSE,0,IF(E846&gt;365,-(D846+F846)*365*IOFDiario,-(D846+F846)*E846*IOFDiario)))</f>
        <v/>
      </c>
      <c r="I846" s="21" t="str">
        <f>IF(OR(TaxaJuros="",C846=""),"",IF(ComSemIOF=FALSE,0,-(D846+F846)*IOFAdic))</f>
        <v/>
      </c>
      <c r="J846" s="16" t="str">
        <f>IF(OR(TaxaJuros="",C846=""),"",D846+SUM(F846:I846))</f>
        <v/>
      </c>
      <c r="K846" s="67" t="str">
        <f>IF(OR(TaxaJuros="",C846=""),"",100%-J846/D846)</f>
        <v/>
      </c>
    </row>
    <row r="847" spans="5:11" x14ac:dyDescent="0.25">
      <c r="E847" s="15" t="str">
        <f>IF(OR(DataRecebimento="",C847=""),"",C847-$F$7)</f>
        <v/>
      </c>
      <c r="F847" s="16" t="str">
        <f>IF(OR(TaxaJuros="",C847=""),"",-D847*E847*($F$8/30))</f>
        <v/>
      </c>
      <c r="G847" s="16" t="str">
        <f>IF(OR(TaxaJuros="",C847=""),"",-$F$9)</f>
        <v/>
      </c>
      <c r="H847" s="21" t="str">
        <f>IF(OR(TaxaJuros="",C847=""),"",IF(ComSemIOF=FALSE,0,IF(E847&gt;365,-(D847+F847)*365*IOFDiario,-(D847+F847)*E847*IOFDiario)))</f>
        <v/>
      </c>
      <c r="I847" s="21" t="str">
        <f>IF(OR(TaxaJuros="",C847=""),"",IF(ComSemIOF=FALSE,0,-(D847+F847)*IOFAdic))</f>
        <v/>
      </c>
      <c r="J847" s="16" t="str">
        <f>IF(OR(TaxaJuros="",C847=""),"",D847+SUM(F847:I847))</f>
        <v/>
      </c>
      <c r="K847" s="67" t="str">
        <f>IF(OR(TaxaJuros="",C847=""),"",100%-J847/D847)</f>
        <v/>
      </c>
    </row>
    <row r="848" spans="5:11" x14ac:dyDescent="0.25">
      <c r="E848" s="15" t="str">
        <f>IF(OR(DataRecebimento="",C848=""),"",C848-$F$7)</f>
        <v/>
      </c>
      <c r="F848" s="16" t="str">
        <f>IF(OR(TaxaJuros="",C848=""),"",-D848*E848*($F$8/30))</f>
        <v/>
      </c>
      <c r="G848" s="16" t="str">
        <f>IF(OR(TaxaJuros="",C848=""),"",-$F$9)</f>
        <v/>
      </c>
      <c r="H848" s="21" t="str">
        <f>IF(OR(TaxaJuros="",C848=""),"",IF(ComSemIOF=FALSE,0,IF(E848&gt;365,-(D848+F848)*365*IOFDiario,-(D848+F848)*E848*IOFDiario)))</f>
        <v/>
      </c>
      <c r="I848" s="21" t="str">
        <f>IF(OR(TaxaJuros="",C848=""),"",IF(ComSemIOF=FALSE,0,-(D848+F848)*IOFAdic))</f>
        <v/>
      </c>
      <c r="J848" s="16" t="str">
        <f>IF(OR(TaxaJuros="",C848=""),"",D848+SUM(F848:I848))</f>
        <v/>
      </c>
      <c r="K848" s="67" t="str">
        <f>IF(OR(TaxaJuros="",C848=""),"",100%-J848/D848)</f>
        <v/>
      </c>
    </row>
    <row r="849" spans="5:11" x14ac:dyDescent="0.25">
      <c r="E849" s="15" t="str">
        <f>IF(OR(DataRecebimento="",C849=""),"",C849-$F$7)</f>
        <v/>
      </c>
      <c r="F849" s="16" t="str">
        <f>IF(OR(TaxaJuros="",C849=""),"",-D849*E849*($F$8/30))</f>
        <v/>
      </c>
      <c r="G849" s="16" t="str">
        <f>IF(OR(TaxaJuros="",C849=""),"",-$F$9)</f>
        <v/>
      </c>
      <c r="H849" s="21" t="str">
        <f>IF(OR(TaxaJuros="",C849=""),"",IF(ComSemIOF=FALSE,0,IF(E849&gt;365,-(D849+F849)*365*IOFDiario,-(D849+F849)*E849*IOFDiario)))</f>
        <v/>
      </c>
      <c r="I849" s="21" t="str">
        <f>IF(OR(TaxaJuros="",C849=""),"",IF(ComSemIOF=FALSE,0,-(D849+F849)*IOFAdic))</f>
        <v/>
      </c>
      <c r="J849" s="16" t="str">
        <f>IF(OR(TaxaJuros="",C849=""),"",D849+SUM(F849:I849))</f>
        <v/>
      </c>
      <c r="K849" s="67" t="str">
        <f>IF(OR(TaxaJuros="",C849=""),"",100%-J849/D849)</f>
        <v/>
      </c>
    </row>
    <row r="850" spans="5:11" x14ac:dyDescent="0.25">
      <c r="E850" s="15" t="str">
        <f>IF(OR(DataRecebimento="",C850=""),"",C850-$F$7)</f>
        <v/>
      </c>
      <c r="F850" s="16" t="str">
        <f>IF(OR(TaxaJuros="",C850=""),"",-D850*E850*($F$8/30))</f>
        <v/>
      </c>
      <c r="G850" s="16" t="str">
        <f>IF(OR(TaxaJuros="",C850=""),"",-$F$9)</f>
        <v/>
      </c>
      <c r="H850" s="21" t="str">
        <f>IF(OR(TaxaJuros="",C850=""),"",IF(ComSemIOF=FALSE,0,IF(E850&gt;365,-(D850+F850)*365*IOFDiario,-(D850+F850)*E850*IOFDiario)))</f>
        <v/>
      </c>
      <c r="I850" s="21" t="str">
        <f>IF(OR(TaxaJuros="",C850=""),"",IF(ComSemIOF=FALSE,0,-(D850+F850)*IOFAdic))</f>
        <v/>
      </c>
      <c r="J850" s="16" t="str">
        <f>IF(OR(TaxaJuros="",C850=""),"",D850+SUM(F850:I850))</f>
        <v/>
      </c>
      <c r="K850" s="67" t="str">
        <f>IF(OR(TaxaJuros="",C850=""),"",100%-J850/D850)</f>
        <v/>
      </c>
    </row>
    <row r="851" spans="5:11" x14ac:dyDescent="0.25">
      <c r="E851" s="15" t="str">
        <f>IF(OR(DataRecebimento="",C851=""),"",C851-$F$7)</f>
        <v/>
      </c>
      <c r="F851" s="16" t="str">
        <f>IF(OR(TaxaJuros="",C851=""),"",-D851*E851*($F$8/30))</f>
        <v/>
      </c>
      <c r="G851" s="16" t="str">
        <f>IF(OR(TaxaJuros="",C851=""),"",-$F$9)</f>
        <v/>
      </c>
      <c r="H851" s="21" t="str">
        <f>IF(OR(TaxaJuros="",C851=""),"",IF(ComSemIOF=FALSE,0,IF(E851&gt;365,-(D851+F851)*365*IOFDiario,-(D851+F851)*E851*IOFDiario)))</f>
        <v/>
      </c>
      <c r="I851" s="21" t="str">
        <f>IF(OR(TaxaJuros="",C851=""),"",IF(ComSemIOF=FALSE,0,-(D851+F851)*IOFAdic))</f>
        <v/>
      </c>
      <c r="J851" s="16" t="str">
        <f>IF(OR(TaxaJuros="",C851=""),"",D851+SUM(F851:I851))</f>
        <v/>
      </c>
      <c r="K851" s="67" t="str">
        <f>IF(OR(TaxaJuros="",C851=""),"",100%-J851/D851)</f>
        <v/>
      </c>
    </row>
    <row r="852" spans="5:11" x14ac:dyDescent="0.25">
      <c r="E852" s="15" t="str">
        <f>IF(OR(DataRecebimento="",C852=""),"",C852-$F$7)</f>
        <v/>
      </c>
      <c r="F852" s="16" t="str">
        <f>IF(OR(TaxaJuros="",C852=""),"",-D852*E852*($F$8/30))</f>
        <v/>
      </c>
      <c r="G852" s="16" t="str">
        <f>IF(OR(TaxaJuros="",C852=""),"",-$F$9)</f>
        <v/>
      </c>
      <c r="H852" s="21" t="str">
        <f>IF(OR(TaxaJuros="",C852=""),"",IF(ComSemIOF=FALSE,0,IF(E852&gt;365,-(D852+F852)*365*IOFDiario,-(D852+F852)*E852*IOFDiario)))</f>
        <v/>
      </c>
      <c r="I852" s="21" t="str">
        <f>IF(OR(TaxaJuros="",C852=""),"",IF(ComSemIOF=FALSE,0,-(D852+F852)*IOFAdic))</f>
        <v/>
      </c>
      <c r="J852" s="16" t="str">
        <f>IF(OR(TaxaJuros="",C852=""),"",D852+SUM(F852:I852))</f>
        <v/>
      </c>
      <c r="K852" s="67" t="str">
        <f>IF(OR(TaxaJuros="",C852=""),"",100%-J852/D852)</f>
        <v/>
      </c>
    </row>
    <row r="853" spans="5:11" x14ac:dyDescent="0.25">
      <c r="E853" s="15" t="str">
        <f>IF(OR(DataRecebimento="",C853=""),"",C853-$F$7)</f>
        <v/>
      </c>
      <c r="F853" s="16" t="str">
        <f>IF(OR(TaxaJuros="",C853=""),"",-D853*E853*($F$8/30))</f>
        <v/>
      </c>
      <c r="G853" s="16" t="str">
        <f>IF(OR(TaxaJuros="",C853=""),"",-$F$9)</f>
        <v/>
      </c>
      <c r="H853" s="21" t="str">
        <f>IF(OR(TaxaJuros="",C853=""),"",IF(ComSemIOF=FALSE,0,IF(E853&gt;365,-(D853+F853)*365*IOFDiario,-(D853+F853)*E853*IOFDiario)))</f>
        <v/>
      </c>
      <c r="I853" s="21" t="str">
        <f>IF(OR(TaxaJuros="",C853=""),"",IF(ComSemIOF=FALSE,0,-(D853+F853)*IOFAdic))</f>
        <v/>
      </c>
      <c r="J853" s="16" t="str">
        <f>IF(OR(TaxaJuros="",C853=""),"",D853+SUM(F853:I853))</f>
        <v/>
      </c>
      <c r="K853" s="67" t="str">
        <f>IF(OR(TaxaJuros="",C853=""),"",100%-J853/D853)</f>
        <v/>
      </c>
    </row>
    <row r="854" spans="5:11" x14ac:dyDescent="0.25">
      <c r="E854" s="15" t="str">
        <f>IF(OR(DataRecebimento="",C854=""),"",C854-$F$7)</f>
        <v/>
      </c>
      <c r="F854" s="16" t="str">
        <f>IF(OR(TaxaJuros="",C854=""),"",-D854*E854*($F$8/30))</f>
        <v/>
      </c>
      <c r="G854" s="16" t="str">
        <f>IF(OR(TaxaJuros="",C854=""),"",-$F$9)</f>
        <v/>
      </c>
      <c r="H854" s="21" t="str">
        <f>IF(OR(TaxaJuros="",C854=""),"",IF(ComSemIOF=FALSE,0,IF(E854&gt;365,-(D854+F854)*365*IOFDiario,-(D854+F854)*E854*IOFDiario)))</f>
        <v/>
      </c>
      <c r="I854" s="21" t="str">
        <f>IF(OR(TaxaJuros="",C854=""),"",IF(ComSemIOF=FALSE,0,-(D854+F854)*IOFAdic))</f>
        <v/>
      </c>
      <c r="J854" s="16" t="str">
        <f>IF(OR(TaxaJuros="",C854=""),"",D854+SUM(F854:I854))</f>
        <v/>
      </c>
      <c r="K854" s="67" t="str">
        <f>IF(OR(TaxaJuros="",C854=""),"",100%-J854/D854)</f>
        <v/>
      </c>
    </row>
    <row r="855" spans="5:11" x14ac:dyDescent="0.25">
      <c r="E855" s="15" t="str">
        <f>IF(OR(DataRecebimento="",C855=""),"",C855-$F$7)</f>
        <v/>
      </c>
      <c r="F855" s="16" t="str">
        <f>IF(OR(TaxaJuros="",C855=""),"",-D855*E855*($F$8/30))</f>
        <v/>
      </c>
      <c r="G855" s="16" t="str">
        <f>IF(OR(TaxaJuros="",C855=""),"",-$F$9)</f>
        <v/>
      </c>
      <c r="H855" s="21" t="str">
        <f>IF(OR(TaxaJuros="",C855=""),"",IF(ComSemIOF=FALSE,0,IF(E855&gt;365,-(D855+F855)*365*IOFDiario,-(D855+F855)*E855*IOFDiario)))</f>
        <v/>
      </c>
      <c r="I855" s="21" t="str">
        <f>IF(OR(TaxaJuros="",C855=""),"",IF(ComSemIOF=FALSE,0,-(D855+F855)*IOFAdic))</f>
        <v/>
      </c>
      <c r="J855" s="16" t="str">
        <f>IF(OR(TaxaJuros="",C855=""),"",D855+SUM(F855:I855))</f>
        <v/>
      </c>
      <c r="K855" s="67" t="str">
        <f>IF(OR(TaxaJuros="",C855=""),"",100%-J855/D855)</f>
        <v/>
      </c>
    </row>
    <row r="856" spans="5:11" x14ac:dyDescent="0.25">
      <c r="E856" s="15" t="str">
        <f>IF(OR(DataRecebimento="",C856=""),"",C856-$F$7)</f>
        <v/>
      </c>
      <c r="F856" s="16" t="str">
        <f>IF(OR(TaxaJuros="",C856=""),"",-D856*E856*($F$8/30))</f>
        <v/>
      </c>
      <c r="G856" s="16" t="str">
        <f>IF(OR(TaxaJuros="",C856=""),"",-$F$9)</f>
        <v/>
      </c>
      <c r="H856" s="21" t="str">
        <f>IF(OR(TaxaJuros="",C856=""),"",IF(ComSemIOF=FALSE,0,IF(E856&gt;365,-(D856+F856)*365*IOFDiario,-(D856+F856)*E856*IOFDiario)))</f>
        <v/>
      </c>
      <c r="I856" s="21" t="str">
        <f>IF(OR(TaxaJuros="",C856=""),"",IF(ComSemIOF=FALSE,0,-(D856+F856)*IOFAdic))</f>
        <v/>
      </c>
      <c r="J856" s="16" t="str">
        <f>IF(OR(TaxaJuros="",C856=""),"",D856+SUM(F856:I856))</f>
        <v/>
      </c>
      <c r="K856" s="67" t="str">
        <f>IF(OR(TaxaJuros="",C856=""),"",100%-J856/D856)</f>
        <v/>
      </c>
    </row>
    <row r="857" spans="5:11" x14ac:dyDescent="0.25">
      <c r="E857" s="15" t="str">
        <f>IF(OR(DataRecebimento="",C857=""),"",C857-$F$7)</f>
        <v/>
      </c>
      <c r="F857" s="16" t="str">
        <f>IF(OR(TaxaJuros="",C857=""),"",-D857*E857*($F$8/30))</f>
        <v/>
      </c>
      <c r="G857" s="16" t="str">
        <f>IF(OR(TaxaJuros="",C857=""),"",-$F$9)</f>
        <v/>
      </c>
      <c r="H857" s="21" t="str">
        <f>IF(OR(TaxaJuros="",C857=""),"",IF(ComSemIOF=FALSE,0,IF(E857&gt;365,-(D857+F857)*365*IOFDiario,-(D857+F857)*E857*IOFDiario)))</f>
        <v/>
      </c>
      <c r="I857" s="21" t="str">
        <f>IF(OR(TaxaJuros="",C857=""),"",IF(ComSemIOF=FALSE,0,-(D857+F857)*IOFAdic))</f>
        <v/>
      </c>
      <c r="J857" s="16" t="str">
        <f>IF(OR(TaxaJuros="",C857=""),"",D857+SUM(F857:I857))</f>
        <v/>
      </c>
      <c r="K857" s="67" t="str">
        <f>IF(OR(TaxaJuros="",C857=""),"",100%-J857/D857)</f>
        <v/>
      </c>
    </row>
    <row r="858" spans="5:11" x14ac:dyDescent="0.25">
      <c r="E858" s="15" t="str">
        <f>IF(OR(DataRecebimento="",C858=""),"",C858-$F$7)</f>
        <v/>
      </c>
      <c r="F858" s="16" t="str">
        <f>IF(OR(TaxaJuros="",C858=""),"",-D858*E858*($F$8/30))</f>
        <v/>
      </c>
      <c r="G858" s="16" t="str">
        <f>IF(OR(TaxaJuros="",C858=""),"",-$F$9)</f>
        <v/>
      </c>
      <c r="H858" s="21" t="str">
        <f>IF(OR(TaxaJuros="",C858=""),"",IF(ComSemIOF=FALSE,0,IF(E858&gt;365,-(D858+F858)*365*IOFDiario,-(D858+F858)*E858*IOFDiario)))</f>
        <v/>
      </c>
      <c r="I858" s="21" t="str">
        <f>IF(OR(TaxaJuros="",C858=""),"",IF(ComSemIOF=FALSE,0,-(D858+F858)*IOFAdic))</f>
        <v/>
      </c>
      <c r="J858" s="16" t="str">
        <f>IF(OR(TaxaJuros="",C858=""),"",D858+SUM(F858:I858))</f>
        <v/>
      </c>
      <c r="K858" s="67" t="str">
        <f>IF(OR(TaxaJuros="",C858=""),"",100%-J858/D858)</f>
        <v/>
      </c>
    </row>
    <row r="859" spans="5:11" x14ac:dyDescent="0.25">
      <c r="E859" s="15" t="str">
        <f>IF(OR(DataRecebimento="",C859=""),"",C859-$F$7)</f>
        <v/>
      </c>
      <c r="F859" s="16" t="str">
        <f>IF(OR(TaxaJuros="",C859=""),"",-D859*E859*($F$8/30))</f>
        <v/>
      </c>
      <c r="G859" s="16" t="str">
        <f>IF(OR(TaxaJuros="",C859=""),"",-$F$9)</f>
        <v/>
      </c>
      <c r="H859" s="21" t="str">
        <f>IF(OR(TaxaJuros="",C859=""),"",IF(ComSemIOF=FALSE,0,IF(E859&gt;365,-(D859+F859)*365*IOFDiario,-(D859+F859)*E859*IOFDiario)))</f>
        <v/>
      </c>
      <c r="I859" s="21" t="str">
        <f>IF(OR(TaxaJuros="",C859=""),"",IF(ComSemIOF=FALSE,0,-(D859+F859)*IOFAdic))</f>
        <v/>
      </c>
      <c r="J859" s="16" t="str">
        <f>IF(OR(TaxaJuros="",C859=""),"",D859+SUM(F859:I859))</f>
        <v/>
      </c>
      <c r="K859" s="67" t="str">
        <f>IF(OR(TaxaJuros="",C859=""),"",100%-J859/D859)</f>
        <v/>
      </c>
    </row>
    <row r="860" spans="5:11" x14ac:dyDescent="0.25">
      <c r="E860" s="15" t="str">
        <f>IF(OR(DataRecebimento="",C860=""),"",C860-$F$7)</f>
        <v/>
      </c>
      <c r="F860" s="16" t="str">
        <f>IF(OR(TaxaJuros="",C860=""),"",-D860*E860*($F$8/30))</f>
        <v/>
      </c>
      <c r="G860" s="16" t="str">
        <f>IF(OR(TaxaJuros="",C860=""),"",-$F$9)</f>
        <v/>
      </c>
      <c r="H860" s="21" t="str">
        <f>IF(OR(TaxaJuros="",C860=""),"",IF(ComSemIOF=FALSE,0,IF(E860&gt;365,-(D860+F860)*365*IOFDiario,-(D860+F860)*E860*IOFDiario)))</f>
        <v/>
      </c>
      <c r="I860" s="21" t="str">
        <f>IF(OR(TaxaJuros="",C860=""),"",IF(ComSemIOF=FALSE,0,-(D860+F860)*IOFAdic))</f>
        <v/>
      </c>
      <c r="J860" s="16" t="str">
        <f>IF(OR(TaxaJuros="",C860=""),"",D860+SUM(F860:I860))</f>
        <v/>
      </c>
      <c r="K860" s="67" t="str">
        <f>IF(OR(TaxaJuros="",C860=""),"",100%-J860/D860)</f>
        <v/>
      </c>
    </row>
    <row r="861" spans="5:11" x14ac:dyDescent="0.25">
      <c r="E861" s="15" t="str">
        <f>IF(OR(DataRecebimento="",C861=""),"",C861-$F$7)</f>
        <v/>
      </c>
      <c r="F861" s="16" t="str">
        <f>IF(OR(TaxaJuros="",C861=""),"",-D861*E861*($F$8/30))</f>
        <v/>
      </c>
      <c r="G861" s="16" t="str">
        <f>IF(OR(TaxaJuros="",C861=""),"",-$F$9)</f>
        <v/>
      </c>
      <c r="H861" s="21" t="str">
        <f>IF(OR(TaxaJuros="",C861=""),"",IF(ComSemIOF=FALSE,0,IF(E861&gt;365,-(D861+F861)*365*IOFDiario,-(D861+F861)*E861*IOFDiario)))</f>
        <v/>
      </c>
      <c r="I861" s="21" t="str">
        <f>IF(OR(TaxaJuros="",C861=""),"",IF(ComSemIOF=FALSE,0,-(D861+F861)*IOFAdic))</f>
        <v/>
      </c>
      <c r="J861" s="16" t="str">
        <f>IF(OR(TaxaJuros="",C861=""),"",D861+SUM(F861:I861))</f>
        <v/>
      </c>
      <c r="K861" s="67" t="str">
        <f>IF(OR(TaxaJuros="",C861=""),"",100%-J861/D861)</f>
        <v/>
      </c>
    </row>
    <row r="862" spans="5:11" x14ac:dyDescent="0.25">
      <c r="E862" s="15" t="str">
        <f>IF(OR(DataRecebimento="",C862=""),"",C862-$F$7)</f>
        <v/>
      </c>
      <c r="F862" s="16" t="str">
        <f>IF(OR(TaxaJuros="",C862=""),"",-D862*E862*($F$8/30))</f>
        <v/>
      </c>
      <c r="G862" s="16" t="str">
        <f>IF(OR(TaxaJuros="",C862=""),"",-$F$9)</f>
        <v/>
      </c>
      <c r="H862" s="21" t="str">
        <f>IF(OR(TaxaJuros="",C862=""),"",IF(ComSemIOF=FALSE,0,IF(E862&gt;365,-(D862+F862)*365*IOFDiario,-(D862+F862)*E862*IOFDiario)))</f>
        <v/>
      </c>
      <c r="I862" s="21" t="str">
        <f>IF(OR(TaxaJuros="",C862=""),"",IF(ComSemIOF=FALSE,0,-(D862+F862)*IOFAdic))</f>
        <v/>
      </c>
      <c r="J862" s="16" t="str">
        <f>IF(OR(TaxaJuros="",C862=""),"",D862+SUM(F862:I862))</f>
        <v/>
      </c>
      <c r="K862" s="67" t="str">
        <f>IF(OR(TaxaJuros="",C862=""),"",100%-J862/D862)</f>
        <v/>
      </c>
    </row>
    <row r="863" spans="5:11" x14ac:dyDescent="0.25">
      <c r="E863" s="15" t="str">
        <f>IF(OR(DataRecebimento="",C863=""),"",C863-$F$7)</f>
        <v/>
      </c>
      <c r="F863" s="16" t="str">
        <f>IF(OR(TaxaJuros="",C863=""),"",-D863*E863*($F$8/30))</f>
        <v/>
      </c>
      <c r="G863" s="16" t="str">
        <f>IF(OR(TaxaJuros="",C863=""),"",-$F$9)</f>
        <v/>
      </c>
      <c r="H863" s="21" t="str">
        <f>IF(OR(TaxaJuros="",C863=""),"",IF(ComSemIOF=FALSE,0,IF(E863&gt;365,-(D863+F863)*365*IOFDiario,-(D863+F863)*E863*IOFDiario)))</f>
        <v/>
      </c>
      <c r="I863" s="21" t="str">
        <f>IF(OR(TaxaJuros="",C863=""),"",IF(ComSemIOF=FALSE,0,-(D863+F863)*IOFAdic))</f>
        <v/>
      </c>
      <c r="J863" s="16" t="str">
        <f>IF(OR(TaxaJuros="",C863=""),"",D863+SUM(F863:I863))</f>
        <v/>
      </c>
      <c r="K863" s="67" t="str">
        <f>IF(OR(TaxaJuros="",C863=""),"",100%-J863/D863)</f>
        <v/>
      </c>
    </row>
    <row r="864" spans="5:11" x14ac:dyDescent="0.25">
      <c r="E864" s="15" t="str">
        <f>IF(OR(DataRecebimento="",C864=""),"",C864-$F$7)</f>
        <v/>
      </c>
      <c r="F864" s="16" t="str">
        <f>IF(OR(TaxaJuros="",C864=""),"",-D864*E864*($F$8/30))</f>
        <v/>
      </c>
      <c r="G864" s="16" t="str">
        <f>IF(OR(TaxaJuros="",C864=""),"",-$F$9)</f>
        <v/>
      </c>
      <c r="H864" s="21" t="str">
        <f>IF(OR(TaxaJuros="",C864=""),"",IF(ComSemIOF=FALSE,0,IF(E864&gt;365,-(D864+F864)*365*IOFDiario,-(D864+F864)*E864*IOFDiario)))</f>
        <v/>
      </c>
      <c r="I864" s="21" t="str">
        <f>IF(OR(TaxaJuros="",C864=""),"",IF(ComSemIOF=FALSE,0,-(D864+F864)*IOFAdic))</f>
        <v/>
      </c>
      <c r="J864" s="16" t="str">
        <f>IF(OR(TaxaJuros="",C864=""),"",D864+SUM(F864:I864))</f>
        <v/>
      </c>
      <c r="K864" s="67" t="str">
        <f>IF(OR(TaxaJuros="",C864=""),"",100%-J864/D864)</f>
        <v/>
      </c>
    </row>
    <row r="865" spans="5:11" x14ac:dyDescent="0.25">
      <c r="E865" s="15" t="str">
        <f>IF(OR(DataRecebimento="",C865=""),"",C865-$F$7)</f>
        <v/>
      </c>
      <c r="F865" s="16" t="str">
        <f>IF(OR(TaxaJuros="",C865=""),"",-D865*E865*($F$8/30))</f>
        <v/>
      </c>
      <c r="G865" s="16" t="str">
        <f>IF(OR(TaxaJuros="",C865=""),"",-$F$9)</f>
        <v/>
      </c>
      <c r="H865" s="21" t="str">
        <f>IF(OR(TaxaJuros="",C865=""),"",IF(ComSemIOF=FALSE,0,IF(E865&gt;365,-(D865+F865)*365*IOFDiario,-(D865+F865)*E865*IOFDiario)))</f>
        <v/>
      </c>
      <c r="I865" s="21" t="str">
        <f>IF(OR(TaxaJuros="",C865=""),"",IF(ComSemIOF=FALSE,0,-(D865+F865)*IOFAdic))</f>
        <v/>
      </c>
      <c r="J865" s="16" t="str">
        <f>IF(OR(TaxaJuros="",C865=""),"",D865+SUM(F865:I865))</f>
        <v/>
      </c>
      <c r="K865" s="67" t="str">
        <f>IF(OR(TaxaJuros="",C865=""),"",100%-J865/D865)</f>
        <v/>
      </c>
    </row>
    <row r="866" spans="5:11" x14ac:dyDescent="0.25">
      <c r="E866" s="15" t="str">
        <f>IF(OR(DataRecebimento="",C866=""),"",C866-$F$7)</f>
        <v/>
      </c>
      <c r="F866" s="16" t="str">
        <f>IF(OR(TaxaJuros="",C866=""),"",-D866*E866*($F$8/30))</f>
        <v/>
      </c>
      <c r="G866" s="16" t="str">
        <f>IF(OR(TaxaJuros="",C866=""),"",-$F$9)</f>
        <v/>
      </c>
      <c r="H866" s="21" t="str">
        <f>IF(OR(TaxaJuros="",C866=""),"",IF(ComSemIOF=FALSE,0,IF(E866&gt;365,-(D866+F866)*365*IOFDiario,-(D866+F866)*E866*IOFDiario)))</f>
        <v/>
      </c>
      <c r="I866" s="21" t="str">
        <f>IF(OR(TaxaJuros="",C866=""),"",IF(ComSemIOF=FALSE,0,-(D866+F866)*IOFAdic))</f>
        <v/>
      </c>
      <c r="J866" s="16" t="str">
        <f>IF(OR(TaxaJuros="",C866=""),"",D866+SUM(F866:I866))</f>
        <v/>
      </c>
      <c r="K866" s="67" t="str">
        <f>IF(OR(TaxaJuros="",C866=""),"",100%-J866/D866)</f>
        <v/>
      </c>
    </row>
    <row r="867" spans="5:11" x14ac:dyDescent="0.25">
      <c r="E867" s="15" t="str">
        <f>IF(OR(DataRecebimento="",C867=""),"",C867-$F$7)</f>
        <v/>
      </c>
      <c r="F867" s="16" t="str">
        <f>IF(OR(TaxaJuros="",C867=""),"",-D867*E867*($F$8/30))</f>
        <v/>
      </c>
      <c r="G867" s="16" t="str">
        <f>IF(OR(TaxaJuros="",C867=""),"",-$F$9)</f>
        <v/>
      </c>
      <c r="H867" s="21" t="str">
        <f>IF(OR(TaxaJuros="",C867=""),"",IF(ComSemIOF=FALSE,0,IF(E867&gt;365,-(D867+F867)*365*IOFDiario,-(D867+F867)*E867*IOFDiario)))</f>
        <v/>
      </c>
      <c r="I867" s="21" t="str">
        <f>IF(OR(TaxaJuros="",C867=""),"",IF(ComSemIOF=FALSE,0,-(D867+F867)*IOFAdic))</f>
        <v/>
      </c>
      <c r="J867" s="16" t="str">
        <f>IF(OR(TaxaJuros="",C867=""),"",D867+SUM(F867:I867))</f>
        <v/>
      </c>
      <c r="K867" s="67" t="str">
        <f>IF(OR(TaxaJuros="",C867=""),"",100%-J867/D867)</f>
        <v/>
      </c>
    </row>
    <row r="868" spans="5:11" x14ac:dyDescent="0.25">
      <c r="E868" s="15" t="str">
        <f>IF(OR(DataRecebimento="",C868=""),"",C868-$F$7)</f>
        <v/>
      </c>
      <c r="F868" s="16" t="str">
        <f>IF(OR(TaxaJuros="",C868=""),"",-D868*E868*($F$8/30))</f>
        <v/>
      </c>
      <c r="G868" s="16" t="str">
        <f>IF(OR(TaxaJuros="",C868=""),"",-$F$9)</f>
        <v/>
      </c>
      <c r="H868" s="21" t="str">
        <f>IF(OR(TaxaJuros="",C868=""),"",IF(ComSemIOF=FALSE,0,IF(E868&gt;365,-(D868+F868)*365*IOFDiario,-(D868+F868)*E868*IOFDiario)))</f>
        <v/>
      </c>
      <c r="I868" s="21" t="str">
        <f>IF(OR(TaxaJuros="",C868=""),"",IF(ComSemIOF=FALSE,0,-(D868+F868)*IOFAdic))</f>
        <v/>
      </c>
      <c r="J868" s="16" t="str">
        <f>IF(OR(TaxaJuros="",C868=""),"",D868+SUM(F868:I868))</f>
        <v/>
      </c>
      <c r="K868" s="67" t="str">
        <f>IF(OR(TaxaJuros="",C868=""),"",100%-J868/D868)</f>
        <v/>
      </c>
    </row>
    <row r="869" spans="5:11" x14ac:dyDescent="0.25">
      <c r="E869" s="15" t="str">
        <f>IF(OR(DataRecebimento="",C869=""),"",C869-$F$7)</f>
        <v/>
      </c>
      <c r="F869" s="16" t="str">
        <f>IF(OR(TaxaJuros="",C869=""),"",-D869*E869*($F$8/30))</f>
        <v/>
      </c>
      <c r="G869" s="16" t="str">
        <f>IF(OR(TaxaJuros="",C869=""),"",-$F$9)</f>
        <v/>
      </c>
      <c r="H869" s="21" t="str">
        <f>IF(OR(TaxaJuros="",C869=""),"",IF(ComSemIOF=FALSE,0,IF(E869&gt;365,-(D869+F869)*365*IOFDiario,-(D869+F869)*E869*IOFDiario)))</f>
        <v/>
      </c>
      <c r="I869" s="21" t="str">
        <f>IF(OR(TaxaJuros="",C869=""),"",IF(ComSemIOF=FALSE,0,-(D869+F869)*IOFAdic))</f>
        <v/>
      </c>
      <c r="J869" s="16" t="str">
        <f>IF(OR(TaxaJuros="",C869=""),"",D869+SUM(F869:I869))</f>
        <v/>
      </c>
      <c r="K869" s="67" t="str">
        <f>IF(OR(TaxaJuros="",C869=""),"",100%-J869/D869)</f>
        <v/>
      </c>
    </row>
    <row r="870" spans="5:11" x14ac:dyDescent="0.25">
      <c r="E870" s="15" t="str">
        <f>IF(OR(DataRecebimento="",C870=""),"",C870-$F$7)</f>
        <v/>
      </c>
      <c r="F870" s="16" t="str">
        <f>IF(OR(TaxaJuros="",C870=""),"",-D870*E870*($F$8/30))</f>
        <v/>
      </c>
      <c r="G870" s="16" t="str">
        <f>IF(OR(TaxaJuros="",C870=""),"",-$F$9)</f>
        <v/>
      </c>
      <c r="H870" s="21" t="str">
        <f>IF(OR(TaxaJuros="",C870=""),"",IF(ComSemIOF=FALSE,0,IF(E870&gt;365,-(D870+F870)*365*IOFDiario,-(D870+F870)*E870*IOFDiario)))</f>
        <v/>
      </c>
      <c r="I870" s="21" t="str">
        <f>IF(OR(TaxaJuros="",C870=""),"",IF(ComSemIOF=FALSE,0,-(D870+F870)*IOFAdic))</f>
        <v/>
      </c>
      <c r="J870" s="16" t="str">
        <f>IF(OR(TaxaJuros="",C870=""),"",D870+SUM(F870:I870))</f>
        <v/>
      </c>
      <c r="K870" s="67" t="str">
        <f>IF(OR(TaxaJuros="",C870=""),"",100%-J870/D870)</f>
        <v/>
      </c>
    </row>
    <row r="871" spans="5:11" x14ac:dyDescent="0.25">
      <c r="E871" s="15" t="str">
        <f>IF(OR(DataRecebimento="",C871=""),"",C871-$F$7)</f>
        <v/>
      </c>
      <c r="F871" s="16" t="str">
        <f>IF(OR(TaxaJuros="",C871=""),"",-D871*E871*($F$8/30))</f>
        <v/>
      </c>
      <c r="G871" s="16" t="str">
        <f>IF(OR(TaxaJuros="",C871=""),"",-$F$9)</f>
        <v/>
      </c>
      <c r="H871" s="21" t="str">
        <f>IF(OR(TaxaJuros="",C871=""),"",IF(ComSemIOF=FALSE,0,IF(E871&gt;365,-(D871+F871)*365*IOFDiario,-(D871+F871)*E871*IOFDiario)))</f>
        <v/>
      </c>
      <c r="I871" s="21" t="str">
        <f>IF(OR(TaxaJuros="",C871=""),"",IF(ComSemIOF=FALSE,0,-(D871+F871)*IOFAdic))</f>
        <v/>
      </c>
      <c r="J871" s="16" t="str">
        <f>IF(OR(TaxaJuros="",C871=""),"",D871+SUM(F871:I871))</f>
        <v/>
      </c>
      <c r="K871" s="67" t="str">
        <f>IF(OR(TaxaJuros="",C871=""),"",100%-J871/D871)</f>
        <v/>
      </c>
    </row>
    <row r="872" spans="5:11" x14ac:dyDescent="0.25">
      <c r="E872" s="15" t="str">
        <f>IF(OR(DataRecebimento="",C872=""),"",C872-$F$7)</f>
        <v/>
      </c>
      <c r="F872" s="16" t="str">
        <f>IF(OR(TaxaJuros="",C872=""),"",-D872*E872*($F$8/30))</f>
        <v/>
      </c>
      <c r="G872" s="16" t="str">
        <f>IF(OR(TaxaJuros="",C872=""),"",-$F$9)</f>
        <v/>
      </c>
      <c r="H872" s="21" t="str">
        <f>IF(OR(TaxaJuros="",C872=""),"",IF(ComSemIOF=FALSE,0,IF(E872&gt;365,-(D872+F872)*365*IOFDiario,-(D872+F872)*E872*IOFDiario)))</f>
        <v/>
      </c>
      <c r="I872" s="21" t="str">
        <f>IF(OR(TaxaJuros="",C872=""),"",IF(ComSemIOF=FALSE,0,-(D872+F872)*IOFAdic))</f>
        <v/>
      </c>
      <c r="J872" s="16" t="str">
        <f>IF(OR(TaxaJuros="",C872=""),"",D872+SUM(F872:I872))</f>
        <v/>
      </c>
      <c r="K872" s="67" t="str">
        <f>IF(OR(TaxaJuros="",C872=""),"",100%-J872/D872)</f>
        <v/>
      </c>
    </row>
    <row r="873" spans="5:11" x14ac:dyDescent="0.25">
      <c r="E873" s="15" t="str">
        <f>IF(OR(DataRecebimento="",C873=""),"",C873-$F$7)</f>
        <v/>
      </c>
      <c r="F873" s="16" t="str">
        <f>IF(OR(TaxaJuros="",C873=""),"",-D873*E873*($F$8/30))</f>
        <v/>
      </c>
      <c r="G873" s="16" t="str">
        <f>IF(OR(TaxaJuros="",C873=""),"",-$F$9)</f>
        <v/>
      </c>
      <c r="H873" s="21" t="str">
        <f>IF(OR(TaxaJuros="",C873=""),"",IF(ComSemIOF=FALSE,0,IF(E873&gt;365,-(D873+F873)*365*IOFDiario,-(D873+F873)*E873*IOFDiario)))</f>
        <v/>
      </c>
      <c r="I873" s="21" t="str">
        <f>IF(OR(TaxaJuros="",C873=""),"",IF(ComSemIOF=FALSE,0,-(D873+F873)*IOFAdic))</f>
        <v/>
      </c>
      <c r="J873" s="16" t="str">
        <f>IF(OR(TaxaJuros="",C873=""),"",D873+SUM(F873:I873))</f>
        <v/>
      </c>
      <c r="K873" s="67" t="str">
        <f>IF(OR(TaxaJuros="",C873=""),"",100%-J873/D873)</f>
        <v/>
      </c>
    </row>
    <row r="874" spans="5:11" x14ac:dyDescent="0.25">
      <c r="E874" s="15" t="str">
        <f>IF(OR(DataRecebimento="",C874=""),"",C874-$F$7)</f>
        <v/>
      </c>
      <c r="F874" s="16" t="str">
        <f>IF(OR(TaxaJuros="",C874=""),"",-D874*E874*($F$8/30))</f>
        <v/>
      </c>
      <c r="G874" s="16" t="str">
        <f>IF(OR(TaxaJuros="",C874=""),"",-$F$9)</f>
        <v/>
      </c>
      <c r="H874" s="21" t="str">
        <f>IF(OR(TaxaJuros="",C874=""),"",IF(ComSemIOF=FALSE,0,IF(E874&gt;365,-(D874+F874)*365*IOFDiario,-(D874+F874)*E874*IOFDiario)))</f>
        <v/>
      </c>
      <c r="I874" s="21" t="str">
        <f>IF(OR(TaxaJuros="",C874=""),"",IF(ComSemIOF=FALSE,0,-(D874+F874)*IOFAdic))</f>
        <v/>
      </c>
      <c r="J874" s="16" t="str">
        <f>IF(OR(TaxaJuros="",C874=""),"",D874+SUM(F874:I874))</f>
        <v/>
      </c>
      <c r="K874" s="67" t="str">
        <f>IF(OR(TaxaJuros="",C874=""),"",100%-J874/D874)</f>
        <v/>
      </c>
    </row>
    <row r="875" spans="5:11" x14ac:dyDescent="0.25">
      <c r="E875" s="15" t="str">
        <f>IF(OR(DataRecebimento="",C875=""),"",C875-$F$7)</f>
        <v/>
      </c>
      <c r="F875" s="16" t="str">
        <f>IF(OR(TaxaJuros="",C875=""),"",-D875*E875*($F$8/30))</f>
        <v/>
      </c>
      <c r="G875" s="16" t="str">
        <f>IF(OR(TaxaJuros="",C875=""),"",-$F$9)</f>
        <v/>
      </c>
      <c r="H875" s="21" t="str">
        <f>IF(OR(TaxaJuros="",C875=""),"",IF(ComSemIOF=FALSE,0,IF(E875&gt;365,-(D875+F875)*365*IOFDiario,-(D875+F875)*E875*IOFDiario)))</f>
        <v/>
      </c>
      <c r="I875" s="21" t="str">
        <f>IF(OR(TaxaJuros="",C875=""),"",IF(ComSemIOF=FALSE,0,-(D875+F875)*IOFAdic))</f>
        <v/>
      </c>
      <c r="J875" s="16" t="str">
        <f>IF(OR(TaxaJuros="",C875=""),"",D875+SUM(F875:I875))</f>
        <v/>
      </c>
      <c r="K875" s="67" t="str">
        <f>IF(OR(TaxaJuros="",C875=""),"",100%-J875/D875)</f>
        <v/>
      </c>
    </row>
    <row r="876" spans="5:11" x14ac:dyDescent="0.25">
      <c r="E876" s="15" t="str">
        <f>IF(OR(DataRecebimento="",C876=""),"",C876-$F$7)</f>
        <v/>
      </c>
      <c r="F876" s="16" t="str">
        <f>IF(OR(TaxaJuros="",C876=""),"",-D876*E876*($F$8/30))</f>
        <v/>
      </c>
      <c r="G876" s="16" t="str">
        <f>IF(OR(TaxaJuros="",C876=""),"",-$F$9)</f>
        <v/>
      </c>
      <c r="H876" s="21" t="str">
        <f>IF(OR(TaxaJuros="",C876=""),"",IF(ComSemIOF=FALSE,0,IF(E876&gt;365,-(D876+F876)*365*IOFDiario,-(D876+F876)*E876*IOFDiario)))</f>
        <v/>
      </c>
      <c r="I876" s="21" t="str">
        <f>IF(OR(TaxaJuros="",C876=""),"",IF(ComSemIOF=FALSE,0,-(D876+F876)*IOFAdic))</f>
        <v/>
      </c>
      <c r="J876" s="16" t="str">
        <f>IF(OR(TaxaJuros="",C876=""),"",D876+SUM(F876:I876))</f>
        <v/>
      </c>
      <c r="K876" s="67" t="str">
        <f>IF(OR(TaxaJuros="",C876=""),"",100%-J876/D876)</f>
        <v/>
      </c>
    </row>
    <row r="877" spans="5:11" x14ac:dyDescent="0.25">
      <c r="E877" s="15" t="str">
        <f>IF(OR(DataRecebimento="",C877=""),"",C877-$F$7)</f>
        <v/>
      </c>
      <c r="F877" s="16" t="str">
        <f>IF(OR(TaxaJuros="",C877=""),"",-D877*E877*($F$8/30))</f>
        <v/>
      </c>
      <c r="G877" s="16" t="str">
        <f>IF(OR(TaxaJuros="",C877=""),"",-$F$9)</f>
        <v/>
      </c>
      <c r="H877" s="21" t="str">
        <f>IF(OR(TaxaJuros="",C877=""),"",IF(ComSemIOF=FALSE,0,IF(E877&gt;365,-(D877+F877)*365*IOFDiario,-(D877+F877)*E877*IOFDiario)))</f>
        <v/>
      </c>
      <c r="I877" s="21" t="str">
        <f>IF(OR(TaxaJuros="",C877=""),"",IF(ComSemIOF=FALSE,0,-(D877+F877)*IOFAdic))</f>
        <v/>
      </c>
      <c r="J877" s="16" t="str">
        <f>IF(OR(TaxaJuros="",C877=""),"",D877+SUM(F877:I877))</f>
        <v/>
      </c>
      <c r="K877" s="67" t="str">
        <f>IF(OR(TaxaJuros="",C877=""),"",100%-J877/D877)</f>
        <v/>
      </c>
    </row>
    <row r="878" spans="5:11" x14ac:dyDescent="0.25">
      <c r="E878" s="15" t="str">
        <f>IF(OR(DataRecebimento="",C878=""),"",C878-$F$7)</f>
        <v/>
      </c>
      <c r="F878" s="16" t="str">
        <f>IF(OR(TaxaJuros="",C878=""),"",-D878*E878*($F$8/30))</f>
        <v/>
      </c>
      <c r="G878" s="16" t="str">
        <f>IF(OR(TaxaJuros="",C878=""),"",-$F$9)</f>
        <v/>
      </c>
      <c r="H878" s="21" t="str">
        <f>IF(OR(TaxaJuros="",C878=""),"",IF(ComSemIOF=FALSE,0,IF(E878&gt;365,-(D878+F878)*365*IOFDiario,-(D878+F878)*E878*IOFDiario)))</f>
        <v/>
      </c>
      <c r="I878" s="21" t="str">
        <f>IF(OR(TaxaJuros="",C878=""),"",IF(ComSemIOF=FALSE,0,-(D878+F878)*IOFAdic))</f>
        <v/>
      </c>
      <c r="J878" s="16" t="str">
        <f>IF(OR(TaxaJuros="",C878=""),"",D878+SUM(F878:I878))</f>
        <v/>
      </c>
      <c r="K878" s="67" t="str">
        <f>IF(OR(TaxaJuros="",C878=""),"",100%-J878/D878)</f>
        <v/>
      </c>
    </row>
    <row r="879" spans="5:11" x14ac:dyDescent="0.25">
      <c r="E879" s="15" t="str">
        <f>IF(OR(DataRecebimento="",C879=""),"",C879-$F$7)</f>
        <v/>
      </c>
      <c r="F879" s="16" t="str">
        <f>IF(OR(TaxaJuros="",C879=""),"",-D879*E879*($F$8/30))</f>
        <v/>
      </c>
      <c r="G879" s="16" t="str">
        <f>IF(OR(TaxaJuros="",C879=""),"",-$F$9)</f>
        <v/>
      </c>
      <c r="H879" s="21" t="str">
        <f>IF(OR(TaxaJuros="",C879=""),"",IF(ComSemIOF=FALSE,0,IF(E879&gt;365,-(D879+F879)*365*IOFDiario,-(D879+F879)*E879*IOFDiario)))</f>
        <v/>
      </c>
      <c r="I879" s="21" t="str">
        <f>IF(OR(TaxaJuros="",C879=""),"",IF(ComSemIOF=FALSE,0,-(D879+F879)*IOFAdic))</f>
        <v/>
      </c>
      <c r="J879" s="16" t="str">
        <f>IF(OR(TaxaJuros="",C879=""),"",D879+SUM(F879:I879))</f>
        <v/>
      </c>
      <c r="K879" s="67" t="str">
        <f>IF(OR(TaxaJuros="",C879=""),"",100%-J879/D879)</f>
        <v/>
      </c>
    </row>
    <row r="880" spans="5:11" x14ac:dyDescent="0.25">
      <c r="E880" s="15" t="str">
        <f>IF(OR(DataRecebimento="",C880=""),"",C880-$F$7)</f>
        <v/>
      </c>
      <c r="F880" s="16" t="str">
        <f>IF(OR(TaxaJuros="",C880=""),"",-D880*E880*($F$8/30))</f>
        <v/>
      </c>
      <c r="G880" s="16" t="str">
        <f>IF(OR(TaxaJuros="",C880=""),"",-$F$9)</f>
        <v/>
      </c>
      <c r="H880" s="21" t="str">
        <f>IF(OR(TaxaJuros="",C880=""),"",IF(ComSemIOF=FALSE,0,IF(E880&gt;365,-(D880+F880)*365*IOFDiario,-(D880+F880)*E880*IOFDiario)))</f>
        <v/>
      </c>
      <c r="I880" s="21" t="str">
        <f>IF(OR(TaxaJuros="",C880=""),"",IF(ComSemIOF=FALSE,0,-(D880+F880)*IOFAdic))</f>
        <v/>
      </c>
      <c r="J880" s="16" t="str">
        <f>IF(OR(TaxaJuros="",C880=""),"",D880+SUM(F880:I880))</f>
        <v/>
      </c>
      <c r="K880" s="67" t="str">
        <f>IF(OR(TaxaJuros="",C880=""),"",100%-J880/D880)</f>
        <v/>
      </c>
    </row>
    <row r="881" spans="5:11" x14ac:dyDescent="0.25">
      <c r="E881" s="15" t="str">
        <f>IF(OR(DataRecebimento="",C881=""),"",C881-$F$7)</f>
        <v/>
      </c>
      <c r="F881" s="16" t="str">
        <f>IF(OR(TaxaJuros="",C881=""),"",-D881*E881*($F$8/30))</f>
        <v/>
      </c>
      <c r="G881" s="16" t="str">
        <f>IF(OR(TaxaJuros="",C881=""),"",-$F$9)</f>
        <v/>
      </c>
      <c r="H881" s="21" t="str">
        <f>IF(OR(TaxaJuros="",C881=""),"",IF(ComSemIOF=FALSE,0,IF(E881&gt;365,-(D881+F881)*365*IOFDiario,-(D881+F881)*E881*IOFDiario)))</f>
        <v/>
      </c>
      <c r="I881" s="21" t="str">
        <f>IF(OR(TaxaJuros="",C881=""),"",IF(ComSemIOF=FALSE,0,-(D881+F881)*IOFAdic))</f>
        <v/>
      </c>
      <c r="J881" s="16" t="str">
        <f>IF(OR(TaxaJuros="",C881=""),"",D881+SUM(F881:I881))</f>
        <v/>
      </c>
      <c r="K881" s="67" t="str">
        <f>IF(OR(TaxaJuros="",C881=""),"",100%-J881/D881)</f>
        <v/>
      </c>
    </row>
    <row r="882" spans="5:11" x14ac:dyDescent="0.25">
      <c r="E882" s="15" t="str">
        <f>IF(OR(DataRecebimento="",C882=""),"",C882-$F$7)</f>
        <v/>
      </c>
      <c r="F882" s="16" t="str">
        <f>IF(OR(TaxaJuros="",C882=""),"",-D882*E882*($F$8/30))</f>
        <v/>
      </c>
      <c r="G882" s="16" t="str">
        <f>IF(OR(TaxaJuros="",C882=""),"",-$F$9)</f>
        <v/>
      </c>
      <c r="H882" s="21" t="str">
        <f>IF(OR(TaxaJuros="",C882=""),"",IF(ComSemIOF=FALSE,0,IF(E882&gt;365,-(D882+F882)*365*IOFDiario,-(D882+F882)*E882*IOFDiario)))</f>
        <v/>
      </c>
      <c r="I882" s="21" t="str">
        <f>IF(OR(TaxaJuros="",C882=""),"",IF(ComSemIOF=FALSE,0,-(D882+F882)*IOFAdic))</f>
        <v/>
      </c>
      <c r="J882" s="16" t="str">
        <f>IF(OR(TaxaJuros="",C882=""),"",D882+SUM(F882:I882))</f>
        <v/>
      </c>
      <c r="K882" s="67" t="str">
        <f>IF(OR(TaxaJuros="",C882=""),"",100%-J882/D882)</f>
        <v/>
      </c>
    </row>
    <row r="883" spans="5:11" x14ac:dyDescent="0.25">
      <c r="E883" s="15" t="str">
        <f>IF(OR(DataRecebimento="",C883=""),"",C883-$F$7)</f>
        <v/>
      </c>
      <c r="F883" s="16" t="str">
        <f>IF(OR(TaxaJuros="",C883=""),"",-D883*E883*($F$8/30))</f>
        <v/>
      </c>
      <c r="G883" s="16" t="str">
        <f>IF(OR(TaxaJuros="",C883=""),"",-$F$9)</f>
        <v/>
      </c>
      <c r="H883" s="21" t="str">
        <f>IF(OR(TaxaJuros="",C883=""),"",IF(ComSemIOF=FALSE,0,IF(E883&gt;365,-(D883+F883)*365*IOFDiario,-(D883+F883)*E883*IOFDiario)))</f>
        <v/>
      </c>
      <c r="I883" s="21" t="str">
        <f>IF(OR(TaxaJuros="",C883=""),"",IF(ComSemIOF=FALSE,0,-(D883+F883)*IOFAdic))</f>
        <v/>
      </c>
      <c r="J883" s="16" t="str">
        <f>IF(OR(TaxaJuros="",C883=""),"",D883+SUM(F883:I883))</f>
        <v/>
      </c>
      <c r="K883" s="67" t="str">
        <f>IF(OR(TaxaJuros="",C883=""),"",100%-J883/D883)</f>
        <v/>
      </c>
    </row>
    <row r="884" spans="5:11" x14ac:dyDescent="0.25">
      <c r="E884" s="15" t="str">
        <f>IF(OR(DataRecebimento="",C884=""),"",C884-$F$7)</f>
        <v/>
      </c>
      <c r="F884" s="16" t="str">
        <f>IF(OR(TaxaJuros="",C884=""),"",-D884*E884*($F$8/30))</f>
        <v/>
      </c>
      <c r="G884" s="16" t="str">
        <f>IF(OR(TaxaJuros="",C884=""),"",-$F$9)</f>
        <v/>
      </c>
      <c r="H884" s="21" t="str">
        <f>IF(OR(TaxaJuros="",C884=""),"",IF(ComSemIOF=FALSE,0,IF(E884&gt;365,-(D884+F884)*365*IOFDiario,-(D884+F884)*E884*IOFDiario)))</f>
        <v/>
      </c>
      <c r="I884" s="21" t="str">
        <f>IF(OR(TaxaJuros="",C884=""),"",IF(ComSemIOF=FALSE,0,-(D884+F884)*IOFAdic))</f>
        <v/>
      </c>
      <c r="J884" s="16" t="str">
        <f>IF(OR(TaxaJuros="",C884=""),"",D884+SUM(F884:I884))</f>
        <v/>
      </c>
      <c r="K884" s="67" t="str">
        <f>IF(OR(TaxaJuros="",C884=""),"",100%-J884/D884)</f>
        <v/>
      </c>
    </row>
    <row r="885" spans="5:11" x14ac:dyDescent="0.25">
      <c r="E885" s="15" t="str">
        <f>IF(OR(DataRecebimento="",C885=""),"",C885-$F$7)</f>
        <v/>
      </c>
      <c r="F885" s="16" t="str">
        <f>IF(OR(TaxaJuros="",C885=""),"",-D885*E885*($F$8/30))</f>
        <v/>
      </c>
      <c r="G885" s="16" t="str">
        <f>IF(OR(TaxaJuros="",C885=""),"",-$F$9)</f>
        <v/>
      </c>
      <c r="H885" s="21" t="str">
        <f>IF(OR(TaxaJuros="",C885=""),"",IF(ComSemIOF=FALSE,0,IF(E885&gt;365,-(D885+F885)*365*IOFDiario,-(D885+F885)*E885*IOFDiario)))</f>
        <v/>
      </c>
      <c r="I885" s="21" t="str">
        <f>IF(OR(TaxaJuros="",C885=""),"",IF(ComSemIOF=FALSE,0,-(D885+F885)*IOFAdic))</f>
        <v/>
      </c>
      <c r="J885" s="16" t="str">
        <f>IF(OR(TaxaJuros="",C885=""),"",D885+SUM(F885:I885))</f>
        <v/>
      </c>
      <c r="K885" s="67" t="str">
        <f>IF(OR(TaxaJuros="",C885=""),"",100%-J885/D885)</f>
        <v/>
      </c>
    </row>
    <row r="886" spans="5:11" x14ac:dyDescent="0.25">
      <c r="E886" s="15" t="str">
        <f>IF(OR(DataRecebimento="",C886=""),"",C886-$F$7)</f>
        <v/>
      </c>
      <c r="F886" s="16" t="str">
        <f>IF(OR(TaxaJuros="",C886=""),"",-D886*E886*($F$8/30))</f>
        <v/>
      </c>
      <c r="G886" s="16" t="str">
        <f>IF(OR(TaxaJuros="",C886=""),"",-$F$9)</f>
        <v/>
      </c>
      <c r="H886" s="21" t="str">
        <f>IF(OR(TaxaJuros="",C886=""),"",IF(ComSemIOF=FALSE,0,IF(E886&gt;365,-(D886+F886)*365*IOFDiario,-(D886+F886)*E886*IOFDiario)))</f>
        <v/>
      </c>
      <c r="I886" s="21" t="str">
        <f>IF(OR(TaxaJuros="",C886=""),"",IF(ComSemIOF=FALSE,0,-(D886+F886)*IOFAdic))</f>
        <v/>
      </c>
      <c r="J886" s="16" t="str">
        <f>IF(OR(TaxaJuros="",C886=""),"",D886+SUM(F886:I886))</f>
        <v/>
      </c>
      <c r="K886" s="67" t="str">
        <f>IF(OR(TaxaJuros="",C886=""),"",100%-J886/D886)</f>
        <v/>
      </c>
    </row>
    <row r="887" spans="5:11" x14ac:dyDescent="0.25">
      <c r="E887" s="15" t="str">
        <f>IF(OR(DataRecebimento="",C887=""),"",C887-$F$7)</f>
        <v/>
      </c>
      <c r="F887" s="16" t="str">
        <f>IF(OR(TaxaJuros="",C887=""),"",-D887*E887*($F$8/30))</f>
        <v/>
      </c>
      <c r="G887" s="16" t="str">
        <f>IF(OR(TaxaJuros="",C887=""),"",-$F$9)</f>
        <v/>
      </c>
      <c r="H887" s="21" t="str">
        <f>IF(OR(TaxaJuros="",C887=""),"",IF(ComSemIOF=FALSE,0,IF(E887&gt;365,-(D887+F887)*365*IOFDiario,-(D887+F887)*E887*IOFDiario)))</f>
        <v/>
      </c>
      <c r="I887" s="21" t="str">
        <f>IF(OR(TaxaJuros="",C887=""),"",IF(ComSemIOF=FALSE,0,-(D887+F887)*IOFAdic))</f>
        <v/>
      </c>
      <c r="J887" s="16" t="str">
        <f>IF(OR(TaxaJuros="",C887=""),"",D887+SUM(F887:I887))</f>
        <v/>
      </c>
      <c r="K887" s="67" t="str">
        <f>IF(OR(TaxaJuros="",C887=""),"",100%-J887/D887)</f>
        <v/>
      </c>
    </row>
    <row r="888" spans="5:11" x14ac:dyDescent="0.25">
      <c r="E888" s="15" t="str">
        <f>IF(OR(DataRecebimento="",C888=""),"",C888-$F$7)</f>
        <v/>
      </c>
      <c r="F888" s="16" t="str">
        <f>IF(OR(TaxaJuros="",C888=""),"",-D888*E888*($F$8/30))</f>
        <v/>
      </c>
      <c r="G888" s="16" t="str">
        <f>IF(OR(TaxaJuros="",C888=""),"",-$F$9)</f>
        <v/>
      </c>
      <c r="H888" s="21" t="str">
        <f>IF(OR(TaxaJuros="",C888=""),"",IF(ComSemIOF=FALSE,0,IF(E888&gt;365,-(D888+F888)*365*IOFDiario,-(D888+F888)*E888*IOFDiario)))</f>
        <v/>
      </c>
      <c r="I888" s="21" t="str">
        <f>IF(OR(TaxaJuros="",C888=""),"",IF(ComSemIOF=FALSE,0,-(D888+F888)*IOFAdic))</f>
        <v/>
      </c>
      <c r="J888" s="16" t="str">
        <f>IF(OR(TaxaJuros="",C888=""),"",D888+SUM(F888:I888))</f>
        <v/>
      </c>
      <c r="K888" s="67" t="str">
        <f>IF(OR(TaxaJuros="",C888=""),"",100%-J888/D888)</f>
        <v/>
      </c>
    </row>
    <row r="889" spans="5:11" x14ac:dyDescent="0.25">
      <c r="E889" s="15" t="str">
        <f>IF(OR(DataRecebimento="",C889=""),"",C889-$F$7)</f>
        <v/>
      </c>
      <c r="F889" s="16" t="str">
        <f>IF(OR(TaxaJuros="",C889=""),"",-D889*E889*($F$8/30))</f>
        <v/>
      </c>
      <c r="G889" s="16" t="str">
        <f>IF(OR(TaxaJuros="",C889=""),"",-$F$9)</f>
        <v/>
      </c>
      <c r="H889" s="21" t="str">
        <f>IF(OR(TaxaJuros="",C889=""),"",IF(ComSemIOF=FALSE,0,IF(E889&gt;365,-(D889+F889)*365*IOFDiario,-(D889+F889)*E889*IOFDiario)))</f>
        <v/>
      </c>
      <c r="I889" s="21" t="str">
        <f>IF(OR(TaxaJuros="",C889=""),"",IF(ComSemIOF=FALSE,0,-(D889+F889)*IOFAdic))</f>
        <v/>
      </c>
      <c r="J889" s="16" t="str">
        <f>IF(OR(TaxaJuros="",C889=""),"",D889+SUM(F889:I889))</f>
        <v/>
      </c>
      <c r="K889" s="67" t="str">
        <f>IF(OR(TaxaJuros="",C889=""),"",100%-J889/D889)</f>
        <v/>
      </c>
    </row>
    <row r="890" spans="5:11" x14ac:dyDescent="0.25">
      <c r="E890" s="15" t="str">
        <f>IF(OR(DataRecebimento="",C890=""),"",C890-$F$7)</f>
        <v/>
      </c>
      <c r="F890" s="16" t="str">
        <f>IF(OR(TaxaJuros="",C890=""),"",-D890*E890*($F$8/30))</f>
        <v/>
      </c>
      <c r="G890" s="16" t="str">
        <f>IF(OR(TaxaJuros="",C890=""),"",-$F$9)</f>
        <v/>
      </c>
      <c r="H890" s="21" t="str">
        <f>IF(OR(TaxaJuros="",C890=""),"",IF(ComSemIOF=FALSE,0,IF(E890&gt;365,-(D890+F890)*365*IOFDiario,-(D890+F890)*E890*IOFDiario)))</f>
        <v/>
      </c>
      <c r="I890" s="21" t="str">
        <f>IF(OR(TaxaJuros="",C890=""),"",IF(ComSemIOF=FALSE,0,-(D890+F890)*IOFAdic))</f>
        <v/>
      </c>
      <c r="J890" s="16" t="str">
        <f>IF(OR(TaxaJuros="",C890=""),"",D890+SUM(F890:I890))</f>
        <v/>
      </c>
      <c r="K890" s="67" t="str">
        <f>IF(OR(TaxaJuros="",C890=""),"",100%-J890/D890)</f>
        <v/>
      </c>
    </row>
    <row r="891" spans="5:11" x14ac:dyDescent="0.25">
      <c r="E891" s="15" t="str">
        <f>IF(OR(DataRecebimento="",C891=""),"",C891-$F$7)</f>
        <v/>
      </c>
      <c r="F891" s="16" t="str">
        <f>IF(OR(TaxaJuros="",C891=""),"",-D891*E891*($F$8/30))</f>
        <v/>
      </c>
      <c r="G891" s="16" t="str">
        <f>IF(OR(TaxaJuros="",C891=""),"",-$F$9)</f>
        <v/>
      </c>
      <c r="H891" s="21" t="str">
        <f>IF(OR(TaxaJuros="",C891=""),"",IF(ComSemIOF=FALSE,0,IF(E891&gt;365,-(D891+F891)*365*IOFDiario,-(D891+F891)*E891*IOFDiario)))</f>
        <v/>
      </c>
      <c r="I891" s="21" t="str">
        <f>IF(OR(TaxaJuros="",C891=""),"",IF(ComSemIOF=FALSE,0,-(D891+F891)*IOFAdic))</f>
        <v/>
      </c>
      <c r="J891" s="16" t="str">
        <f>IF(OR(TaxaJuros="",C891=""),"",D891+SUM(F891:I891))</f>
        <v/>
      </c>
      <c r="K891" s="67" t="str">
        <f>IF(OR(TaxaJuros="",C891=""),"",100%-J891/D891)</f>
        <v/>
      </c>
    </row>
    <row r="892" spans="5:11" x14ac:dyDescent="0.25">
      <c r="E892" s="15" t="str">
        <f>IF(OR(DataRecebimento="",C892=""),"",C892-$F$7)</f>
        <v/>
      </c>
      <c r="F892" s="16" t="str">
        <f>IF(OR(TaxaJuros="",C892=""),"",-D892*E892*($F$8/30))</f>
        <v/>
      </c>
      <c r="G892" s="16" t="str">
        <f>IF(OR(TaxaJuros="",C892=""),"",-$F$9)</f>
        <v/>
      </c>
      <c r="H892" s="21" t="str">
        <f>IF(OR(TaxaJuros="",C892=""),"",IF(ComSemIOF=FALSE,0,IF(E892&gt;365,-(D892+F892)*365*IOFDiario,-(D892+F892)*E892*IOFDiario)))</f>
        <v/>
      </c>
      <c r="I892" s="21" t="str">
        <f>IF(OR(TaxaJuros="",C892=""),"",IF(ComSemIOF=FALSE,0,-(D892+F892)*IOFAdic))</f>
        <v/>
      </c>
      <c r="J892" s="16" t="str">
        <f>IF(OR(TaxaJuros="",C892=""),"",D892+SUM(F892:I892))</f>
        <v/>
      </c>
      <c r="K892" s="67" t="str">
        <f>IF(OR(TaxaJuros="",C892=""),"",100%-J892/D892)</f>
        <v/>
      </c>
    </row>
    <row r="893" spans="5:11" x14ac:dyDescent="0.25">
      <c r="E893" s="15" t="str">
        <f>IF(OR(DataRecebimento="",C893=""),"",C893-$F$7)</f>
        <v/>
      </c>
      <c r="F893" s="16" t="str">
        <f>IF(OR(TaxaJuros="",C893=""),"",-D893*E893*($F$8/30))</f>
        <v/>
      </c>
      <c r="G893" s="16" t="str">
        <f>IF(OR(TaxaJuros="",C893=""),"",-$F$9)</f>
        <v/>
      </c>
      <c r="H893" s="21" t="str">
        <f>IF(OR(TaxaJuros="",C893=""),"",IF(ComSemIOF=FALSE,0,IF(E893&gt;365,-(D893+F893)*365*IOFDiario,-(D893+F893)*E893*IOFDiario)))</f>
        <v/>
      </c>
      <c r="I893" s="21" t="str">
        <f>IF(OR(TaxaJuros="",C893=""),"",IF(ComSemIOF=FALSE,0,-(D893+F893)*IOFAdic))</f>
        <v/>
      </c>
      <c r="J893" s="16" t="str">
        <f>IF(OR(TaxaJuros="",C893=""),"",D893+SUM(F893:I893))</f>
        <v/>
      </c>
      <c r="K893" s="67" t="str">
        <f>IF(OR(TaxaJuros="",C893=""),"",100%-J893/D893)</f>
        <v/>
      </c>
    </row>
    <row r="894" spans="5:11" x14ac:dyDescent="0.25">
      <c r="E894" s="15" t="str">
        <f>IF(OR(DataRecebimento="",C894=""),"",C894-$F$7)</f>
        <v/>
      </c>
      <c r="F894" s="16" t="str">
        <f>IF(OR(TaxaJuros="",C894=""),"",-D894*E894*($F$8/30))</f>
        <v/>
      </c>
      <c r="G894" s="16" t="str">
        <f>IF(OR(TaxaJuros="",C894=""),"",-$F$9)</f>
        <v/>
      </c>
      <c r="H894" s="21" t="str">
        <f>IF(OR(TaxaJuros="",C894=""),"",IF(ComSemIOF=FALSE,0,IF(E894&gt;365,-(D894+F894)*365*IOFDiario,-(D894+F894)*E894*IOFDiario)))</f>
        <v/>
      </c>
      <c r="I894" s="21" t="str">
        <f>IF(OR(TaxaJuros="",C894=""),"",IF(ComSemIOF=FALSE,0,-(D894+F894)*IOFAdic))</f>
        <v/>
      </c>
      <c r="J894" s="16" t="str">
        <f>IF(OR(TaxaJuros="",C894=""),"",D894+SUM(F894:I894))</f>
        <v/>
      </c>
      <c r="K894" s="67" t="str">
        <f>IF(OR(TaxaJuros="",C894=""),"",100%-J894/D894)</f>
        <v/>
      </c>
    </row>
    <row r="895" spans="5:11" x14ac:dyDescent="0.25">
      <c r="E895" s="15" t="str">
        <f>IF(OR(DataRecebimento="",C895=""),"",C895-$F$7)</f>
        <v/>
      </c>
      <c r="F895" s="16" t="str">
        <f>IF(OR(TaxaJuros="",C895=""),"",-D895*E895*($F$8/30))</f>
        <v/>
      </c>
      <c r="G895" s="16" t="str">
        <f>IF(OR(TaxaJuros="",C895=""),"",-$F$9)</f>
        <v/>
      </c>
      <c r="H895" s="21" t="str">
        <f>IF(OR(TaxaJuros="",C895=""),"",IF(ComSemIOF=FALSE,0,IF(E895&gt;365,-(D895+F895)*365*IOFDiario,-(D895+F895)*E895*IOFDiario)))</f>
        <v/>
      </c>
      <c r="I895" s="21" t="str">
        <f>IF(OR(TaxaJuros="",C895=""),"",IF(ComSemIOF=FALSE,0,-(D895+F895)*IOFAdic))</f>
        <v/>
      </c>
      <c r="J895" s="16" t="str">
        <f>IF(OR(TaxaJuros="",C895=""),"",D895+SUM(F895:I895))</f>
        <v/>
      </c>
      <c r="K895" s="67" t="str">
        <f>IF(OR(TaxaJuros="",C895=""),"",100%-J895/D895)</f>
        <v/>
      </c>
    </row>
    <row r="896" spans="5:11" x14ac:dyDescent="0.25">
      <c r="E896" s="15" t="str">
        <f>IF(OR(DataRecebimento="",C896=""),"",C896-$F$7)</f>
        <v/>
      </c>
      <c r="F896" s="16" t="str">
        <f>IF(OR(TaxaJuros="",C896=""),"",-D896*E896*($F$8/30))</f>
        <v/>
      </c>
      <c r="G896" s="16" t="str">
        <f>IF(OR(TaxaJuros="",C896=""),"",-$F$9)</f>
        <v/>
      </c>
      <c r="H896" s="21" t="str">
        <f>IF(OR(TaxaJuros="",C896=""),"",IF(ComSemIOF=FALSE,0,IF(E896&gt;365,-(D896+F896)*365*IOFDiario,-(D896+F896)*E896*IOFDiario)))</f>
        <v/>
      </c>
      <c r="I896" s="21" t="str">
        <f>IF(OR(TaxaJuros="",C896=""),"",IF(ComSemIOF=FALSE,0,-(D896+F896)*IOFAdic))</f>
        <v/>
      </c>
      <c r="J896" s="16" t="str">
        <f>IF(OR(TaxaJuros="",C896=""),"",D896+SUM(F896:I896))</f>
        <v/>
      </c>
      <c r="K896" s="67" t="str">
        <f>IF(OR(TaxaJuros="",C896=""),"",100%-J896/D896)</f>
        <v/>
      </c>
    </row>
    <row r="897" spans="5:11" x14ac:dyDescent="0.25">
      <c r="E897" s="15" t="str">
        <f>IF(OR(DataRecebimento="",C897=""),"",C897-$F$7)</f>
        <v/>
      </c>
      <c r="F897" s="16" t="str">
        <f>IF(OR(TaxaJuros="",C897=""),"",-D897*E897*($F$8/30))</f>
        <v/>
      </c>
      <c r="G897" s="16" t="str">
        <f>IF(OR(TaxaJuros="",C897=""),"",-$F$9)</f>
        <v/>
      </c>
      <c r="H897" s="21" t="str">
        <f>IF(OR(TaxaJuros="",C897=""),"",IF(ComSemIOF=FALSE,0,IF(E897&gt;365,-(D897+F897)*365*IOFDiario,-(D897+F897)*E897*IOFDiario)))</f>
        <v/>
      </c>
      <c r="I897" s="21" t="str">
        <f>IF(OR(TaxaJuros="",C897=""),"",IF(ComSemIOF=FALSE,0,-(D897+F897)*IOFAdic))</f>
        <v/>
      </c>
      <c r="J897" s="16" t="str">
        <f>IF(OR(TaxaJuros="",C897=""),"",D897+SUM(F897:I897))</f>
        <v/>
      </c>
      <c r="K897" s="67" t="str">
        <f>IF(OR(TaxaJuros="",C897=""),"",100%-J897/D897)</f>
        <v/>
      </c>
    </row>
    <row r="898" spans="5:11" x14ac:dyDescent="0.25">
      <c r="E898" s="15" t="str">
        <f>IF(OR(DataRecebimento="",C898=""),"",C898-$F$7)</f>
        <v/>
      </c>
      <c r="F898" s="16" t="str">
        <f>IF(OR(TaxaJuros="",C898=""),"",-D898*E898*($F$8/30))</f>
        <v/>
      </c>
      <c r="G898" s="16" t="str">
        <f>IF(OR(TaxaJuros="",C898=""),"",-$F$9)</f>
        <v/>
      </c>
      <c r="H898" s="21" t="str">
        <f>IF(OR(TaxaJuros="",C898=""),"",IF(ComSemIOF=FALSE,0,IF(E898&gt;365,-(D898+F898)*365*IOFDiario,-(D898+F898)*E898*IOFDiario)))</f>
        <v/>
      </c>
      <c r="I898" s="21" t="str">
        <f>IF(OR(TaxaJuros="",C898=""),"",IF(ComSemIOF=FALSE,0,-(D898+F898)*IOFAdic))</f>
        <v/>
      </c>
      <c r="J898" s="16" t="str">
        <f>IF(OR(TaxaJuros="",C898=""),"",D898+SUM(F898:I898))</f>
        <v/>
      </c>
      <c r="K898" s="67" t="str">
        <f>IF(OR(TaxaJuros="",C898=""),"",100%-J898/D898)</f>
        <v/>
      </c>
    </row>
    <row r="899" spans="5:11" x14ac:dyDescent="0.25">
      <c r="E899" s="15" t="str">
        <f>IF(OR(DataRecebimento="",C899=""),"",C899-$F$7)</f>
        <v/>
      </c>
      <c r="F899" s="16" t="str">
        <f>IF(OR(TaxaJuros="",C899=""),"",-D899*E899*($F$8/30))</f>
        <v/>
      </c>
      <c r="G899" s="16" t="str">
        <f>IF(OR(TaxaJuros="",C899=""),"",-$F$9)</f>
        <v/>
      </c>
      <c r="H899" s="21" t="str">
        <f>IF(OR(TaxaJuros="",C899=""),"",IF(ComSemIOF=FALSE,0,IF(E899&gt;365,-(D899+F899)*365*IOFDiario,-(D899+F899)*E899*IOFDiario)))</f>
        <v/>
      </c>
      <c r="I899" s="21" t="str">
        <f>IF(OR(TaxaJuros="",C899=""),"",IF(ComSemIOF=FALSE,0,-(D899+F899)*IOFAdic))</f>
        <v/>
      </c>
      <c r="J899" s="16" t="str">
        <f>IF(OR(TaxaJuros="",C899=""),"",D899+SUM(F899:I899))</f>
        <v/>
      </c>
      <c r="K899" s="67" t="str">
        <f>IF(OR(TaxaJuros="",C899=""),"",100%-J899/D899)</f>
        <v/>
      </c>
    </row>
    <row r="900" spans="5:11" x14ac:dyDescent="0.25">
      <c r="E900" s="15" t="str">
        <f>IF(OR(DataRecebimento="",C900=""),"",C900-$F$7)</f>
        <v/>
      </c>
      <c r="F900" s="16" t="str">
        <f>IF(OR(TaxaJuros="",C900=""),"",-D900*E900*($F$8/30))</f>
        <v/>
      </c>
      <c r="G900" s="16" t="str">
        <f>IF(OR(TaxaJuros="",C900=""),"",-$F$9)</f>
        <v/>
      </c>
      <c r="H900" s="21" t="str">
        <f>IF(OR(TaxaJuros="",C900=""),"",IF(ComSemIOF=FALSE,0,IF(E900&gt;365,-(D900+F900)*365*IOFDiario,-(D900+F900)*E900*IOFDiario)))</f>
        <v/>
      </c>
      <c r="I900" s="21" t="str">
        <f>IF(OR(TaxaJuros="",C900=""),"",IF(ComSemIOF=FALSE,0,-(D900+F900)*IOFAdic))</f>
        <v/>
      </c>
      <c r="J900" s="16" t="str">
        <f>IF(OR(TaxaJuros="",C900=""),"",D900+SUM(F900:I900))</f>
        <v/>
      </c>
      <c r="K900" s="67" t="str">
        <f>IF(OR(TaxaJuros="",C900=""),"",100%-J900/D900)</f>
        <v/>
      </c>
    </row>
    <row r="901" spans="5:11" x14ac:dyDescent="0.25">
      <c r="E901" s="15" t="str">
        <f>IF(OR(DataRecebimento="",C901=""),"",C901-$F$7)</f>
        <v/>
      </c>
      <c r="F901" s="16" t="str">
        <f>IF(OR(TaxaJuros="",C901=""),"",-D901*E901*($F$8/30))</f>
        <v/>
      </c>
      <c r="G901" s="16" t="str">
        <f>IF(OR(TaxaJuros="",C901=""),"",-$F$9)</f>
        <v/>
      </c>
      <c r="H901" s="21" t="str">
        <f>IF(OR(TaxaJuros="",C901=""),"",IF(ComSemIOF=FALSE,0,IF(E901&gt;365,-(D901+F901)*365*IOFDiario,-(D901+F901)*E901*IOFDiario)))</f>
        <v/>
      </c>
      <c r="I901" s="21" t="str">
        <f>IF(OR(TaxaJuros="",C901=""),"",IF(ComSemIOF=FALSE,0,-(D901+F901)*IOFAdic))</f>
        <v/>
      </c>
      <c r="J901" s="16" t="str">
        <f>IF(OR(TaxaJuros="",C901=""),"",D901+SUM(F901:I901))</f>
        <v/>
      </c>
      <c r="K901" s="67" t="str">
        <f>IF(OR(TaxaJuros="",C901=""),"",100%-J901/D901)</f>
        <v/>
      </c>
    </row>
    <row r="902" spans="5:11" x14ac:dyDescent="0.25">
      <c r="E902" s="15" t="str">
        <f>IF(OR(DataRecebimento="",C902=""),"",C902-$F$7)</f>
        <v/>
      </c>
      <c r="F902" s="16" t="str">
        <f>IF(OR(TaxaJuros="",C902=""),"",-D902*E902*($F$8/30))</f>
        <v/>
      </c>
      <c r="G902" s="16" t="str">
        <f>IF(OR(TaxaJuros="",C902=""),"",-$F$9)</f>
        <v/>
      </c>
      <c r="H902" s="21" t="str">
        <f>IF(OR(TaxaJuros="",C902=""),"",IF(ComSemIOF=FALSE,0,IF(E902&gt;365,-(D902+F902)*365*IOFDiario,-(D902+F902)*E902*IOFDiario)))</f>
        <v/>
      </c>
      <c r="I902" s="21" t="str">
        <f>IF(OR(TaxaJuros="",C902=""),"",IF(ComSemIOF=FALSE,0,-(D902+F902)*IOFAdic))</f>
        <v/>
      </c>
      <c r="J902" s="16" t="str">
        <f>IF(OR(TaxaJuros="",C902=""),"",D902+SUM(F902:I902))</f>
        <v/>
      </c>
      <c r="K902" s="67" t="str">
        <f>IF(OR(TaxaJuros="",C902=""),"",100%-J902/D902)</f>
        <v/>
      </c>
    </row>
    <row r="903" spans="5:11" x14ac:dyDescent="0.25">
      <c r="E903" s="15" t="str">
        <f>IF(OR(DataRecebimento="",C903=""),"",C903-$F$7)</f>
        <v/>
      </c>
      <c r="F903" s="16" t="str">
        <f>IF(OR(TaxaJuros="",C903=""),"",-D903*E903*($F$8/30))</f>
        <v/>
      </c>
      <c r="G903" s="16" t="str">
        <f>IF(OR(TaxaJuros="",C903=""),"",-$F$9)</f>
        <v/>
      </c>
      <c r="H903" s="21" t="str">
        <f>IF(OR(TaxaJuros="",C903=""),"",IF(ComSemIOF=FALSE,0,IF(E903&gt;365,-(D903+F903)*365*IOFDiario,-(D903+F903)*E903*IOFDiario)))</f>
        <v/>
      </c>
      <c r="I903" s="21" t="str">
        <f>IF(OR(TaxaJuros="",C903=""),"",IF(ComSemIOF=FALSE,0,-(D903+F903)*IOFAdic))</f>
        <v/>
      </c>
      <c r="J903" s="16" t="str">
        <f>IF(OR(TaxaJuros="",C903=""),"",D903+SUM(F903:I903))</f>
        <v/>
      </c>
      <c r="K903" s="67" t="str">
        <f>IF(OR(TaxaJuros="",C903=""),"",100%-J903/D903)</f>
        <v/>
      </c>
    </row>
    <row r="904" spans="5:11" x14ac:dyDescent="0.25">
      <c r="E904" s="15" t="str">
        <f>IF(OR(DataRecebimento="",C904=""),"",C904-$F$7)</f>
        <v/>
      </c>
      <c r="F904" s="16" t="str">
        <f>IF(OR(TaxaJuros="",C904=""),"",-D904*E904*($F$8/30))</f>
        <v/>
      </c>
      <c r="G904" s="16" t="str">
        <f>IF(OR(TaxaJuros="",C904=""),"",-$F$9)</f>
        <v/>
      </c>
      <c r="H904" s="21" t="str">
        <f>IF(OR(TaxaJuros="",C904=""),"",IF(ComSemIOF=FALSE,0,IF(E904&gt;365,-(D904+F904)*365*IOFDiario,-(D904+F904)*E904*IOFDiario)))</f>
        <v/>
      </c>
      <c r="I904" s="21" t="str">
        <f>IF(OR(TaxaJuros="",C904=""),"",IF(ComSemIOF=FALSE,0,-(D904+F904)*IOFAdic))</f>
        <v/>
      </c>
      <c r="J904" s="16" t="str">
        <f>IF(OR(TaxaJuros="",C904=""),"",D904+SUM(F904:I904))</f>
        <v/>
      </c>
      <c r="K904" s="67" t="str">
        <f>IF(OR(TaxaJuros="",C904=""),"",100%-J904/D904)</f>
        <v/>
      </c>
    </row>
    <row r="905" spans="5:11" x14ac:dyDescent="0.25">
      <c r="E905" s="15" t="str">
        <f>IF(OR(DataRecebimento="",C905=""),"",C905-$F$7)</f>
        <v/>
      </c>
      <c r="F905" s="16" t="str">
        <f>IF(OR(TaxaJuros="",C905=""),"",-D905*E905*($F$8/30))</f>
        <v/>
      </c>
      <c r="G905" s="16" t="str">
        <f>IF(OR(TaxaJuros="",C905=""),"",-$F$9)</f>
        <v/>
      </c>
      <c r="H905" s="21" t="str">
        <f>IF(OR(TaxaJuros="",C905=""),"",IF(ComSemIOF=FALSE,0,IF(E905&gt;365,-(D905+F905)*365*IOFDiario,-(D905+F905)*E905*IOFDiario)))</f>
        <v/>
      </c>
      <c r="I905" s="21" t="str">
        <f>IF(OR(TaxaJuros="",C905=""),"",IF(ComSemIOF=FALSE,0,-(D905+F905)*IOFAdic))</f>
        <v/>
      </c>
      <c r="J905" s="16" t="str">
        <f>IF(OR(TaxaJuros="",C905=""),"",D905+SUM(F905:I905))</f>
        <v/>
      </c>
      <c r="K905" s="67" t="str">
        <f>IF(OR(TaxaJuros="",C905=""),"",100%-J905/D905)</f>
        <v/>
      </c>
    </row>
    <row r="906" spans="5:11" x14ac:dyDescent="0.25">
      <c r="E906" s="15" t="str">
        <f>IF(OR(DataRecebimento="",C906=""),"",C906-$F$7)</f>
        <v/>
      </c>
      <c r="F906" s="16" t="str">
        <f>IF(OR(TaxaJuros="",C906=""),"",-D906*E906*($F$8/30))</f>
        <v/>
      </c>
      <c r="G906" s="16" t="str">
        <f>IF(OR(TaxaJuros="",C906=""),"",-$F$9)</f>
        <v/>
      </c>
      <c r="H906" s="21" t="str">
        <f>IF(OR(TaxaJuros="",C906=""),"",IF(ComSemIOF=FALSE,0,IF(E906&gt;365,-(D906+F906)*365*IOFDiario,-(D906+F906)*E906*IOFDiario)))</f>
        <v/>
      </c>
      <c r="I906" s="21" t="str">
        <f>IF(OR(TaxaJuros="",C906=""),"",IF(ComSemIOF=FALSE,0,-(D906+F906)*IOFAdic))</f>
        <v/>
      </c>
      <c r="J906" s="16" t="str">
        <f>IF(OR(TaxaJuros="",C906=""),"",D906+SUM(F906:I906))</f>
        <v/>
      </c>
      <c r="K906" s="67" t="str">
        <f>IF(OR(TaxaJuros="",C906=""),"",100%-J906/D906)</f>
        <v/>
      </c>
    </row>
    <row r="907" spans="5:11" x14ac:dyDescent="0.25">
      <c r="E907" s="15" t="str">
        <f>IF(OR(DataRecebimento="",C907=""),"",C907-$F$7)</f>
        <v/>
      </c>
      <c r="F907" s="16" t="str">
        <f>IF(OR(TaxaJuros="",C907=""),"",-D907*E907*($F$8/30))</f>
        <v/>
      </c>
      <c r="G907" s="16" t="str">
        <f>IF(OR(TaxaJuros="",C907=""),"",-$F$9)</f>
        <v/>
      </c>
      <c r="H907" s="21" t="str">
        <f>IF(OR(TaxaJuros="",C907=""),"",IF(ComSemIOF=FALSE,0,IF(E907&gt;365,-(D907+F907)*365*IOFDiario,-(D907+F907)*E907*IOFDiario)))</f>
        <v/>
      </c>
      <c r="I907" s="21" t="str">
        <f>IF(OR(TaxaJuros="",C907=""),"",IF(ComSemIOF=FALSE,0,-(D907+F907)*IOFAdic))</f>
        <v/>
      </c>
      <c r="J907" s="16" t="str">
        <f>IF(OR(TaxaJuros="",C907=""),"",D907+SUM(F907:I907))</f>
        <v/>
      </c>
      <c r="K907" s="67" t="str">
        <f>IF(OR(TaxaJuros="",C907=""),"",100%-J907/D907)</f>
        <v/>
      </c>
    </row>
    <row r="908" spans="5:11" x14ac:dyDescent="0.25">
      <c r="E908" s="15" t="str">
        <f>IF(OR(DataRecebimento="",C908=""),"",C908-$F$7)</f>
        <v/>
      </c>
      <c r="F908" s="16" t="str">
        <f>IF(OR(TaxaJuros="",C908=""),"",-D908*E908*($F$8/30))</f>
        <v/>
      </c>
      <c r="G908" s="16" t="str">
        <f>IF(OR(TaxaJuros="",C908=""),"",-$F$9)</f>
        <v/>
      </c>
      <c r="H908" s="21" t="str">
        <f>IF(OR(TaxaJuros="",C908=""),"",IF(ComSemIOF=FALSE,0,IF(E908&gt;365,-(D908+F908)*365*IOFDiario,-(D908+F908)*E908*IOFDiario)))</f>
        <v/>
      </c>
      <c r="I908" s="21" t="str">
        <f>IF(OR(TaxaJuros="",C908=""),"",IF(ComSemIOF=FALSE,0,-(D908+F908)*IOFAdic))</f>
        <v/>
      </c>
      <c r="J908" s="16" t="str">
        <f>IF(OR(TaxaJuros="",C908=""),"",D908+SUM(F908:I908))</f>
        <v/>
      </c>
      <c r="K908" s="67" t="str">
        <f>IF(OR(TaxaJuros="",C908=""),"",100%-J908/D908)</f>
        <v/>
      </c>
    </row>
    <row r="909" spans="5:11" x14ac:dyDescent="0.25">
      <c r="E909" s="15" t="str">
        <f>IF(OR(DataRecebimento="",C909=""),"",C909-$F$7)</f>
        <v/>
      </c>
      <c r="F909" s="16" t="str">
        <f>IF(OR(TaxaJuros="",C909=""),"",-D909*E909*($F$8/30))</f>
        <v/>
      </c>
      <c r="G909" s="16" t="str">
        <f>IF(OR(TaxaJuros="",C909=""),"",-$F$9)</f>
        <v/>
      </c>
      <c r="H909" s="21" t="str">
        <f>IF(OR(TaxaJuros="",C909=""),"",IF(ComSemIOF=FALSE,0,IF(E909&gt;365,-(D909+F909)*365*IOFDiario,-(D909+F909)*E909*IOFDiario)))</f>
        <v/>
      </c>
      <c r="I909" s="21" t="str">
        <f>IF(OR(TaxaJuros="",C909=""),"",IF(ComSemIOF=FALSE,0,-(D909+F909)*IOFAdic))</f>
        <v/>
      </c>
      <c r="J909" s="16" t="str">
        <f>IF(OR(TaxaJuros="",C909=""),"",D909+SUM(F909:I909))</f>
        <v/>
      </c>
      <c r="K909" s="67" t="str">
        <f>IF(OR(TaxaJuros="",C909=""),"",100%-J909/D909)</f>
        <v/>
      </c>
    </row>
    <row r="910" spans="5:11" x14ac:dyDescent="0.25">
      <c r="E910" s="15" t="str">
        <f>IF(OR(DataRecebimento="",C910=""),"",C910-$F$7)</f>
        <v/>
      </c>
      <c r="F910" s="16" t="str">
        <f>IF(OR(TaxaJuros="",C910=""),"",-D910*E910*($F$8/30))</f>
        <v/>
      </c>
      <c r="G910" s="16" t="str">
        <f>IF(OR(TaxaJuros="",C910=""),"",-$F$9)</f>
        <v/>
      </c>
      <c r="H910" s="21" t="str">
        <f>IF(OR(TaxaJuros="",C910=""),"",IF(ComSemIOF=FALSE,0,IF(E910&gt;365,-(D910+F910)*365*IOFDiario,-(D910+F910)*E910*IOFDiario)))</f>
        <v/>
      </c>
      <c r="I910" s="21" t="str">
        <f>IF(OR(TaxaJuros="",C910=""),"",IF(ComSemIOF=FALSE,0,-(D910+F910)*IOFAdic))</f>
        <v/>
      </c>
      <c r="J910" s="16" t="str">
        <f>IF(OR(TaxaJuros="",C910=""),"",D910+SUM(F910:I910))</f>
        <v/>
      </c>
      <c r="K910" s="67" t="str">
        <f>IF(OR(TaxaJuros="",C910=""),"",100%-J910/D910)</f>
        <v/>
      </c>
    </row>
    <row r="911" spans="5:11" x14ac:dyDescent="0.25">
      <c r="E911" s="15" t="str">
        <f>IF(OR(DataRecebimento="",C911=""),"",C911-$F$7)</f>
        <v/>
      </c>
      <c r="F911" s="16" t="str">
        <f>IF(OR(TaxaJuros="",C911=""),"",-D911*E911*($F$8/30))</f>
        <v/>
      </c>
      <c r="G911" s="16" t="str">
        <f>IF(OR(TaxaJuros="",C911=""),"",-$F$9)</f>
        <v/>
      </c>
      <c r="H911" s="21" t="str">
        <f>IF(OR(TaxaJuros="",C911=""),"",IF(ComSemIOF=FALSE,0,IF(E911&gt;365,-(D911+F911)*365*IOFDiario,-(D911+F911)*E911*IOFDiario)))</f>
        <v/>
      </c>
      <c r="I911" s="21" t="str">
        <f>IF(OR(TaxaJuros="",C911=""),"",IF(ComSemIOF=FALSE,0,-(D911+F911)*IOFAdic))</f>
        <v/>
      </c>
      <c r="J911" s="16" t="str">
        <f>IF(OR(TaxaJuros="",C911=""),"",D911+SUM(F911:I911))</f>
        <v/>
      </c>
      <c r="K911" s="67" t="str">
        <f>IF(OR(TaxaJuros="",C911=""),"",100%-J911/D911)</f>
        <v/>
      </c>
    </row>
    <row r="912" spans="5:11" x14ac:dyDescent="0.25">
      <c r="E912" s="15" t="str">
        <f>IF(OR(DataRecebimento="",C912=""),"",C912-$F$7)</f>
        <v/>
      </c>
      <c r="F912" s="16" t="str">
        <f>IF(OR(TaxaJuros="",C912=""),"",-D912*E912*($F$8/30))</f>
        <v/>
      </c>
      <c r="G912" s="16" t="str">
        <f>IF(OR(TaxaJuros="",C912=""),"",-$F$9)</f>
        <v/>
      </c>
      <c r="H912" s="21" t="str">
        <f>IF(OR(TaxaJuros="",C912=""),"",IF(ComSemIOF=FALSE,0,IF(E912&gt;365,-(D912+F912)*365*IOFDiario,-(D912+F912)*E912*IOFDiario)))</f>
        <v/>
      </c>
      <c r="I912" s="21" t="str">
        <f>IF(OR(TaxaJuros="",C912=""),"",IF(ComSemIOF=FALSE,0,-(D912+F912)*IOFAdic))</f>
        <v/>
      </c>
      <c r="J912" s="16" t="str">
        <f>IF(OR(TaxaJuros="",C912=""),"",D912+SUM(F912:I912))</f>
        <v/>
      </c>
      <c r="K912" s="67" t="str">
        <f>IF(OR(TaxaJuros="",C912=""),"",100%-J912/D912)</f>
        <v/>
      </c>
    </row>
    <row r="913" spans="5:11" x14ac:dyDescent="0.25">
      <c r="E913" s="15" t="str">
        <f>IF(OR(DataRecebimento="",C913=""),"",C913-$F$7)</f>
        <v/>
      </c>
      <c r="F913" s="16" t="str">
        <f>IF(OR(TaxaJuros="",C913=""),"",-D913*E913*($F$8/30))</f>
        <v/>
      </c>
      <c r="G913" s="16" t="str">
        <f>IF(OR(TaxaJuros="",C913=""),"",-$F$9)</f>
        <v/>
      </c>
      <c r="H913" s="21" t="str">
        <f>IF(OR(TaxaJuros="",C913=""),"",IF(ComSemIOF=FALSE,0,IF(E913&gt;365,-(D913+F913)*365*IOFDiario,-(D913+F913)*E913*IOFDiario)))</f>
        <v/>
      </c>
      <c r="I913" s="21" t="str">
        <f>IF(OR(TaxaJuros="",C913=""),"",IF(ComSemIOF=FALSE,0,-(D913+F913)*IOFAdic))</f>
        <v/>
      </c>
      <c r="J913" s="16" t="str">
        <f>IF(OR(TaxaJuros="",C913=""),"",D913+SUM(F913:I913))</f>
        <v/>
      </c>
      <c r="K913" s="67" t="str">
        <f>IF(OR(TaxaJuros="",C913=""),"",100%-J913/D913)</f>
        <v/>
      </c>
    </row>
    <row r="914" spans="5:11" x14ac:dyDescent="0.25">
      <c r="E914" s="15" t="str">
        <f>IF(OR(DataRecebimento="",C914=""),"",C914-$F$7)</f>
        <v/>
      </c>
      <c r="F914" s="16" t="str">
        <f>IF(OR(TaxaJuros="",C914=""),"",-D914*E914*($F$8/30))</f>
        <v/>
      </c>
      <c r="G914" s="16" t="str">
        <f>IF(OR(TaxaJuros="",C914=""),"",-$F$9)</f>
        <v/>
      </c>
      <c r="H914" s="21" t="str">
        <f>IF(OR(TaxaJuros="",C914=""),"",IF(ComSemIOF=FALSE,0,IF(E914&gt;365,-(D914+F914)*365*IOFDiario,-(D914+F914)*E914*IOFDiario)))</f>
        <v/>
      </c>
      <c r="I914" s="21" t="str">
        <f>IF(OR(TaxaJuros="",C914=""),"",IF(ComSemIOF=FALSE,0,-(D914+F914)*IOFAdic))</f>
        <v/>
      </c>
      <c r="J914" s="16" t="str">
        <f>IF(OR(TaxaJuros="",C914=""),"",D914+SUM(F914:I914))</f>
        <v/>
      </c>
      <c r="K914" s="67" t="str">
        <f>IF(OR(TaxaJuros="",C914=""),"",100%-J914/D914)</f>
        <v/>
      </c>
    </row>
    <row r="915" spans="5:11" x14ac:dyDescent="0.25">
      <c r="E915" s="15" t="str">
        <f>IF(OR(DataRecebimento="",C915=""),"",C915-$F$7)</f>
        <v/>
      </c>
      <c r="F915" s="16" t="str">
        <f>IF(OR(TaxaJuros="",C915=""),"",-D915*E915*($F$8/30))</f>
        <v/>
      </c>
      <c r="G915" s="16" t="str">
        <f>IF(OR(TaxaJuros="",C915=""),"",-$F$9)</f>
        <v/>
      </c>
      <c r="H915" s="21" t="str">
        <f>IF(OR(TaxaJuros="",C915=""),"",IF(ComSemIOF=FALSE,0,IF(E915&gt;365,-(D915+F915)*365*IOFDiario,-(D915+F915)*E915*IOFDiario)))</f>
        <v/>
      </c>
      <c r="I915" s="21" t="str">
        <f>IF(OR(TaxaJuros="",C915=""),"",IF(ComSemIOF=FALSE,0,-(D915+F915)*IOFAdic))</f>
        <v/>
      </c>
      <c r="J915" s="16" t="str">
        <f>IF(OR(TaxaJuros="",C915=""),"",D915+SUM(F915:I915))</f>
        <v/>
      </c>
      <c r="K915" s="67" t="str">
        <f>IF(OR(TaxaJuros="",C915=""),"",100%-J915/D915)</f>
        <v/>
      </c>
    </row>
    <row r="916" spans="5:11" x14ac:dyDescent="0.25">
      <c r="E916" s="15" t="str">
        <f>IF(OR(DataRecebimento="",C916=""),"",C916-$F$7)</f>
        <v/>
      </c>
      <c r="F916" s="16" t="str">
        <f>IF(OR(TaxaJuros="",C916=""),"",-D916*E916*($F$8/30))</f>
        <v/>
      </c>
      <c r="G916" s="16" t="str">
        <f>IF(OR(TaxaJuros="",C916=""),"",-$F$9)</f>
        <v/>
      </c>
      <c r="H916" s="21" t="str">
        <f>IF(OR(TaxaJuros="",C916=""),"",IF(ComSemIOF=FALSE,0,IF(E916&gt;365,-(D916+F916)*365*IOFDiario,-(D916+F916)*E916*IOFDiario)))</f>
        <v/>
      </c>
      <c r="I916" s="21" t="str">
        <f>IF(OR(TaxaJuros="",C916=""),"",IF(ComSemIOF=FALSE,0,-(D916+F916)*IOFAdic))</f>
        <v/>
      </c>
      <c r="J916" s="16" t="str">
        <f>IF(OR(TaxaJuros="",C916=""),"",D916+SUM(F916:I916))</f>
        <v/>
      </c>
      <c r="K916" s="67" t="str">
        <f>IF(OR(TaxaJuros="",C916=""),"",100%-J916/D916)</f>
        <v/>
      </c>
    </row>
    <row r="917" spans="5:11" x14ac:dyDescent="0.25">
      <c r="E917" s="15" t="str">
        <f>IF(OR(DataRecebimento="",C917=""),"",C917-$F$7)</f>
        <v/>
      </c>
      <c r="F917" s="16" t="str">
        <f>IF(OR(TaxaJuros="",C917=""),"",-D917*E917*($F$8/30))</f>
        <v/>
      </c>
      <c r="G917" s="16" t="str">
        <f>IF(OR(TaxaJuros="",C917=""),"",-$F$9)</f>
        <v/>
      </c>
      <c r="H917" s="21" t="str">
        <f>IF(OR(TaxaJuros="",C917=""),"",IF(ComSemIOF=FALSE,0,IF(E917&gt;365,-(D917+F917)*365*IOFDiario,-(D917+F917)*E917*IOFDiario)))</f>
        <v/>
      </c>
      <c r="I917" s="21" t="str">
        <f>IF(OR(TaxaJuros="",C917=""),"",IF(ComSemIOF=FALSE,0,-(D917+F917)*IOFAdic))</f>
        <v/>
      </c>
      <c r="J917" s="16" t="str">
        <f>IF(OR(TaxaJuros="",C917=""),"",D917+SUM(F917:I917))</f>
        <v/>
      </c>
      <c r="K917" s="67" t="str">
        <f>IF(OR(TaxaJuros="",C917=""),"",100%-J917/D917)</f>
        <v/>
      </c>
    </row>
    <row r="918" spans="5:11" x14ac:dyDescent="0.25">
      <c r="E918" s="15" t="str">
        <f>IF(OR(DataRecebimento="",C918=""),"",C918-$F$7)</f>
        <v/>
      </c>
      <c r="F918" s="16" t="str">
        <f>IF(OR(TaxaJuros="",C918=""),"",-D918*E918*($F$8/30))</f>
        <v/>
      </c>
      <c r="G918" s="16" t="str">
        <f>IF(OR(TaxaJuros="",C918=""),"",-$F$9)</f>
        <v/>
      </c>
      <c r="H918" s="21" t="str">
        <f>IF(OR(TaxaJuros="",C918=""),"",IF(ComSemIOF=FALSE,0,IF(E918&gt;365,-(D918+F918)*365*IOFDiario,-(D918+F918)*E918*IOFDiario)))</f>
        <v/>
      </c>
      <c r="I918" s="21" t="str">
        <f>IF(OR(TaxaJuros="",C918=""),"",IF(ComSemIOF=FALSE,0,-(D918+F918)*IOFAdic))</f>
        <v/>
      </c>
      <c r="J918" s="16" t="str">
        <f>IF(OR(TaxaJuros="",C918=""),"",D918+SUM(F918:I918))</f>
        <v/>
      </c>
      <c r="K918" s="67" t="str">
        <f>IF(OR(TaxaJuros="",C918=""),"",100%-J918/D918)</f>
        <v/>
      </c>
    </row>
    <row r="919" spans="5:11" x14ac:dyDescent="0.25">
      <c r="E919" s="15" t="str">
        <f>IF(OR(DataRecebimento="",C919=""),"",C919-$F$7)</f>
        <v/>
      </c>
      <c r="F919" s="16" t="str">
        <f>IF(OR(TaxaJuros="",C919=""),"",-D919*E919*($F$8/30))</f>
        <v/>
      </c>
      <c r="G919" s="16" t="str">
        <f>IF(OR(TaxaJuros="",C919=""),"",-$F$9)</f>
        <v/>
      </c>
      <c r="H919" s="21" t="str">
        <f>IF(OR(TaxaJuros="",C919=""),"",IF(ComSemIOF=FALSE,0,IF(E919&gt;365,-(D919+F919)*365*IOFDiario,-(D919+F919)*E919*IOFDiario)))</f>
        <v/>
      </c>
      <c r="I919" s="21" t="str">
        <f>IF(OR(TaxaJuros="",C919=""),"",IF(ComSemIOF=FALSE,0,-(D919+F919)*IOFAdic))</f>
        <v/>
      </c>
      <c r="J919" s="16" t="str">
        <f>IF(OR(TaxaJuros="",C919=""),"",D919+SUM(F919:I919))</f>
        <v/>
      </c>
      <c r="K919" s="67" t="str">
        <f>IF(OR(TaxaJuros="",C919=""),"",100%-J919/D919)</f>
        <v/>
      </c>
    </row>
    <row r="920" spans="5:11" x14ac:dyDescent="0.25">
      <c r="E920" s="15" t="str">
        <f>IF(OR(DataRecebimento="",C920=""),"",C920-$F$7)</f>
        <v/>
      </c>
      <c r="F920" s="16" t="str">
        <f>IF(OR(TaxaJuros="",C920=""),"",-D920*E920*($F$8/30))</f>
        <v/>
      </c>
      <c r="G920" s="16" t="str">
        <f>IF(OR(TaxaJuros="",C920=""),"",-$F$9)</f>
        <v/>
      </c>
      <c r="H920" s="21" t="str">
        <f>IF(OR(TaxaJuros="",C920=""),"",IF(ComSemIOF=FALSE,0,IF(E920&gt;365,-(D920+F920)*365*IOFDiario,-(D920+F920)*E920*IOFDiario)))</f>
        <v/>
      </c>
      <c r="I920" s="21" t="str">
        <f>IF(OR(TaxaJuros="",C920=""),"",IF(ComSemIOF=FALSE,0,-(D920+F920)*IOFAdic))</f>
        <v/>
      </c>
      <c r="J920" s="16" t="str">
        <f>IF(OR(TaxaJuros="",C920=""),"",D920+SUM(F920:I920))</f>
        <v/>
      </c>
      <c r="K920" s="67" t="str">
        <f>IF(OR(TaxaJuros="",C920=""),"",100%-J920/D920)</f>
        <v/>
      </c>
    </row>
    <row r="921" spans="5:11" x14ac:dyDescent="0.25">
      <c r="E921" s="15" t="str">
        <f>IF(OR(DataRecebimento="",C921=""),"",C921-$F$7)</f>
        <v/>
      </c>
      <c r="F921" s="16" t="str">
        <f>IF(OR(TaxaJuros="",C921=""),"",-D921*E921*($F$8/30))</f>
        <v/>
      </c>
      <c r="G921" s="16" t="str">
        <f>IF(OR(TaxaJuros="",C921=""),"",-$F$9)</f>
        <v/>
      </c>
      <c r="H921" s="21" t="str">
        <f>IF(OR(TaxaJuros="",C921=""),"",IF(ComSemIOF=FALSE,0,IF(E921&gt;365,-(D921+F921)*365*IOFDiario,-(D921+F921)*E921*IOFDiario)))</f>
        <v/>
      </c>
      <c r="I921" s="21" t="str">
        <f>IF(OR(TaxaJuros="",C921=""),"",IF(ComSemIOF=FALSE,0,-(D921+F921)*IOFAdic))</f>
        <v/>
      </c>
      <c r="J921" s="16" t="str">
        <f>IF(OR(TaxaJuros="",C921=""),"",D921+SUM(F921:I921))</f>
        <v/>
      </c>
      <c r="K921" s="67" t="str">
        <f>IF(OR(TaxaJuros="",C921=""),"",100%-J921/D921)</f>
        <v/>
      </c>
    </row>
    <row r="922" spans="5:11" x14ac:dyDescent="0.25">
      <c r="E922" s="15" t="str">
        <f>IF(OR(DataRecebimento="",C922=""),"",C922-$F$7)</f>
        <v/>
      </c>
      <c r="F922" s="16" t="str">
        <f>IF(OR(TaxaJuros="",C922=""),"",-D922*E922*($F$8/30))</f>
        <v/>
      </c>
      <c r="G922" s="16" t="str">
        <f>IF(OR(TaxaJuros="",C922=""),"",-$F$9)</f>
        <v/>
      </c>
      <c r="H922" s="21" t="str">
        <f>IF(OR(TaxaJuros="",C922=""),"",IF(ComSemIOF=FALSE,0,IF(E922&gt;365,-(D922+F922)*365*IOFDiario,-(D922+F922)*E922*IOFDiario)))</f>
        <v/>
      </c>
      <c r="I922" s="21" t="str">
        <f>IF(OR(TaxaJuros="",C922=""),"",IF(ComSemIOF=FALSE,0,-(D922+F922)*IOFAdic))</f>
        <v/>
      </c>
      <c r="J922" s="16" t="str">
        <f>IF(OR(TaxaJuros="",C922=""),"",D922+SUM(F922:I922))</f>
        <v/>
      </c>
      <c r="K922" s="67" t="str">
        <f>IF(OR(TaxaJuros="",C922=""),"",100%-J922/D922)</f>
        <v/>
      </c>
    </row>
    <row r="923" spans="5:11" x14ac:dyDescent="0.25">
      <c r="E923" s="15" t="str">
        <f>IF(OR(DataRecebimento="",C923=""),"",C923-$F$7)</f>
        <v/>
      </c>
      <c r="F923" s="16" t="str">
        <f>IF(OR(TaxaJuros="",C923=""),"",-D923*E923*($F$8/30))</f>
        <v/>
      </c>
      <c r="G923" s="16" t="str">
        <f>IF(OR(TaxaJuros="",C923=""),"",-$F$9)</f>
        <v/>
      </c>
      <c r="H923" s="21" t="str">
        <f>IF(OR(TaxaJuros="",C923=""),"",IF(ComSemIOF=FALSE,0,IF(E923&gt;365,-(D923+F923)*365*IOFDiario,-(D923+F923)*E923*IOFDiario)))</f>
        <v/>
      </c>
      <c r="I923" s="21" t="str">
        <f>IF(OR(TaxaJuros="",C923=""),"",IF(ComSemIOF=FALSE,0,-(D923+F923)*IOFAdic))</f>
        <v/>
      </c>
      <c r="J923" s="16" t="str">
        <f>IF(OR(TaxaJuros="",C923=""),"",D923+SUM(F923:I923))</f>
        <v/>
      </c>
      <c r="K923" s="67" t="str">
        <f>IF(OR(TaxaJuros="",C923=""),"",100%-J923/D923)</f>
        <v/>
      </c>
    </row>
    <row r="924" spans="5:11" x14ac:dyDescent="0.25">
      <c r="E924" s="15" t="str">
        <f>IF(OR(DataRecebimento="",C924=""),"",C924-$F$7)</f>
        <v/>
      </c>
      <c r="F924" s="16" t="str">
        <f>IF(OR(TaxaJuros="",C924=""),"",-D924*E924*($F$8/30))</f>
        <v/>
      </c>
      <c r="G924" s="16" t="str">
        <f>IF(OR(TaxaJuros="",C924=""),"",-$F$9)</f>
        <v/>
      </c>
      <c r="H924" s="21" t="str">
        <f>IF(OR(TaxaJuros="",C924=""),"",IF(ComSemIOF=FALSE,0,IF(E924&gt;365,-(D924+F924)*365*IOFDiario,-(D924+F924)*E924*IOFDiario)))</f>
        <v/>
      </c>
      <c r="I924" s="21" t="str">
        <f>IF(OR(TaxaJuros="",C924=""),"",IF(ComSemIOF=FALSE,0,-(D924+F924)*IOFAdic))</f>
        <v/>
      </c>
      <c r="J924" s="16" t="str">
        <f>IF(OR(TaxaJuros="",C924=""),"",D924+SUM(F924:I924))</f>
        <v/>
      </c>
      <c r="K924" s="67" t="str">
        <f>IF(OR(TaxaJuros="",C924=""),"",100%-J924/D924)</f>
        <v/>
      </c>
    </row>
    <row r="925" spans="5:11" x14ac:dyDescent="0.25">
      <c r="E925" s="15" t="str">
        <f>IF(OR(DataRecebimento="",C925=""),"",C925-$F$7)</f>
        <v/>
      </c>
      <c r="F925" s="16" t="str">
        <f>IF(OR(TaxaJuros="",C925=""),"",-D925*E925*($F$8/30))</f>
        <v/>
      </c>
      <c r="G925" s="16" t="str">
        <f>IF(OR(TaxaJuros="",C925=""),"",-$F$9)</f>
        <v/>
      </c>
      <c r="H925" s="21" t="str">
        <f>IF(OR(TaxaJuros="",C925=""),"",IF(ComSemIOF=FALSE,0,IF(E925&gt;365,-(D925+F925)*365*IOFDiario,-(D925+F925)*E925*IOFDiario)))</f>
        <v/>
      </c>
      <c r="I925" s="21" t="str">
        <f>IF(OR(TaxaJuros="",C925=""),"",IF(ComSemIOF=FALSE,0,-(D925+F925)*IOFAdic))</f>
        <v/>
      </c>
      <c r="J925" s="16" t="str">
        <f>IF(OR(TaxaJuros="",C925=""),"",D925+SUM(F925:I925))</f>
        <v/>
      </c>
      <c r="K925" s="67" t="str">
        <f>IF(OR(TaxaJuros="",C925=""),"",100%-J925/D925)</f>
        <v/>
      </c>
    </row>
    <row r="926" spans="5:11" x14ac:dyDescent="0.25">
      <c r="E926" s="15" t="str">
        <f>IF(OR(DataRecebimento="",C926=""),"",C926-$F$7)</f>
        <v/>
      </c>
      <c r="F926" s="16" t="str">
        <f>IF(OR(TaxaJuros="",C926=""),"",-D926*E926*($F$8/30))</f>
        <v/>
      </c>
      <c r="G926" s="16" t="str">
        <f>IF(OR(TaxaJuros="",C926=""),"",-$F$9)</f>
        <v/>
      </c>
      <c r="H926" s="21" t="str">
        <f>IF(OR(TaxaJuros="",C926=""),"",IF(ComSemIOF=FALSE,0,IF(E926&gt;365,-(D926+F926)*365*IOFDiario,-(D926+F926)*E926*IOFDiario)))</f>
        <v/>
      </c>
      <c r="I926" s="21" t="str">
        <f>IF(OR(TaxaJuros="",C926=""),"",IF(ComSemIOF=FALSE,0,-(D926+F926)*IOFAdic))</f>
        <v/>
      </c>
      <c r="J926" s="16" t="str">
        <f>IF(OR(TaxaJuros="",C926=""),"",D926+SUM(F926:I926))</f>
        <v/>
      </c>
      <c r="K926" s="67" t="str">
        <f>IF(OR(TaxaJuros="",C926=""),"",100%-J926/D926)</f>
        <v/>
      </c>
    </row>
    <row r="927" spans="5:11" x14ac:dyDescent="0.25">
      <c r="E927" s="15" t="str">
        <f>IF(OR(DataRecebimento="",C927=""),"",C927-$F$7)</f>
        <v/>
      </c>
      <c r="F927" s="16" t="str">
        <f>IF(OR(TaxaJuros="",C927=""),"",-D927*E927*($F$8/30))</f>
        <v/>
      </c>
      <c r="G927" s="16" t="str">
        <f>IF(OR(TaxaJuros="",C927=""),"",-$F$9)</f>
        <v/>
      </c>
      <c r="H927" s="21" t="str">
        <f>IF(OR(TaxaJuros="",C927=""),"",IF(ComSemIOF=FALSE,0,IF(E927&gt;365,-(D927+F927)*365*IOFDiario,-(D927+F927)*E927*IOFDiario)))</f>
        <v/>
      </c>
      <c r="I927" s="21" t="str">
        <f>IF(OR(TaxaJuros="",C927=""),"",IF(ComSemIOF=FALSE,0,-(D927+F927)*IOFAdic))</f>
        <v/>
      </c>
      <c r="J927" s="16" t="str">
        <f>IF(OR(TaxaJuros="",C927=""),"",D927+SUM(F927:I927))</f>
        <v/>
      </c>
      <c r="K927" s="67" t="str">
        <f>IF(OR(TaxaJuros="",C927=""),"",100%-J927/D927)</f>
        <v/>
      </c>
    </row>
    <row r="928" spans="5:11" x14ac:dyDescent="0.25">
      <c r="E928" s="15" t="str">
        <f>IF(OR(DataRecebimento="",C928=""),"",C928-$F$7)</f>
        <v/>
      </c>
      <c r="F928" s="16" t="str">
        <f>IF(OR(TaxaJuros="",C928=""),"",-D928*E928*($F$8/30))</f>
        <v/>
      </c>
      <c r="G928" s="16" t="str">
        <f>IF(OR(TaxaJuros="",C928=""),"",-$F$9)</f>
        <v/>
      </c>
      <c r="H928" s="21" t="str">
        <f>IF(OR(TaxaJuros="",C928=""),"",IF(ComSemIOF=FALSE,0,IF(E928&gt;365,-(D928+F928)*365*IOFDiario,-(D928+F928)*E928*IOFDiario)))</f>
        <v/>
      </c>
      <c r="I928" s="21" t="str">
        <f>IF(OR(TaxaJuros="",C928=""),"",IF(ComSemIOF=FALSE,0,-(D928+F928)*IOFAdic))</f>
        <v/>
      </c>
      <c r="J928" s="16" t="str">
        <f>IF(OR(TaxaJuros="",C928=""),"",D928+SUM(F928:I928))</f>
        <v/>
      </c>
      <c r="K928" s="67" t="str">
        <f>IF(OR(TaxaJuros="",C928=""),"",100%-J928/D928)</f>
        <v/>
      </c>
    </row>
    <row r="929" spans="5:11" x14ac:dyDescent="0.25">
      <c r="E929" s="15" t="str">
        <f>IF(OR(DataRecebimento="",C929=""),"",C929-$F$7)</f>
        <v/>
      </c>
      <c r="F929" s="16" t="str">
        <f>IF(OR(TaxaJuros="",C929=""),"",-D929*E929*($F$8/30))</f>
        <v/>
      </c>
      <c r="G929" s="16" t="str">
        <f>IF(OR(TaxaJuros="",C929=""),"",-$F$9)</f>
        <v/>
      </c>
      <c r="H929" s="21" t="str">
        <f>IF(OR(TaxaJuros="",C929=""),"",IF(ComSemIOF=FALSE,0,IF(E929&gt;365,-(D929+F929)*365*IOFDiario,-(D929+F929)*E929*IOFDiario)))</f>
        <v/>
      </c>
      <c r="I929" s="21" t="str">
        <f>IF(OR(TaxaJuros="",C929=""),"",IF(ComSemIOF=FALSE,0,-(D929+F929)*IOFAdic))</f>
        <v/>
      </c>
      <c r="J929" s="16" t="str">
        <f>IF(OR(TaxaJuros="",C929=""),"",D929+SUM(F929:I929))</f>
        <v/>
      </c>
      <c r="K929" s="67" t="str">
        <f>IF(OR(TaxaJuros="",C929=""),"",100%-J929/D929)</f>
        <v/>
      </c>
    </row>
    <row r="930" spans="5:11" x14ac:dyDescent="0.25">
      <c r="E930" s="15" t="str">
        <f>IF(OR(DataRecebimento="",C930=""),"",C930-$F$7)</f>
        <v/>
      </c>
      <c r="F930" s="16" t="str">
        <f>IF(OR(TaxaJuros="",C930=""),"",-D930*E930*($F$8/30))</f>
        <v/>
      </c>
      <c r="G930" s="16" t="str">
        <f>IF(OR(TaxaJuros="",C930=""),"",-$F$9)</f>
        <v/>
      </c>
      <c r="H930" s="21" t="str">
        <f>IF(OR(TaxaJuros="",C930=""),"",IF(ComSemIOF=FALSE,0,IF(E930&gt;365,-(D930+F930)*365*IOFDiario,-(D930+F930)*E930*IOFDiario)))</f>
        <v/>
      </c>
      <c r="I930" s="21" t="str">
        <f>IF(OR(TaxaJuros="",C930=""),"",IF(ComSemIOF=FALSE,0,-(D930+F930)*IOFAdic))</f>
        <v/>
      </c>
      <c r="J930" s="16" t="str">
        <f>IF(OR(TaxaJuros="",C930=""),"",D930+SUM(F930:I930))</f>
        <v/>
      </c>
      <c r="K930" s="67" t="str">
        <f>IF(OR(TaxaJuros="",C930=""),"",100%-J930/D930)</f>
        <v/>
      </c>
    </row>
    <row r="931" spans="5:11" x14ac:dyDescent="0.25">
      <c r="E931" s="15" t="str">
        <f>IF(OR(DataRecebimento="",C931=""),"",C931-$F$7)</f>
        <v/>
      </c>
      <c r="F931" s="16" t="str">
        <f>IF(OR(TaxaJuros="",C931=""),"",-D931*E931*($F$8/30))</f>
        <v/>
      </c>
      <c r="G931" s="16" t="str">
        <f>IF(OR(TaxaJuros="",C931=""),"",-$F$9)</f>
        <v/>
      </c>
      <c r="H931" s="21" t="str">
        <f>IF(OR(TaxaJuros="",C931=""),"",IF(ComSemIOF=FALSE,0,IF(E931&gt;365,-(D931+F931)*365*IOFDiario,-(D931+F931)*E931*IOFDiario)))</f>
        <v/>
      </c>
      <c r="I931" s="21" t="str">
        <f>IF(OR(TaxaJuros="",C931=""),"",IF(ComSemIOF=FALSE,0,-(D931+F931)*IOFAdic))</f>
        <v/>
      </c>
      <c r="J931" s="16" t="str">
        <f>IF(OR(TaxaJuros="",C931=""),"",D931+SUM(F931:I931))</f>
        <v/>
      </c>
      <c r="K931" s="67" t="str">
        <f>IF(OR(TaxaJuros="",C931=""),"",100%-J931/D931)</f>
        <v/>
      </c>
    </row>
    <row r="932" spans="5:11" x14ac:dyDescent="0.25">
      <c r="E932" s="15" t="str">
        <f>IF(OR(DataRecebimento="",C932=""),"",C932-$F$7)</f>
        <v/>
      </c>
      <c r="F932" s="16" t="str">
        <f>IF(OR(TaxaJuros="",C932=""),"",-D932*E932*($F$8/30))</f>
        <v/>
      </c>
      <c r="G932" s="16" t="str">
        <f>IF(OR(TaxaJuros="",C932=""),"",-$F$9)</f>
        <v/>
      </c>
      <c r="H932" s="21" t="str">
        <f>IF(OR(TaxaJuros="",C932=""),"",IF(ComSemIOF=FALSE,0,IF(E932&gt;365,-(D932+F932)*365*IOFDiario,-(D932+F932)*E932*IOFDiario)))</f>
        <v/>
      </c>
      <c r="I932" s="21" t="str">
        <f>IF(OR(TaxaJuros="",C932=""),"",IF(ComSemIOF=FALSE,0,-(D932+F932)*IOFAdic))</f>
        <v/>
      </c>
      <c r="J932" s="16" t="str">
        <f>IF(OR(TaxaJuros="",C932=""),"",D932+SUM(F932:I932))</f>
        <v/>
      </c>
      <c r="K932" s="67" t="str">
        <f>IF(OR(TaxaJuros="",C932=""),"",100%-J932/D932)</f>
        <v/>
      </c>
    </row>
    <row r="933" spans="5:11" x14ac:dyDescent="0.25">
      <c r="E933" s="15" t="str">
        <f>IF(OR(DataRecebimento="",C933=""),"",C933-$F$7)</f>
        <v/>
      </c>
      <c r="F933" s="16" t="str">
        <f>IF(OR(TaxaJuros="",C933=""),"",-D933*E933*($F$8/30))</f>
        <v/>
      </c>
      <c r="G933" s="16" t="str">
        <f>IF(OR(TaxaJuros="",C933=""),"",-$F$9)</f>
        <v/>
      </c>
      <c r="H933" s="21" t="str">
        <f>IF(OR(TaxaJuros="",C933=""),"",IF(ComSemIOF=FALSE,0,IF(E933&gt;365,-(D933+F933)*365*IOFDiario,-(D933+F933)*E933*IOFDiario)))</f>
        <v/>
      </c>
      <c r="I933" s="21" t="str">
        <f>IF(OR(TaxaJuros="",C933=""),"",IF(ComSemIOF=FALSE,0,-(D933+F933)*IOFAdic))</f>
        <v/>
      </c>
      <c r="J933" s="16" t="str">
        <f>IF(OR(TaxaJuros="",C933=""),"",D933+SUM(F933:I933))</f>
        <v/>
      </c>
      <c r="K933" s="67" t="str">
        <f>IF(OR(TaxaJuros="",C933=""),"",100%-J933/D933)</f>
        <v/>
      </c>
    </row>
    <row r="934" spans="5:11" x14ac:dyDescent="0.25">
      <c r="E934" s="15" t="str">
        <f>IF(OR(DataRecebimento="",C934=""),"",C934-$F$7)</f>
        <v/>
      </c>
      <c r="F934" s="16" t="str">
        <f>IF(OR(TaxaJuros="",C934=""),"",-D934*E934*($F$8/30))</f>
        <v/>
      </c>
      <c r="G934" s="16" t="str">
        <f>IF(OR(TaxaJuros="",C934=""),"",-$F$9)</f>
        <v/>
      </c>
      <c r="H934" s="21" t="str">
        <f>IF(OR(TaxaJuros="",C934=""),"",IF(ComSemIOF=FALSE,0,IF(E934&gt;365,-(D934+F934)*365*IOFDiario,-(D934+F934)*E934*IOFDiario)))</f>
        <v/>
      </c>
      <c r="I934" s="21" t="str">
        <f>IF(OR(TaxaJuros="",C934=""),"",IF(ComSemIOF=FALSE,0,-(D934+F934)*IOFAdic))</f>
        <v/>
      </c>
      <c r="J934" s="16" t="str">
        <f>IF(OR(TaxaJuros="",C934=""),"",D934+SUM(F934:I934))</f>
        <v/>
      </c>
      <c r="K934" s="67" t="str">
        <f>IF(OR(TaxaJuros="",C934=""),"",100%-J934/D934)</f>
        <v/>
      </c>
    </row>
    <row r="935" spans="5:11" x14ac:dyDescent="0.25">
      <c r="E935" s="15" t="str">
        <f>IF(OR(DataRecebimento="",C935=""),"",C935-$F$7)</f>
        <v/>
      </c>
      <c r="F935" s="16" t="str">
        <f>IF(OR(TaxaJuros="",C935=""),"",-D935*E935*($F$8/30))</f>
        <v/>
      </c>
      <c r="G935" s="16" t="str">
        <f>IF(OR(TaxaJuros="",C935=""),"",-$F$9)</f>
        <v/>
      </c>
      <c r="H935" s="21" t="str">
        <f>IF(OR(TaxaJuros="",C935=""),"",IF(ComSemIOF=FALSE,0,IF(E935&gt;365,-(D935+F935)*365*IOFDiario,-(D935+F935)*E935*IOFDiario)))</f>
        <v/>
      </c>
      <c r="I935" s="21" t="str">
        <f>IF(OR(TaxaJuros="",C935=""),"",IF(ComSemIOF=FALSE,0,-(D935+F935)*IOFAdic))</f>
        <v/>
      </c>
      <c r="J935" s="16" t="str">
        <f>IF(OR(TaxaJuros="",C935=""),"",D935+SUM(F935:I935))</f>
        <v/>
      </c>
      <c r="K935" s="67" t="str">
        <f>IF(OR(TaxaJuros="",C935=""),"",100%-J935/D935)</f>
        <v/>
      </c>
    </row>
    <row r="936" spans="5:11" x14ac:dyDescent="0.25">
      <c r="E936" s="15" t="str">
        <f>IF(OR(DataRecebimento="",C936=""),"",C936-$F$7)</f>
        <v/>
      </c>
      <c r="F936" s="16" t="str">
        <f>IF(OR(TaxaJuros="",C936=""),"",-D936*E936*($F$8/30))</f>
        <v/>
      </c>
      <c r="G936" s="16" t="str">
        <f>IF(OR(TaxaJuros="",C936=""),"",-$F$9)</f>
        <v/>
      </c>
      <c r="H936" s="21" t="str">
        <f>IF(OR(TaxaJuros="",C936=""),"",IF(ComSemIOF=FALSE,0,IF(E936&gt;365,-(D936+F936)*365*IOFDiario,-(D936+F936)*E936*IOFDiario)))</f>
        <v/>
      </c>
      <c r="I936" s="21" t="str">
        <f>IF(OR(TaxaJuros="",C936=""),"",IF(ComSemIOF=FALSE,0,-(D936+F936)*IOFAdic))</f>
        <v/>
      </c>
      <c r="J936" s="16" t="str">
        <f>IF(OR(TaxaJuros="",C936=""),"",D936+SUM(F936:I936))</f>
        <v/>
      </c>
      <c r="K936" s="67" t="str">
        <f>IF(OR(TaxaJuros="",C936=""),"",100%-J936/D936)</f>
        <v/>
      </c>
    </row>
    <row r="937" spans="5:11" x14ac:dyDescent="0.25">
      <c r="E937" s="15" t="str">
        <f>IF(OR(DataRecebimento="",C937=""),"",C937-$F$7)</f>
        <v/>
      </c>
      <c r="F937" s="16" t="str">
        <f>IF(OR(TaxaJuros="",C937=""),"",-D937*E937*($F$8/30))</f>
        <v/>
      </c>
      <c r="G937" s="16" t="str">
        <f>IF(OR(TaxaJuros="",C937=""),"",-$F$9)</f>
        <v/>
      </c>
      <c r="H937" s="21" t="str">
        <f>IF(OR(TaxaJuros="",C937=""),"",IF(ComSemIOF=FALSE,0,IF(E937&gt;365,-(D937+F937)*365*IOFDiario,-(D937+F937)*E937*IOFDiario)))</f>
        <v/>
      </c>
      <c r="I937" s="21" t="str">
        <f>IF(OR(TaxaJuros="",C937=""),"",IF(ComSemIOF=FALSE,0,-(D937+F937)*IOFAdic))</f>
        <v/>
      </c>
      <c r="J937" s="16" t="str">
        <f>IF(OR(TaxaJuros="",C937=""),"",D937+SUM(F937:I937))</f>
        <v/>
      </c>
      <c r="K937" s="67" t="str">
        <f>IF(OR(TaxaJuros="",C937=""),"",100%-J937/D937)</f>
        <v/>
      </c>
    </row>
    <row r="938" spans="5:11" x14ac:dyDescent="0.25">
      <c r="E938" s="15" t="str">
        <f>IF(OR(DataRecebimento="",C938=""),"",C938-$F$7)</f>
        <v/>
      </c>
      <c r="F938" s="16" t="str">
        <f>IF(OR(TaxaJuros="",C938=""),"",-D938*E938*($F$8/30))</f>
        <v/>
      </c>
      <c r="G938" s="16" t="str">
        <f>IF(OR(TaxaJuros="",C938=""),"",-$F$9)</f>
        <v/>
      </c>
      <c r="H938" s="21" t="str">
        <f>IF(OR(TaxaJuros="",C938=""),"",IF(ComSemIOF=FALSE,0,IF(E938&gt;365,-(D938+F938)*365*IOFDiario,-(D938+F938)*E938*IOFDiario)))</f>
        <v/>
      </c>
      <c r="I938" s="21" t="str">
        <f>IF(OR(TaxaJuros="",C938=""),"",IF(ComSemIOF=FALSE,0,-(D938+F938)*IOFAdic))</f>
        <v/>
      </c>
      <c r="J938" s="16" t="str">
        <f>IF(OR(TaxaJuros="",C938=""),"",D938+SUM(F938:I938))</f>
        <v/>
      </c>
      <c r="K938" s="67" t="str">
        <f>IF(OR(TaxaJuros="",C938=""),"",100%-J938/D938)</f>
        <v/>
      </c>
    </row>
    <row r="939" spans="5:11" x14ac:dyDescent="0.25">
      <c r="E939" s="15" t="str">
        <f>IF(OR(DataRecebimento="",C939=""),"",C939-$F$7)</f>
        <v/>
      </c>
      <c r="F939" s="16" t="str">
        <f>IF(OR(TaxaJuros="",C939=""),"",-D939*E939*($F$8/30))</f>
        <v/>
      </c>
      <c r="G939" s="16" t="str">
        <f>IF(OR(TaxaJuros="",C939=""),"",-$F$9)</f>
        <v/>
      </c>
      <c r="H939" s="21" t="str">
        <f>IF(OR(TaxaJuros="",C939=""),"",IF(ComSemIOF=FALSE,0,IF(E939&gt;365,-(D939+F939)*365*IOFDiario,-(D939+F939)*E939*IOFDiario)))</f>
        <v/>
      </c>
      <c r="I939" s="21" t="str">
        <f>IF(OR(TaxaJuros="",C939=""),"",IF(ComSemIOF=FALSE,0,-(D939+F939)*IOFAdic))</f>
        <v/>
      </c>
      <c r="J939" s="16" t="str">
        <f>IF(OR(TaxaJuros="",C939=""),"",D939+SUM(F939:I939))</f>
        <v/>
      </c>
      <c r="K939" s="67" t="str">
        <f>IF(OR(TaxaJuros="",C939=""),"",100%-J939/D939)</f>
        <v/>
      </c>
    </row>
    <row r="940" spans="5:11" x14ac:dyDescent="0.25">
      <c r="E940" s="15" t="str">
        <f>IF(OR(DataRecebimento="",C940=""),"",C940-$F$7)</f>
        <v/>
      </c>
      <c r="F940" s="16" t="str">
        <f>IF(OR(TaxaJuros="",C940=""),"",-D940*E940*($F$8/30))</f>
        <v/>
      </c>
      <c r="G940" s="16" t="str">
        <f>IF(OR(TaxaJuros="",C940=""),"",-$F$9)</f>
        <v/>
      </c>
      <c r="H940" s="21" t="str">
        <f>IF(OR(TaxaJuros="",C940=""),"",IF(ComSemIOF=FALSE,0,IF(E940&gt;365,-(D940+F940)*365*IOFDiario,-(D940+F940)*E940*IOFDiario)))</f>
        <v/>
      </c>
      <c r="I940" s="21" t="str">
        <f>IF(OR(TaxaJuros="",C940=""),"",IF(ComSemIOF=FALSE,0,-(D940+F940)*IOFAdic))</f>
        <v/>
      </c>
      <c r="J940" s="16" t="str">
        <f>IF(OR(TaxaJuros="",C940=""),"",D940+SUM(F940:I940))</f>
        <v/>
      </c>
      <c r="K940" s="67" t="str">
        <f>IF(OR(TaxaJuros="",C940=""),"",100%-J940/D940)</f>
        <v/>
      </c>
    </row>
    <row r="941" spans="5:11" x14ac:dyDescent="0.25">
      <c r="E941" s="15" t="str">
        <f>IF(OR(DataRecebimento="",C941=""),"",C941-$F$7)</f>
        <v/>
      </c>
      <c r="F941" s="16" t="str">
        <f>IF(OR(TaxaJuros="",C941=""),"",-D941*E941*($F$8/30))</f>
        <v/>
      </c>
      <c r="G941" s="16" t="str">
        <f>IF(OR(TaxaJuros="",C941=""),"",-$F$9)</f>
        <v/>
      </c>
      <c r="H941" s="21" t="str">
        <f>IF(OR(TaxaJuros="",C941=""),"",IF(ComSemIOF=FALSE,0,IF(E941&gt;365,-(D941+F941)*365*IOFDiario,-(D941+F941)*E941*IOFDiario)))</f>
        <v/>
      </c>
      <c r="I941" s="21" t="str">
        <f>IF(OR(TaxaJuros="",C941=""),"",IF(ComSemIOF=FALSE,0,-(D941+F941)*IOFAdic))</f>
        <v/>
      </c>
      <c r="J941" s="16" t="str">
        <f>IF(OR(TaxaJuros="",C941=""),"",D941+SUM(F941:I941))</f>
        <v/>
      </c>
      <c r="K941" s="67" t="str">
        <f>IF(OR(TaxaJuros="",C941=""),"",100%-J941/D941)</f>
        <v/>
      </c>
    </row>
    <row r="942" spans="5:11" x14ac:dyDescent="0.25">
      <c r="E942" s="15" t="str">
        <f>IF(OR(DataRecebimento="",C942=""),"",C942-$F$7)</f>
        <v/>
      </c>
      <c r="F942" s="16" t="str">
        <f>IF(OR(TaxaJuros="",C942=""),"",-D942*E942*($F$8/30))</f>
        <v/>
      </c>
      <c r="G942" s="16" t="str">
        <f>IF(OR(TaxaJuros="",C942=""),"",-$F$9)</f>
        <v/>
      </c>
      <c r="H942" s="21" t="str">
        <f>IF(OR(TaxaJuros="",C942=""),"",IF(ComSemIOF=FALSE,0,IF(E942&gt;365,-(D942+F942)*365*IOFDiario,-(D942+F942)*E942*IOFDiario)))</f>
        <v/>
      </c>
      <c r="I942" s="21" t="str">
        <f>IF(OR(TaxaJuros="",C942=""),"",IF(ComSemIOF=FALSE,0,-(D942+F942)*IOFAdic))</f>
        <v/>
      </c>
      <c r="J942" s="16" t="str">
        <f>IF(OR(TaxaJuros="",C942=""),"",D942+SUM(F942:I942))</f>
        <v/>
      </c>
      <c r="K942" s="67" t="str">
        <f>IF(OR(TaxaJuros="",C942=""),"",100%-J942/D942)</f>
        <v/>
      </c>
    </row>
    <row r="943" spans="5:11" x14ac:dyDescent="0.25">
      <c r="E943" s="15" t="str">
        <f>IF(OR(DataRecebimento="",C943=""),"",C943-$F$7)</f>
        <v/>
      </c>
      <c r="F943" s="16" t="str">
        <f>IF(OR(TaxaJuros="",C943=""),"",-D943*E943*($F$8/30))</f>
        <v/>
      </c>
      <c r="G943" s="16" t="str">
        <f>IF(OR(TaxaJuros="",C943=""),"",-$F$9)</f>
        <v/>
      </c>
      <c r="H943" s="21" t="str">
        <f>IF(OR(TaxaJuros="",C943=""),"",IF(ComSemIOF=FALSE,0,IF(E943&gt;365,-(D943+F943)*365*IOFDiario,-(D943+F943)*E943*IOFDiario)))</f>
        <v/>
      </c>
      <c r="I943" s="21" t="str">
        <f>IF(OR(TaxaJuros="",C943=""),"",IF(ComSemIOF=FALSE,0,-(D943+F943)*IOFAdic))</f>
        <v/>
      </c>
      <c r="J943" s="16" t="str">
        <f>IF(OR(TaxaJuros="",C943=""),"",D943+SUM(F943:I943))</f>
        <v/>
      </c>
      <c r="K943" s="67" t="str">
        <f>IF(OR(TaxaJuros="",C943=""),"",100%-J943/D943)</f>
        <v/>
      </c>
    </row>
    <row r="944" spans="5:11" x14ac:dyDescent="0.25">
      <c r="E944" s="15" t="str">
        <f>IF(OR(DataRecebimento="",C944=""),"",C944-$F$7)</f>
        <v/>
      </c>
      <c r="F944" s="16" t="str">
        <f>IF(OR(TaxaJuros="",C944=""),"",-D944*E944*($F$8/30))</f>
        <v/>
      </c>
      <c r="G944" s="16" t="str">
        <f>IF(OR(TaxaJuros="",C944=""),"",-$F$9)</f>
        <v/>
      </c>
      <c r="H944" s="21" t="str">
        <f>IF(OR(TaxaJuros="",C944=""),"",IF(ComSemIOF=FALSE,0,IF(E944&gt;365,-(D944+F944)*365*IOFDiario,-(D944+F944)*E944*IOFDiario)))</f>
        <v/>
      </c>
      <c r="I944" s="21" t="str">
        <f>IF(OR(TaxaJuros="",C944=""),"",IF(ComSemIOF=FALSE,0,-(D944+F944)*IOFAdic))</f>
        <v/>
      </c>
      <c r="J944" s="16" t="str">
        <f>IF(OR(TaxaJuros="",C944=""),"",D944+SUM(F944:I944))</f>
        <v/>
      </c>
      <c r="K944" s="67" t="str">
        <f>IF(OR(TaxaJuros="",C944=""),"",100%-J944/D944)</f>
        <v/>
      </c>
    </row>
    <row r="945" spans="5:11" x14ac:dyDescent="0.25">
      <c r="E945" s="15" t="str">
        <f>IF(OR(DataRecebimento="",C945=""),"",C945-$F$7)</f>
        <v/>
      </c>
      <c r="F945" s="16" t="str">
        <f>IF(OR(TaxaJuros="",C945=""),"",-D945*E945*($F$8/30))</f>
        <v/>
      </c>
      <c r="G945" s="16" t="str">
        <f>IF(OR(TaxaJuros="",C945=""),"",-$F$9)</f>
        <v/>
      </c>
      <c r="H945" s="21" t="str">
        <f>IF(OR(TaxaJuros="",C945=""),"",IF(ComSemIOF=FALSE,0,IF(E945&gt;365,-(D945+F945)*365*IOFDiario,-(D945+F945)*E945*IOFDiario)))</f>
        <v/>
      </c>
      <c r="I945" s="21" t="str">
        <f>IF(OR(TaxaJuros="",C945=""),"",IF(ComSemIOF=FALSE,0,-(D945+F945)*IOFAdic))</f>
        <v/>
      </c>
      <c r="J945" s="16" t="str">
        <f>IF(OR(TaxaJuros="",C945=""),"",D945+SUM(F945:I945))</f>
        <v/>
      </c>
      <c r="K945" s="67" t="str">
        <f>IF(OR(TaxaJuros="",C945=""),"",100%-J945/D945)</f>
        <v/>
      </c>
    </row>
    <row r="946" spans="5:11" x14ac:dyDescent="0.25">
      <c r="E946" s="15" t="str">
        <f>IF(OR(DataRecebimento="",C946=""),"",C946-$F$7)</f>
        <v/>
      </c>
      <c r="F946" s="16" t="str">
        <f>IF(OR(TaxaJuros="",C946=""),"",-D946*E946*($F$8/30))</f>
        <v/>
      </c>
      <c r="G946" s="16" t="str">
        <f>IF(OR(TaxaJuros="",C946=""),"",-$F$9)</f>
        <v/>
      </c>
      <c r="H946" s="21" t="str">
        <f>IF(OR(TaxaJuros="",C946=""),"",IF(ComSemIOF=FALSE,0,IF(E946&gt;365,-(D946+F946)*365*IOFDiario,-(D946+F946)*E946*IOFDiario)))</f>
        <v/>
      </c>
      <c r="I946" s="21" t="str">
        <f>IF(OR(TaxaJuros="",C946=""),"",IF(ComSemIOF=FALSE,0,-(D946+F946)*IOFAdic))</f>
        <v/>
      </c>
      <c r="J946" s="16" t="str">
        <f>IF(OR(TaxaJuros="",C946=""),"",D946+SUM(F946:I946))</f>
        <v/>
      </c>
      <c r="K946" s="67" t="str">
        <f>IF(OR(TaxaJuros="",C946=""),"",100%-J946/D946)</f>
        <v/>
      </c>
    </row>
    <row r="947" spans="5:11" x14ac:dyDescent="0.25">
      <c r="E947" s="15" t="str">
        <f>IF(OR(DataRecebimento="",C947=""),"",C947-$F$7)</f>
        <v/>
      </c>
      <c r="F947" s="16" t="str">
        <f>IF(OR(TaxaJuros="",C947=""),"",-D947*E947*($F$8/30))</f>
        <v/>
      </c>
      <c r="G947" s="16" t="str">
        <f>IF(OR(TaxaJuros="",C947=""),"",-$F$9)</f>
        <v/>
      </c>
      <c r="H947" s="21" t="str">
        <f>IF(OR(TaxaJuros="",C947=""),"",IF(ComSemIOF=FALSE,0,IF(E947&gt;365,-(D947+F947)*365*IOFDiario,-(D947+F947)*E947*IOFDiario)))</f>
        <v/>
      </c>
      <c r="I947" s="21" t="str">
        <f>IF(OR(TaxaJuros="",C947=""),"",IF(ComSemIOF=FALSE,0,-(D947+F947)*IOFAdic))</f>
        <v/>
      </c>
      <c r="J947" s="16" t="str">
        <f>IF(OR(TaxaJuros="",C947=""),"",D947+SUM(F947:I947))</f>
        <v/>
      </c>
      <c r="K947" s="67" t="str">
        <f>IF(OR(TaxaJuros="",C947=""),"",100%-J947/D947)</f>
        <v/>
      </c>
    </row>
    <row r="948" spans="5:11" x14ac:dyDescent="0.25">
      <c r="E948" s="15" t="str">
        <f>IF(OR(DataRecebimento="",C948=""),"",C948-$F$7)</f>
        <v/>
      </c>
      <c r="F948" s="16" t="str">
        <f>IF(OR(TaxaJuros="",C948=""),"",-D948*E948*($F$8/30))</f>
        <v/>
      </c>
      <c r="G948" s="16" t="str">
        <f>IF(OR(TaxaJuros="",C948=""),"",-$F$9)</f>
        <v/>
      </c>
      <c r="H948" s="21" t="str">
        <f>IF(OR(TaxaJuros="",C948=""),"",IF(ComSemIOF=FALSE,0,IF(E948&gt;365,-(D948+F948)*365*IOFDiario,-(D948+F948)*E948*IOFDiario)))</f>
        <v/>
      </c>
      <c r="I948" s="21" t="str">
        <f>IF(OR(TaxaJuros="",C948=""),"",IF(ComSemIOF=FALSE,0,-(D948+F948)*IOFAdic))</f>
        <v/>
      </c>
      <c r="J948" s="16" t="str">
        <f>IF(OR(TaxaJuros="",C948=""),"",D948+SUM(F948:I948))</f>
        <v/>
      </c>
      <c r="K948" s="67" t="str">
        <f>IF(OR(TaxaJuros="",C948=""),"",100%-J948/D948)</f>
        <v/>
      </c>
    </row>
    <row r="949" spans="5:11" x14ac:dyDescent="0.25">
      <c r="E949" s="15" t="str">
        <f>IF(OR(DataRecebimento="",C949=""),"",C949-$F$7)</f>
        <v/>
      </c>
      <c r="F949" s="16" t="str">
        <f>IF(OR(TaxaJuros="",C949=""),"",-D949*E949*($F$8/30))</f>
        <v/>
      </c>
      <c r="G949" s="16" t="str">
        <f>IF(OR(TaxaJuros="",C949=""),"",-$F$9)</f>
        <v/>
      </c>
      <c r="H949" s="21" t="str">
        <f>IF(OR(TaxaJuros="",C949=""),"",IF(ComSemIOF=FALSE,0,IF(E949&gt;365,-(D949+F949)*365*IOFDiario,-(D949+F949)*E949*IOFDiario)))</f>
        <v/>
      </c>
      <c r="I949" s="21" t="str">
        <f>IF(OR(TaxaJuros="",C949=""),"",IF(ComSemIOF=FALSE,0,-(D949+F949)*IOFAdic))</f>
        <v/>
      </c>
      <c r="J949" s="16" t="str">
        <f>IF(OR(TaxaJuros="",C949=""),"",D949+SUM(F949:I949))</f>
        <v/>
      </c>
      <c r="K949" s="67" t="str">
        <f>IF(OR(TaxaJuros="",C949=""),"",100%-J949/D949)</f>
        <v/>
      </c>
    </row>
    <row r="950" spans="5:11" x14ac:dyDescent="0.25">
      <c r="E950" s="15" t="str">
        <f>IF(OR(DataRecebimento="",C950=""),"",C950-$F$7)</f>
        <v/>
      </c>
      <c r="F950" s="16" t="str">
        <f>IF(OR(TaxaJuros="",C950=""),"",-D950*E950*($F$8/30))</f>
        <v/>
      </c>
      <c r="G950" s="16" t="str">
        <f>IF(OR(TaxaJuros="",C950=""),"",-$F$9)</f>
        <v/>
      </c>
      <c r="H950" s="21" t="str">
        <f>IF(OR(TaxaJuros="",C950=""),"",IF(ComSemIOF=FALSE,0,IF(E950&gt;365,-(D950+F950)*365*IOFDiario,-(D950+F950)*E950*IOFDiario)))</f>
        <v/>
      </c>
      <c r="I950" s="21" t="str">
        <f>IF(OR(TaxaJuros="",C950=""),"",IF(ComSemIOF=FALSE,0,-(D950+F950)*IOFAdic))</f>
        <v/>
      </c>
      <c r="J950" s="16" t="str">
        <f>IF(OR(TaxaJuros="",C950=""),"",D950+SUM(F950:I950))</f>
        <v/>
      </c>
      <c r="K950" s="67" t="str">
        <f>IF(OR(TaxaJuros="",C950=""),"",100%-J950/D950)</f>
        <v/>
      </c>
    </row>
    <row r="951" spans="5:11" x14ac:dyDescent="0.25">
      <c r="E951" s="15" t="str">
        <f>IF(OR(DataRecebimento="",C951=""),"",C951-$F$7)</f>
        <v/>
      </c>
      <c r="F951" s="16" t="str">
        <f>IF(OR(TaxaJuros="",C951=""),"",-D951*E951*($F$8/30))</f>
        <v/>
      </c>
      <c r="G951" s="16" t="str">
        <f>IF(OR(TaxaJuros="",C951=""),"",-$F$9)</f>
        <v/>
      </c>
      <c r="H951" s="21" t="str">
        <f>IF(OR(TaxaJuros="",C951=""),"",IF(ComSemIOF=FALSE,0,IF(E951&gt;365,-(D951+F951)*365*IOFDiario,-(D951+F951)*E951*IOFDiario)))</f>
        <v/>
      </c>
      <c r="I951" s="21" t="str">
        <f>IF(OR(TaxaJuros="",C951=""),"",IF(ComSemIOF=FALSE,0,-(D951+F951)*IOFAdic))</f>
        <v/>
      </c>
      <c r="J951" s="16" t="str">
        <f>IF(OR(TaxaJuros="",C951=""),"",D951+SUM(F951:I951))</f>
        <v/>
      </c>
      <c r="K951" s="67" t="str">
        <f>IF(OR(TaxaJuros="",C951=""),"",100%-J951/D951)</f>
        <v/>
      </c>
    </row>
    <row r="952" spans="5:11" x14ac:dyDescent="0.25">
      <c r="E952" s="15" t="str">
        <f>IF(OR(DataRecebimento="",C952=""),"",C952-$F$7)</f>
        <v/>
      </c>
      <c r="F952" s="16" t="str">
        <f>IF(OR(TaxaJuros="",C952=""),"",-D952*E952*($F$8/30))</f>
        <v/>
      </c>
      <c r="G952" s="16" t="str">
        <f>IF(OR(TaxaJuros="",C952=""),"",-$F$9)</f>
        <v/>
      </c>
      <c r="H952" s="21" t="str">
        <f>IF(OR(TaxaJuros="",C952=""),"",IF(ComSemIOF=FALSE,0,IF(E952&gt;365,-(D952+F952)*365*IOFDiario,-(D952+F952)*E952*IOFDiario)))</f>
        <v/>
      </c>
      <c r="I952" s="21" t="str">
        <f>IF(OR(TaxaJuros="",C952=""),"",IF(ComSemIOF=FALSE,0,-(D952+F952)*IOFAdic))</f>
        <v/>
      </c>
      <c r="J952" s="16" t="str">
        <f>IF(OR(TaxaJuros="",C952=""),"",D952+SUM(F952:I952))</f>
        <v/>
      </c>
      <c r="K952" s="67" t="str">
        <f>IF(OR(TaxaJuros="",C952=""),"",100%-J952/D952)</f>
        <v/>
      </c>
    </row>
    <row r="953" spans="5:11" x14ac:dyDescent="0.25">
      <c r="E953" s="15" t="str">
        <f>IF(OR(DataRecebimento="",C953=""),"",C953-$F$7)</f>
        <v/>
      </c>
      <c r="F953" s="16" t="str">
        <f>IF(OR(TaxaJuros="",C953=""),"",-D953*E953*($F$8/30))</f>
        <v/>
      </c>
      <c r="G953" s="16" t="str">
        <f>IF(OR(TaxaJuros="",C953=""),"",-$F$9)</f>
        <v/>
      </c>
      <c r="H953" s="21" t="str">
        <f>IF(OR(TaxaJuros="",C953=""),"",IF(ComSemIOF=FALSE,0,IF(E953&gt;365,-(D953+F953)*365*IOFDiario,-(D953+F953)*E953*IOFDiario)))</f>
        <v/>
      </c>
      <c r="I953" s="21" t="str">
        <f>IF(OR(TaxaJuros="",C953=""),"",IF(ComSemIOF=FALSE,0,-(D953+F953)*IOFAdic))</f>
        <v/>
      </c>
      <c r="J953" s="16" t="str">
        <f>IF(OR(TaxaJuros="",C953=""),"",D953+SUM(F953:I953))</f>
        <v/>
      </c>
      <c r="K953" s="67" t="str">
        <f>IF(OR(TaxaJuros="",C953=""),"",100%-J953/D953)</f>
        <v/>
      </c>
    </row>
    <row r="954" spans="5:11" x14ac:dyDescent="0.25">
      <c r="E954" s="15" t="str">
        <f>IF(OR(DataRecebimento="",C954=""),"",C954-$F$7)</f>
        <v/>
      </c>
      <c r="F954" s="16" t="str">
        <f>IF(OR(TaxaJuros="",C954=""),"",-D954*E954*($F$8/30))</f>
        <v/>
      </c>
      <c r="G954" s="16" t="str">
        <f>IF(OR(TaxaJuros="",C954=""),"",-$F$9)</f>
        <v/>
      </c>
      <c r="H954" s="21" t="str">
        <f>IF(OR(TaxaJuros="",C954=""),"",IF(ComSemIOF=FALSE,0,IF(E954&gt;365,-(D954+F954)*365*IOFDiario,-(D954+F954)*E954*IOFDiario)))</f>
        <v/>
      </c>
      <c r="I954" s="21" t="str">
        <f>IF(OR(TaxaJuros="",C954=""),"",IF(ComSemIOF=FALSE,0,-(D954+F954)*IOFAdic))</f>
        <v/>
      </c>
      <c r="J954" s="16" t="str">
        <f>IF(OR(TaxaJuros="",C954=""),"",D954+SUM(F954:I954))</f>
        <v/>
      </c>
      <c r="K954" s="67" t="str">
        <f>IF(OR(TaxaJuros="",C954=""),"",100%-J954/D954)</f>
        <v/>
      </c>
    </row>
    <row r="955" spans="5:11" x14ac:dyDescent="0.25">
      <c r="E955" s="15" t="str">
        <f>IF(OR(DataRecebimento="",C955=""),"",C955-$F$7)</f>
        <v/>
      </c>
      <c r="F955" s="16" t="str">
        <f>IF(OR(TaxaJuros="",C955=""),"",-D955*E955*($F$8/30))</f>
        <v/>
      </c>
      <c r="G955" s="16" t="str">
        <f>IF(OR(TaxaJuros="",C955=""),"",-$F$9)</f>
        <v/>
      </c>
      <c r="H955" s="21" t="str">
        <f>IF(OR(TaxaJuros="",C955=""),"",IF(ComSemIOF=FALSE,0,IF(E955&gt;365,-(D955+F955)*365*IOFDiario,-(D955+F955)*E955*IOFDiario)))</f>
        <v/>
      </c>
      <c r="I955" s="21" t="str">
        <f>IF(OR(TaxaJuros="",C955=""),"",IF(ComSemIOF=FALSE,0,-(D955+F955)*IOFAdic))</f>
        <v/>
      </c>
      <c r="J955" s="16" t="str">
        <f>IF(OR(TaxaJuros="",C955=""),"",D955+SUM(F955:I955))</f>
        <v/>
      </c>
      <c r="K955" s="67" t="str">
        <f>IF(OR(TaxaJuros="",C955=""),"",100%-J955/D955)</f>
        <v/>
      </c>
    </row>
    <row r="956" spans="5:11" x14ac:dyDescent="0.25">
      <c r="E956" s="15" t="str">
        <f>IF(OR(DataRecebimento="",C956=""),"",C956-$F$7)</f>
        <v/>
      </c>
      <c r="F956" s="16" t="str">
        <f>IF(OR(TaxaJuros="",C956=""),"",-D956*E956*($F$8/30))</f>
        <v/>
      </c>
      <c r="G956" s="16" t="str">
        <f>IF(OR(TaxaJuros="",C956=""),"",-$F$9)</f>
        <v/>
      </c>
      <c r="H956" s="21" t="str">
        <f>IF(OR(TaxaJuros="",C956=""),"",IF(ComSemIOF=FALSE,0,IF(E956&gt;365,-(D956+F956)*365*IOFDiario,-(D956+F956)*E956*IOFDiario)))</f>
        <v/>
      </c>
      <c r="I956" s="21" t="str">
        <f>IF(OR(TaxaJuros="",C956=""),"",IF(ComSemIOF=FALSE,0,-(D956+F956)*IOFAdic))</f>
        <v/>
      </c>
      <c r="J956" s="16" t="str">
        <f>IF(OR(TaxaJuros="",C956=""),"",D956+SUM(F956:I956))</f>
        <v/>
      </c>
      <c r="K956" s="67" t="str">
        <f>IF(OR(TaxaJuros="",C956=""),"",100%-J956/D956)</f>
        <v/>
      </c>
    </row>
    <row r="957" spans="5:11" x14ac:dyDescent="0.25">
      <c r="E957" s="15" t="str">
        <f>IF(OR(DataRecebimento="",C957=""),"",C957-$F$7)</f>
        <v/>
      </c>
      <c r="F957" s="16" t="str">
        <f>IF(OR(TaxaJuros="",C957=""),"",-D957*E957*($F$8/30))</f>
        <v/>
      </c>
      <c r="G957" s="16" t="str">
        <f>IF(OR(TaxaJuros="",C957=""),"",-$F$9)</f>
        <v/>
      </c>
      <c r="H957" s="21" t="str">
        <f>IF(OR(TaxaJuros="",C957=""),"",IF(ComSemIOF=FALSE,0,IF(E957&gt;365,-(D957+F957)*365*IOFDiario,-(D957+F957)*E957*IOFDiario)))</f>
        <v/>
      </c>
      <c r="I957" s="21" t="str">
        <f>IF(OR(TaxaJuros="",C957=""),"",IF(ComSemIOF=FALSE,0,-(D957+F957)*IOFAdic))</f>
        <v/>
      </c>
      <c r="J957" s="16" t="str">
        <f>IF(OR(TaxaJuros="",C957=""),"",D957+SUM(F957:I957))</f>
        <v/>
      </c>
      <c r="K957" s="67" t="str">
        <f>IF(OR(TaxaJuros="",C957=""),"",100%-J957/D957)</f>
        <v/>
      </c>
    </row>
    <row r="958" spans="5:11" x14ac:dyDescent="0.25">
      <c r="E958" s="15" t="str">
        <f>IF(OR(DataRecebimento="",C958=""),"",C958-$F$7)</f>
        <v/>
      </c>
      <c r="F958" s="16" t="str">
        <f>IF(OR(TaxaJuros="",C958=""),"",-D958*E958*($F$8/30))</f>
        <v/>
      </c>
      <c r="G958" s="16" t="str">
        <f>IF(OR(TaxaJuros="",C958=""),"",-$F$9)</f>
        <v/>
      </c>
      <c r="H958" s="21" t="str">
        <f>IF(OR(TaxaJuros="",C958=""),"",IF(ComSemIOF=FALSE,0,IF(E958&gt;365,-(D958+F958)*365*IOFDiario,-(D958+F958)*E958*IOFDiario)))</f>
        <v/>
      </c>
      <c r="I958" s="21" t="str">
        <f>IF(OR(TaxaJuros="",C958=""),"",IF(ComSemIOF=FALSE,0,-(D958+F958)*IOFAdic))</f>
        <v/>
      </c>
      <c r="J958" s="16" t="str">
        <f>IF(OR(TaxaJuros="",C958=""),"",D958+SUM(F958:I958))</f>
        <v/>
      </c>
      <c r="K958" s="67" t="str">
        <f>IF(OR(TaxaJuros="",C958=""),"",100%-J958/D958)</f>
        <v/>
      </c>
    </row>
    <row r="959" spans="5:11" x14ac:dyDescent="0.25">
      <c r="E959" s="15" t="str">
        <f>IF(OR(DataRecebimento="",C959=""),"",C959-$F$7)</f>
        <v/>
      </c>
      <c r="F959" s="16" t="str">
        <f>IF(OR(TaxaJuros="",C959=""),"",-D959*E959*($F$8/30))</f>
        <v/>
      </c>
      <c r="G959" s="16" t="str">
        <f>IF(OR(TaxaJuros="",C959=""),"",-$F$9)</f>
        <v/>
      </c>
      <c r="H959" s="21" t="str">
        <f>IF(OR(TaxaJuros="",C959=""),"",IF(ComSemIOF=FALSE,0,IF(E959&gt;365,-(D959+F959)*365*IOFDiario,-(D959+F959)*E959*IOFDiario)))</f>
        <v/>
      </c>
      <c r="I959" s="21" t="str">
        <f>IF(OR(TaxaJuros="",C959=""),"",IF(ComSemIOF=FALSE,0,-(D959+F959)*IOFAdic))</f>
        <v/>
      </c>
      <c r="J959" s="16" t="str">
        <f>IF(OR(TaxaJuros="",C959=""),"",D959+SUM(F959:I959))</f>
        <v/>
      </c>
      <c r="K959" s="67" t="str">
        <f>IF(OR(TaxaJuros="",C959=""),"",100%-J959/D959)</f>
        <v/>
      </c>
    </row>
    <row r="960" spans="5:11" x14ac:dyDescent="0.25">
      <c r="E960" s="15" t="str">
        <f>IF(OR(DataRecebimento="",C960=""),"",C960-$F$7)</f>
        <v/>
      </c>
      <c r="F960" s="16" t="str">
        <f>IF(OR(TaxaJuros="",C960=""),"",-D960*E960*($F$8/30))</f>
        <v/>
      </c>
      <c r="G960" s="16" t="str">
        <f>IF(OR(TaxaJuros="",C960=""),"",-$F$9)</f>
        <v/>
      </c>
      <c r="H960" s="21" t="str">
        <f>IF(OR(TaxaJuros="",C960=""),"",IF(ComSemIOF=FALSE,0,IF(E960&gt;365,-(D960+F960)*365*IOFDiario,-(D960+F960)*E960*IOFDiario)))</f>
        <v/>
      </c>
      <c r="I960" s="21" t="str">
        <f>IF(OR(TaxaJuros="",C960=""),"",IF(ComSemIOF=FALSE,0,-(D960+F960)*IOFAdic))</f>
        <v/>
      </c>
      <c r="J960" s="16" t="str">
        <f>IF(OR(TaxaJuros="",C960=""),"",D960+SUM(F960:I960))</f>
        <v/>
      </c>
      <c r="K960" s="67" t="str">
        <f>IF(OR(TaxaJuros="",C960=""),"",100%-J960/D960)</f>
        <v/>
      </c>
    </row>
    <row r="961" spans="5:11" x14ac:dyDescent="0.25">
      <c r="E961" s="15" t="str">
        <f>IF(OR(DataRecebimento="",C961=""),"",C961-$F$7)</f>
        <v/>
      </c>
      <c r="F961" s="16" t="str">
        <f>IF(OR(TaxaJuros="",C961=""),"",-D961*E961*($F$8/30))</f>
        <v/>
      </c>
      <c r="G961" s="16" t="str">
        <f>IF(OR(TaxaJuros="",C961=""),"",-$F$9)</f>
        <v/>
      </c>
      <c r="H961" s="21" t="str">
        <f>IF(OR(TaxaJuros="",C961=""),"",IF(ComSemIOF=FALSE,0,IF(E961&gt;365,-(D961+F961)*365*IOFDiario,-(D961+F961)*E961*IOFDiario)))</f>
        <v/>
      </c>
      <c r="I961" s="21" t="str">
        <f>IF(OR(TaxaJuros="",C961=""),"",IF(ComSemIOF=FALSE,0,-(D961+F961)*IOFAdic))</f>
        <v/>
      </c>
      <c r="J961" s="16" t="str">
        <f>IF(OR(TaxaJuros="",C961=""),"",D961+SUM(F961:I961))</f>
        <v/>
      </c>
      <c r="K961" s="67" t="str">
        <f>IF(OR(TaxaJuros="",C961=""),"",100%-J961/D961)</f>
        <v/>
      </c>
    </row>
    <row r="962" spans="5:11" x14ac:dyDescent="0.25">
      <c r="E962" s="15" t="str">
        <f>IF(OR(DataRecebimento="",C962=""),"",C962-$F$7)</f>
        <v/>
      </c>
      <c r="F962" s="16" t="str">
        <f>IF(OR(TaxaJuros="",C962=""),"",-D962*E962*($F$8/30))</f>
        <v/>
      </c>
      <c r="G962" s="16" t="str">
        <f>IF(OR(TaxaJuros="",C962=""),"",-$F$9)</f>
        <v/>
      </c>
      <c r="H962" s="21" t="str">
        <f>IF(OR(TaxaJuros="",C962=""),"",IF(ComSemIOF=FALSE,0,IF(E962&gt;365,-(D962+F962)*365*IOFDiario,-(D962+F962)*E962*IOFDiario)))</f>
        <v/>
      </c>
      <c r="I962" s="21" t="str">
        <f>IF(OR(TaxaJuros="",C962=""),"",IF(ComSemIOF=FALSE,0,-(D962+F962)*IOFAdic))</f>
        <v/>
      </c>
      <c r="J962" s="16" t="str">
        <f>IF(OR(TaxaJuros="",C962=""),"",D962+SUM(F962:I962))</f>
        <v/>
      </c>
      <c r="K962" s="67" t="str">
        <f>IF(OR(TaxaJuros="",C962=""),"",100%-J962/D962)</f>
        <v/>
      </c>
    </row>
    <row r="963" spans="5:11" x14ac:dyDescent="0.25">
      <c r="E963" s="15" t="str">
        <f>IF(OR(DataRecebimento="",C963=""),"",C963-$F$7)</f>
        <v/>
      </c>
      <c r="F963" s="16" t="str">
        <f>IF(OR(TaxaJuros="",C963=""),"",-D963*E963*($F$8/30))</f>
        <v/>
      </c>
      <c r="G963" s="16" t="str">
        <f>IF(OR(TaxaJuros="",C963=""),"",-$F$9)</f>
        <v/>
      </c>
      <c r="H963" s="21" t="str">
        <f>IF(OR(TaxaJuros="",C963=""),"",IF(ComSemIOF=FALSE,0,IF(E963&gt;365,-(D963+F963)*365*IOFDiario,-(D963+F963)*E963*IOFDiario)))</f>
        <v/>
      </c>
      <c r="I963" s="21" t="str">
        <f>IF(OR(TaxaJuros="",C963=""),"",IF(ComSemIOF=FALSE,0,-(D963+F963)*IOFAdic))</f>
        <v/>
      </c>
      <c r="J963" s="16" t="str">
        <f>IF(OR(TaxaJuros="",C963=""),"",D963+SUM(F963:I963))</f>
        <v/>
      </c>
      <c r="K963" s="67" t="str">
        <f>IF(OR(TaxaJuros="",C963=""),"",100%-J963/D963)</f>
        <v/>
      </c>
    </row>
    <row r="964" spans="5:11" x14ac:dyDescent="0.25">
      <c r="E964" s="15" t="str">
        <f>IF(OR(DataRecebimento="",C964=""),"",C964-$F$7)</f>
        <v/>
      </c>
      <c r="F964" s="16" t="str">
        <f>IF(OR(TaxaJuros="",C964=""),"",-D964*E964*($F$8/30))</f>
        <v/>
      </c>
      <c r="G964" s="16" t="str">
        <f>IF(OR(TaxaJuros="",C964=""),"",-$F$9)</f>
        <v/>
      </c>
      <c r="H964" s="21" t="str">
        <f>IF(OR(TaxaJuros="",C964=""),"",IF(ComSemIOF=FALSE,0,IF(E964&gt;365,-(D964+F964)*365*IOFDiario,-(D964+F964)*E964*IOFDiario)))</f>
        <v/>
      </c>
      <c r="I964" s="21" t="str">
        <f>IF(OR(TaxaJuros="",C964=""),"",IF(ComSemIOF=FALSE,0,-(D964+F964)*IOFAdic))</f>
        <v/>
      </c>
      <c r="J964" s="16" t="str">
        <f>IF(OR(TaxaJuros="",C964=""),"",D964+SUM(F964:I964))</f>
        <v/>
      </c>
      <c r="K964" s="67" t="str">
        <f>IF(OR(TaxaJuros="",C964=""),"",100%-J964/D964)</f>
        <v/>
      </c>
    </row>
    <row r="965" spans="5:11" x14ac:dyDescent="0.25">
      <c r="E965" s="15" t="str">
        <f>IF(OR(DataRecebimento="",C965=""),"",C965-$F$7)</f>
        <v/>
      </c>
      <c r="F965" s="16" t="str">
        <f>IF(OR(TaxaJuros="",C965=""),"",-D965*E965*($F$8/30))</f>
        <v/>
      </c>
      <c r="G965" s="16" t="str">
        <f>IF(OR(TaxaJuros="",C965=""),"",-$F$9)</f>
        <v/>
      </c>
      <c r="H965" s="21" t="str">
        <f>IF(OR(TaxaJuros="",C965=""),"",IF(ComSemIOF=FALSE,0,IF(E965&gt;365,-(D965+F965)*365*IOFDiario,-(D965+F965)*E965*IOFDiario)))</f>
        <v/>
      </c>
      <c r="I965" s="21" t="str">
        <f>IF(OR(TaxaJuros="",C965=""),"",IF(ComSemIOF=FALSE,0,-(D965+F965)*IOFAdic))</f>
        <v/>
      </c>
      <c r="J965" s="16" t="str">
        <f>IF(OR(TaxaJuros="",C965=""),"",D965+SUM(F965:I965))</f>
        <v/>
      </c>
      <c r="K965" s="67" t="str">
        <f>IF(OR(TaxaJuros="",C965=""),"",100%-J965/D965)</f>
        <v/>
      </c>
    </row>
    <row r="966" spans="5:11" x14ac:dyDescent="0.25">
      <c r="E966" s="15" t="str">
        <f>IF(OR(DataRecebimento="",C966=""),"",C966-$F$7)</f>
        <v/>
      </c>
      <c r="F966" s="16" t="str">
        <f>IF(OR(TaxaJuros="",C966=""),"",-D966*E966*($F$8/30))</f>
        <v/>
      </c>
      <c r="G966" s="16" t="str">
        <f>IF(OR(TaxaJuros="",C966=""),"",-$F$9)</f>
        <v/>
      </c>
      <c r="H966" s="21" t="str">
        <f>IF(OR(TaxaJuros="",C966=""),"",IF(ComSemIOF=FALSE,0,IF(E966&gt;365,-(D966+F966)*365*IOFDiario,-(D966+F966)*E966*IOFDiario)))</f>
        <v/>
      </c>
      <c r="I966" s="21" t="str">
        <f>IF(OR(TaxaJuros="",C966=""),"",IF(ComSemIOF=FALSE,0,-(D966+F966)*IOFAdic))</f>
        <v/>
      </c>
      <c r="J966" s="16" t="str">
        <f>IF(OR(TaxaJuros="",C966=""),"",D966+SUM(F966:I966))</f>
        <v/>
      </c>
      <c r="K966" s="67" t="str">
        <f>IF(OR(TaxaJuros="",C966=""),"",100%-J966/D966)</f>
        <v/>
      </c>
    </row>
    <row r="967" spans="5:11" x14ac:dyDescent="0.25">
      <c r="E967" s="15" t="str">
        <f>IF(OR(DataRecebimento="",C967=""),"",C967-$F$7)</f>
        <v/>
      </c>
      <c r="F967" s="16" t="str">
        <f>IF(OR(TaxaJuros="",C967=""),"",-D967*E967*($F$8/30))</f>
        <v/>
      </c>
      <c r="G967" s="16" t="str">
        <f>IF(OR(TaxaJuros="",C967=""),"",-$F$9)</f>
        <v/>
      </c>
      <c r="H967" s="21" t="str">
        <f>IF(OR(TaxaJuros="",C967=""),"",IF(ComSemIOF=FALSE,0,IF(E967&gt;365,-(D967+F967)*365*IOFDiario,-(D967+F967)*E967*IOFDiario)))</f>
        <v/>
      </c>
      <c r="I967" s="21" t="str">
        <f>IF(OR(TaxaJuros="",C967=""),"",IF(ComSemIOF=FALSE,0,-(D967+F967)*IOFAdic))</f>
        <v/>
      </c>
      <c r="J967" s="16" t="str">
        <f>IF(OR(TaxaJuros="",C967=""),"",D967+SUM(F967:I967))</f>
        <v/>
      </c>
      <c r="K967" s="67" t="str">
        <f>IF(OR(TaxaJuros="",C967=""),"",100%-J967/D967)</f>
        <v/>
      </c>
    </row>
    <row r="968" spans="5:11" x14ac:dyDescent="0.25">
      <c r="E968" s="15" t="str">
        <f>IF(OR(DataRecebimento="",C968=""),"",C968-$F$7)</f>
        <v/>
      </c>
      <c r="F968" s="16" t="str">
        <f>IF(OR(TaxaJuros="",C968=""),"",-D968*E968*($F$8/30))</f>
        <v/>
      </c>
      <c r="G968" s="16" t="str">
        <f>IF(OR(TaxaJuros="",C968=""),"",-$F$9)</f>
        <v/>
      </c>
      <c r="H968" s="21" t="str">
        <f>IF(OR(TaxaJuros="",C968=""),"",IF(ComSemIOF=FALSE,0,IF(E968&gt;365,-(D968+F968)*365*IOFDiario,-(D968+F968)*E968*IOFDiario)))</f>
        <v/>
      </c>
      <c r="I968" s="21" t="str">
        <f>IF(OR(TaxaJuros="",C968=""),"",IF(ComSemIOF=FALSE,0,-(D968+F968)*IOFAdic))</f>
        <v/>
      </c>
      <c r="J968" s="16" t="str">
        <f>IF(OR(TaxaJuros="",C968=""),"",D968+SUM(F968:I968))</f>
        <v/>
      </c>
      <c r="K968" s="67" t="str">
        <f>IF(OR(TaxaJuros="",C968=""),"",100%-J968/D968)</f>
        <v/>
      </c>
    </row>
    <row r="969" spans="5:11" x14ac:dyDescent="0.25">
      <c r="E969" s="15" t="str">
        <f>IF(OR(DataRecebimento="",C969=""),"",C969-$F$7)</f>
        <v/>
      </c>
      <c r="F969" s="16" t="str">
        <f>IF(OR(TaxaJuros="",C969=""),"",-D969*E969*($F$8/30))</f>
        <v/>
      </c>
      <c r="G969" s="16" t="str">
        <f>IF(OR(TaxaJuros="",C969=""),"",-$F$9)</f>
        <v/>
      </c>
      <c r="H969" s="21" t="str">
        <f>IF(OR(TaxaJuros="",C969=""),"",IF(ComSemIOF=FALSE,0,IF(E969&gt;365,-(D969+F969)*365*IOFDiario,-(D969+F969)*E969*IOFDiario)))</f>
        <v/>
      </c>
      <c r="I969" s="21" t="str">
        <f>IF(OR(TaxaJuros="",C969=""),"",IF(ComSemIOF=FALSE,0,-(D969+F969)*IOFAdic))</f>
        <v/>
      </c>
      <c r="J969" s="16" t="str">
        <f>IF(OR(TaxaJuros="",C969=""),"",D969+SUM(F969:I969))</f>
        <v/>
      </c>
      <c r="K969" s="67" t="str">
        <f>IF(OR(TaxaJuros="",C969=""),"",100%-J969/D969)</f>
        <v/>
      </c>
    </row>
    <row r="970" spans="5:11" x14ac:dyDescent="0.25">
      <c r="E970" s="15" t="str">
        <f>IF(OR(DataRecebimento="",C970=""),"",C970-$F$7)</f>
        <v/>
      </c>
      <c r="F970" s="16" t="str">
        <f>IF(OR(TaxaJuros="",C970=""),"",-D970*E970*($F$8/30))</f>
        <v/>
      </c>
      <c r="G970" s="16" t="str">
        <f>IF(OR(TaxaJuros="",C970=""),"",-$F$9)</f>
        <v/>
      </c>
      <c r="H970" s="21" t="str">
        <f>IF(OR(TaxaJuros="",C970=""),"",IF(ComSemIOF=FALSE,0,IF(E970&gt;365,-(D970+F970)*365*IOFDiario,-(D970+F970)*E970*IOFDiario)))</f>
        <v/>
      </c>
      <c r="I970" s="21" t="str">
        <f>IF(OR(TaxaJuros="",C970=""),"",IF(ComSemIOF=FALSE,0,-(D970+F970)*IOFAdic))</f>
        <v/>
      </c>
      <c r="J970" s="16" t="str">
        <f>IF(OR(TaxaJuros="",C970=""),"",D970+SUM(F970:I970))</f>
        <v/>
      </c>
      <c r="K970" s="67" t="str">
        <f>IF(OR(TaxaJuros="",C970=""),"",100%-J970/D970)</f>
        <v/>
      </c>
    </row>
    <row r="971" spans="5:11" x14ac:dyDescent="0.25">
      <c r="E971" s="15" t="str">
        <f>IF(OR(DataRecebimento="",C971=""),"",C971-$F$7)</f>
        <v/>
      </c>
      <c r="F971" s="16" t="str">
        <f>IF(OR(TaxaJuros="",C971=""),"",-D971*E971*($F$8/30))</f>
        <v/>
      </c>
      <c r="G971" s="16" t="str">
        <f>IF(OR(TaxaJuros="",C971=""),"",-$F$9)</f>
        <v/>
      </c>
      <c r="H971" s="21" t="str">
        <f>IF(OR(TaxaJuros="",C971=""),"",IF(ComSemIOF=FALSE,0,IF(E971&gt;365,-(D971+F971)*365*IOFDiario,-(D971+F971)*E971*IOFDiario)))</f>
        <v/>
      </c>
      <c r="I971" s="21" t="str">
        <f>IF(OR(TaxaJuros="",C971=""),"",IF(ComSemIOF=FALSE,0,-(D971+F971)*IOFAdic))</f>
        <v/>
      </c>
      <c r="J971" s="16" t="str">
        <f>IF(OR(TaxaJuros="",C971=""),"",D971+SUM(F971:I971))</f>
        <v/>
      </c>
      <c r="K971" s="67" t="str">
        <f>IF(OR(TaxaJuros="",C971=""),"",100%-J971/D971)</f>
        <v/>
      </c>
    </row>
    <row r="972" spans="5:11" x14ac:dyDescent="0.25">
      <c r="E972" s="15" t="str">
        <f>IF(OR(DataRecebimento="",C972=""),"",C972-$F$7)</f>
        <v/>
      </c>
      <c r="F972" s="16" t="str">
        <f>IF(OR(TaxaJuros="",C972=""),"",-D972*E972*($F$8/30))</f>
        <v/>
      </c>
      <c r="G972" s="16" t="str">
        <f>IF(OR(TaxaJuros="",C972=""),"",-$F$9)</f>
        <v/>
      </c>
      <c r="H972" s="21" t="str">
        <f>IF(OR(TaxaJuros="",C972=""),"",IF(ComSemIOF=FALSE,0,IF(E972&gt;365,-(D972+F972)*365*IOFDiario,-(D972+F972)*E972*IOFDiario)))</f>
        <v/>
      </c>
      <c r="I972" s="21" t="str">
        <f>IF(OR(TaxaJuros="",C972=""),"",IF(ComSemIOF=FALSE,0,-(D972+F972)*IOFAdic))</f>
        <v/>
      </c>
      <c r="J972" s="16" t="str">
        <f>IF(OR(TaxaJuros="",C972=""),"",D972+SUM(F972:I972))</f>
        <v/>
      </c>
      <c r="K972" s="67" t="str">
        <f>IF(OR(TaxaJuros="",C972=""),"",100%-J972/D972)</f>
        <v/>
      </c>
    </row>
    <row r="973" spans="5:11" x14ac:dyDescent="0.25">
      <c r="E973" s="15" t="str">
        <f>IF(OR(DataRecebimento="",C973=""),"",C973-$F$7)</f>
        <v/>
      </c>
      <c r="F973" s="16" t="str">
        <f>IF(OR(TaxaJuros="",C973=""),"",-D973*E973*($F$8/30))</f>
        <v/>
      </c>
      <c r="G973" s="16" t="str">
        <f>IF(OR(TaxaJuros="",C973=""),"",-$F$9)</f>
        <v/>
      </c>
      <c r="H973" s="21" t="str">
        <f>IF(OR(TaxaJuros="",C973=""),"",IF(ComSemIOF=FALSE,0,IF(E973&gt;365,-(D973+F973)*365*IOFDiario,-(D973+F973)*E973*IOFDiario)))</f>
        <v/>
      </c>
      <c r="I973" s="21" t="str">
        <f>IF(OR(TaxaJuros="",C973=""),"",IF(ComSemIOF=FALSE,0,-(D973+F973)*IOFAdic))</f>
        <v/>
      </c>
      <c r="J973" s="16" t="str">
        <f>IF(OR(TaxaJuros="",C973=""),"",D973+SUM(F973:I973))</f>
        <v/>
      </c>
      <c r="K973" s="67" t="str">
        <f>IF(OR(TaxaJuros="",C973=""),"",100%-J973/D973)</f>
        <v/>
      </c>
    </row>
    <row r="974" spans="5:11" x14ac:dyDescent="0.25">
      <c r="E974" s="15" t="str">
        <f>IF(OR(DataRecebimento="",C974=""),"",C974-$F$7)</f>
        <v/>
      </c>
      <c r="F974" s="16" t="str">
        <f>IF(OR(TaxaJuros="",C974=""),"",-D974*E974*($F$8/30))</f>
        <v/>
      </c>
      <c r="G974" s="16" t="str">
        <f>IF(OR(TaxaJuros="",C974=""),"",-$F$9)</f>
        <v/>
      </c>
      <c r="H974" s="21" t="str">
        <f>IF(OR(TaxaJuros="",C974=""),"",IF(ComSemIOF=FALSE,0,IF(E974&gt;365,-(D974+F974)*365*IOFDiario,-(D974+F974)*E974*IOFDiario)))</f>
        <v/>
      </c>
      <c r="I974" s="21" t="str">
        <f>IF(OR(TaxaJuros="",C974=""),"",IF(ComSemIOF=FALSE,0,-(D974+F974)*IOFAdic))</f>
        <v/>
      </c>
      <c r="J974" s="16" t="str">
        <f>IF(OR(TaxaJuros="",C974=""),"",D974+SUM(F974:I974))</f>
        <v/>
      </c>
      <c r="K974" s="67" t="str">
        <f>IF(OR(TaxaJuros="",C974=""),"",100%-J974/D974)</f>
        <v/>
      </c>
    </row>
    <row r="975" spans="5:11" x14ac:dyDescent="0.25">
      <c r="E975" s="15" t="str">
        <f>IF(OR(DataRecebimento="",C975=""),"",C975-$F$7)</f>
        <v/>
      </c>
      <c r="F975" s="16" t="str">
        <f>IF(OR(TaxaJuros="",C975=""),"",-D975*E975*($F$8/30))</f>
        <v/>
      </c>
      <c r="G975" s="16" t="str">
        <f>IF(OR(TaxaJuros="",C975=""),"",-$F$9)</f>
        <v/>
      </c>
      <c r="H975" s="21" t="str">
        <f>IF(OR(TaxaJuros="",C975=""),"",IF(ComSemIOF=FALSE,0,IF(E975&gt;365,-(D975+F975)*365*IOFDiario,-(D975+F975)*E975*IOFDiario)))</f>
        <v/>
      </c>
      <c r="I975" s="21" t="str">
        <f>IF(OR(TaxaJuros="",C975=""),"",IF(ComSemIOF=FALSE,0,-(D975+F975)*IOFAdic))</f>
        <v/>
      </c>
      <c r="J975" s="16" t="str">
        <f>IF(OR(TaxaJuros="",C975=""),"",D975+SUM(F975:I975))</f>
        <v/>
      </c>
      <c r="K975" s="67" t="str">
        <f>IF(OR(TaxaJuros="",C975=""),"",100%-J975/D975)</f>
        <v/>
      </c>
    </row>
    <row r="976" spans="5:11" x14ac:dyDescent="0.25">
      <c r="E976" s="15" t="str">
        <f>IF(OR(DataRecebimento="",C976=""),"",C976-$F$7)</f>
        <v/>
      </c>
      <c r="F976" s="16" t="str">
        <f>IF(OR(TaxaJuros="",C976=""),"",-D976*E976*($F$8/30))</f>
        <v/>
      </c>
      <c r="G976" s="16" t="str">
        <f>IF(OR(TaxaJuros="",C976=""),"",-$F$9)</f>
        <v/>
      </c>
      <c r="H976" s="21" t="str">
        <f>IF(OR(TaxaJuros="",C976=""),"",IF(ComSemIOF=FALSE,0,IF(E976&gt;365,-(D976+F976)*365*IOFDiario,-(D976+F976)*E976*IOFDiario)))</f>
        <v/>
      </c>
      <c r="I976" s="21" t="str">
        <f>IF(OR(TaxaJuros="",C976=""),"",IF(ComSemIOF=FALSE,0,-(D976+F976)*IOFAdic))</f>
        <v/>
      </c>
      <c r="J976" s="16" t="str">
        <f>IF(OR(TaxaJuros="",C976=""),"",D976+SUM(F976:I976))</f>
        <v/>
      </c>
      <c r="K976" s="67" t="str">
        <f>IF(OR(TaxaJuros="",C976=""),"",100%-J976/D976)</f>
        <v/>
      </c>
    </row>
    <row r="977" spans="5:11" x14ac:dyDescent="0.25">
      <c r="E977" s="15" t="str">
        <f>IF(OR(DataRecebimento="",C977=""),"",C977-$F$7)</f>
        <v/>
      </c>
      <c r="F977" s="16" t="str">
        <f>IF(OR(TaxaJuros="",C977=""),"",-D977*E977*($F$8/30))</f>
        <v/>
      </c>
      <c r="G977" s="16" t="str">
        <f>IF(OR(TaxaJuros="",C977=""),"",-$F$9)</f>
        <v/>
      </c>
      <c r="H977" s="21" t="str">
        <f>IF(OR(TaxaJuros="",C977=""),"",IF(ComSemIOF=FALSE,0,IF(E977&gt;365,-(D977+F977)*365*IOFDiario,-(D977+F977)*E977*IOFDiario)))</f>
        <v/>
      </c>
      <c r="I977" s="21" t="str">
        <f>IF(OR(TaxaJuros="",C977=""),"",IF(ComSemIOF=FALSE,0,-(D977+F977)*IOFAdic))</f>
        <v/>
      </c>
      <c r="J977" s="16" t="str">
        <f>IF(OR(TaxaJuros="",C977=""),"",D977+SUM(F977:I977))</f>
        <v/>
      </c>
      <c r="K977" s="67" t="str">
        <f>IF(OR(TaxaJuros="",C977=""),"",100%-J977/D977)</f>
        <v/>
      </c>
    </row>
    <row r="978" spans="5:11" x14ac:dyDescent="0.25">
      <c r="E978" s="15" t="str">
        <f>IF(OR(DataRecebimento="",C978=""),"",C978-$F$7)</f>
        <v/>
      </c>
      <c r="F978" s="16" t="str">
        <f>IF(OR(TaxaJuros="",C978=""),"",-D978*E978*($F$8/30))</f>
        <v/>
      </c>
      <c r="G978" s="16" t="str">
        <f>IF(OR(TaxaJuros="",C978=""),"",-$F$9)</f>
        <v/>
      </c>
      <c r="H978" s="21" t="str">
        <f>IF(OR(TaxaJuros="",C978=""),"",IF(ComSemIOF=FALSE,0,IF(E978&gt;365,-(D978+F978)*365*IOFDiario,-(D978+F978)*E978*IOFDiario)))</f>
        <v/>
      </c>
      <c r="I978" s="21" t="str">
        <f>IF(OR(TaxaJuros="",C978=""),"",IF(ComSemIOF=FALSE,0,-(D978+F978)*IOFAdic))</f>
        <v/>
      </c>
      <c r="J978" s="16" t="str">
        <f>IF(OR(TaxaJuros="",C978=""),"",D978+SUM(F978:I978))</f>
        <v/>
      </c>
      <c r="K978" s="67" t="str">
        <f>IF(OR(TaxaJuros="",C978=""),"",100%-J978/D978)</f>
        <v/>
      </c>
    </row>
    <row r="979" spans="5:11" x14ac:dyDescent="0.25">
      <c r="E979" s="15" t="str">
        <f>IF(OR(DataRecebimento="",C979=""),"",C979-$F$7)</f>
        <v/>
      </c>
      <c r="F979" s="16" t="str">
        <f>IF(OR(TaxaJuros="",C979=""),"",-D979*E979*($F$8/30))</f>
        <v/>
      </c>
      <c r="G979" s="16" t="str">
        <f>IF(OR(TaxaJuros="",C979=""),"",-$F$9)</f>
        <v/>
      </c>
      <c r="H979" s="21" t="str">
        <f>IF(OR(TaxaJuros="",C979=""),"",IF(ComSemIOF=FALSE,0,IF(E979&gt;365,-(D979+F979)*365*IOFDiario,-(D979+F979)*E979*IOFDiario)))</f>
        <v/>
      </c>
      <c r="I979" s="21" t="str">
        <f>IF(OR(TaxaJuros="",C979=""),"",IF(ComSemIOF=FALSE,0,-(D979+F979)*IOFAdic))</f>
        <v/>
      </c>
      <c r="J979" s="16" t="str">
        <f>IF(OR(TaxaJuros="",C979=""),"",D979+SUM(F979:I979))</f>
        <v/>
      </c>
      <c r="K979" s="67" t="str">
        <f>IF(OR(TaxaJuros="",C979=""),"",100%-J979/D979)</f>
        <v/>
      </c>
    </row>
    <row r="980" spans="5:11" x14ac:dyDescent="0.25">
      <c r="E980" s="15" t="str">
        <f>IF(OR(DataRecebimento="",C980=""),"",C980-$F$7)</f>
        <v/>
      </c>
      <c r="F980" s="16" t="str">
        <f>IF(OR(TaxaJuros="",C980=""),"",-D980*E980*($F$8/30))</f>
        <v/>
      </c>
      <c r="G980" s="16" t="str">
        <f>IF(OR(TaxaJuros="",C980=""),"",-$F$9)</f>
        <v/>
      </c>
      <c r="H980" s="21" t="str">
        <f>IF(OR(TaxaJuros="",C980=""),"",IF(ComSemIOF=FALSE,0,IF(E980&gt;365,-(D980+F980)*365*IOFDiario,-(D980+F980)*E980*IOFDiario)))</f>
        <v/>
      </c>
      <c r="I980" s="21" t="str">
        <f>IF(OR(TaxaJuros="",C980=""),"",IF(ComSemIOF=FALSE,0,-(D980+F980)*IOFAdic))</f>
        <v/>
      </c>
      <c r="J980" s="16" t="str">
        <f>IF(OR(TaxaJuros="",C980=""),"",D980+SUM(F980:I980))</f>
        <v/>
      </c>
      <c r="K980" s="67" t="str">
        <f>IF(OR(TaxaJuros="",C980=""),"",100%-J980/D980)</f>
        <v/>
      </c>
    </row>
    <row r="981" spans="5:11" x14ac:dyDescent="0.25">
      <c r="E981" s="15" t="str">
        <f>IF(OR(DataRecebimento="",C981=""),"",C981-$F$7)</f>
        <v/>
      </c>
      <c r="F981" s="16" t="str">
        <f>IF(OR(TaxaJuros="",C981=""),"",-D981*E981*($F$8/30))</f>
        <v/>
      </c>
      <c r="G981" s="16" t="str">
        <f>IF(OR(TaxaJuros="",C981=""),"",-$F$9)</f>
        <v/>
      </c>
      <c r="H981" s="21" t="str">
        <f>IF(OR(TaxaJuros="",C981=""),"",IF(ComSemIOF=FALSE,0,IF(E981&gt;365,-(D981+F981)*365*IOFDiario,-(D981+F981)*E981*IOFDiario)))</f>
        <v/>
      </c>
      <c r="I981" s="21" t="str">
        <f>IF(OR(TaxaJuros="",C981=""),"",IF(ComSemIOF=FALSE,0,-(D981+F981)*IOFAdic))</f>
        <v/>
      </c>
      <c r="J981" s="16" t="str">
        <f>IF(OR(TaxaJuros="",C981=""),"",D981+SUM(F981:I981))</f>
        <v/>
      </c>
      <c r="K981" s="67" t="str">
        <f>IF(OR(TaxaJuros="",C981=""),"",100%-J981/D981)</f>
        <v/>
      </c>
    </row>
    <row r="982" spans="5:11" x14ac:dyDescent="0.25">
      <c r="E982" s="15" t="str">
        <f>IF(OR(DataRecebimento="",C982=""),"",C982-$F$7)</f>
        <v/>
      </c>
      <c r="F982" s="16" t="str">
        <f>IF(OR(TaxaJuros="",C982=""),"",-D982*E982*($F$8/30))</f>
        <v/>
      </c>
      <c r="G982" s="16" t="str">
        <f>IF(OR(TaxaJuros="",C982=""),"",-$F$9)</f>
        <v/>
      </c>
      <c r="H982" s="21" t="str">
        <f>IF(OR(TaxaJuros="",C982=""),"",IF(ComSemIOF=FALSE,0,IF(E982&gt;365,-(D982+F982)*365*IOFDiario,-(D982+F982)*E982*IOFDiario)))</f>
        <v/>
      </c>
      <c r="I982" s="21" t="str">
        <f>IF(OR(TaxaJuros="",C982=""),"",IF(ComSemIOF=FALSE,0,-(D982+F982)*IOFAdic))</f>
        <v/>
      </c>
      <c r="J982" s="16" t="str">
        <f>IF(OR(TaxaJuros="",C982=""),"",D982+SUM(F982:I982))</f>
        <v/>
      </c>
      <c r="K982" s="67" t="str">
        <f>IF(OR(TaxaJuros="",C982=""),"",100%-J982/D982)</f>
        <v/>
      </c>
    </row>
    <row r="983" spans="5:11" x14ac:dyDescent="0.25">
      <c r="E983" s="15" t="str">
        <f>IF(OR(DataRecebimento="",C983=""),"",C983-$F$7)</f>
        <v/>
      </c>
      <c r="F983" s="16" t="str">
        <f>IF(OR(TaxaJuros="",C983=""),"",-D983*E983*($F$8/30))</f>
        <v/>
      </c>
      <c r="G983" s="16" t="str">
        <f>IF(OR(TaxaJuros="",C983=""),"",-$F$9)</f>
        <v/>
      </c>
      <c r="H983" s="21" t="str">
        <f>IF(OR(TaxaJuros="",C983=""),"",IF(ComSemIOF=FALSE,0,IF(E983&gt;365,-(D983+F983)*365*IOFDiario,-(D983+F983)*E983*IOFDiario)))</f>
        <v/>
      </c>
      <c r="I983" s="21" t="str">
        <f>IF(OR(TaxaJuros="",C983=""),"",IF(ComSemIOF=FALSE,0,-(D983+F983)*IOFAdic))</f>
        <v/>
      </c>
      <c r="J983" s="16" t="str">
        <f>IF(OR(TaxaJuros="",C983=""),"",D983+SUM(F983:I983))</f>
        <v/>
      </c>
      <c r="K983" s="67" t="str">
        <f>IF(OR(TaxaJuros="",C983=""),"",100%-J983/D983)</f>
        <v/>
      </c>
    </row>
    <row r="984" spans="5:11" x14ac:dyDescent="0.25">
      <c r="E984" s="15" t="str">
        <f>IF(OR(DataRecebimento="",C984=""),"",C984-$F$7)</f>
        <v/>
      </c>
      <c r="F984" s="16" t="str">
        <f>IF(OR(TaxaJuros="",C984=""),"",-D984*E984*($F$8/30))</f>
        <v/>
      </c>
      <c r="G984" s="16" t="str">
        <f>IF(OR(TaxaJuros="",C984=""),"",-$F$9)</f>
        <v/>
      </c>
      <c r="H984" s="21" t="str">
        <f>IF(OR(TaxaJuros="",C984=""),"",IF(ComSemIOF=FALSE,0,IF(E984&gt;365,-(D984+F984)*365*IOFDiario,-(D984+F984)*E984*IOFDiario)))</f>
        <v/>
      </c>
      <c r="I984" s="21" t="str">
        <f>IF(OR(TaxaJuros="",C984=""),"",IF(ComSemIOF=FALSE,0,-(D984+F984)*IOFAdic))</f>
        <v/>
      </c>
      <c r="J984" s="16" t="str">
        <f>IF(OR(TaxaJuros="",C984=""),"",D984+SUM(F984:I984))</f>
        <v/>
      </c>
      <c r="K984" s="67" t="str">
        <f>IF(OR(TaxaJuros="",C984=""),"",100%-J984/D984)</f>
        <v/>
      </c>
    </row>
    <row r="985" spans="5:11" x14ac:dyDescent="0.25">
      <c r="E985" s="15" t="str">
        <f>IF(OR(DataRecebimento="",C985=""),"",C985-$F$7)</f>
        <v/>
      </c>
      <c r="F985" s="16" t="str">
        <f>IF(OR(TaxaJuros="",C985=""),"",-D985*E985*($F$8/30))</f>
        <v/>
      </c>
      <c r="G985" s="16" t="str">
        <f>IF(OR(TaxaJuros="",C985=""),"",-$F$9)</f>
        <v/>
      </c>
      <c r="H985" s="21" t="str">
        <f>IF(OR(TaxaJuros="",C985=""),"",IF(ComSemIOF=FALSE,0,IF(E985&gt;365,-(D985+F985)*365*IOFDiario,-(D985+F985)*E985*IOFDiario)))</f>
        <v/>
      </c>
      <c r="I985" s="21" t="str">
        <f>IF(OR(TaxaJuros="",C985=""),"",IF(ComSemIOF=FALSE,0,-(D985+F985)*IOFAdic))</f>
        <v/>
      </c>
      <c r="J985" s="16" t="str">
        <f>IF(OR(TaxaJuros="",C985=""),"",D985+SUM(F985:I985))</f>
        <v/>
      </c>
      <c r="K985" s="67" t="str">
        <f>IF(OR(TaxaJuros="",C985=""),"",100%-J985/D985)</f>
        <v/>
      </c>
    </row>
    <row r="986" spans="5:11" x14ac:dyDescent="0.25">
      <c r="E986" s="15" t="str">
        <f>IF(OR(DataRecebimento="",C986=""),"",C986-$F$7)</f>
        <v/>
      </c>
      <c r="F986" s="16" t="str">
        <f>IF(OR(TaxaJuros="",C986=""),"",-D986*E986*($F$8/30))</f>
        <v/>
      </c>
      <c r="G986" s="16" t="str">
        <f>IF(OR(TaxaJuros="",C986=""),"",-$F$9)</f>
        <v/>
      </c>
      <c r="H986" s="21" t="str">
        <f>IF(OR(TaxaJuros="",C986=""),"",IF(ComSemIOF=FALSE,0,IF(E986&gt;365,-(D986+F986)*365*IOFDiario,-(D986+F986)*E986*IOFDiario)))</f>
        <v/>
      </c>
      <c r="I986" s="21" t="str">
        <f>IF(OR(TaxaJuros="",C986=""),"",IF(ComSemIOF=FALSE,0,-(D986+F986)*IOFAdic))</f>
        <v/>
      </c>
      <c r="J986" s="16" t="str">
        <f>IF(OR(TaxaJuros="",C986=""),"",D986+SUM(F986:I986))</f>
        <v/>
      </c>
      <c r="K986" s="67" t="str">
        <f>IF(OR(TaxaJuros="",C986=""),"",100%-J986/D986)</f>
        <v/>
      </c>
    </row>
    <row r="987" spans="5:11" x14ac:dyDescent="0.25">
      <c r="E987" s="15" t="str">
        <f>IF(OR(DataRecebimento="",C987=""),"",C987-$F$7)</f>
        <v/>
      </c>
      <c r="F987" s="16" t="str">
        <f>IF(OR(TaxaJuros="",C987=""),"",-D987*E987*($F$8/30))</f>
        <v/>
      </c>
      <c r="G987" s="16" t="str">
        <f>IF(OR(TaxaJuros="",C987=""),"",-$F$9)</f>
        <v/>
      </c>
      <c r="H987" s="21" t="str">
        <f>IF(OR(TaxaJuros="",C987=""),"",IF(ComSemIOF=FALSE,0,IF(E987&gt;365,-(D987+F987)*365*IOFDiario,-(D987+F987)*E987*IOFDiario)))</f>
        <v/>
      </c>
      <c r="I987" s="21" t="str">
        <f>IF(OR(TaxaJuros="",C987=""),"",IF(ComSemIOF=FALSE,0,-(D987+F987)*IOFAdic))</f>
        <v/>
      </c>
      <c r="J987" s="16" t="str">
        <f>IF(OR(TaxaJuros="",C987=""),"",D987+SUM(F987:I987))</f>
        <v/>
      </c>
      <c r="K987" s="67" t="str">
        <f>IF(OR(TaxaJuros="",C987=""),"",100%-J987/D987)</f>
        <v/>
      </c>
    </row>
    <row r="988" spans="5:11" x14ac:dyDescent="0.25">
      <c r="E988" s="15" t="str">
        <f>IF(OR(DataRecebimento="",C988=""),"",C988-$F$7)</f>
        <v/>
      </c>
      <c r="F988" s="16" t="str">
        <f>IF(OR(TaxaJuros="",C988=""),"",-D988*E988*($F$8/30))</f>
        <v/>
      </c>
      <c r="G988" s="16" t="str">
        <f>IF(OR(TaxaJuros="",C988=""),"",-$F$9)</f>
        <v/>
      </c>
      <c r="H988" s="21" t="str">
        <f>IF(OR(TaxaJuros="",C988=""),"",IF(ComSemIOF=FALSE,0,IF(E988&gt;365,-(D988+F988)*365*IOFDiario,-(D988+F988)*E988*IOFDiario)))</f>
        <v/>
      </c>
      <c r="I988" s="21" t="str">
        <f>IF(OR(TaxaJuros="",C988=""),"",IF(ComSemIOF=FALSE,0,-(D988+F988)*IOFAdic))</f>
        <v/>
      </c>
      <c r="J988" s="16" t="str">
        <f>IF(OR(TaxaJuros="",C988=""),"",D988+SUM(F988:I988))</f>
        <v/>
      </c>
      <c r="K988" s="67" t="str">
        <f>IF(OR(TaxaJuros="",C988=""),"",100%-J988/D988)</f>
        <v/>
      </c>
    </row>
    <row r="989" spans="5:11" x14ac:dyDescent="0.25">
      <c r="E989" s="15" t="str">
        <f>IF(OR(DataRecebimento="",C989=""),"",C989-$F$7)</f>
        <v/>
      </c>
      <c r="F989" s="16" t="str">
        <f>IF(OR(TaxaJuros="",C989=""),"",-D989*E989*($F$8/30))</f>
        <v/>
      </c>
      <c r="G989" s="16" t="str">
        <f>IF(OR(TaxaJuros="",C989=""),"",-$F$9)</f>
        <v/>
      </c>
      <c r="H989" s="21" t="str">
        <f>IF(OR(TaxaJuros="",C989=""),"",IF(ComSemIOF=FALSE,0,IF(E989&gt;365,-(D989+F989)*365*IOFDiario,-(D989+F989)*E989*IOFDiario)))</f>
        <v/>
      </c>
      <c r="I989" s="21" t="str">
        <f>IF(OR(TaxaJuros="",C989=""),"",IF(ComSemIOF=FALSE,0,-(D989+F989)*IOFAdic))</f>
        <v/>
      </c>
      <c r="J989" s="16" t="str">
        <f>IF(OR(TaxaJuros="",C989=""),"",D989+SUM(F989:I989))</f>
        <v/>
      </c>
      <c r="K989" s="67" t="str">
        <f>IF(OR(TaxaJuros="",C989=""),"",100%-J989/D989)</f>
        <v/>
      </c>
    </row>
    <row r="990" spans="5:11" x14ac:dyDescent="0.25">
      <c r="E990" s="15" t="str">
        <f>IF(OR(DataRecebimento="",C990=""),"",C990-$F$7)</f>
        <v/>
      </c>
      <c r="F990" s="16" t="str">
        <f>IF(OR(TaxaJuros="",C990=""),"",-D990*E990*($F$8/30))</f>
        <v/>
      </c>
      <c r="G990" s="16" t="str">
        <f>IF(OR(TaxaJuros="",C990=""),"",-$F$9)</f>
        <v/>
      </c>
      <c r="H990" s="21" t="str">
        <f>IF(OR(TaxaJuros="",C990=""),"",IF(ComSemIOF=FALSE,0,IF(E990&gt;365,-(D990+F990)*365*IOFDiario,-(D990+F990)*E990*IOFDiario)))</f>
        <v/>
      </c>
      <c r="I990" s="21" t="str">
        <f>IF(OR(TaxaJuros="",C990=""),"",IF(ComSemIOF=FALSE,0,-(D990+F990)*IOFAdic))</f>
        <v/>
      </c>
      <c r="J990" s="16" t="str">
        <f>IF(OR(TaxaJuros="",C990=""),"",D990+SUM(F990:I990))</f>
        <v/>
      </c>
      <c r="K990" s="67" t="str">
        <f>IF(OR(TaxaJuros="",C990=""),"",100%-J990/D990)</f>
        <v/>
      </c>
    </row>
    <row r="991" spans="5:11" x14ac:dyDescent="0.25">
      <c r="E991" s="15" t="str">
        <f>IF(OR(DataRecebimento="",C991=""),"",C991-$F$7)</f>
        <v/>
      </c>
      <c r="F991" s="16" t="str">
        <f>IF(OR(TaxaJuros="",C991=""),"",-D991*E991*($F$8/30))</f>
        <v/>
      </c>
      <c r="G991" s="16" t="str">
        <f>IF(OR(TaxaJuros="",C991=""),"",-$F$9)</f>
        <v/>
      </c>
      <c r="H991" s="21" t="str">
        <f>IF(OR(TaxaJuros="",C991=""),"",IF(ComSemIOF=FALSE,0,IF(E991&gt;365,-(D991+F991)*365*IOFDiario,-(D991+F991)*E991*IOFDiario)))</f>
        <v/>
      </c>
      <c r="I991" s="21" t="str">
        <f>IF(OR(TaxaJuros="",C991=""),"",IF(ComSemIOF=FALSE,0,-(D991+F991)*IOFAdic))</f>
        <v/>
      </c>
      <c r="J991" s="16" t="str">
        <f>IF(OR(TaxaJuros="",C991=""),"",D991+SUM(F991:I991))</f>
        <v/>
      </c>
      <c r="K991" s="67" t="str">
        <f>IF(OR(TaxaJuros="",C991=""),"",100%-J991/D991)</f>
        <v/>
      </c>
    </row>
    <row r="992" spans="5:11" x14ac:dyDescent="0.25">
      <c r="E992" s="15" t="str">
        <f>IF(OR(DataRecebimento="",C992=""),"",C992-$F$7)</f>
        <v/>
      </c>
      <c r="F992" s="16" t="str">
        <f>IF(OR(TaxaJuros="",C992=""),"",-D992*E992*($F$8/30))</f>
        <v/>
      </c>
      <c r="G992" s="16" t="str">
        <f>IF(OR(TaxaJuros="",C992=""),"",-$F$9)</f>
        <v/>
      </c>
      <c r="H992" s="21" t="str">
        <f>IF(OR(TaxaJuros="",C992=""),"",IF(ComSemIOF=FALSE,0,IF(E992&gt;365,-(D992+F992)*365*IOFDiario,-(D992+F992)*E992*IOFDiario)))</f>
        <v/>
      </c>
      <c r="I992" s="21" t="str">
        <f>IF(OR(TaxaJuros="",C992=""),"",IF(ComSemIOF=FALSE,0,-(D992+F992)*IOFAdic))</f>
        <v/>
      </c>
      <c r="J992" s="16" t="str">
        <f>IF(OR(TaxaJuros="",C992=""),"",D992+SUM(F992:I992))</f>
        <v/>
      </c>
      <c r="K992" s="67" t="str">
        <f>IF(OR(TaxaJuros="",C992=""),"",100%-J992/D992)</f>
        <v/>
      </c>
    </row>
    <row r="993" spans="5:11" x14ac:dyDescent="0.25">
      <c r="E993" s="15" t="str">
        <f>IF(OR(DataRecebimento="",C993=""),"",C993-$F$7)</f>
        <v/>
      </c>
      <c r="F993" s="16" t="str">
        <f>IF(OR(TaxaJuros="",C993=""),"",-D993*E993*($F$8/30))</f>
        <v/>
      </c>
      <c r="G993" s="16" t="str">
        <f>IF(OR(TaxaJuros="",C993=""),"",-$F$9)</f>
        <v/>
      </c>
      <c r="H993" s="21" t="str">
        <f>IF(OR(TaxaJuros="",C993=""),"",IF(ComSemIOF=FALSE,0,IF(E993&gt;365,-(D993+F993)*365*IOFDiario,-(D993+F993)*E993*IOFDiario)))</f>
        <v/>
      </c>
      <c r="I993" s="21" t="str">
        <f>IF(OR(TaxaJuros="",C993=""),"",IF(ComSemIOF=FALSE,0,-(D993+F993)*IOFAdic))</f>
        <v/>
      </c>
      <c r="J993" s="16" t="str">
        <f>IF(OR(TaxaJuros="",C993=""),"",D993+SUM(F993:I993))</f>
        <v/>
      </c>
      <c r="K993" s="67" t="str">
        <f>IF(OR(TaxaJuros="",C993=""),"",100%-J993/D993)</f>
        <v/>
      </c>
    </row>
    <row r="994" spans="5:11" x14ac:dyDescent="0.25">
      <c r="E994" s="15" t="str">
        <f>IF(OR(DataRecebimento="",C994=""),"",C994-$F$7)</f>
        <v/>
      </c>
      <c r="F994" s="16" t="str">
        <f>IF(OR(TaxaJuros="",C994=""),"",-D994*E994*($F$8/30))</f>
        <v/>
      </c>
      <c r="G994" s="16" t="str">
        <f>IF(OR(TaxaJuros="",C994=""),"",-$F$9)</f>
        <v/>
      </c>
      <c r="H994" s="21" t="str">
        <f>IF(OR(TaxaJuros="",C994=""),"",IF(ComSemIOF=FALSE,0,IF(E994&gt;365,-(D994+F994)*365*IOFDiario,-(D994+F994)*E994*IOFDiario)))</f>
        <v/>
      </c>
      <c r="I994" s="21" t="str">
        <f>IF(OR(TaxaJuros="",C994=""),"",IF(ComSemIOF=FALSE,0,-(D994+F994)*IOFAdic))</f>
        <v/>
      </c>
      <c r="J994" s="16" t="str">
        <f>IF(OR(TaxaJuros="",C994=""),"",D994+SUM(F994:I994))</f>
        <v/>
      </c>
      <c r="K994" s="67" t="str">
        <f>IF(OR(TaxaJuros="",C994=""),"",100%-J994/D994)</f>
        <v/>
      </c>
    </row>
    <row r="995" spans="5:11" x14ac:dyDescent="0.25">
      <c r="E995" s="15" t="str">
        <f>IF(OR(DataRecebimento="",C995=""),"",C995-$F$7)</f>
        <v/>
      </c>
      <c r="F995" s="16" t="str">
        <f>IF(OR(TaxaJuros="",C995=""),"",-D995*E995*($F$8/30))</f>
        <v/>
      </c>
      <c r="G995" s="16" t="str">
        <f>IF(OR(TaxaJuros="",C995=""),"",-$F$9)</f>
        <v/>
      </c>
      <c r="H995" s="21" t="str">
        <f>IF(OR(TaxaJuros="",C995=""),"",IF(ComSemIOF=FALSE,0,IF(E995&gt;365,-(D995+F995)*365*IOFDiario,-(D995+F995)*E995*IOFDiario)))</f>
        <v/>
      </c>
      <c r="I995" s="21" t="str">
        <f>IF(OR(TaxaJuros="",C995=""),"",IF(ComSemIOF=FALSE,0,-(D995+F995)*IOFAdic))</f>
        <v/>
      </c>
      <c r="J995" s="16" t="str">
        <f>IF(OR(TaxaJuros="",C995=""),"",D995+SUM(F995:I995))</f>
        <v/>
      </c>
      <c r="K995" s="67" t="str">
        <f>IF(OR(TaxaJuros="",C995=""),"",100%-J995/D995)</f>
        <v/>
      </c>
    </row>
    <row r="996" spans="5:11" x14ac:dyDescent="0.25">
      <c r="E996" s="15" t="str">
        <f>IF(OR(DataRecebimento="",C996=""),"",C996-$F$7)</f>
        <v/>
      </c>
      <c r="F996" s="16" t="str">
        <f>IF(OR(TaxaJuros="",C996=""),"",-D996*E996*($F$8/30))</f>
        <v/>
      </c>
      <c r="G996" s="16" t="str">
        <f>IF(OR(TaxaJuros="",C996=""),"",-$F$9)</f>
        <v/>
      </c>
      <c r="H996" s="21" t="str">
        <f>IF(OR(TaxaJuros="",C996=""),"",IF(ComSemIOF=FALSE,0,IF(E996&gt;365,-(D996+F996)*365*IOFDiario,-(D996+F996)*E996*IOFDiario)))</f>
        <v/>
      </c>
      <c r="I996" s="21" t="str">
        <f>IF(OR(TaxaJuros="",C996=""),"",IF(ComSemIOF=FALSE,0,-(D996+F996)*IOFAdic))</f>
        <v/>
      </c>
      <c r="J996" s="16" t="str">
        <f>IF(OR(TaxaJuros="",C996=""),"",D996+SUM(F996:I996))</f>
        <v/>
      </c>
      <c r="K996" s="67" t="str">
        <f>IF(OR(TaxaJuros="",C996=""),"",100%-J996/D996)</f>
        <v/>
      </c>
    </row>
    <row r="997" spans="5:11" x14ac:dyDescent="0.25">
      <c r="E997" s="15" t="str">
        <f>IF(OR(DataRecebimento="",C997=""),"",C997-$F$7)</f>
        <v/>
      </c>
      <c r="F997" s="16" t="str">
        <f>IF(OR(TaxaJuros="",C997=""),"",-D997*E997*($F$8/30))</f>
        <v/>
      </c>
      <c r="G997" s="16" t="str">
        <f>IF(OR(TaxaJuros="",C997=""),"",-$F$9)</f>
        <v/>
      </c>
      <c r="H997" s="21" t="str">
        <f>IF(OR(TaxaJuros="",C997=""),"",IF(ComSemIOF=FALSE,0,IF(E997&gt;365,-(D997+F997)*365*IOFDiario,-(D997+F997)*E997*IOFDiario)))</f>
        <v/>
      </c>
      <c r="I997" s="21" t="str">
        <f>IF(OR(TaxaJuros="",C997=""),"",IF(ComSemIOF=FALSE,0,-(D997+F997)*IOFAdic))</f>
        <v/>
      </c>
      <c r="J997" s="16" t="str">
        <f>IF(OR(TaxaJuros="",C997=""),"",D997+SUM(F997:I997))</f>
        <v/>
      </c>
      <c r="K997" s="67" t="str">
        <f>IF(OR(TaxaJuros="",C997=""),"",100%-J997/D997)</f>
        <v/>
      </c>
    </row>
    <row r="998" spans="5:11" x14ac:dyDescent="0.25">
      <c r="E998" s="15" t="str">
        <f>IF(OR(DataRecebimento="",C998=""),"",C998-$F$7)</f>
        <v/>
      </c>
      <c r="F998" s="16" t="str">
        <f>IF(OR(TaxaJuros="",C998=""),"",-D998*E998*($F$8/30))</f>
        <v/>
      </c>
      <c r="G998" s="16" t="str">
        <f>IF(OR(TaxaJuros="",C998=""),"",-$F$9)</f>
        <v/>
      </c>
      <c r="H998" s="21" t="str">
        <f>IF(OR(TaxaJuros="",C998=""),"",IF(ComSemIOF=FALSE,0,IF(E998&gt;365,-(D998+F998)*365*IOFDiario,-(D998+F998)*E998*IOFDiario)))</f>
        <v/>
      </c>
      <c r="I998" s="21" t="str">
        <f>IF(OR(TaxaJuros="",C998=""),"",IF(ComSemIOF=FALSE,0,-(D998+F998)*IOFAdic))</f>
        <v/>
      </c>
      <c r="J998" s="16" t="str">
        <f>IF(OR(TaxaJuros="",C998=""),"",D998+SUM(F998:I998))</f>
        <v/>
      </c>
      <c r="K998" s="67" t="str">
        <f>IF(OR(TaxaJuros="",C998=""),"",100%-J998/D998)</f>
        <v/>
      </c>
    </row>
    <row r="999" spans="5:11" x14ac:dyDescent="0.25">
      <c r="E999" s="15" t="str">
        <f>IF(OR(DataRecebimento="",C999=""),"",C999-$F$7)</f>
        <v/>
      </c>
      <c r="F999" s="16" t="str">
        <f>IF(OR(TaxaJuros="",C999=""),"",-D999*E999*($F$8/30))</f>
        <v/>
      </c>
      <c r="G999" s="16" t="str">
        <f>IF(OR(TaxaJuros="",C999=""),"",-$F$9)</f>
        <v/>
      </c>
      <c r="H999" s="21" t="str">
        <f>IF(OR(TaxaJuros="",C999=""),"",IF(ComSemIOF=FALSE,0,IF(E999&gt;365,-(D999+F999)*365*IOFDiario,-(D999+F999)*E999*IOFDiario)))</f>
        <v/>
      </c>
      <c r="I999" s="21" t="str">
        <f>IF(OR(TaxaJuros="",C999=""),"",IF(ComSemIOF=FALSE,0,-(D999+F999)*IOFAdic))</f>
        <v/>
      </c>
      <c r="J999" s="16" t="str">
        <f>IF(OR(TaxaJuros="",C999=""),"",D999+SUM(F999:I999))</f>
        <v/>
      </c>
      <c r="K999" s="67" t="str">
        <f>IF(OR(TaxaJuros="",C999=""),"",100%-J999/D999)</f>
        <v/>
      </c>
    </row>
    <row r="1000" spans="5:11" x14ac:dyDescent="0.25">
      <c r="E1000" s="15" t="str">
        <f>IF(OR(DataRecebimento="",C1000=""),"",C1000-$F$7)</f>
        <v/>
      </c>
      <c r="F1000" s="16" t="str">
        <f>IF(OR(TaxaJuros="",C1000=""),"",-D1000*E1000*($F$8/30))</f>
        <v/>
      </c>
      <c r="G1000" s="16" t="str">
        <f>IF(OR(TaxaJuros="",C1000=""),"",-$F$9)</f>
        <v/>
      </c>
      <c r="H1000" s="21" t="str">
        <f>IF(OR(TaxaJuros="",C1000=""),"",IF(ComSemIOF=FALSE,0,IF(E1000&gt;365,-(D1000+F1000)*365*IOFDiario,-(D1000+F1000)*E1000*IOFDiario)))</f>
        <v/>
      </c>
      <c r="I1000" s="21" t="str">
        <f>IF(OR(TaxaJuros="",C1000=""),"",IF(ComSemIOF=FALSE,0,-(D1000+F1000)*IOFAdic))</f>
        <v/>
      </c>
      <c r="J1000" s="16" t="str">
        <f>IF(OR(TaxaJuros="",C1000=""),"",D1000+SUM(F1000:I1000))</f>
        <v/>
      </c>
      <c r="K1000" s="67" t="str">
        <f>IF(OR(TaxaJuros="",C1000=""),"",100%-J1000/D1000)</f>
        <v/>
      </c>
    </row>
    <row r="1001" spans="5:11" x14ac:dyDescent="0.25">
      <c r="E1001" s="15" t="str">
        <f t="shared" ref="E1001:E1002" si="0">IF(OR(DataRecebimento="",C1001=""),"",C1001-$F$7)</f>
        <v/>
      </c>
      <c r="F1001" s="16" t="str">
        <f t="shared" ref="F1001:F1002" si="1">IF(OR(TaxaJuros="",C1001=""),"",-D1001*E1001*($F$8/30))</f>
        <v/>
      </c>
      <c r="G1001" s="16" t="str">
        <f t="shared" ref="G1001:G1002" si="2">IF(OR(TaxaJuros="",C1001=""),"",-D1001*$F$9)</f>
        <v/>
      </c>
      <c r="H1001" s="21" t="str">
        <f t="shared" ref="H1001:H1002" si="3">IF(OR(TaxaJuros="",C1001=""),"",IF(ComSemIOF=FALSE,0,IF(E1001&gt;365,-(D1001+F1001)*365*IOFDiario,-(D1001+F1001)*E1001*IOFDiario)))</f>
        <v/>
      </c>
      <c r="I1001" s="21" t="str">
        <f t="shared" ref="I1001:I1002" si="4">IF(OR(TaxaJuros="",C1001=""),"",IF(ComSemIOF=FALSE,0,-(D1001+F1001)*IOFAdic))</f>
        <v/>
      </c>
      <c r="J1001" s="16" t="str">
        <f t="shared" ref="J1001:J1002" si="5">IF(OR(TaxaJuros="",C1001=""),"",D1001+SUM(F1001:I1001))</f>
        <v/>
      </c>
      <c r="K1001" s="67" t="str">
        <f>IF(OR(TaxaJuros="",C1001=""),"",100%-J1001/D1001)</f>
        <v/>
      </c>
    </row>
    <row r="1002" spans="5:11" x14ac:dyDescent="0.25">
      <c r="E1002" s="15" t="str">
        <f t="shared" si="0"/>
        <v/>
      </c>
      <c r="F1002" s="16" t="str">
        <f t="shared" si="1"/>
        <v/>
      </c>
      <c r="G1002" s="16" t="str">
        <f t="shared" si="2"/>
        <v/>
      </c>
      <c r="H1002" s="21" t="str">
        <f t="shared" si="3"/>
        <v/>
      </c>
      <c r="I1002" s="21" t="str">
        <f t="shared" si="4"/>
        <v/>
      </c>
      <c r="J1002" s="16" t="str">
        <f t="shared" si="5"/>
        <v/>
      </c>
      <c r="K1002" s="67" t="str">
        <f>IF(OR(TaxaJuros="",C1002=""),"",100%-J1002/D1002)</f>
        <v/>
      </c>
    </row>
  </sheetData>
  <sheetProtection sheet="1" objects="1" scenarios="1" formatColumns="0" deleteRows="0" selectLockedCells="1"/>
  <mergeCells count="24">
    <mergeCell ref="C4:K4"/>
    <mergeCell ref="L4:L5"/>
    <mergeCell ref="C6:F6"/>
    <mergeCell ref="H13:I13"/>
    <mergeCell ref="H12:I12"/>
    <mergeCell ref="H11:I11"/>
    <mergeCell ref="H10:I10"/>
    <mergeCell ref="H9:I9"/>
    <mergeCell ref="C10:E10"/>
    <mergeCell ref="C9:E9"/>
    <mergeCell ref="C8:E8"/>
    <mergeCell ref="C7:E7"/>
    <mergeCell ref="H8:I8"/>
    <mergeCell ref="H7:I7"/>
    <mergeCell ref="L11:L13"/>
    <mergeCell ref="L7:L9"/>
    <mergeCell ref="G6:G7"/>
    <mergeCell ref="H14:I14"/>
    <mergeCell ref="C11:D12"/>
    <mergeCell ref="C15:E15"/>
    <mergeCell ref="C14:E14"/>
    <mergeCell ref="H15:I15"/>
    <mergeCell ref="C13:E13"/>
    <mergeCell ref="H6:K6"/>
  </mergeCells>
  <conditionalFormatting sqref="E19:J20 H20:I1002 H18:H1002">
    <cfRule type="expression" dxfId="76" priority="121">
      <formula>$C17&lt;&gt;""</formula>
    </cfRule>
  </conditionalFormatting>
  <conditionalFormatting sqref="E19:J20 H20:I1002 H18:H1002">
    <cfRule type="expression" dxfId="75" priority="115">
      <formula>$C17&lt;&gt;""</formula>
    </cfRule>
  </conditionalFormatting>
  <conditionalFormatting sqref="E19:J1002 H18:H1002">
    <cfRule type="expression" dxfId="74" priority="109">
      <formula>$C17&lt;&gt;""</formula>
    </cfRule>
  </conditionalFormatting>
  <conditionalFormatting sqref="E19:J1002 H18:H1002">
    <cfRule type="expression" dxfId="73" priority="107">
      <formula>$C17&lt;&gt;""</formula>
    </cfRule>
  </conditionalFormatting>
  <conditionalFormatting sqref="E19:J1002 H18:H1002">
    <cfRule type="expression" dxfId="72" priority="105">
      <formula>$C17&lt;&gt;""</formula>
    </cfRule>
  </conditionalFormatting>
  <conditionalFormatting sqref="E19:J1002 H18:H1002">
    <cfRule type="expression" dxfId="71" priority="103">
      <formula>$C17&lt;&gt;""</formula>
    </cfRule>
  </conditionalFormatting>
  <conditionalFormatting sqref="E19:J1002 H18:H1002">
    <cfRule type="expression" dxfId="70" priority="101">
      <formula>$C17&lt;&gt;""</formula>
    </cfRule>
  </conditionalFormatting>
  <conditionalFormatting sqref="E19:J1002 H18:H1002">
    <cfRule type="expression" dxfId="69" priority="99">
      <formula>$C17&lt;&gt;""</formula>
    </cfRule>
  </conditionalFormatting>
  <conditionalFormatting sqref="E19:J1002 H18:H1002">
    <cfRule type="expression" dxfId="68" priority="97">
      <formula>$C17&lt;&gt;""</formula>
    </cfRule>
  </conditionalFormatting>
  <conditionalFormatting sqref="E19:J1002 H18:H1002">
    <cfRule type="expression" dxfId="67" priority="95">
      <formula>$C17&lt;&gt;""</formula>
    </cfRule>
  </conditionalFormatting>
  <conditionalFormatting sqref="E19:J1002 H18:H1002">
    <cfRule type="expression" dxfId="66" priority="93">
      <formula>$C17&lt;&gt;""</formula>
    </cfRule>
  </conditionalFormatting>
  <conditionalFormatting sqref="E19:J1002 H18:H1002">
    <cfRule type="expression" dxfId="65" priority="91">
      <formula>$C17&lt;&gt;""</formula>
    </cfRule>
  </conditionalFormatting>
  <conditionalFormatting sqref="E19:J1002 H18:H1002">
    <cfRule type="expression" dxfId="64" priority="89">
      <formula>$C17&lt;&gt;""</formula>
    </cfRule>
  </conditionalFormatting>
  <conditionalFormatting sqref="E19:J1002 H18:H1002">
    <cfRule type="expression" dxfId="63" priority="87">
      <formula>$C17&lt;&gt;""</formula>
    </cfRule>
  </conditionalFormatting>
  <conditionalFormatting sqref="E19:J1002 H18:H1002">
    <cfRule type="expression" dxfId="62" priority="85">
      <formula>$C17&lt;&gt;""</formula>
    </cfRule>
  </conditionalFormatting>
  <conditionalFormatting sqref="E19:J1002 H18:H1002">
    <cfRule type="expression" dxfId="61" priority="83">
      <formula>$C17&lt;&gt;""</formula>
    </cfRule>
  </conditionalFormatting>
  <conditionalFormatting sqref="E19:J1002 H18:H1002">
    <cfRule type="expression" dxfId="60" priority="81">
      <formula>$C17&lt;&gt;""</formula>
    </cfRule>
  </conditionalFormatting>
  <conditionalFormatting sqref="E19:J1002 H18:H1002">
    <cfRule type="expression" dxfId="59" priority="79">
      <formula>$C17&lt;&gt;""</formula>
    </cfRule>
  </conditionalFormatting>
  <conditionalFormatting sqref="E19:J1002 H18:H1002">
    <cfRule type="expression" dxfId="58" priority="77">
      <formula>$C17&lt;&gt;""</formula>
    </cfRule>
  </conditionalFormatting>
  <conditionalFormatting sqref="E19:J1002 H18:H1002">
    <cfRule type="expression" dxfId="57" priority="75">
      <formula>$C17&lt;&gt;""</formula>
    </cfRule>
  </conditionalFormatting>
  <conditionalFormatting sqref="E19:J1002 H18:H1002">
    <cfRule type="expression" dxfId="56" priority="73">
      <formula>$C17&lt;&gt;""</formula>
    </cfRule>
  </conditionalFormatting>
  <conditionalFormatting sqref="E19:J1002 H18:H1002">
    <cfRule type="expression" dxfId="55" priority="71">
      <formula>$C17&lt;&gt;""</formula>
    </cfRule>
  </conditionalFormatting>
  <conditionalFormatting sqref="E19:J1002 H18:H1002">
    <cfRule type="expression" dxfId="54" priority="69">
      <formula>$C17&lt;&gt;""</formula>
    </cfRule>
  </conditionalFormatting>
  <conditionalFormatting sqref="E19:J1002 H18:H1002">
    <cfRule type="expression" dxfId="53" priority="67">
      <formula>$C17&lt;&gt;""</formula>
    </cfRule>
  </conditionalFormatting>
  <conditionalFormatting sqref="C1001:D1002">
    <cfRule type="expression" dxfId="52" priority="66">
      <formula>$C1000&lt;&gt;""</formula>
    </cfRule>
  </conditionalFormatting>
  <conditionalFormatting sqref="C1001:J1002 E19:J1000 H20:I1002 H18:H1002">
    <cfRule type="expression" dxfId="51" priority="65">
      <formula>$C17&lt;&gt;""</formula>
    </cfRule>
  </conditionalFormatting>
  <conditionalFormatting sqref="H20:I1002 E17:J1000 H19:H1002">
    <cfRule type="expression" dxfId="50" priority="61">
      <formula>$C16&lt;&gt;""</formula>
    </cfRule>
  </conditionalFormatting>
  <conditionalFormatting sqref="E19:J1000 H20:I1002 H18:H1002">
    <cfRule type="expression" dxfId="49" priority="59">
      <formula>$C17&lt;&gt;""</formula>
    </cfRule>
  </conditionalFormatting>
  <conditionalFormatting sqref="C14:F15">
    <cfRule type="expression" dxfId="48" priority="57">
      <formula>IF(OR($J$13=0,$F$8=""),FALSE,TRUE)</formula>
    </cfRule>
  </conditionalFormatting>
  <conditionalFormatting sqref="E19:J1000 H20:I1002 H18:H1002">
    <cfRule type="expression" dxfId="47" priority="55">
      <formula>$C17&lt;&gt;""</formula>
    </cfRule>
  </conditionalFormatting>
  <conditionalFormatting sqref="E19:J1000 H20:I1002 H18:H1002">
    <cfRule type="expression" dxfId="46" priority="53">
      <formula>$C17&lt;&gt;""</formula>
    </cfRule>
  </conditionalFormatting>
  <conditionalFormatting sqref="E19:J1000 H20:I1002 H18:H1002">
    <cfRule type="expression" dxfId="45" priority="51">
      <formula>$C17&lt;&gt;""</formula>
    </cfRule>
  </conditionalFormatting>
  <conditionalFormatting sqref="E19:J1000 H20:I1002 H18:H1002">
    <cfRule type="expression" dxfId="44" priority="49">
      <formula>$C17&lt;&gt;""</formula>
    </cfRule>
  </conditionalFormatting>
  <conditionalFormatting sqref="E19:J1000 H20:I1002 H18:H1002">
    <cfRule type="expression" dxfId="43" priority="47">
      <formula>$C17&lt;&gt;""</formula>
    </cfRule>
  </conditionalFormatting>
  <conditionalFormatting sqref="K14">
    <cfRule type="expression" dxfId="42" priority="122">
      <formula>IF(AND($J$14&lt;&gt;"",$J$14&lt;&gt;0,$J$13&lt;&gt;0),TRUE,FALSE)</formula>
    </cfRule>
  </conditionalFormatting>
  <conditionalFormatting sqref="E19:J1000">
    <cfRule type="expression" dxfId="41" priority="45">
      <formula>$C18&lt;&gt;""</formula>
    </cfRule>
  </conditionalFormatting>
  <conditionalFormatting sqref="E19:J1000">
    <cfRule type="expression" dxfId="40" priority="43">
      <formula>$C18&lt;&gt;""</formula>
    </cfRule>
  </conditionalFormatting>
  <conditionalFormatting sqref="E19:J1000">
    <cfRule type="expression" dxfId="39" priority="41">
      <formula>$C18&lt;&gt;""</formula>
    </cfRule>
  </conditionalFormatting>
  <conditionalFormatting sqref="E19:J1000">
    <cfRule type="expression" dxfId="38" priority="39">
      <formula>$C18&lt;&gt;""</formula>
    </cfRule>
  </conditionalFormatting>
  <conditionalFormatting sqref="E19:J1000">
    <cfRule type="expression" dxfId="36" priority="37">
      <formula>$C18&lt;&gt;""</formula>
    </cfRule>
  </conditionalFormatting>
  <conditionalFormatting sqref="E19:J1000">
    <cfRule type="expression" dxfId="34" priority="35">
      <formula>$C18&lt;&gt;""</formula>
    </cfRule>
  </conditionalFormatting>
  <conditionalFormatting sqref="E19:J1000">
    <cfRule type="expression" dxfId="32" priority="33">
      <formula>$C18&lt;&gt;""</formula>
    </cfRule>
  </conditionalFormatting>
  <conditionalFormatting sqref="E19:J1000">
    <cfRule type="expression" dxfId="30" priority="31">
      <formula>$C18&lt;&gt;""</formula>
    </cfRule>
  </conditionalFormatting>
  <conditionalFormatting sqref="E19:J1000">
    <cfRule type="expression" dxfId="28" priority="29">
      <formula>$C18&lt;&gt;""</formula>
    </cfRule>
  </conditionalFormatting>
  <conditionalFormatting sqref="E19:J1000">
    <cfRule type="expression" dxfId="26" priority="27">
      <formula>$C18&lt;&gt;""</formula>
    </cfRule>
  </conditionalFormatting>
  <conditionalFormatting sqref="E19:J1000">
    <cfRule type="expression" dxfId="24" priority="25">
      <formula>$C18&lt;&gt;""</formula>
    </cfRule>
  </conditionalFormatting>
  <conditionalFormatting sqref="E19:J1000">
    <cfRule type="expression" dxfId="22" priority="23">
      <formula>$C18&lt;&gt;""</formula>
    </cfRule>
  </conditionalFormatting>
  <conditionalFormatting sqref="K17">
    <cfRule type="expression" dxfId="21" priority="22">
      <formula>$C16&lt;&gt;""</formula>
    </cfRule>
  </conditionalFormatting>
  <conditionalFormatting sqref="E19:J1000">
    <cfRule type="expression" dxfId="19" priority="20">
      <formula>$C18&lt;&gt;""</formula>
    </cfRule>
  </conditionalFormatting>
  <conditionalFormatting sqref="E19:K1000">
    <cfRule type="expression" dxfId="17" priority="18">
      <formula>$C18&lt;&gt;""</formula>
    </cfRule>
  </conditionalFormatting>
  <conditionalFormatting sqref="E19:K1000">
    <cfRule type="expression" dxfId="15" priority="16">
      <formula>$C18&lt;&gt;""</formula>
    </cfRule>
  </conditionalFormatting>
  <conditionalFormatting sqref="E19:K1000">
    <cfRule type="expression" dxfId="13" priority="14">
      <formula>$C18&lt;&gt;""</formula>
    </cfRule>
  </conditionalFormatting>
  <conditionalFormatting sqref="E19:K1000">
    <cfRule type="expression" dxfId="11" priority="12">
      <formula>$C18&lt;&gt;""</formula>
    </cfRule>
  </conditionalFormatting>
  <conditionalFormatting sqref="E19:K1000">
    <cfRule type="expression" dxfId="9" priority="10">
      <formula>$C18&lt;&gt;""</formula>
    </cfRule>
  </conditionalFormatting>
  <conditionalFormatting sqref="K18">
    <cfRule type="expression" dxfId="8" priority="9">
      <formula>$C17&lt;&gt;""</formula>
    </cfRule>
  </conditionalFormatting>
  <conditionalFormatting sqref="E19:K1000">
    <cfRule type="expression" dxfId="6" priority="7">
      <formula>$C18&lt;&gt;""</formula>
    </cfRule>
  </conditionalFormatting>
  <conditionalFormatting sqref="E19:K1000">
    <cfRule type="expression" dxfId="4" priority="5">
      <formula>$C18&lt;&gt;""</formula>
    </cfRule>
  </conditionalFormatting>
  <conditionalFormatting sqref="E19:K1000">
    <cfRule type="expression" dxfId="2" priority="3">
      <formula>$C18&lt;&gt;""</formula>
    </cfRule>
  </conditionalFormatting>
  <conditionalFormatting sqref="C19:D1000">
    <cfRule type="expression" dxfId="1" priority="2">
      <formula>$C18&lt;&gt;""</formula>
    </cfRule>
  </conditionalFormatting>
  <conditionalFormatting sqref="C19:K1000">
    <cfRule type="expression" dxfId="0" priority="1">
      <formula>$C18&lt;&gt;""</formula>
    </cfRule>
  </conditionalFormatting>
  <dataValidations count="8">
    <dataValidation type="decimal" allowBlank="1" showInputMessage="1" showErrorMessage="1" errorTitle="ERRO DE PREENCHIMENTO!" error="O dado inserido não corresponde a um percentual válido." sqref="F8" xr:uid="{00000000-0002-0000-0100-000000000000}">
      <formula1>0</formula1>
      <formula2>1</formula2>
    </dataValidation>
    <dataValidation type="decimal" allowBlank="1" showInputMessage="1" showErrorMessage="1" errorTitle="PREENCHIMENTO INCORRETO!" error="o dado inserido não corresponde a um valor válido." sqref="F9" xr:uid="{00000000-0002-0000-0100-000001000000}">
      <formula1>0</formula1>
      <formula2>1000</formula2>
    </dataValidation>
    <dataValidation type="decimal" allowBlank="1" showInputMessage="1" showErrorMessage="1" errorTitle="PREENCHIMENTO INCORRETO!" error="Digite um valor válido e positivo." sqref="F10" xr:uid="{00000000-0002-0000-0100-000002000000}">
      <formula1>0</formula1>
      <formula2>999999999</formula2>
    </dataValidation>
    <dataValidation type="decimal" allowBlank="1" showInputMessage="1" showErrorMessage="1" errorTitle="PREENCHIMENTO INCORRETO!" error="O dado digitado não corresponde a um valor válido." sqref="D18:D202" xr:uid="{00000000-0002-0000-0100-000003000000}">
      <formula1>0.01</formula1>
      <formula2>9999999999</formula2>
    </dataValidation>
    <dataValidation type="decimal" allowBlank="1" showInputMessage="1" showErrorMessage="1" errorTitle="PREENCHIMENTO INCORRETO!" error="O dado inserido não corresponde a um valor válido. " sqref="J14" xr:uid="{00000000-0002-0000-0100-000004000000}">
      <formula1>0</formula1>
      <formula2>99999999999</formula2>
    </dataValidation>
    <dataValidation type="date" allowBlank="1" showInputMessage="1" showErrorMessage="1" errorTitle="PREENCHIMENTO INCORRETO!" error="O dado inserido não é uma data!" sqref="F7" xr:uid="{00000000-0002-0000-0100-000005000000}">
      <formula1>40179</formula1>
      <formula2>46022</formula2>
    </dataValidation>
    <dataValidation type="date" allowBlank="1" showInputMessage="1" showErrorMessage="1" errorTitle="ERRO DE DIGITAÇÃO!" error="Preencha o campo com uma data válida." sqref="C203:C1002" xr:uid="{00000000-0002-0000-0100-000006000000}">
      <formula1>40179</formula1>
      <formula2>46022</formula2>
    </dataValidation>
    <dataValidation type="date" allowBlank="1" showInputMessage="1" showErrorMessage="1" errorTitle="ERRO DE DIGITAÇÃO!" error="O valor digitado não corresponde a uma data válida." sqref="C18:C202" xr:uid="{00000000-0002-0000-0100-000007000000}">
      <formula1>42005</formula1>
      <formula2>46022</formula2>
    </dataValidation>
  </dataValidations>
  <pageMargins left="0.51181102362204722" right="0.51181102362204722" top="0.78740157480314965" bottom="0.78740157480314965" header="0.31496062992125984" footer="0.31496062992125984"/>
  <pageSetup paperSize="9" scale="91" fitToHeight="7" orientation="portrait" r:id="rId1"/>
  <headerFooter>
    <oddFooter>&amp;L&amp;8&amp;Z&amp;F&amp;R&amp;D / &amp;T</oddFooter>
  </headerFooter>
  <drawing r:id="rId2"/>
  <legacyDrawing r:id="rId3"/>
  <controls>
    <mc:AlternateContent xmlns:mc="http://schemas.openxmlformats.org/markup-compatibility/2006">
      <mc:Choice Requires="x14">
        <control shapeId="1050" r:id="rId4" name="OptPJ">
          <controlPr defaultSize="0" autoLine="0" r:id="rId5">
            <anchor moveWithCells="1">
              <from>
                <xdr:col>3</xdr:col>
                <xdr:colOff>428625</xdr:colOff>
                <xdr:row>10</xdr:row>
                <xdr:rowOff>9525</xdr:rowOff>
              </from>
              <to>
                <xdr:col>3</xdr:col>
                <xdr:colOff>809625</xdr:colOff>
                <xdr:row>12</xdr:row>
                <xdr:rowOff>0</xdr:rowOff>
              </to>
            </anchor>
          </controlPr>
        </control>
      </mc:Choice>
      <mc:Fallback>
        <control shapeId="1050" r:id="rId4" name="OptPJ"/>
      </mc:Fallback>
    </mc:AlternateContent>
    <mc:AlternateContent xmlns:mc="http://schemas.openxmlformats.org/markup-compatibility/2006">
      <mc:Choice Requires="x14">
        <control shapeId="1049" r:id="rId6" name="OptPF">
          <controlPr defaultSize="0" autoLine="0" linkedCell="A12" r:id="rId7">
            <anchor moveWithCells="1">
              <from>
                <xdr:col>3</xdr:col>
                <xdr:colOff>57150</xdr:colOff>
                <xdr:row>10</xdr:row>
                <xdr:rowOff>9525</xdr:rowOff>
              </from>
              <to>
                <xdr:col>3</xdr:col>
                <xdr:colOff>409575</xdr:colOff>
                <xdr:row>12</xdr:row>
                <xdr:rowOff>0</xdr:rowOff>
              </to>
            </anchor>
          </controlPr>
        </control>
      </mc:Choice>
      <mc:Fallback>
        <control shapeId="1049" r:id="rId6" name="OptPF"/>
      </mc:Fallback>
    </mc:AlternateContent>
    <mc:AlternateContent xmlns:mc="http://schemas.openxmlformats.org/markup-compatibility/2006">
      <mc:Choice Requires="x14">
        <control shapeId="1044" r:id="rId8" name="ChBoxIOF">
          <controlPr defaultSize="0" autoLine="0" autoPict="0" linkedCell="A11" r:id="rId9">
            <anchor moveWithCells="1">
              <from>
                <xdr:col>2</xdr:col>
                <xdr:colOff>76200</xdr:colOff>
                <xdr:row>10</xdr:row>
                <xdr:rowOff>9525</xdr:rowOff>
              </from>
              <to>
                <xdr:col>2</xdr:col>
                <xdr:colOff>781050</xdr:colOff>
                <xdr:row>11</xdr:row>
                <xdr:rowOff>180975</xdr:rowOff>
              </to>
            </anchor>
          </controlPr>
        </control>
      </mc:Choice>
      <mc:Fallback>
        <control shapeId="1044" r:id="rId8" name="ChBoxIOF"/>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2</vt:i4>
      </vt:variant>
      <vt:variant>
        <vt:lpstr>Intervalos Nomeados</vt:lpstr>
      </vt:variant>
      <vt:variant>
        <vt:i4>14</vt:i4>
      </vt:variant>
    </vt:vector>
  </HeadingPairs>
  <TitlesOfParts>
    <vt:vector size="16" baseType="lpstr">
      <vt:lpstr>Tutorial</vt:lpstr>
      <vt:lpstr>CÁLCULO</vt:lpstr>
      <vt:lpstr>CÁLCULO!Area_de_impressao</vt:lpstr>
      <vt:lpstr>ComSemIOF</vt:lpstr>
      <vt:lpstr>CustoEfetivoMes</vt:lpstr>
      <vt:lpstr>CustoEfetivoPeriodo</vt:lpstr>
      <vt:lpstr>DataRecebimento</vt:lpstr>
      <vt:lpstr>InicioTitulos</vt:lpstr>
      <vt:lpstr>IOFAdic</vt:lpstr>
      <vt:lpstr>IOFDiario</vt:lpstr>
      <vt:lpstr>OutrasDesp</vt:lpstr>
      <vt:lpstr>PrazoMedio</vt:lpstr>
      <vt:lpstr>TaxaAdm</vt:lpstr>
      <vt:lpstr>TaxaJuros</vt:lpstr>
      <vt:lpstr>ValorAntecipacao</vt:lpstr>
      <vt:lpstr>ValorAntecipado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Regis Marinho</dc:creator>
  <cp:lastModifiedBy>Regis Marinho</cp:lastModifiedBy>
  <cp:lastPrinted>2018-09-04T12:02:24Z</cp:lastPrinted>
  <dcterms:created xsi:type="dcterms:W3CDTF">2018-02-03T08:23:15Z</dcterms:created>
  <dcterms:modified xsi:type="dcterms:W3CDTF">2018-09-04T13:22:56Z</dcterms:modified>
</cp:coreProperties>
</file>