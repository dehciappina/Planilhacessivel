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EM ELABORAÇÃO\"/>
    </mc:Choice>
  </mc:AlternateContent>
  <xr:revisionPtr revIDLastSave="0" documentId="13_ncr:1_{EF5621EF-696E-424E-8BAA-E2472E828D70}" xr6:coauthVersionLast="28" xr6:coauthVersionMax="28" xr10:uidLastSave="{00000000-0000-0000-0000-000000000000}"/>
  <bookViews>
    <workbookView xWindow="0" yWindow="0" windowWidth="20490" windowHeight="7530" firstSheet="1" activeTab="1" xr2:uid="{9649B52D-0367-4D7B-A581-500B7A3A5572}"/>
  </bookViews>
  <sheets>
    <sheet name="Menu" sheetId="6" r:id="rId1"/>
    <sheet name="Tutorial" sheetId="7" r:id="rId2"/>
    <sheet name="Cad. Emitentes-Pagadores" sheetId="1" r:id="rId3"/>
    <sheet name="Emissor de Recibos" sheetId="2" r:id="rId4"/>
    <sheet name="Recibo" sheetId="4" state="hidden" r:id="rId5"/>
    <sheet name="Recibos Emitidos" sheetId="5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'Cad. Emitentes-Pagadores'!$C$4:$J$6</definedName>
    <definedName name="_xlnm._FilterDatabase" localSheetId="5" hidden="1">'Recibos Emitidos'!$G$3:$P$5</definedName>
    <definedName name="_xlnm.Print_Area" localSheetId="2">'Cad. Emitentes-Pagadores'!$C$4:$J$42</definedName>
    <definedName name="_xlnm.Print_Area" localSheetId="4">Recibo!$B$3:$B$29</definedName>
    <definedName name="_xlnm.Print_Area" localSheetId="1">Tutorial!$B$2:$C$23</definedName>
    <definedName name="Dados_Area">OFFSET('[1]NDs REGISTRADAS'!$C$6,1,0,COUNTA('[1]NDs REGISTRADAS'!$C$7:$C$990),13)</definedName>
    <definedName name="Depto">OFFSET('[2]CAD. DEPTO.'!$B$2,1,0,COUNTA('[2]CAD. DEPTO.'!$B$3:$B$99),1)</definedName>
    <definedName name="Editando">'Emissor de Recibos'!$B$2</definedName>
    <definedName name="Emissor_ContHist">'Emissor de Recibos'!$H$16</definedName>
    <definedName name="Emissor_Data">'Emissor de Recibos'!$H$10</definedName>
    <definedName name="Emissor_EmitenteCPFCNPJ">'Emissor de Recibos'!$D$6</definedName>
    <definedName name="Emissor_EmitenteNome">'Emissor de Recibos'!$H$6</definedName>
    <definedName name="Emissor_EmitenteNroCPFCNPJ">'Emissor de Recibos'!$E$6</definedName>
    <definedName name="Emissor_EmitentePFPJ">'Emissor de Recibos'!$C$6</definedName>
    <definedName name="Emissor_EmitentePK">'Emissor de Recibos'!$B$6</definedName>
    <definedName name="Emissor_InicioHist">'Emissor de Recibos'!$H$14</definedName>
    <definedName name="Emissor_PaganteCPFCNPJ">'Emissor de Recibos'!$D$8</definedName>
    <definedName name="Emissor_PaganteNome">'Emissor de Recibos'!$H$8</definedName>
    <definedName name="Emissor_PaganteNroCPFCNPJ">'Emissor de Recibos'!$E$8</definedName>
    <definedName name="Emissor_PagantePFPJ">'Emissor de Recibos'!$C$8</definedName>
    <definedName name="Emissor_PagantePK">'Emissor de Recibos'!$B$8</definedName>
    <definedName name="Emissor_Rotulo">'Emissor de Recibos'!$I$2</definedName>
    <definedName name="Emissor_Valor">'Emissor de Recibos'!$H$12</definedName>
    <definedName name="Empresas">OFFSET('[2]CAD. EMPRESA'!$B$2,1,0,COUNTA('[2]CAD. EMPRESA'!$B$3:$B$99),1)</definedName>
    <definedName name="Form_Assinante">Recibo!$B$28</definedName>
    <definedName name="Form_CPF_CNPJ">Recibo!#REF!</definedName>
    <definedName name="Form_Data">Recibo!$B$22</definedName>
    <definedName name="Form_DescrRecibo">Recibo!$B$19</definedName>
    <definedName name="Form_Empreend">Recibo!#REF!</definedName>
    <definedName name="Form_MesComp">Recibo!#REF!</definedName>
    <definedName name="Form_Nro">[1]FORMULÁRIO!$A$15</definedName>
    <definedName name="Form_Nro_Rec">Recibo!#REF!</definedName>
    <definedName name="Form_NroND">[1]FORMULÁRIO!$Z$3</definedName>
    <definedName name="Form_Valor">Recibo!$B$16</definedName>
    <definedName name="Form_Via">Recibo!#REF!</definedName>
    <definedName name="Form_VlrExtenso">Recibo!$B$17</definedName>
    <definedName name="Local">OFFSET('[2]CAD. LOCAL'!$B$2,1,0,COUNTA('[2]CAD. LOCAL'!$B$3:$B$99),1)</definedName>
    <definedName name="ND_Tomador">'[1]REGISTRO DAS NDs'!$D$3</definedName>
    <definedName name="NroImpressao">'Emissor de Recibos'!$B$3</definedName>
    <definedName name="NumeroRecibo">'Emissor de Recibos'!$Q$2</definedName>
    <definedName name="PF_PJ_Nome">OFFSET('Cad. Emitentes-Pagadores'!$C$4,1,0,COUNTA('Cad. Emitentes-Pagadores'!$C$5:$C$9998),1)</definedName>
    <definedName name="PF_PJ_Nro">OFFSET('Cad. Emitentes-Pagadores'!$J$4,1,0,COUNTA('Cad. Emitentes-Pagadores'!$J$5:$J$9998),1)</definedName>
    <definedName name="PF_PJ_Tudo">OFFSET('Cad. Emitentes-Pagadores'!$C$4,1,0,COUNTA('Cad. Emitentes-Pagadores'!$C$5:$C$9998),7)</definedName>
    <definedName name="PFPJ_CEP">'Cad. Emitentes-Pagadores'!$I$2</definedName>
    <definedName name="PFPJ_Cidade">'Cad. Emitentes-Pagadores'!$G$2</definedName>
    <definedName name="PFPJ_CPFCNPJ">'Cad. Emitentes-Pagadores'!$E$2</definedName>
    <definedName name="PFPJ_Endereco">'Cad. Emitentes-Pagadores'!$F$2</definedName>
    <definedName name="PFPJ_Estado">'Cad. Emitentes-Pagadores'!$H$2</definedName>
    <definedName name="PFPJ_Nome">'Cad. Emitentes-Pagadores'!$C$2</definedName>
    <definedName name="PFPJ_Tipo">'Cad. Emitentes-Pagadores'!$D$2</definedName>
    <definedName name="ProximaPasta">'[2]CAD. DOCUMENTOS'!$C$2</definedName>
    <definedName name="RecibosEmitidos_Nro">OFFSET('Recibos Emitidos'!$C$3,1,0,COUNT('Recibos Emitidos'!$C$4:$C$9997),1)</definedName>
    <definedName name="TDPastas">OFFSET('[2]CAD. DOCUMENTOS'!$C$3,1,0,COUNT('[2]CAD. DOCUMENTOS'!$C$5:$C$9999)+1,11)</definedName>
    <definedName name="Tomador_Nro">'[1]CAD. TOMADORES'!#REF!</definedName>
    <definedName name="Tomador_PV">OFFSET('[1]CAD. TOMADORES'!$C$6,1,0,COUNTA('[1]CAD. TOMADORES'!$C$7:$C$1000),4)</definedName>
    <definedName name="Tomador_V">OFFSET('[1]CAD. TOMADORES'!$C$6,1,0,COUNTA('[1]CAD. TOMADORES'!$C$7:$C$1000),1)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4" l="1"/>
  <c r="B8" i="2" l="1"/>
  <c r="B6" i="2"/>
  <c r="E8" i="2" l="1"/>
  <c r="E6" i="2"/>
  <c r="C8" i="2"/>
  <c r="C6" i="2"/>
  <c r="B20" i="2" s="1"/>
  <c r="J12" i="2"/>
  <c r="D8" i="2" l="1"/>
  <c r="D6" i="2"/>
  <c r="B29" i="4" s="1"/>
  <c r="B28" i="4"/>
  <c r="B22" i="4"/>
  <c r="B16" i="4"/>
  <c r="B17" i="4"/>
  <c r="B21" i="2" l="1"/>
  <c r="H14" i="2" l="1"/>
  <c r="B19" i="4" s="1"/>
</calcChain>
</file>

<file path=xl/sharedStrings.xml><?xml version="1.0" encoding="utf-8"?>
<sst xmlns="http://schemas.openxmlformats.org/spreadsheetml/2006/main" count="71" uniqueCount="43">
  <si>
    <t>NOME</t>
  </si>
  <si>
    <t>CPF/CNPJ</t>
  </si>
  <si>
    <t>ENDEREÇO</t>
  </si>
  <si>
    <t>CIDADE</t>
  </si>
  <si>
    <t>ESTADO</t>
  </si>
  <si>
    <t>CEP</t>
  </si>
  <si>
    <t>PF/PJ</t>
  </si>
  <si>
    <t>Emitente</t>
  </si>
  <si>
    <t>Data</t>
  </si>
  <si>
    <t>Valor (R$)</t>
  </si>
  <si>
    <t>Nº</t>
  </si>
  <si>
    <t>HISTÓRICO</t>
  </si>
  <si>
    <t>VALOR</t>
  </si>
  <si>
    <t>DATA</t>
  </si>
  <si>
    <t>EMITENTE</t>
  </si>
  <si>
    <t>Nº CPF/CNPJ</t>
  </si>
  <si>
    <t>PK_E</t>
  </si>
  <si>
    <t>PK_P</t>
  </si>
  <si>
    <t>T U T O R I A L</t>
  </si>
  <si>
    <t>GERAL</t>
  </si>
  <si>
    <t>.</t>
  </si>
  <si>
    <t>Depois de preenchidos os campos do Emissor de Recibos, você clica no botão REGISTRAR e, automaticamente, os dados são carregados para a aba "Recibos Emitidos" e o recibo já pronto é mostrado no visualizador de impressão;</t>
  </si>
  <si>
    <t>Uma vez que os recibos emitidos ficam armazenados, eles podem ser editados, reemitidos ou utilizados para a emissão de um novo;</t>
  </si>
  <si>
    <t>Outro ponto importante é que você não precisa preencher o valor por extenso, porque isso ocorre automaticamente;</t>
  </si>
  <si>
    <t>E, caso você queira aproveitar os dados de um determinado recibo para gerar um novo, basta realizar a ação do item anterior, clicar na opção "NOVO" e, por fim, acionar o botão REGISTRAR. Pronto, você acaba de gerar um novo recibo, aproveitando-se dos dados de um recibo anterior;</t>
  </si>
  <si>
    <t>Para excluir um registro, encontre-o na aba "Recibos Emitidos" e delete a respectiva linha.</t>
  </si>
  <si>
    <t>O objetivo deste programa é facilitar a vida de quem precisa constantemente emitir recibos, possibilitando armazená-los, editá-los e usar um já emitido como modelo para a emissão de um novo, sempre que precisar;</t>
  </si>
  <si>
    <t>EMISSÃO DOS RECIBOS</t>
  </si>
  <si>
    <t>A partir daí, no emissor de recibos, somente os campos destacados na cor azul degradê devem ser preenchidos. Utilize o TAB para passar de um campo para o outro;</t>
  </si>
  <si>
    <t>Descrição
(Continuação do Histórico)</t>
  </si>
  <si>
    <t>O início do histórico do recibo é preenchido automaticamente, cabendo-lhe completar sua descrição, sempre começando com "referente, relativo, etc;</t>
  </si>
  <si>
    <t>Pagador</t>
  </si>
  <si>
    <t>PAGADOR</t>
  </si>
  <si>
    <t>Para poder emitir recibos, primeiramente é preciso cadastrar os dados dos Emitentes e dos Pagadoress que constarão nos recibos, utilizando os campos das células C2:I2 da aba "Cad. Emitentes-Pagadores";</t>
  </si>
  <si>
    <t>Início do Histórico</t>
  </si>
  <si>
    <t>NOVO RECIBO</t>
  </si>
  <si>
    <t>CADASTRO DE PESSOAS FÍSICAS E JURÍDICAS (PFs E PJs) EMITENTES DE RECIBOS OU COMO PAGADORES</t>
  </si>
  <si>
    <t>Uma vez realizada a digitação de um emitente/pagador, clique na flecha "Cadastrar" para que os dados digitados sejam transferidos para a área dos cadastrados (C5:J1000);</t>
  </si>
  <si>
    <t xml:space="preserve"> Para editar ou excluir uma pessoa cadastrada você deve antes clicar no botão "Desproteger planilha" na guia "Proteger" da Barra de Ferramentas;</t>
  </si>
  <si>
    <t>Vá até a aba "Emissor de Recibos" e digite no campo "Nº" o número pelo qual será estabelecido o início da sequência da numeração dos recibos. Se quiser que a numeração dos recibos comece pelo número 545, por exemplo, basta digitar esse número no campo "Nº" do emissor de recibos, o qual está destacado na cor laranja degradé. Se nenhum número for informado, a sequência começará com 1;</t>
  </si>
  <si>
    <t>Caso você tenha errado na informação do número inicial e queira corrigí-lo, deve fazê-lo diretamente no(s) recibo(s) já registrado(s) na aba "Recibos Emitidos";</t>
  </si>
  <si>
    <t>Utilize a lista de validação para selecionar o Emitente e o Pagador nos respectivos campos do Emissor de Recibos;</t>
  </si>
  <si>
    <t xml:space="preserve">Ao clicar na opção "EDITAR", o campo "Nº" passa a mostrar a lista dos recibos emitidos, para que um deles seja escolhido. Uma vez selecionado um recibo para edição, seus dados ficam disponíveis para alterações e para registrá-lo novamente é preciso apenas clicar no botão REGISTRAR;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</si>
</sst>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#,##0.00_ ;[Red]\-#,##0.00\ "/>
    <numFmt numFmtId="167" formatCode="_(&quot;R$ &quot;* #,##0.00_);_(&quot;R$ &quot;* \(#,##0.00\);_(&quot;R$ &quot;* &quot;-&quot;??_);_(@_)"/>
    <numFmt numFmtId="168" formatCode="&quot;R$ &quot;#,##0.00_);\(&quot;R$ &quot;#,##0.00\)"/>
    <numFmt numFmtId="169" formatCode="&quot;São Paulo, &quot;dd\ &quot;de&quot;\ mmmm\ &quot;de &quot;yyyy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Lucida Sans Unicode"/>
      <family val="2"/>
    </font>
    <font>
      <b/>
      <sz val="16"/>
      <color theme="1"/>
      <name val="Lucida Sans Unicode"/>
      <family val="2"/>
    </font>
    <font>
      <u/>
      <sz val="11"/>
      <color theme="1"/>
      <name val="Lucida Sans Unicode"/>
      <family val="2"/>
    </font>
    <font>
      <b/>
      <sz val="11"/>
      <color theme="1"/>
      <name val="Lucida Sans Unicode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gradientFill degree="180">
        <stop position="0">
          <color theme="0"/>
        </stop>
        <stop position="1">
          <color theme="4" tint="0.59999389629810485"/>
        </stop>
      </gradientFill>
    </fill>
    <fill>
      <gradientFill degree="270">
        <stop position="0">
          <color theme="0"/>
        </stop>
        <stop position="1">
          <color theme="4" tint="0.59999389629810485"/>
        </stop>
      </gradientFill>
    </fill>
    <fill>
      <gradientFill type="path" left="0.5" right="0.5" top="0.5" bottom="0.5">
        <stop position="0">
          <color theme="0"/>
        </stop>
        <stop position="1">
          <color theme="7" tint="0.40000610370189521"/>
        </stop>
      </gradientFill>
    </fill>
    <fill>
      <gradientFill type="path" degree="180" left="0.5" right="0.5" top="0.5" bottom="0.5">
        <stop position="0">
          <color theme="0"/>
        </stop>
        <stop position="1">
          <color theme="7" tint="0.40000610370189521"/>
        </stop>
      </gradientFill>
    </fill>
    <fill>
      <gradientFill degree="90">
        <stop position="0">
          <color theme="0"/>
        </stop>
        <stop position="1">
          <color theme="4" tint="0.59999389629810485"/>
        </stop>
      </gradientFill>
    </fill>
    <fill>
      <patternFill patternType="solid">
        <fgColor theme="5" tint="-0.24994659260841701"/>
        <bgColor indexed="64"/>
      </patternFill>
    </fill>
    <fill>
      <patternFill patternType="solid">
        <fgColor theme="5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uble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/>
      <right style="thin">
        <color theme="4" tint="0.59996337778862885"/>
      </right>
      <top/>
      <bottom/>
      <diagonal/>
    </border>
  </borders>
  <cellStyleXfs count="4">
    <xf numFmtId="0" fontId="0" fillId="0" borderId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16" fontId="2" fillId="0" borderId="0" xfId="0" applyNumberFormat="1" applyFont="1" applyAlignment="1">
      <alignment vertical="center"/>
    </xf>
    <xf numFmtId="0" fontId="3" fillId="0" borderId="0" xfId="0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0" xfId="0" applyFont="1"/>
    <xf numFmtId="168" fontId="6" fillId="0" borderId="0" xfId="1" applyNumberFormat="1" applyFont="1" applyAlignment="1">
      <alignment horizontal="left" wrapText="1"/>
    </xf>
    <xf numFmtId="0" fontId="3" fillId="0" borderId="0" xfId="0" applyFont="1" applyAlignment="1">
      <alignment horizontal="justify" vertical="top" wrapText="1"/>
    </xf>
    <xf numFmtId="0" fontId="3" fillId="0" borderId="0" xfId="0" applyFont="1" applyAlignment="1">
      <alignment vertical="top" wrapText="1"/>
    </xf>
    <xf numFmtId="169" fontId="3" fillId="0" borderId="0" xfId="0" applyNumberFormat="1" applyFont="1" applyAlignment="1">
      <alignment horizontal="center"/>
    </xf>
    <xf numFmtId="0" fontId="3" fillId="0" borderId="0" xfId="0" applyFont="1" applyBorder="1"/>
    <xf numFmtId="0" fontId="6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4" fontId="0" fillId="0" borderId="2" xfId="0" applyNumberFormat="1" applyBorder="1"/>
    <xf numFmtId="0" fontId="0" fillId="0" borderId="5" xfId="0" applyBorder="1"/>
    <xf numFmtId="0" fontId="0" fillId="0" borderId="6" xfId="0" applyBorder="1"/>
    <xf numFmtId="0" fontId="0" fillId="0" borderId="0" xfId="0" applyAlignment="1" applyProtection="1">
      <alignment vertical="top"/>
    </xf>
    <xf numFmtId="0" fontId="0" fillId="0" borderId="13" xfId="0" applyBorder="1" applyAlignment="1" applyProtection="1">
      <alignment horizontal="right" vertical="top"/>
    </xf>
    <xf numFmtId="0" fontId="0" fillId="0" borderId="13" xfId="0" applyBorder="1" applyAlignment="1" applyProtection="1">
      <alignment horizontal="left" vertical="top" wrapText="1"/>
    </xf>
    <xf numFmtId="0" fontId="0" fillId="0" borderId="13" xfId="0" applyBorder="1" applyAlignment="1" applyProtection="1">
      <alignment horizontal="right" vertical="center"/>
    </xf>
    <xf numFmtId="0" fontId="0" fillId="0" borderId="13" xfId="0" applyBorder="1" applyAlignment="1" applyProtection="1">
      <alignment horizontal="left" vertical="center" wrapText="1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left" vertical="center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9" fillId="8" borderId="3" xfId="0" applyFont="1" applyFill="1" applyBorder="1" applyAlignment="1">
      <alignment horizontal="center" vertical="top" wrapText="1"/>
    </xf>
    <xf numFmtId="14" fontId="9" fillId="8" borderId="3" xfId="0" applyNumberFormat="1" applyFont="1" applyFill="1" applyBorder="1" applyAlignment="1">
      <alignment horizontal="center" vertical="top" wrapText="1"/>
    </xf>
    <xf numFmtId="164" fontId="9" fillId="8" borderId="3" xfId="0" applyNumberFormat="1" applyFont="1" applyFill="1" applyBorder="1" applyAlignment="1">
      <alignment horizontal="center" vertical="top" wrapText="1"/>
    </xf>
    <xf numFmtId="0" fontId="9" fillId="8" borderId="7" xfId="0" applyFont="1" applyFill="1" applyBorder="1" applyAlignment="1">
      <alignment horizontal="center" vertical="top" wrapText="1"/>
    </xf>
    <xf numFmtId="0" fontId="0" fillId="6" borderId="9" xfId="0" applyFill="1" applyBorder="1" applyAlignment="1" applyProtection="1">
      <alignment horizontal="left" vertical="center"/>
      <protection locked="0"/>
    </xf>
    <xf numFmtId="0" fontId="0" fillId="6" borderId="8" xfId="0" applyFill="1" applyBorder="1" applyAlignment="1" applyProtection="1">
      <alignment horizontal="center" vertical="center"/>
      <protection locked="0"/>
    </xf>
    <xf numFmtId="0" fontId="0" fillId="6" borderId="8" xfId="0" applyFill="1" applyBorder="1" applyAlignment="1" applyProtection="1">
      <alignment vertical="center"/>
      <protection locked="0"/>
    </xf>
    <xf numFmtId="0" fontId="0" fillId="6" borderId="8" xfId="0" applyFill="1" applyBorder="1" applyAlignment="1" applyProtection="1">
      <alignment horizontal="left" vertical="center"/>
      <protection locked="0"/>
    </xf>
    <xf numFmtId="0" fontId="0" fillId="0" borderId="2" xfId="0" applyBorder="1" applyProtection="1"/>
    <xf numFmtId="0" fontId="9" fillId="7" borderId="5" xfId="0" applyFont="1" applyFill="1" applyBorder="1" applyAlignment="1" applyProtection="1">
      <alignment horizontal="center"/>
    </xf>
    <xf numFmtId="0" fontId="9" fillId="7" borderId="2" xfId="0" applyFont="1" applyFill="1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center"/>
    </xf>
    <xf numFmtId="0" fontId="0" fillId="0" borderId="2" xfId="0" applyBorder="1" applyAlignment="1" applyProtection="1">
      <alignment horizontal="left"/>
    </xf>
    <xf numFmtId="0" fontId="0" fillId="0" borderId="5" xfId="0" applyBorder="1" applyProtection="1"/>
    <xf numFmtId="0" fontId="0" fillId="0" borderId="10" xfId="0" applyBorder="1" applyAlignment="1" applyProtection="1">
      <alignment vertical="top"/>
    </xf>
    <xf numFmtId="0" fontId="9" fillId="7" borderId="11" xfId="0" applyFont="1" applyFill="1" applyBorder="1" applyAlignment="1" applyProtection="1">
      <alignment horizontal="center" vertical="top"/>
    </xf>
    <xf numFmtId="0" fontId="9" fillId="7" borderId="10" xfId="0" applyFont="1" applyFill="1" applyBorder="1" applyAlignment="1" applyProtection="1">
      <alignment horizontal="center" vertical="top"/>
    </xf>
    <xf numFmtId="0" fontId="9" fillId="7" borderId="12" xfId="0" applyFont="1" applyFill="1" applyBorder="1" applyAlignment="1" applyProtection="1">
      <alignment horizontal="center" vertical="top"/>
    </xf>
    <xf numFmtId="0" fontId="0" fillId="0" borderId="2" xfId="0" applyBorder="1" applyAlignment="1" applyProtection="1">
      <alignment vertical="top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12" fillId="0" borderId="0" xfId="3" applyNumberFormat="1" applyFont="1" applyBorder="1" applyAlignment="1" applyProtection="1">
      <alignment horizontal="left" vertical="top"/>
    </xf>
    <xf numFmtId="0" fontId="11" fillId="0" borderId="0" xfId="3" applyNumberFormat="1" applyFont="1" applyAlignment="1" applyProtection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/>
    </xf>
    <xf numFmtId="166" fontId="2" fillId="2" borderId="0" xfId="2" applyNumberFormat="1" applyFont="1" applyFill="1" applyBorder="1" applyAlignment="1" applyProtection="1">
      <alignment horizontal="left" vertical="center" indent="1"/>
      <protection locked="0"/>
    </xf>
    <xf numFmtId="166" fontId="2" fillId="2" borderId="14" xfId="2" applyNumberFormat="1" applyFont="1" applyFill="1" applyBorder="1" applyAlignment="1" applyProtection="1">
      <alignment horizontal="left" vertical="center" indent="1"/>
      <protection locked="0"/>
    </xf>
    <xf numFmtId="0" fontId="0" fillId="3" borderId="0" xfId="0" applyFill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center" wrapText="1"/>
    </xf>
    <xf numFmtId="14" fontId="2" fillId="2" borderId="0" xfId="0" applyNumberFormat="1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right" vertical="center"/>
    </xf>
    <xf numFmtId="0" fontId="8" fillId="5" borderId="0" xfId="0" applyFont="1" applyFill="1" applyAlignment="1">
      <alignment horizontal="center" vertical="center"/>
    </xf>
    <xf numFmtId="0" fontId="2" fillId="2" borderId="0" xfId="0" applyFont="1" applyFill="1" applyAlignment="1" applyProtection="1">
      <alignment horizontal="left" vertical="center" indent="1"/>
      <protection locked="0"/>
    </xf>
    <xf numFmtId="0" fontId="2" fillId="2" borderId="0" xfId="2" applyNumberFormat="1" applyFont="1" applyFill="1" applyAlignment="1" applyProtection="1">
      <alignment horizontal="left" vertical="center" indent="1"/>
      <protection locked="0"/>
    </xf>
    <xf numFmtId="0" fontId="8" fillId="4" borderId="0" xfId="0" applyNumberFormat="1" applyFont="1" applyFill="1" applyAlignment="1" applyProtection="1">
      <alignment horizontal="center" vertical="center"/>
      <protection locked="0"/>
    </xf>
  </cellXfs>
  <cellStyles count="4">
    <cellStyle name="Moeda 2" xfId="1" xr:uid="{FC21343D-9690-442F-8A08-7E4A63D5C6AA}"/>
    <cellStyle name="Normal" xfId="0" builtinId="0"/>
    <cellStyle name="Vírgula" xfId="2" builtinId="3"/>
    <cellStyle name="Vírgula 2" xfId="3" xr:uid="{71D22C5D-7692-4D45-9FE9-8C21C450A2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7</xdr:col>
      <xdr:colOff>435269</xdr:colOff>
      <xdr:row>5</xdr:row>
      <xdr:rowOff>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61950" y="295275"/>
          <a:ext cx="3235619" cy="381000"/>
        </a:xfrm>
        <a:prstGeom prst="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9525" cmpd="sng">
          <a:solidFill>
            <a:schemeClr val="lt1">
              <a:shade val="50000"/>
            </a:schemeClr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accent2">
                  <a:lumMod val="50000"/>
                </a:schemeClr>
              </a:solidFill>
            </a:rPr>
            <a:t>PROGRAMA EMISSOR DE RECIBO</a:t>
          </a:r>
        </a:p>
      </xdr:txBody>
    </xdr:sp>
    <xdr:clientData/>
  </xdr:twoCellAnchor>
  <xdr:oneCellAnchor>
    <xdr:from>
      <xdr:col>2</xdr:col>
      <xdr:colOff>0</xdr:colOff>
      <xdr:row>7</xdr:row>
      <xdr:rowOff>190500</xdr:rowOff>
    </xdr:from>
    <xdr:ext cx="3228975" cy="264560"/>
    <xdr:sp macro="[0]!Ir_CadPFPJ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361950" y="1504950"/>
          <a:ext cx="3228975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DAS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PESSOAS FÍSICAS E JURÍDICAS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2</xdr:col>
      <xdr:colOff>0</xdr:colOff>
      <xdr:row>9</xdr:row>
      <xdr:rowOff>190500</xdr:rowOff>
    </xdr:from>
    <xdr:ext cx="3228975" cy="264560"/>
    <xdr:sp macro="[0]!Ir_RecibosEmitidos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61950" y="2066925"/>
          <a:ext cx="3228975" cy="26456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REGISTRO DOS RECIBOS EMITIDOS</a:t>
          </a:r>
        </a:p>
      </xdr:txBody>
    </xdr:sp>
    <xdr:clientData/>
  </xdr:oneCellAnchor>
  <xdr:oneCellAnchor>
    <xdr:from>
      <xdr:col>2</xdr:col>
      <xdr:colOff>0</xdr:colOff>
      <xdr:row>12</xdr:row>
      <xdr:rowOff>0</xdr:rowOff>
    </xdr:from>
    <xdr:ext cx="3228975" cy="264560"/>
    <xdr:sp macro="[0]!Ir_Emissor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61950" y="2628900"/>
          <a:ext cx="3228975" cy="264560"/>
        </a:xfrm>
        <a:prstGeom prst="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bg1">
                  <a:lumMod val="95000"/>
                </a:schemeClr>
              </a:solidFill>
            </a:rPr>
            <a:t>EMISSOR DOS</a:t>
          </a:r>
          <a:r>
            <a:rPr lang="pt-BR" sz="1100" b="1" baseline="0">
              <a:solidFill>
                <a:schemeClr val="bg1">
                  <a:lumMod val="95000"/>
                </a:schemeClr>
              </a:solidFill>
            </a:rPr>
            <a:t> RECIBOS (</a:t>
          </a:r>
          <a:r>
            <a:rPr lang="pt-BR" sz="1100" b="1">
              <a:solidFill>
                <a:schemeClr val="bg1">
                  <a:lumMod val="95000"/>
                </a:schemeClr>
              </a:solidFill>
            </a:rPr>
            <a:t>FORMULÁRIO)</a:t>
          </a:r>
        </a:p>
      </xdr:txBody>
    </xdr:sp>
    <xdr:clientData/>
  </xdr:oneCellAnchor>
  <xdr:oneCellAnchor>
    <xdr:from>
      <xdr:col>2</xdr:col>
      <xdr:colOff>0</xdr:colOff>
      <xdr:row>6</xdr:row>
      <xdr:rowOff>0</xdr:rowOff>
    </xdr:from>
    <xdr:ext cx="3228975" cy="264560"/>
    <xdr:sp macro="[0]!Ir_Tutorial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61950" y="990600"/>
          <a:ext cx="3228975" cy="2645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TUTORIAL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2</xdr:row>
      <xdr:rowOff>47624</xdr:rowOff>
    </xdr:from>
    <xdr:to>
      <xdr:col>5</xdr:col>
      <xdr:colOff>876301</xdr:colOff>
      <xdr:row>2</xdr:row>
      <xdr:rowOff>476249</xdr:rowOff>
    </xdr:to>
    <xdr:sp macro="[0]!CadastrarPFPJ" textlink="">
      <xdr:nvSpPr>
        <xdr:cNvPr id="2" name="Seta: para Baix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10025" y="428624"/>
          <a:ext cx="1743076" cy="428625"/>
        </a:xfrm>
        <a:prstGeom prst="downArrow">
          <a:avLst/>
        </a:prstGeom>
        <a:gradFill flip="none" rotWithShape="1">
          <a:gsLst>
            <a:gs pos="0">
              <a:schemeClr val="accent5">
                <a:lumMod val="40000"/>
                <a:lumOff val="60000"/>
              </a:schemeClr>
            </a:gs>
            <a:gs pos="46000">
              <a:schemeClr val="accent5">
                <a:lumMod val="95000"/>
                <a:lumOff val="5000"/>
              </a:schemeClr>
            </a:gs>
            <a:gs pos="100000">
              <a:schemeClr val="accent5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17</xdr:col>
      <xdr:colOff>19050</xdr:colOff>
      <xdr:row>7</xdr:row>
      <xdr:rowOff>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457200" y="1200150"/>
          <a:ext cx="8001000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8</xdr:row>
      <xdr:rowOff>0</xdr:rowOff>
    </xdr:from>
    <xdr:to>
      <xdr:col>17</xdr:col>
      <xdr:colOff>28575</xdr:colOff>
      <xdr:row>9</xdr:row>
      <xdr:rowOff>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85725" y="1581150"/>
          <a:ext cx="801052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10</xdr:row>
      <xdr:rowOff>0</xdr:rowOff>
    </xdr:from>
    <xdr:to>
      <xdr:col>17</xdr:col>
      <xdr:colOff>28575</xdr:colOff>
      <xdr:row>11</xdr:row>
      <xdr:rowOff>0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85725" y="2019300"/>
          <a:ext cx="801052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12</xdr:row>
      <xdr:rowOff>0</xdr:rowOff>
    </xdr:from>
    <xdr:to>
      <xdr:col>17</xdr:col>
      <xdr:colOff>28575</xdr:colOff>
      <xdr:row>13</xdr:row>
      <xdr:rowOff>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85725" y="2457450"/>
          <a:ext cx="801052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14</xdr:row>
      <xdr:rowOff>0</xdr:rowOff>
    </xdr:from>
    <xdr:to>
      <xdr:col>17</xdr:col>
      <xdr:colOff>28575</xdr:colOff>
      <xdr:row>14</xdr:row>
      <xdr:rowOff>57150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85725" y="2895600"/>
          <a:ext cx="801052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4</xdr:row>
      <xdr:rowOff>0</xdr:rowOff>
    </xdr:from>
    <xdr:to>
      <xdr:col>17</xdr:col>
      <xdr:colOff>28575</xdr:colOff>
      <xdr:row>5</xdr:row>
      <xdr:rowOff>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5725" y="762000"/>
          <a:ext cx="801052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17</xdr:col>
      <xdr:colOff>0</xdr:colOff>
      <xdr:row>19</xdr:row>
      <xdr:rowOff>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85750" y="3752850"/>
          <a:ext cx="10467975" cy="57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glow rad="63500">
            <a:schemeClr val="accent5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pt-BR" sz="1100"/>
        </a:p>
      </xdr:txBody>
    </xdr:sp>
    <xdr:clientData/>
  </xdr:twoCellAnchor>
  <xdr:twoCellAnchor editAs="oneCell">
    <xdr:from>
      <xdr:col>17</xdr:col>
      <xdr:colOff>447675</xdr:colOff>
      <xdr:row>1</xdr:row>
      <xdr:rowOff>9525</xdr:rowOff>
    </xdr:from>
    <xdr:to>
      <xdr:col>19</xdr:col>
      <xdr:colOff>323850</xdr:colOff>
      <xdr:row>2</xdr:row>
      <xdr:rowOff>142875</xdr:rowOff>
    </xdr:to>
    <xdr:sp macro="[0]!EmitirRecibos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8715375" y="314325"/>
          <a:ext cx="1095375" cy="3238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REGISTRAR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38100</xdr:rowOff>
        </xdr:from>
        <xdr:to>
          <xdr:col>6</xdr:col>
          <xdr:colOff>733425</xdr:colOff>
          <xdr:row>2</xdr:row>
          <xdr:rowOff>161925</xdr:rowOff>
        </xdr:to>
        <xdr:sp macro="" textlink="">
          <xdr:nvSpPr>
            <xdr:cNvPr id="2057" name="OptReciboNovo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904875</xdr:colOff>
          <xdr:row>1</xdr:row>
          <xdr:rowOff>38100</xdr:rowOff>
        </xdr:from>
        <xdr:to>
          <xdr:col>7</xdr:col>
          <xdr:colOff>295275</xdr:colOff>
          <xdr:row>2</xdr:row>
          <xdr:rowOff>161925</xdr:rowOff>
        </xdr:to>
        <xdr:sp macro="" textlink="">
          <xdr:nvSpPr>
            <xdr:cNvPr id="2058" name="OptReciboEditar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447675</xdr:colOff>
      <xdr:row>3</xdr:row>
      <xdr:rowOff>114300</xdr:rowOff>
    </xdr:from>
    <xdr:to>
      <xdr:col>19</xdr:col>
      <xdr:colOff>323850</xdr:colOff>
      <xdr:row>5</xdr:row>
      <xdr:rowOff>190500</xdr:rowOff>
    </xdr:to>
    <xdr:sp macro="[0]!Limpar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8715375" y="800100"/>
          <a:ext cx="1095375" cy="3238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28574</xdr:rowOff>
    </xdr:from>
    <xdr:to>
      <xdr:col>2</xdr:col>
      <xdr:colOff>342900</xdr:colOff>
      <xdr:row>0</xdr:row>
      <xdr:rowOff>247649</xdr:rowOff>
    </xdr:to>
    <xdr:sp macro="[0]!Ir_Emissor" textlink="">
      <xdr:nvSpPr>
        <xdr:cNvPr id="3" name="Seta: para a Direita Listrada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0800000">
          <a:off x="95250" y="28574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gispc\Documents\SITE%20FINANCEIRO\PLANILHAS%20PUBLICADAS%20NO%20SITE\Emissor_Notas_de_Debito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regispc\Downloads\Controle%20de%20Arquivo%20Ger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AD. EMITENTE"/>
      <sheetName val="CAD. TOMADORES"/>
      <sheetName val="REGISTRO DAS NDs"/>
      <sheetName val="NDs REGISTRADAS"/>
      <sheetName val="FORMULÁRIO"/>
      <sheetName val="Emissor_Notas_de_Debitos"/>
    </sheetNames>
    <sheetDataSet>
      <sheetData sheetId="0" refreshError="1"/>
      <sheetData sheetId="1" refreshError="1"/>
      <sheetData sheetId="2">
        <row r="6">
          <cell r="C6" t="str">
            <v>NOME DO TOMADOR</v>
          </cell>
        </row>
      </sheetData>
      <sheetData sheetId="3"/>
      <sheetData sheetId="4">
        <row r="6">
          <cell r="C6" t="str">
            <v>Nº ND</v>
          </cell>
        </row>
      </sheetData>
      <sheetData sheetId="5">
        <row r="15">
          <cell r="A15" t="e">
            <v>#REF!</v>
          </cell>
        </row>
      </sheetData>
      <sheetData sheetId="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utorial"/>
      <sheetName val="MENU"/>
      <sheetName val="CAD. EMPRESA"/>
      <sheetName val="CAD. DEPTO."/>
      <sheetName val="CAD. LOCAL"/>
      <sheetName val="CAD. DOCUMENTOS"/>
      <sheetName val="RELATÓRIO"/>
    </sheetNames>
    <sheetDataSet>
      <sheetData sheetId="0" refreshError="1"/>
      <sheetData sheetId="1" refreshError="1"/>
      <sheetData sheetId="2">
        <row r="2">
          <cell r="B2" t="str">
            <v>NOME DA EMPRESA</v>
          </cell>
        </row>
      </sheetData>
      <sheetData sheetId="3">
        <row r="2">
          <cell r="B2" t="str">
            <v>NOME DO DEPTO.</v>
          </cell>
        </row>
      </sheetData>
      <sheetData sheetId="4">
        <row r="2">
          <cell r="B2" t="str">
            <v>NOME DO LOCAL</v>
          </cell>
        </row>
      </sheetData>
      <sheetData sheetId="5">
        <row r="2">
          <cell r="C2">
            <v>1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28E0D-F1E5-4348-BC8F-320D8E9D0401}">
  <sheetPr codeName="Sht_Menu">
    <pageSetUpPr fitToPage="1"/>
  </sheetPr>
  <dimension ref="D1:D11"/>
  <sheetViews>
    <sheetView showGridLines="0" showRowColHeaders="0" topLeftCell="B3" workbookViewId="0">
      <selection activeCell="B3" sqref="B3"/>
    </sheetView>
  </sheetViews>
  <sheetFormatPr defaultColWidth="9.140625" defaultRowHeight="15" x14ac:dyDescent="0.25"/>
  <cols>
    <col min="1" max="1" width="0" style="23" hidden="1" customWidth="1"/>
    <col min="2" max="3" width="5.42578125" style="23" customWidth="1"/>
    <col min="4" max="16384" width="9.140625" style="23"/>
  </cols>
  <sheetData>
    <row r="1" spans="4:4" hidden="1" x14ac:dyDescent="0.25"/>
    <row r="2" spans="4:4" hidden="1" x14ac:dyDescent="0.25"/>
    <row r="3" spans="4:4" ht="23.25" customHeight="1" x14ac:dyDescent="0.25"/>
    <row r="6" spans="4:4" ht="24.75" customHeight="1" x14ac:dyDescent="0.25"/>
    <row r="7" spans="4:4" ht="25.5" customHeight="1" x14ac:dyDescent="0.25"/>
    <row r="8" spans="4:4" ht="18.75" x14ac:dyDescent="0.25">
      <c r="D8" s="24"/>
    </row>
    <row r="9" spans="4:4" ht="25.5" customHeight="1" x14ac:dyDescent="0.25"/>
    <row r="10" spans="4:4" ht="18.75" x14ac:dyDescent="0.25">
      <c r="D10" s="24"/>
    </row>
    <row r="11" spans="4:4" ht="25.5" customHeight="1" x14ac:dyDescent="0.25"/>
  </sheetData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97297-C446-48B7-B8A4-19C76A000A09}">
  <sheetPr codeName="Sht_Tutorial">
    <pageSetUpPr fitToPage="1"/>
  </sheetPr>
  <dimension ref="B1:C24"/>
  <sheetViews>
    <sheetView showGridLines="0" tabSelected="1" workbookViewId="0">
      <selection activeCell="B2" sqref="B2:C2"/>
    </sheetView>
  </sheetViews>
  <sheetFormatPr defaultColWidth="9.140625" defaultRowHeight="22.5" customHeight="1" x14ac:dyDescent="0.25"/>
  <cols>
    <col min="1" max="1" width="3.85546875" style="32" customWidth="1"/>
    <col min="2" max="2" width="1.85546875" style="38" customWidth="1"/>
    <col min="3" max="3" width="134.140625" style="39" bestFit="1" customWidth="1"/>
    <col min="4" max="16384" width="9.140625" style="32"/>
  </cols>
  <sheetData>
    <row r="1" spans="2:3" ht="9.75" customHeight="1" x14ac:dyDescent="0.25"/>
    <row r="2" spans="2:3" ht="22.5" customHeight="1" x14ac:dyDescent="0.25">
      <c r="B2" s="71" t="s">
        <v>18</v>
      </c>
      <c r="C2" s="71"/>
    </row>
    <row r="3" spans="2:3" ht="15" customHeight="1" x14ac:dyDescent="0.25"/>
    <row r="4" spans="2:3" ht="22.5" customHeight="1" x14ac:dyDescent="0.25">
      <c r="B4" s="70" t="s">
        <v>19</v>
      </c>
      <c r="C4" s="70"/>
    </row>
    <row r="5" spans="2:3" ht="30" x14ac:dyDescent="0.25">
      <c r="B5" s="33" t="s">
        <v>20</v>
      </c>
      <c r="C5" s="34" t="s">
        <v>26</v>
      </c>
    </row>
    <row r="6" spans="2:3" ht="15" customHeight="1" x14ac:dyDescent="0.25">
      <c r="B6" s="70"/>
      <c r="C6" s="70"/>
    </row>
    <row r="7" spans="2:3" ht="22.5" customHeight="1" x14ac:dyDescent="0.25">
      <c r="B7" s="70" t="s">
        <v>36</v>
      </c>
      <c r="C7" s="70"/>
    </row>
    <row r="8" spans="2:3" s="37" customFormat="1" ht="30" x14ac:dyDescent="0.25">
      <c r="B8" s="35" t="s">
        <v>20</v>
      </c>
      <c r="C8" s="36" t="s">
        <v>33</v>
      </c>
    </row>
    <row r="9" spans="2:3" s="37" customFormat="1" ht="30" x14ac:dyDescent="0.25">
      <c r="B9" s="35" t="s">
        <v>20</v>
      </c>
      <c r="C9" s="36" t="s">
        <v>37</v>
      </c>
    </row>
    <row r="10" spans="2:3" s="37" customFormat="1" ht="22.5" customHeight="1" x14ac:dyDescent="0.25">
      <c r="B10" s="35" t="s">
        <v>20</v>
      </c>
      <c r="C10" s="36" t="s">
        <v>38</v>
      </c>
    </row>
    <row r="11" spans="2:3" ht="15" customHeight="1" x14ac:dyDescent="0.25">
      <c r="B11" s="70"/>
      <c r="C11" s="70"/>
    </row>
    <row r="12" spans="2:3" ht="22.5" customHeight="1" x14ac:dyDescent="0.25">
      <c r="B12" s="70" t="s">
        <v>27</v>
      </c>
      <c r="C12" s="70"/>
    </row>
    <row r="13" spans="2:3" s="37" customFormat="1" ht="45" x14ac:dyDescent="0.25">
      <c r="B13" s="33" t="s">
        <v>20</v>
      </c>
      <c r="C13" s="36" t="s">
        <v>39</v>
      </c>
    </row>
    <row r="14" spans="2:3" s="37" customFormat="1" ht="30" x14ac:dyDescent="0.25">
      <c r="B14" s="35" t="s">
        <v>20</v>
      </c>
      <c r="C14" s="36" t="s">
        <v>40</v>
      </c>
    </row>
    <row r="15" spans="2:3" s="37" customFormat="1" ht="30" x14ac:dyDescent="0.25">
      <c r="B15" s="33" t="s">
        <v>20</v>
      </c>
      <c r="C15" s="36" t="s">
        <v>28</v>
      </c>
    </row>
    <row r="16" spans="2:3" s="37" customFormat="1" ht="22.5" customHeight="1" x14ac:dyDescent="0.25">
      <c r="B16" s="35" t="s">
        <v>20</v>
      </c>
      <c r="C16" s="36" t="s">
        <v>41</v>
      </c>
    </row>
    <row r="17" spans="2:3" s="37" customFormat="1" ht="22.5" customHeight="1" x14ac:dyDescent="0.25">
      <c r="B17" s="35" t="s">
        <v>20</v>
      </c>
      <c r="C17" s="36" t="s">
        <v>30</v>
      </c>
    </row>
    <row r="18" spans="2:3" s="37" customFormat="1" ht="30" x14ac:dyDescent="0.25">
      <c r="B18" s="33" t="s">
        <v>20</v>
      </c>
      <c r="C18" s="34" t="s">
        <v>21</v>
      </c>
    </row>
    <row r="19" spans="2:3" s="37" customFormat="1" ht="22.5" customHeight="1" x14ac:dyDescent="0.25">
      <c r="B19" s="35" t="s">
        <v>20</v>
      </c>
      <c r="C19" s="36" t="s">
        <v>22</v>
      </c>
    </row>
    <row r="20" spans="2:3" s="37" customFormat="1" ht="30" x14ac:dyDescent="0.25">
      <c r="B20" s="33" t="s">
        <v>20</v>
      </c>
      <c r="C20" s="34" t="s">
        <v>42</v>
      </c>
    </row>
    <row r="21" spans="2:3" s="37" customFormat="1" ht="30" x14ac:dyDescent="0.25">
      <c r="B21" s="33" t="s">
        <v>20</v>
      </c>
      <c r="C21" s="34" t="s">
        <v>24</v>
      </c>
    </row>
    <row r="22" spans="2:3" s="37" customFormat="1" ht="22.5" customHeight="1" x14ac:dyDescent="0.25">
      <c r="B22" s="35" t="s">
        <v>20</v>
      </c>
      <c r="C22" s="36" t="s">
        <v>23</v>
      </c>
    </row>
    <row r="23" spans="2:3" s="37" customFormat="1" ht="22.5" customHeight="1" x14ac:dyDescent="0.25">
      <c r="B23" s="35" t="s">
        <v>20</v>
      </c>
      <c r="C23" s="36" t="s">
        <v>25</v>
      </c>
    </row>
    <row r="24" spans="2:3" s="37" customFormat="1" ht="22.5" customHeight="1" x14ac:dyDescent="0.25">
      <c r="B24" s="40"/>
      <c r="C24" s="41"/>
    </row>
  </sheetData>
  <mergeCells count="6">
    <mergeCell ref="B12:C12"/>
    <mergeCell ref="B2:C2"/>
    <mergeCell ref="B4:C4"/>
    <mergeCell ref="B7:C7"/>
    <mergeCell ref="B6:C6"/>
    <mergeCell ref="B11:C11"/>
  </mergeCells>
  <pageMargins left="0.51181102362204722" right="0.51181102362204722" top="0.78740157480314965" bottom="0.78740157480314965" header="0.31496062992125984" footer="0.31496062992125984"/>
  <pageSetup paperSize="9" scale="99" orientation="landscape" r:id="rId1"/>
  <headerFooter>
    <oddHeader>&amp;C&amp;"-,Negrito"&amp;14CONTROLE DE ARQUIVO GERAL</oddHeader>
    <oddFooter>&amp;L&amp;8&amp;Z&amp;F&amp;R&amp;D /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CFF5-8766-489C-BC2D-453469342614}">
  <sheetPr codeName="Sht_PFsPJs">
    <pageSetUpPr fitToPage="1"/>
  </sheetPr>
  <dimension ref="B1:AM4"/>
  <sheetViews>
    <sheetView topLeftCell="B1" workbookViewId="0">
      <pane ySplit="4" topLeftCell="A5" activePane="bottomLeft" state="frozen"/>
      <selection pane="bottomLeft" activeCell="C2" sqref="C2"/>
    </sheetView>
  </sheetViews>
  <sheetFormatPr defaultRowHeight="15" x14ac:dyDescent="0.25"/>
  <cols>
    <col min="1" max="1" width="0" style="56" hidden="1" customWidth="1"/>
    <col min="2" max="2" width="1.85546875" style="52" customWidth="1"/>
    <col min="3" max="3" width="51.5703125" style="56" customWidth="1"/>
    <col min="4" max="4" width="5.85546875" style="68" bestFit="1" customWidth="1"/>
    <col min="5" max="5" width="17.85546875" style="56" bestFit="1" customWidth="1"/>
    <col min="6" max="6" width="47.85546875" style="69" bestFit="1" customWidth="1"/>
    <col min="7" max="7" width="15.140625" style="56" bestFit="1" customWidth="1"/>
    <col min="8" max="8" width="11.42578125" style="56" customWidth="1"/>
    <col min="9" max="9" width="9.7109375" style="56" bestFit="1" customWidth="1"/>
    <col min="10" max="10" width="4.85546875" style="68" customWidth="1"/>
    <col min="11" max="38" width="9.140625" style="52"/>
    <col min="39" max="16384" width="9.140625" style="56"/>
  </cols>
  <sheetData>
    <row r="1" spans="2:39" x14ac:dyDescent="0.25">
      <c r="C1" s="53" t="s">
        <v>0</v>
      </c>
      <c r="D1" s="54" t="s">
        <v>6</v>
      </c>
      <c r="E1" s="54" t="s">
        <v>1</v>
      </c>
      <c r="F1" s="54" t="s">
        <v>2</v>
      </c>
      <c r="G1" s="54" t="s">
        <v>3</v>
      </c>
      <c r="H1" s="54" t="s">
        <v>4</v>
      </c>
      <c r="I1" s="54" t="s">
        <v>5</v>
      </c>
      <c r="J1" s="55"/>
    </row>
    <row r="2" spans="2:39" s="37" customFormat="1" ht="23.25" customHeight="1" x14ac:dyDescent="0.25">
      <c r="B2" s="57"/>
      <c r="C2" s="48"/>
      <c r="D2" s="49"/>
      <c r="E2" s="50"/>
      <c r="F2" s="51"/>
      <c r="G2" s="50"/>
      <c r="H2" s="49"/>
      <c r="I2" s="49"/>
      <c r="J2" s="58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</row>
    <row r="3" spans="2:39" s="52" customFormat="1" ht="41.25" customHeight="1" x14ac:dyDescent="0.25">
      <c r="D3" s="60"/>
      <c r="F3" s="61"/>
      <c r="J3" s="55"/>
      <c r="AM3" s="62"/>
    </row>
    <row r="4" spans="2:39" s="32" customFormat="1" ht="28.5" customHeight="1" x14ac:dyDescent="0.25">
      <c r="B4" s="63"/>
      <c r="C4" s="64" t="s">
        <v>0</v>
      </c>
      <c r="D4" s="65" t="s">
        <v>6</v>
      </c>
      <c r="E4" s="65" t="s">
        <v>1</v>
      </c>
      <c r="F4" s="65" t="s">
        <v>2</v>
      </c>
      <c r="G4" s="65" t="s">
        <v>3</v>
      </c>
      <c r="H4" s="65" t="s">
        <v>4</v>
      </c>
      <c r="I4" s="65" t="s">
        <v>5</v>
      </c>
      <c r="J4" s="66" t="s">
        <v>10</v>
      </c>
      <c r="K4" s="67"/>
      <c r="L4" s="67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</row>
  </sheetData>
  <sheetProtection sheet="1" objects="1" scenarios="1" selectLockedCells="1"/>
  <autoFilter ref="C4:J6" xr:uid="{0F7FC452-4630-40F5-AE3E-C77E60F58A7C}"/>
  <sortState ref="C5:J6">
    <sortCondition ref="C4"/>
  </sortState>
  <dataValidations count="1">
    <dataValidation type="list" allowBlank="1" showInputMessage="1" showErrorMessage="1" errorTitle="ERRO!" error="Digite ou selecione PF ou PJ para preencher este campo..." sqref="D2 D5:D9998" xr:uid="{9AC7D894-1B52-41B3-B9E0-FAACF5905C41}">
      <formula1>"PF,PJ"</formula1>
    </dataValidation>
  </dataValidations>
  <pageMargins left="0.511811024" right="0.511811024" top="0.78740157499999996" bottom="0.78740157499999996" header="0.31496062000000002" footer="0.31496062000000002"/>
  <pageSetup paperSize="9" scale="82" orientation="landscape" r:id="rId1"/>
  <headerFooter>
    <oddHeader>&amp;C&amp;"-,Negrito"&amp;14CADASTRO DE PESSOAS FÍSICAS E JURÍDICAS</oddHeader>
    <oddFooter>&amp;L&amp;8&amp;Z&amp;F&amp;R&amp;D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89391-0956-4456-8AAD-E9332874AFAF}">
  <sheetPr codeName="Sht_Emissor">
    <tabColor theme="5" tint="-0.499984740745262"/>
    <pageSetUpPr fitToPage="1"/>
  </sheetPr>
  <dimension ref="B1:Q21"/>
  <sheetViews>
    <sheetView showGridLines="0" workbookViewId="0">
      <selection activeCell="H6" sqref="H6:Q6"/>
    </sheetView>
  </sheetViews>
  <sheetFormatPr defaultRowHeight="15" x14ac:dyDescent="0.25"/>
  <cols>
    <col min="1" max="1" width="4.28515625" style="2" customWidth="1"/>
    <col min="2" max="2" width="7" style="2" hidden="1" customWidth="1"/>
    <col min="3" max="3" width="5.5703125" style="2" hidden="1" customWidth="1"/>
    <col min="4" max="4" width="6.42578125" style="2" hidden="1" customWidth="1"/>
    <col min="5" max="5" width="17.85546875" style="2" hidden="1" customWidth="1"/>
    <col min="6" max="6" width="2.85546875" style="2" hidden="1" customWidth="1"/>
    <col min="7" max="7" width="19.42578125" style="2" customWidth="1"/>
    <col min="8" max="8" width="10.140625" style="2" bestFit="1" customWidth="1"/>
    <col min="9" max="12" width="9.140625" style="2"/>
    <col min="13" max="13" width="8.28515625" style="2" customWidth="1"/>
    <col min="14" max="16" width="9.140625" style="2"/>
    <col min="17" max="17" width="17.85546875" style="2" bestFit="1" customWidth="1"/>
    <col min="18" max="16384" width="9.140625" style="2"/>
  </cols>
  <sheetData>
    <row r="1" spans="2:17" ht="24" customHeight="1" x14ac:dyDescent="0.25"/>
    <row r="2" spans="2:17" ht="15" customHeight="1" x14ac:dyDescent="0.25">
      <c r="I2" s="81" t="s">
        <v>35</v>
      </c>
      <c r="J2" s="81"/>
      <c r="K2" s="81"/>
      <c r="L2" s="81"/>
      <c r="M2" s="81"/>
      <c r="N2" s="81"/>
      <c r="O2" s="81"/>
      <c r="P2" s="80" t="s">
        <v>10</v>
      </c>
      <c r="Q2" s="84">
        <v>1</v>
      </c>
    </row>
    <row r="3" spans="2:17" ht="15" customHeight="1" x14ac:dyDescent="0.25">
      <c r="B3" s="2">
        <v>1</v>
      </c>
      <c r="I3" s="81"/>
      <c r="J3" s="81"/>
      <c r="K3" s="81"/>
      <c r="L3" s="81"/>
      <c r="M3" s="81"/>
      <c r="N3" s="81"/>
      <c r="O3" s="81"/>
      <c r="P3" s="80"/>
      <c r="Q3" s="84"/>
    </row>
    <row r="5" spans="2:17" ht="4.5" customHeight="1" x14ac:dyDescent="0.25"/>
    <row r="6" spans="2:17" ht="30" customHeight="1" x14ac:dyDescent="0.25">
      <c r="B6" s="2" t="e">
        <f ca="1">OFFSET('Cad. Emitentes-Pagadores'!$J$4,MATCH(Emissor_EmitenteNome,PF_PJ_Nome,0),0,1,1)</f>
        <v>#REF!</v>
      </c>
      <c r="C6" s="3" t="e">
        <f ca="1">VLOOKUP(Emissor_EmitenteNome,PF_PJ_Tudo,2,FALSE)</f>
        <v>#REF!</v>
      </c>
      <c r="D6" s="17" t="e">
        <f ca="1">IF(Emissor_EmitentePFPJ="PF","CPF","CNPJ")</f>
        <v>#REF!</v>
      </c>
      <c r="E6" s="3" t="e">
        <f ca="1">VLOOKUP(Emissor_EmitenteNome,PF_PJ_Tudo,3,FALSE)</f>
        <v>#REF!</v>
      </c>
      <c r="G6" s="2" t="s">
        <v>7</v>
      </c>
      <c r="H6" s="83"/>
      <c r="I6" s="83"/>
      <c r="J6" s="83"/>
      <c r="K6" s="83"/>
      <c r="L6" s="83"/>
      <c r="M6" s="83"/>
      <c r="N6" s="83"/>
      <c r="O6" s="83"/>
      <c r="P6" s="83"/>
      <c r="Q6" s="83"/>
    </row>
    <row r="7" spans="2:17" ht="4.5" customHeight="1" x14ac:dyDescent="0.25">
      <c r="C7" s="3"/>
      <c r="H7" s="4"/>
      <c r="I7" s="4"/>
      <c r="J7" s="4"/>
      <c r="K7" s="4"/>
      <c r="L7" s="4"/>
      <c r="M7" s="4"/>
      <c r="N7" s="4"/>
    </row>
    <row r="8" spans="2:17" ht="30" customHeight="1" x14ac:dyDescent="0.25">
      <c r="B8" s="2" t="e">
        <f ca="1">OFFSET('Cad. Emitentes-Pagadores'!$J$4,MATCH(Emissor_PaganteNome,PF_PJ_Nome,0),0,1,1)</f>
        <v>#REF!</v>
      </c>
      <c r="C8" s="3" t="e">
        <f ca="1">VLOOKUP(Emissor_PaganteNome,PF_PJ_Tudo,2,FALSE)</f>
        <v>#REF!</v>
      </c>
      <c r="D8" s="17" t="e">
        <f ca="1">IF(Emissor_EmitentePFPJ="PF","CPF","CNPJ")</f>
        <v>#REF!</v>
      </c>
      <c r="E8" s="3" t="e">
        <f ca="1">VLOOKUP(Emissor_PaganteNome,PF_PJ_Tudo,3,FALSE)</f>
        <v>#REF!</v>
      </c>
      <c r="G8" s="2" t="s">
        <v>31</v>
      </c>
      <c r="H8" s="82"/>
      <c r="I8" s="82"/>
      <c r="J8" s="82"/>
      <c r="K8" s="82"/>
      <c r="L8" s="82"/>
      <c r="M8" s="82"/>
      <c r="N8" s="82"/>
      <c r="O8" s="82"/>
      <c r="P8" s="82"/>
      <c r="Q8" s="82"/>
    </row>
    <row r="9" spans="2:17" ht="4.5" customHeight="1" x14ac:dyDescent="0.25">
      <c r="C9" s="3"/>
      <c r="H9" s="4"/>
      <c r="I9" s="4"/>
      <c r="J9" s="4"/>
      <c r="K9" s="4"/>
      <c r="L9" s="4"/>
      <c r="M9" s="4"/>
      <c r="N9" s="4"/>
    </row>
    <row r="10" spans="2:17" ht="30" customHeight="1" x14ac:dyDescent="0.25">
      <c r="G10" s="2" t="s">
        <v>8</v>
      </c>
      <c r="H10" s="79"/>
      <c r="I10" s="79"/>
      <c r="J10" s="79"/>
      <c r="K10" s="79"/>
      <c r="L10" s="79"/>
      <c r="M10" s="79"/>
      <c r="N10" s="79"/>
      <c r="O10" s="79"/>
      <c r="P10" s="79"/>
      <c r="Q10" s="79"/>
    </row>
    <row r="11" spans="2:17" ht="4.5" customHeight="1" x14ac:dyDescent="0.25">
      <c r="H11" s="6"/>
      <c r="I11" s="5"/>
    </row>
    <row r="12" spans="2:17" ht="30" customHeight="1" x14ac:dyDescent="0.25">
      <c r="G12" s="2" t="s">
        <v>9</v>
      </c>
      <c r="H12" s="75"/>
      <c r="I12" s="76"/>
      <c r="J12" s="78" t="str">
        <f>IF(Emissor_Valor="","",fExtenso(H12,1,"real","reais"))</f>
        <v/>
      </c>
      <c r="K12" s="78"/>
      <c r="L12" s="78"/>
      <c r="M12" s="78"/>
      <c r="N12" s="78"/>
      <c r="O12" s="78"/>
      <c r="P12" s="78"/>
      <c r="Q12" s="78"/>
    </row>
    <row r="13" spans="2:17" ht="4.5" customHeight="1" x14ac:dyDescent="0.25"/>
    <row r="14" spans="2:17" ht="33.75" customHeight="1" x14ac:dyDescent="0.25">
      <c r="G14" s="25" t="s">
        <v>34</v>
      </c>
      <c r="H14" s="78" t="str">
        <f>IF(Emissor_PaganteNome="","",B20&amp;" de "&amp;H8&amp;", "&amp;B21&amp;E8&amp;", a importância acima,")</f>
        <v/>
      </c>
      <c r="I14" s="78"/>
      <c r="J14" s="78"/>
      <c r="K14" s="78"/>
      <c r="L14" s="78"/>
      <c r="M14" s="78"/>
      <c r="N14" s="78"/>
      <c r="O14" s="78"/>
      <c r="P14" s="78"/>
      <c r="Q14" s="78"/>
    </row>
    <row r="15" spans="2:17" ht="4.5" customHeight="1" x14ac:dyDescent="0.25"/>
    <row r="16" spans="2:17" ht="30" customHeight="1" x14ac:dyDescent="0.25">
      <c r="G16" s="72" t="s">
        <v>29</v>
      </c>
      <c r="H16" s="77"/>
      <c r="I16" s="77"/>
      <c r="J16" s="77"/>
      <c r="K16" s="77"/>
      <c r="L16" s="77"/>
      <c r="M16" s="77"/>
      <c r="N16" s="77"/>
      <c r="O16" s="77"/>
      <c r="P16" s="77"/>
      <c r="Q16" s="77"/>
    </row>
    <row r="17" spans="2:17" x14ac:dyDescent="0.25">
      <c r="G17" s="73"/>
      <c r="H17" s="77"/>
      <c r="I17" s="77"/>
      <c r="J17" s="77"/>
      <c r="K17" s="77"/>
      <c r="L17" s="77"/>
      <c r="M17" s="77"/>
      <c r="N17" s="77"/>
      <c r="O17" s="77"/>
      <c r="P17" s="77"/>
      <c r="Q17" s="77"/>
    </row>
    <row r="18" spans="2:17" x14ac:dyDescent="0.25">
      <c r="G18" s="73"/>
      <c r="H18" s="77"/>
      <c r="I18" s="77"/>
      <c r="J18" s="77"/>
      <c r="K18" s="77"/>
      <c r="L18" s="77"/>
      <c r="M18" s="77"/>
      <c r="N18" s="77"/>
      <c r="O18" s="77"/>
      <c r="P18" s="77"/>
      <c r="Q18" s="77"/>
    </row>
    <row r="19" spans="2:17" ht="4.5" customHeight="1" x14ac:dyDescent="0.25">
      <c r="G19" s="21"/>
      <c r="H19" s="22"/>
      <c r="I19" s="22"/>
      <c r="J19" s="22"/>
      <c r="K19" s="22"/>
      <c r="L19" s="22"/>
      <c r="M19" s="22"/>
      <c r="N19" s="22"/>
      <c r="O19" s="22"/>
      <c r="P19" s="22"/>
      <c r="Q19" s="22"/>
    </row>
    <row r="20" spans="2:17" x14ac:dyDescent="0.25">
      <c r="B20" s="2" t="e">
        <f ca="1">IF(Emissor_EmitentePFPJ="PF","Recebi","Recebemos")</f>
        <v>#REF!</v>
      </c>
    </row>
    <row r="21" spans="2:17" x14ac:dyDescent="0.25">
      <c r="B21" s="74" t="e">
        <f ca="1">IF(C8="PF","CPF sob nº ","CNPJ sob nº ")</f>
        <v>#REF!</v>
      </c>
      <c r="C21" s="74"/>
      <c r="D21" s="74"/>
      <c r="E21" s="74"/>
    </row>
  </sheetData>
  <sheetProtection sheet="1" objects="1" scenarios="1" selectLockedCells="1"/>
  <mergeCells count="12">
    <mergeCell ref="H10:Q10"/>
    <mergeCell ref="P2:P3"/>
    <mergeCell ref="Q2:Q3"/>
    <mergeCell ref="I2:O3"/>
    <mergeCell ref="H14:Q14"/>
    <mergeCell ref="H8:Q8"/>
    <mergeCell ref="H6:Q6"/>
    <mergeCell ref="G16:G18"/>
    <mergeCell ref="B21:E21"/>
    <mergeCell ref="H12:I12"/>
    <mergeCell ref="H16:Q18"/>
    <mergeCell ref="J12:Q12"/>
  </mergeCells>
  <dataValidations count="2">
    <dataValidation type="list" allowBlank="1" showInputMessage="1" showErrorMessage="1" sqref="H6:H9" xr:uid="{DAAEE6B4-67AD-42E7-BFAA-A18A26D6FD99}">
      <formula1>PF_PJ_Nome</formula1>
    </dataValidation>
    <dataValidation type="whole" allowBlank="1" showInputMessage="1" showErrorMessage="1" errorTitle="Nº INVALIDO!" error="Digite um número inteiro e positivo." sqref="Q2:Q3" xr:uid="{1769AB99-D41E-4585-BA17-4A83E4FF6244}">
      <formula1>1</formula1>
      <formula2>999999</formula2>
    </dataValidation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7" r:id="rId4" name="OptReciboNovo">
          <controlPr defaultSize="0" autoLine="0" r:id="rId5">
            <anchor moveWithCells="1">
              <from>
                <xdr:col>6</xdr:col>
                <xdr:colOff>47625</xdr:colOff>
                <xdr:row>1</xdr:row>
                <xdr:rowOff>38100</xdr:rowOff>
              </from>
              <to>
                <xdr:col>6</xdr:col>
                <xdr:colOff>733425</xdr:colOff>
                <xdr:row>2</xdr:row>
                <xdr:rowOff>161925</xdr:rowOff>
              </to>
            </anchor>
          </controlPr>
        </control>
      </mc:Choice>
      <mc:Fallback>
        <control shapeId="2057" r:id="rId4" name="OptReciboNovo"/>
      </mc:Fallback>
    </mc:AlternateContent>
    <mc:AlternateContent xmlns:mc="http://schemas.openxmlformats.org/markup-compatibility/2006">
      <mc:Choice Requires="x14">
        <control shapeId="2058" r:id="rId6" name="OptReciboEditar">
          <controlPr defaultSize="0" autoLine="0" r:id="rId7">
            <anchor moveWithCells="1">
              <from>
                <xdr:col>6</xdr:col>
                <xdr:colOff>904875</xdr:colOff>
                <xdr:row>1</xdr:row>
                <xdr:rowOff>38100</xdr:rowOff>
              </from>
              <to>
                <xdr:col>7</xdr:col>
                <xdr:colOff>295275</xdr:colOff>
                <xdr:row>2</xdr:row>
                <xdr:rowOff>161925</xdr:rowOff>
              </to>
            </anchor>
          </controlPr>
        </control>
      </mc:Choice>
      <mc:Fallback>
        <control shapeId="2058" r:id="rId6" name="OptReciboEdit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06A3-1DC9-4400-B13E-FA79D506EB5D}">
  <sheetPr codeName="sht_Recibo"/>
  <dimension ref="B3:B29"/>
  <sheetViews>
    <sheetView showGridLines="0" view="pageBreakPreview" topLeftCell="A4" zoomScale="70" zoomScaleNormal="100" zoomScaleSheetLayoutView="70" workbookViewId="0">
      <selection activeCell="E18" sqref="E18"/>
    </sheetView>
  </sheetViews>
  <sheetFormatPr defaultRowHeight="15" x14ac:dyDescent="0.25"/>
  <cols>
    <col min="2" max="2" width="81.7109375" customWidth="1"/>
  </cols>
  <sheetData>
    <row r="3" spans="2:2" x14ac:dyDescent="0.25">
      <c r="B3" s="7"/>
    </row>
    <row r="4" spans="2:2" x14ac:dyDescent="0.25">
      <c r="B4" s="7"/>
    </row>
    <row r="5" spans="2:2" x14ac:dyDescent="0.25">
      <c r="B5" s="7"/>
    </row>
    <row r="6" spans="2:2" x14ac:dyDescent="0.25">
      <c r="B6" s="7"/>
    </row>
    <row r="7" spans="2:2" x14ac:dyDescent="0.25">
      <c r="B7" s="7"/>
    </row>
    <row r="8" spans="2:2" x14ac:dyDescent="0.25">
      <c r="B8" s="7"/>
    </row>
    <row r="9" spans="2:2" ht="19.5" x14ac:dyDescent="0.25">
      <c r="B9" s="8" t="str">
        <f>"R  E  C  I  B  O"</f>
        <v>R  E  C  I  B  O</v>
      </c>
    </row>
    <row r="10" spans="2:2" ht="6" customHeight="1" x14ac:dyDescent="0.25"/>
    <row r="11" spans="2:2" ht="9.75" customHeight="1" thickBot="1" x14ac:dyDescent="0.3">
      <c r="B11" s="9"/>
    </row>
    <row r="12" spans="2:2" ht="15.75" thickTop="1" x14ac:dyDescent="0.25">
      <c r="B12" s="7"/>
    </row>
    <row r="13" spans="2:2" x14ac:dyDescent="0.25">
      <c r="B13" s="7"/>
    </row>
    <row r="14" spans="2:2" x14ac:dyDescent="0.25">
      <c r="B14" s="7"/>
    </row>
    <row r="15" spans="2:2" x14ac:dyDescent="0.25">
      <c r="B15" s="10"/>
    </row>
    <row r="16" spans="2:2" x14ac:dyDescent="0.25">
      <c r="B16" s="11">
        <f>Emissor_Valor</f>
        <v>0</v>
      </c>
    </row>
    <row r="17" spans="2:2" ht="30" customHeight="1" x14ac:dyDescent="0.25">
      <c r="B17" s="12" t="str">
        <f>"(" &amp; (fExtenso(B16,1,"real","reais")) &amp; ")"</f>
        <v>(zero reais)</v>
      </c>
    </row>
    <row r="18" spans="2:2" ht="30" customHeight="1" x14ac:dyDescent="0.25">
      <c r="B18" s="12"/>
    </row>
    <row r="19" spans="2:2" ht="90" customHeight="1" x14ac:dyDescent="0.25">
      <c r="B19" s="12" t="str">
        <f>Emissor_InicioHist&amp;" "&amp;Emissor_ContHist</f>
        <v xml:space="preserve"> </v>
      </c>
    </row>
    <row r="20" spans="2:2" x14ac:dyDescent="0.25">
      <c r="B20" s="13"/>
    </row>
    <row r="21" spans="2:2" x14ac:dyDescent="0.25">
      <c r="B21" s="7"/>
    </row>
    <row r="22" spans="2:2" x14ac:dyDescent="0.25">
      <c r="B22" s="14">
        <f>Emissor_Data</f>
        <v>0</v>
      </c>
    </row>
    <row r="23" spans="2:2" x14ac:dyDescent="0.25">
      <c r="B23" s="14"/>
    </row>
    <row r="24" spans="2:2" x14ac:dyDescent="0.25">
      <c r="B24" s="14"/>
    </row>
    <row r="25" spans="2:2" x14ac:dyDescent="0.25">
      <c r="B25" s="14"/>
    </row>
    <row r="26" spans="2:2" x14ac:dyDescent="0.25">
      <c r="B26" s="7"/>
    </row>
    <row r="27" spans="2:2" x14ac:dyDescent="0.25">
      <c r="B27" s="15"/>
    </row>
    <row r="28" spans="2:2" x14ac:dyDescent="0.25">
      <c r="B28" s="16">
        <f>Emissor_EmitenteNome</f>
        <v>0</v>
      </c>
    </row>
    <row r="29" spans="2:2" x14ac:dyDescent="0.25">
      <c r="B29" s="16" t="e">
        <f ca="1">Emissor_EmitenteCPFCNPJ&amp;": "&amp;Emissor_EmitenteNroCPFCNPJ</f>
        <v>#REF!</v>
      </c>
    </row>
  </sheetData>
  <dataValidations disablePrompts="1" count="1">
    <dataValidation type="textLength" allowBlank="1" showInputMessage="1" showErrorMessage="1" sqref="B19" xr:uid="{465361A5-7A6C-4556-B482-AF21C3BDCB26}">
      <formula1>0</formula1>
      <formula2>500</formula2>
    </dataValidation>
  </dataValidations>
  <printOptions horizontalCentered="1"/>
  <pageMargins left="1.2204724409448819" right="0.74803149606299213" top="1.1811023622047245" bottom="1.3779527559055118" header="0.59055118110236227" footer="0.47244094488188981"/>
  <pageSetup paperSize="9" orientation="portrait" verticalDpi="300" r:id="rId1"/>
  <headerFooter>
    <oddHeader>&amp;R&amp;G</oddHeader>
    <oddFooter>&amp;R&amp;"-,Itálico"&amp;8 &amp;K00-049Nº 1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5EDD-0306-4678-A9A8-5F5A0F33F777}">
  <sheetPr codeName="Sht_RecibosEmitidos"/>
  <dimension ref="A1:AM3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C4" sqref="C4"/>
    </sheetView>
  </sheetViews>
  <sheetFormatPr defaultRowHeight="15" x14ac:dyDescent="0.25"/>
  <cols>
    <col min="1" max="1" width="0.85546875" style="26" customWidth="1"/>
    <col min="2" max="2" width="0" hidden="1" customWidth="1"/>
    <col min="3" max="3" width="9.140625" style="1"/>
    <col min="4" max="4" width="10.7109375" style="18" bestFit="1" customWidth="1"/>
    <col min="5" max="5" width="16.7109375" style="19" customWidth="1"/>
    <col min="6" max="6" width="19.85546875" customWidth="1"/>
    <col min="7" max="7" width="9.140625" style="1"/>
    <col min="8" max="8" width="10.5703125" style="1" customWidth="1"/>
    <col min="9" max="9" width="18.28515625" customWidth="1"/>
    <col min="10" max="10" width="43.28515625" bestFit="1" customWidth="1"/>
    <col min="11" max="11" width="9.140625" style="1"/>
    <col min="12" max="12" width="10.85546875" style="1" customWidth="1"/>
    <col min="13" max="13" width="18.28515625" customWidth="1"/>
    <col min="14" max="14" width="44.5703125" customWidth="1"/>
    <col min="15" max="15" width="5.28515625" bestFit="1" customWidth="1"/>
    <col min="16" max="16" width="5.42578125" bestFit="1" customWidth="1"/>
    <col min="17" max="39" width="9.140625" style="26"/>
  </cols>
  <sheetData>
    <row r="1" spans="1:39" ht="22.5" customHeight="1" x14ac:dyDescent="0.25">
      <c r="B1" s="30"/>
      <c r="C1" s="27"/>
      <c r="D1" s="28"/>
      <c r="E1" s="29"/>
      <c r="F1" s="26"/>
      <c r="G1" s="27"/>
      <c r="H1" s="27"/>
      <c r="I1" s="26"/>
      <c r="J1" s="26"/>
      <c r="K1" s="27"/>
      <c r="L1" s="27"/>
      <c r="M1" s="26"/>
      <c r="N1" s="26"/>
      <c r="O1" s="26"/>
      <c r="P1" s="31"/>
    </row>
    <row r="2" spans="1:39" s="1" customFormat="1" ht="4.5" hidden="1" customHeight="1" x14ac:dyDescent="0.25">
      <c r="A2" s="27"/>
      <c r="D2" s="18"/>
      <c r="E2" s="20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</row>
    <row r="3" spans="1:39" s="43" customFormat="1" ht="27" customHeight="1" x14ac:dyDescent="0.25">
      <c r="A3" s="42"/>
      <c r="C3" s="44" t="s">
        <v>10</v>
      </c>
      <c r="D3" s="45" t="s">
        <v>13</v>
      </c>
      <c r="E3" s="46" t="s">
        <v>12</v>
      </c>
      <c r="F3" s="44" t="s">
        <v>14</v>
      </c>
      <c r="G3" s="44" t="s">
        <v>6</v>
      </c>
      <c r="H3" s="44" t="s">
        <v>1</v>
      </c>
      <c r="I3" s="44" t="s">
        <v>15</v>
      </c>
      <c r="J3" s="44" t="s">
        <v>32</v>
      </c>
      <c r="K3" s="44" t="s">
        <v>6</v>
      </c>
      <c r="L3" s="44" t="s">
        <v>1</v>
      </c>
      <c r="M3" s="44" t="s">
        <v>15</v>
      </c>
      <c r="N3" s="44" t="s">
        <v>11</v>
      </c>
      <c r="O3" s="44" t="s">
        <v>16</v>
      </c>
      <c r="P3" s="47" t="s">
        <v>17</v>
      </c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</row>
  </sheetData>
  <autoFilter ref="G3:P5" xr:uid="{D4772481-FB82-4EA0-8F1B-FB97A2B564CB}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33</vt:i4>
      </vt:variant>
    </vt:vector>
  </HeadingPairs>
  <TitlesOfParts>
    <vt:vector size="39" baseType="lpstr">
      <vt:lpstr>Menu</vt:lpstr>
      <vt:lpstr>Tutorial</vt:lpstr>
      <vt:lpstr>Cad. Emitentes-Pagadores</vt:lpstr>
      <vt:lpstr>Emissor de Recibos</vt:lpstr>
      <vt:lpstr>Recibo</vt:lpstr>
      <vt:lpstr>Recibos Emitidos</vt:lpstr>
      <vt:lpstr>'Cad. Emitentes-Pagadores'!Area_de_impressao</vt:lpstr>
      <vt:lpstr>Recibo!Area_de_impressao</vt:lpstr>
      <vt:lpstr>Tutorial!Area_de_impressao</vt:lpstr>
      <vt:lpstr>Editando</vt:lpstr>
      <vt:lpstr>Emissor_ContHist</vt:lpstr>
      <vt:lpstr>Emissor_Data</vt:lpstr>
      <vt:lpstr>Emissor_EmitenteCPFCNPJ</vt:lpstr>
      <vt:lpstr>Emissor_EmitenteNome</vt:lpstr>
      <vt:lpstr>Emissor_EmitenteNroCPFCNPJ</vt:lpstr>
      <vt:lpstr>Emissor_EmitentePFPJ</vt:lpstr>
      <vt:lpstr>Emissor_EmitentePK</vt:lpstr>
      <vt:lpstr>Emissor_InicioHist</vt:lpstr>
      <vt:lpstr>Emissor_PaganteCPFCNPJ</vt:lpstr>
      <vt:lpstr>Emissor_PaganteNome</vt:lpstr>
      <vt:lpstr>Emissor_PaganteNroCPFCNPJ</vt:lpstr>
      <vt:lpstr>Emissor_PagantePFPJ</vt:lpstr>
      <vt:lpstr>Emissor_PagantePK</vt:lpstr>
      <vt:lpstr>Emissor_Rotulo</vt:lpstr>
      <vt:lpstr>Emissor_Valor</vt:lpstr>
      <vt:lpstr>Form_Assinante</vt:lpstr>
      <vt:lpstr>Form_Data</vt:lpstr>
      <vt:lpstr>Form_DescrRecibo</vt:lpstr>
      <vt:lpstr>Form_Valor</vt:lpstr>
      <vt:lpstr>Form_VlrExtenso</vt:lpstr>
      <vt:lpstr>NroImpressao</vt:lpstr>
      <vt:lpstr>NumeroRecibo</vt:lpstr>
      <vt:lpstr>PFPJ_CEP</vt:lpstr>
      <vt:lpstr>PFPJ_Cidade</vt:lpstr>
      <vt:lpstr>PFPJ_CPFCNPJ</vt:lpstr>
      <vt:lpstr>PFPJ_Endereco</vt:lpstr>
      <vt:lpstr>PFPJ_Estado</vt:lpstr>
      <vt:lpstr>PFPJ_Nome</vt:lpstr>
      <vt:lpstr>PFPJ_Tipo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2018-03-19T11:51:09Z</cp:lastPrinted>
  <dcterms:created xsi:type="dcterms:W3CDTF">2018-03-15T08:30:05Z</dcterms:created>
  <dcterms:modified xsi:type="dcterms:W3CDTF">2018-03-19T11:59:40Z</dcterms:modified>
</cp:coreProperties>
</file>