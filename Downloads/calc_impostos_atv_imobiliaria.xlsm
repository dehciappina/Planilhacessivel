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CDA7D6C4-48DB-4C41-9DBB-0686F26AC8B0}" xr6:coauthVersionLast="28" xr6:coauthVersionMax="28" xr10:uidLastSave="{00000000-0000-0000-0000-000000000000}"/>
  <bookViews>
    <workbookView xWindow="0" yWindow="0" windowWidth="20490" windowHeight="7530" xr2:uid="{00000000-000D-0000-FFFF-FFFF00000000}"/>
  </bookViews>
  <sheets>
    <sheet name="MENU" sheetId="12" r:id="rId1"/>
    <sheet name="Venda de Imóvel" sheetId="5" r:id="rId2"/>
    <sheet name="Locação de Imóvel" sheetId="13" r:id="rId3"/>
    <sheet name="Serviços Prestados" sheetId="4" r:id="rId4"/>
  </sheets>
  <definedNames>
    <definedName name="_xlnm.Print_Area" localSheetId="2">'Locação de Imóvel'!$C$2:$O$34</definedName>
    <definedName name="_xlnm.Print_Area" localSheetId="3">'Serviços Prestados'!$C$9:$O$21</definedName>
    <definedName name="_xlnm.Print_Area" localSheetId="1">'Venda de Imóvel'!$C$2:$O$36</definedName>
    <definedName name="DescrDados" localSheetId="2">'Locação de Imóvel'!$F$2</definedName>
    <definedName name="DescrDados">'Venda de Imóvel'!$F$2</definedName>
    <definedName name="IR_Locacao_Perc" localSheetId="2">#REF!</definedName>
    <definedName name="IR_Locacao_Perc">#REF!</definedName>
    <definedName name="IR_Locacao_Vlr" localSheetId="2">#REF!</definedName>
    <definedName name="IR_Locacao_Vlr">#REF!</definedName>
    <definedName name="IR_RPA_Perc" localSheetId="2">#REF!</definedName>
    <definedName name="IR_RPA_Perc">#REF!</definedName>
    <definedName name="IR_RPA_Vlr">#REF!</definedName>
    <definedName name="IR_Serv_Perc" localSheetId="2">#REF!</definedName>
    <definedName name="IR_Serv_Perc">#REF!</definedName>
    <definedName name="IR_Serv_Vlr" localSheetId="2">#REF!</definedName>
    <definedName name="IR_Serv_Vlr">#REF!</definedName>
    <definedName name="IR_ServQC_Perc" localSheetId="2">#REF!</definedName>
    <definedName name="IR_ServQC_Perc">#REF!</definedName>
    <definedName name="IR_ServQC_Vlr" localSheetId="2">#REF!</definedName>
    <definedName name="IR_ServQC_Vlr">#REF!</definedName>
    <definedName name="IR_Venda_Perc" localSheetId="2">#REF!</definedName>
    <definedName name="IR_Venda_Perc">#REF!</definedName>
    <definedName name="IR_Venda_Vlr" localSheetId="2">#REF!</definedName>
    <definedName name="IR_Venda_Vlr">#REF!</definedName>
    <definedName name="PV_Tb_INSS">#REF!</definedName>
    <definedName name="PV_Tb_IR">#REF!</definedName>
  </definedNames>
  <calcPr calcId="171027"/>
</workbook>
</file>

<file path=xl/calcChain.xml><?xml version="1.0" encoding="utf-8"?>
<calcChain xmlns="http://schemas.openxmlformats.org/spreadsheetml/2006/main">
  <c r="N6" i="4" l="1"/>
  <c r="N5" i="4"/>
  <c r="N7" i="13"/>
  <c r="N6" i="13"/>
  <c r="N7" i="5" l="1"/>
  <c r="N6" i="5"/>
  <c r="A5" i="4" l="1"/>
  <c r="M14" i="4" s="1"/>
  <c r="I8" i="4"/>
  <c r="F16" i="4"/>
  <c r="G16" i="4" s="1"/>
  <c r="F15" i="4"/>
  <c r="G15" i="4" s="1"/>
  <c r="F14" i="4"/>
  <c r="G14" i="4" s="1"/>
  <c r="M16" i="4"/>
  <c r="N16" i="4" s="1"/>
  <c r="F18" i="4"/>
  <c r="G18" i="4" s="1"/>
  <c r="M7" i="13"/>
  <c r="F8" i="5"/>
  <c r="F18" i="13"/>
  <c r="G18" i="13" s="1"/>
  <c r="F32" i="13"/>
  <c r="F30" i="13"/>
  <c r="F31" i="13" s="1"/>
  <c r="N29" i="13"/>
  <c r="G29" i="13"/>
  <c r="N28" i="13"/>
  <c r="G28" i="13"/>
  <c r="F19" i="13"/>
  <c r="G19" i="13" s="1"/>
  <c r="F17" i="13"/>
  <c r="G17" i="13" s="1"/>
  <c r="F16" i="13"/>
  <c r="F15" i="13"/>
  <c r="G15" i="13" s="1"/>
  <c r="I9" i="13"/>
  <c r="F8" i="13"/>
  <c r="O29" i="13" s="1"/>
  <c r="L7" i="13"/>
  <c r="L6" i="13"/>
  <c r="M31" i="13" l="1"/>
  <c r="M18" i="13"/>
  <c r="O18" i="13"/>
  <c r="C8" i="13"/>
  <c r="G32" i="13"/>
  <c r="A7" i="13"/>
  <c r="M16" i="13" s="1"/>
  <c r="N16" i="13" s="1"/>
  <c r="A6" i="13"/>
  <c r="M15" i="13" s="1"/>
  <c r="F20" i="13"/>
  <c r="F21" i="13" s="1"/>
  <c r="L8" i="13"/>
  <c r="M30" i="13"/>
  <c r="H28" i="13"/>
  <c r="H18" i="13"/>
  <c r="G31" i="13"/>
  <c r="H17" i="13"/>
  <c r="M17" i="13"/>
  <c r="O17" i="13" s="1"/>
  <c r="O28" i="13"/>
  <c r="M32" i="13"/>
  <c r="H16" i="13"/>
  <c r="H15" i="13"/>
  <c r="H19" i="13"/>
  <c r="M19" i="13"/>
  <c r="H29" i="13"/>
  <c r="G16" i="13"/>
  <c r="G20" i="13" s="1"/>
  <c r="H32" i="13"/>
  <c r="M6" i="4"/>
  <c r="A6" i="4" s="1"/>
  <c r="M15" i="4" s="1"/>
  <c r="O30" i="13" l="1"/>
  <c r="N8" i="13"/>
  <c r="N18" i="13"/>
  <c r="N30" i="13"/>
  <c r="M33" i="13"/>
  <c r="M34" i="13" s="1"/>
  <c r="M20" i="13"/>
  <c r="M21" i="13" s="1"/>
  <c r="N15" i="13"/>
  <c r="O15" i="13"/>
  <c r="O16" i="13"/>
  <c r="E20" i="13"/>
  <c r="H31" i="13"/>
  <c r="F33" i="13"/>
  <c r="E33" i="13" s="1"/>
  <c r="O32" i="13"/>
  <c r="N32" i="13"/>
  <c r="H30" i="13"/>
  <c r="N17" i="13"/>
  <c r="G30" i="13"/>
  <c r="G33" i="13" s="1"/>
  <c r="O19" i="13"/>
  <c r="N19" i="13"/>
  <c r="H20" i="13"/>
  <c r="L33" i="13" l="1"/>
  <c r="O31" i="13"/>
  <c r="O33" i="13" s="1"/>
  <c r="N31" i="13"/>
  <c r="N33" i="13" s="1"/>
  <c r="F34" i="13"/>
  <c r="H33" i="13"/>
  <c r="N20" i="13"/>
  <c r="L20" i="13"/>
  <c r="O20" i="13"/>
  <c r="I9" i="5"/>
  <c r="M7" i="5" l="1"/>
  <c r="L7" i="4" l="1"/>
  <c r="F19" i="4" l="1"/>
  <c r="G19" i="4" s="1"/>
  <c r="F17" i="4"/>
  <c r="G17" i="4" s="1"/>
  <c r="F7" i="4"/>
  <c r="M18" i="4" s="1"/>
  <c r="N18" i="4" s="1"/>
  <c r="M17" i="4" l="1"/>
  <c r="M19" i="4"/>
  <c r="N19" i="4" s="1"/>
  <c r="F20" i="4"/>
  <c r="H17" i="4"/>
  <c r="H19" i="4"/>
  <c r="H15" i="4"/>
  <c r="O16" i="4"/>
  <c r="H14" i="4"/>
  <c r="H16" i="4"/>
  <c r="O17" i="4" l="1"/>
  <c r="N17" i="4"/>
  <c r="O19" i="4"/>
  <c r="O18" i="4"/>
  <c r="N31" i="5" l="1"/>
  <c r="G31" i="5"/>
  <c r="N30" i="5"/>
  <c r="G30" i="5"/>
  <c r="F21" i="5"/>
  <c r="G21" i="5" s="1"/>
  <c r="F20" i="5"/>
  <c r="G20" i="5" s="1"/>
  <c r="F19" i="5"/>
  <c r="G19" i="5" s="1"/>
  <c r="F18" i="5"/>
  <c r="G18" i="5" s="1"/>
  <c r="F17" i="5"/>
  <c r="L7" i="5"/>
  <c r="F33" i="5"/>
  <c r="L6" i="5"/>
  <c r="L8" i="5" l="1"/>
  <c r="F34" i="5"/>
  <c r="G34" i="5" s="1"/>
  <c r="A6" i="5"/>
  <c r="M17" i="5" s="1"/>
  <c r="F10" i="5"/>
  <c r="M21" i="5" s="1"/>
  <c r="N21" i="5" s="1"/>
  <c r="F32" i="5"/>
  <c r="N8" i="5"/>
  <c r="C8" i="5"/>
  <c r="F22" i="5"/>
  <c r="F23" i="5" s="1"/>
  <c r="G17" i="5"/>
  <c r="G22" i="5" s="1"/>
  <c r="H17" i="5"/>
  <c r="H19" i="5"/>
  <c r="H21" i="5"/>
  <c r="H30" i="5"/>
  <c r="H31" i="5"/>
  <c r="H18" i="5"/>
  <c r="H20" i="5"/>
  <c r="O30" i="5"/>
  <c r="O31" i="5"/>
  <c r="M20" i="5" l="1"/>
  <c r="M33" i="5"/>
  <c r="C10" i="5"/>
  <c r="M32" i="5"/>
  <c r="M34" i="5"/>
  <c r="M19" i="5"/>
  <c r="A7" i="5"/>
  <c r="M18" i="5" s="1"/>
  <c r="N18" i="5" s="1"/>
  <c r="G32" i="5"/>
  <c r="F35" i="5"/>
  <c r="F36" i="5" s="1"/>
  <c r="O17" i="5"/>
  <c r="H34" i="5"/>
  <c r="E22" i="5"/>
  <c r="H32" i="5"/>
  <c r="H22" i="5"/>
  <c r="O18" i="5" l="1"/>
  <c r="H33" i="5"/>
  <c r="H35" i="5" s="1"/>
  <c r="G33" i="5"/>
  <c r="G35" i="5" s="1"/>
  <c r="E35" i="5"/>
  <c r="N17" i="5"/>
  <c r="N19" i="5"/>
  <c r="O19" i="5"/>
  <c r="M22" i="5"/>
  <c r="N20" i="5"/>
  <c r="O20" i="5"/>
  <c r="O21" i="5"/>
  <c r="M35" i="5"/>
  <c r="N32" i="5"/>
  <c r="O32" i="5"/>
  <c r="N33" i="5"/>
  <c r="O33" i="5"/>
  <c r="N34" i="5"/>
  <c r="O34" i="5"/>
  <c r="O22" i="5" l="1"/>
  <c r="O35" i="5"/>
  <c r="N35" i="5"/>
  <c r="N22" i="5"/>
  <c r="M36" i="5"/>
  <c r="L35" i="5"/>
  <c r="M23" i="5"/>
  <c r="L22" i="5"/>
  <c r="N15" i="4" l="1"/>
  <c r="N14" i="4"/>
  <c r="N7" i="4"/>
  <c r="M20" i="4" l="1"/>
  <c r="G20" i="4"/>
  <c r="H18" i="4"/>
  <c r="H20" i="4" s="1"/>
  <c r="O14" i="4"/>
  <c r="O15" i="4"/>
  <c r="F21" i="4"/>
  <c r="N20" i="4" l="1"/>
  <c r="O20" i="4"/>
  <c r="M2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F6" authorId="0" shapeId="0" xr:uid="{00000000-0006-0000-0100-000001000000}">
      <text>
        <r>
          <rPr>
            <sz val="9"/>
            <color indexed="81"/>
            <rFont val="Segoe UI"/>
            <family val="2"/>
          </rPr>
          <t>Considera o efeito da venda num trimestre fiscal, para a formação da base  de cálculo do adicional de imposto de renda no lucro presumido.</t>
        </r>
      </text>
    </comment>
    <comment ref="M6" authorId="0" shapeId="0" xr:uid="{00000000-0006-0000-0100-000002000000}">
      <text>
        <r>
          <rPr>
            <sz val="9"/>
            <color indexed="81"/>
            <rFont val="Segoe UI"/>
            <family val="2"/>
          </rPr>
          <t>Soma estimada dos custos operacionais, sobre os quais calcula-se o crédito de PIS/COFINS.</t>
        </r>
      </text>
    </comment>
    <comment ref="F7" authorId="0" shapeId="0" xr:uid="{00000000-0006-0000-0100-000003000000}">
      <text>
        <r>
          <rPr>
            <sz val="9"/>
            <color indexed="81"/>
            <rFont val="Segoe UI"/>
            <family val="2"/>
          </rPr>
          <t>Informar o custo exclusivamente do imóvel, para definição do ganho do capital e seu efeito no cálculo dos impostos respectivos.</t>
        </r>
      </text>
    </comment>
    <comment ref="M7" authorId="0" shapeId="0" xr:uid="{00000000-0006-0000-0100-000004000000}">
      <text>
        <r>
          <rPr>
            <sz val="9"/>
            <color indexed="81"/>
            <rFont val="Segoe UI"/>
            <family val="2"/>
          </rPr>
          <t>Soma estimada dos custos operacionais, sobre os quais calcula-se o crédito de PIS/COFINS.</t>
        </r>
      </text>
    </comment>
    <comment ref="F9" authorId="0" shapeId="0" xr:uid="{00000000-0006-0000-0100-000005000000}">
      <text>
        <r>
          <rPr>
            <sz val="9"/>
            <color indexed="81"/>
            <rFont val="Segoe UI"/>
            <family val="2"/>
          </rPr>
          <t>Serve para alterar o resultado e assim influenciar o cálculo do IR e CSLL no regime do lucro real.</t>
        </r>
      </text>
    </comment>
    <comment ref="M17" authorId="0" shapeId="0" xr:uid="{00000000-0006-0000-0100-000006000000}">
      <text>
        <r>
          <rPr>
            <sz val="9"/>
            <color indexed="81"/>
            <rFont val="Segoe UI"/>
            <family val="2"/>
          </rPr>
          <t>Considera o valor a pagar, ou seja, já descontado o crédito de PIS gerado sobre os custos.</t>
        </r>
      </text>
    </comment>
    <comment ref="M18" authorId="0" shapeId="0" xr:uid="{00000000-0006-0000-0100-000007000000}">
      <text>
        <r>
          <rPr>
            <sz val="9"/>
            <color indexed="81"/>
            <rFont val="Segoe UI"/>
            <family val="2"/>
          </rPr>
          <t>Considera o valor a pagar, ou seja, já descontado o crédito da COFINS gerado sobre os custos.</t>
        </r>
      </text>
    </comment>
    <comment ref="F20" authorId="0" shapeId="0" xr:uid="{00000000-0006-0000-0100-000008000000}">
      <text>
        <r>
          <rPr>
            <sz val="9"/>
            <color indexed="81"/>
            <rFont val="Segoe UI"/>
            <family val="2"/>
          </rPr>
          <t>Considera uma base de cálculo mínima de R$ 60.000,00, relativa a apuração trimestral.</t>
        </r>
      </text>
    </comment>
    <comment ref="M20" authorId="0" shapeId="0" xr:uid="{00000000-0006-0000-0100-000009000000}">
      <text>
        <r>
          <rPr>
            <sz val="9"/>
            <color indexed="81"/>
            <rFont val="Segoe UI"/>
            <family val="2"/>
          </rPr>
          <t>Considera uma base de cálculo mínima de R$ 240.000,00, relativa a apuração anual.</t>
        </r>
      </text>
    </comment>
    <comment ref="F33" authorId="0" shapeId="0" xr:uid="{00000000-0006-0000-0100-00000A000000}">
      <text>
        <r>
          <rPr>
            <sz val="9"/>
            <color indexed="81"/>
            <rFont val="Segoe UI"/>
            <family val="2"/>
          </rPr>
          <t>Considera uma base de cálculo mínima de R$ 60.000,00, relativa a
apuração trimestral.</t>
        </r>
      </text>
    </comment>
    <comment ref="M33" authorId="0" shapeId="0" xr:uid="{00000000-0006-0000-0100-00000B000000}">
      <text>
        <r>
          <rPr>
            <sz val="9"/>
            <color indexed="81"/>
            <rFont val="Segoe UI"/>
            <family val="2"/>
          </rPr>
          <t>Considera uma base de cálculo mínima de R$ 240.000,00, relativa a apuração anual.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M6" authorId="0" shapeId="0" xr:uid="{00000000-0006-0000-0200-000001000000}">
      <text>
        <r>
          <rPr>
            <sz val="9"/>
            <color indexed="81"/>
            <rFont val="Segoe UI"/>
            <family val="2"/>
          </rPr>
          <t>Soma estimada dos custos operacionais, sobre os quais calcula-se o crédito de PIS/COFINS.</t>
        </r>
      </text>
    </comment>
    <comment ref="F7" authorId="0" shapeId="0" xr:uid="{00000000-0006-0000-0200-000002000000}">
      <text>
        <r>
          <rPr>
            <sz val="9"/>
            <color indexed="81"/>
            <rFont val="Segoe UI"/>
            <family val="2"/>
          </rPr>
          <t>Serve para alterar o resultado e assim influenciar o cálculo do IR e CSLL no regime do lucro real.</t>
        </r>
      </text>
    </comment>
    <comment ref="M7" authorId="0" shapeId="0" xr:uid="{00000000-0006-0000-0200-000003000000}">
      <text>
        <r>
          <rPr>
            <sz val="9"/>
            <color indexed="81"/>
            <rFont val="Segoe UI"/>
            <family val="2"/>
          </rPr>
          <t>Soma estimada dos custos operacionais, sobre os quais calcula-se o crédito de PIS/COFINS.</t>
        </r>
      </text>
    </comment>
    <comment ref="M15" authorId="0" shapeId="0" xr:uid="{00000000-0006-0000-0200-000004000000}">
      <text>
        <r>
          <rPr>
            <sz val="9"/>
            <color indexed="81"/>
            <rFont val="Segoe UI"/>
            <family val="2"/>
          </rPr>
          <t>Considera o valor a pagar, ou seja, já descontado o crédito de PIS gerado sobre os custos.</t>
        </r>
      </text>
    </comment>
    <comment ref="M16" authorId="0" shapeId="0" xr:uid="{00000000-0006-0000-0200-000005000000}">
      <text>
        <r>
          <rPr>
            <sz val="9"/>
            <color indexed="81"/>
            <rFont val="Segoe UI"/>
            <family val="2"/>
          </rPr>
          <t>Considera o valor a pagar, ou seja, já descontado o crédito da COFINS gerado sobre os custos.</t>
        </r>
      </text>
    </comment>
    <comment ref="F18" authorId="0" shapeId="0" xr:uid="{00000000-0006-0000-0200-000006000000}">
      <text>
        <r>
          <rPr>
            <sz val="9"/>
            <color indexed="81"/>
            <rFont val="Segoe UI"/>
            <family val="2"/>
          </rPr>
          <t>Considera uma base de cálculo mínima de R$ 20.000,00, relativa ao mês da locação.</t>
        </r>
      </text>
    </comment>
    <comment ref="M18" authorId="0" shapeId="0" xr:uid="{00000000-0006-0000-0200-000007000000}">
      <text>
        <r>
          <rPr>
            <sz val="9"/>
            <color indexed="81"/>
            <rFont val="Segoe UI"/>
            <family val="2"/>
          </rPr>
          <t>Considera uma base de cálculo mínima de R$ 20.000,00, relativa ao mês da locação.</t>
        </r>
      </text>
    </comment>
    <comment ref="F31" authorId="0" shapeId="0" xr:uid="{00000000-0006-0000-0200-000008000000}">
      <text>
        <r>
          <rPr>
            <sz val="9"/>
            <color indexed="81"/>
            <rFont val="Segoe UI"/>
            <family val="2"/>
          </rPr>
          <t>Considera uma base de cálculo mínima de R$ 20.000,00, relativa ao mês da locação.</t>
        </r>
      </text>
    </comment>
    <comment ref="M31" authorId="0" shapeId="0" xr:uid="{00000000-0006-0000-0200-000009000000}">
      <text>
        <r>
          <rPr>
            <sz val="9"/>
            <color indexed="81"/>
            <rFont val="Segoe UI"/>
            <family val="2"/>
          </rPr>
          <t>Considera uma base de cálculo mínima de R$ 20.000,00, relativa ao mês da locação.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M5" authorId="0" shapeId="0" xr:uid="{00000000-0006-0000-0300-000001000000}">
      <text>
        <r>
          <rPr>
            <sz val="9"/>
            <color indexed="81"/>
            <rFont val="Segoe UI"/>
            <family val="2"/>
          </rPr>
          <t>Soma estimada dos custos operacionais, sobre os quais calcula-se o crédito de PIS/COFINS.</t>
        </r>
      </text>
    </comment>
    <comment ref="F6" authorId="0" shapeId="0" xr:uid="{00000000-0006-0000-0300-000002000000}">
      <text>
        <r>
          <rPr>
            <sz val="9"/>
            <color indexed="81"/>
            <rFont val="Segoe UI"/>
            <family val="2"/>
          </rPr>
          <t>Serve para alterar o resultado e assim influenciar o cálculo do IR e CSLL no regime do lucro real.</t>
        </r>
      </text>
    </comment>
    <comment ref="M6" authorId="0" shapeId="0" xr:uid="{00000000-0006-0000-0300-000003000000}">
      <text>
        <r>
          <rPr>
            <sz val="9"/>
            <color indexed="81"/>
            <rFont val="Segoe UI"/>
            <family val="2"/>
          </rPr>
          <t>Soma estimada dos custos operacionais, sobre os quais calcula-se o crédito de PIS/COFINS.</t>
        </r>
      </text>
    </comment>
    <comment ref="M14" authorId="0" shapeId="0" xr:uid="{00000000-0006-0000-0300-000004000000}">
      <text>
        <r>
          <rPr>
            <sz val="9"/>
            <color indexed="81"/>
            <rFont val="Segoe UI"/>
            <family val="2"/>
          </rPr>
          <t>Considera o valor a pagar, ou seja, já descontado o crédito de PIS gerado sobre os custos.</t>
        </r>
      </text>
    </comment>
    <comment ref="M15" authorId="0" shapeId="0" xr:uid="{00000000-0006-0000-0300-000005000000}">
      <text>
        <r>
          <rPr>
            <sz val="9"/>
            <color indexed="81"/>
            <rFont val="Segoe UI"/>
            <family val="2"/>
          </rPr>
          <t>Considera o valor a pagar, ou seja, já descontado o crédito da COFINS gerado sobre os custos.</t>
        </r>
      </text>
    </comment>
    <comment ref="F18" authorId="0" shapeId="0" xr:uid="{00000000-0006-0000-0300-000006000000}">
      <text>
        <r>
          <rPr>
            <sz val="9"/>
            <color indexed="81"/>
            <rFont val="Tahoma"/>
            <family val="2"/>
          </rPr>
          <t>Considera uma base de cálculo mínima de R$ 20.000,00, relativa ao mês da locação.</t>
        </r>
      </text>
    </comment>
    <comment ref="M18" authorId="0" shapeId="0" xr:uid="{00000000-0006-0000-0300-000007000000}">
      <text>
        <r>
          <rPr>
            <sz val="9"/>
            <color indexed="81"/>
            <rFont val="Segoe UI"/>
            <family val="2"/>
          </rPr>
          <t>Considera uma base de cálculo mínima de R$ 20.000,00, relativa ao mês da locação.</t>
        </r>
      </text>
    </comment>
  </commentList>
</comments>
</file>

<file path=xl/sharedStrings.xml><?xml version="1.0" encoding="utf-8"?>
<sst xmlns="http://schemas.openxmlformats.org/spreadsheetml/2006/main" count="224" uniqueCount="54">
  <si>
    <t>Descrição do Estudo</t>
  </si>
  <si>
    <t>Descrição</t>
  </si>
  <si>
    <t>Valor</t>
  </si>
  <si>
    <t>Crédito PIS</t>
  </si>
  <si>
    <t>Ganho</t>
  </si>
  <si>
    <t>Crédito COFINS</t>
  </si>
  <si>
    <t>Resultado ................................</t>
  </si>
  <si>
    <t>Adional de IR no L.P.</t>
  </si>
  <si>
    <t>LUCRO PRESUMIDO</t>
  </si>
  <si>
    <t>LUCRO REAL</t>
  </si>
  <si>
    <t>Imposto</t>
  </si>
  <si>
    <t>Base</t>
  </si>
  <si>
    <t>Incid.</t>
  </si>
  <si>
    <t>Vlr Imposto</t>
  </si>
  <si>
    <t>S/Ganho</t>
  </si>
  <si>
    <t>PIS</t>
  </si>
  <si>
    <t>Vlr. Bruto</t>
  </si>
  <si>
    <t>Isento</t>
  </si>
  <si>
    <t>COFINS</t>
  </si>
  <si>
    <t>IR</t>
  </si>
  <si>
    <t>ganho</t>
  </si>
  <si>
    <t>Ad. IR</t>
  </si>
  <si>
    <t>CSLL</t>
  </si>
  <si>
    <t>TOTAL</t>
  </si>
  <si>
    <t>Faturamento ( - ) Impostos =</t>
  </si>
  <si>
    <t>S/Venda</t>
  </si>
  <si>
    <t>ISS</t>
  </si>
  <si>
    <t>Vlr. Venda</t>
  </si>
  <si>
    <t>SERVIÇOS</t>
  </si>
  <si>
    <t>Crédito de PIS</t>
  </si>
  <si>
    <t>Crédito de COFINS</t>
  </si>
  <si>
    <t>Total do Aproveitamento</t>
  </si>
  <si>
    <t>IMÓVEL NO ATIVO NÃO CIRCULANTE =&gt; GANHO DE CAPITAL</t>
  </si>
  <si>
    <t>LOCAÇÃO DE IMÓVEIS</t>
  </si>
  <si>
    <t>VENDA DE IMÓVEIS</t>
  </si>
  <si>
    <t>S/Serv.</t>
  </si>
  <si>
    <t>S/Res.</t>
  </si>
  <si>
    <t>Valor de Venda</t>
  </si>
  <si>
    <t xml:space="preserve">  CÁLCULO DE IMPOSTOS PARA EMPRESAS</t>
  </si>
  <si>
    <t>Lucro</t>
  </si>
  <si>
    <t>Descrição da Venda</t>
  </si>
  <si>
    <t>Valor Mensal da Locação</t>
  </si>
  <si>
    <t>Descrição da Locação</t>
  </si>
  <si>
    <t>Vlr. Locação</t>
  </si>
  <si>
    <t>Alíq.</t>
  </si>
  <si>
    <t>EMPRESA DE ATIVIDADE NÃO IMOBILIÁRIA (ATIVO NÃO CIRCULANTE / GANHO DE CAPITAL)</t>
  </si>
  <si>
    <t>(-) Custo do Imóvel</t>
  </si>
  <si>
    <t>(-) Prejuízos no Exercício</t>
  </si>
  <si>
    <t>IMÓVEL NO ESTOQUE / ATIVO CIRCULANTE (ATIVIDADE IMOBILIÁRIA)</t>
  </si>
  <si>
    <t>EMPRESA DE ATIVIDADE IMOBILIÁRIA (seja com o imóvel no 'ativo circulante' ou no 'ativo não circulante')</t>
  </si>
  <si>
    <t>(-) Prejuízos no exercício</t>
  </si>
  <si>
    <t>UTILIZAÇÃO DE CRÉDITOS DE PIS/COFINS NO LUCRO REAL</t>
  </si>
  <si>
    <t>Serviços Prestados num Mês</t>
  </si>
  <si>
    <t>SERVIÇOS PRESTADOS (TAXA DE ADMINISTRAÇÃO DE OBRA E SERVIÇOS EQUIVALENTES)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</si>
</sst>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5" formatCode="_(&quot;R$ &quot;* #,##0.00_);_(&quot;R$ &quot;* \(#,##0.00\);_(&quot;R$ &quot;* &quot;-&quot;??_);_(@_)"/>
    <numFmt numFmtId="166" formatCode="_(* #,##0.00_);_(* \(#,##0.00\);_(* &quot;-&quot;??_);_(@_)"/>
    <numFmt numFmtId="168" formatCode="0.0000%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i/>
      <sz val="8"/>
      <color theme="1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u/>
      <sz val="10"/>
      <color theme="1"/>
      <name val="Arial"/>
      <family val="2"/>
    </font>
    <font>
      <b/>
      <u/>
      <sz val="10"/>
      <color theme="0" tint="-0.499984740745262"/>
      <name val="Arial"/>
      <family val="2"/>
    </font>
    <font>
      <b/>
      <u/>
      <sz val="8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8"/>
      <color theme="0" tint="-0.499984740745262"/>
      <name val="Arial"/>
      <family val="2"/>
    </font>
    <font>
      <sz val="9"/>
      <color theme="3" tint="-0.249977111117893"/>
      <name val="Arial"/>
      <family val="2"/>
    </font>
    <font>
      <u val="singleAccounting"/>
      <sz val="10"/>
      <color theme="1"/>
      <name val="Arial"/>
      <family val="2"/>
    </font>
    <font>
      <u val="singleAccounting"/>
      <sz val="9"/>
      <color theme="3" tint="-0.249977111117893"/>
      <name val="Arial"/>
      <family val="2"/>
    </font>
    <font>
      <u/>
      <sz val="9"/>
      <color theme="3" tint="-0.249977111117893"/>
      <name val="Arial"/>
      <family val="2"/>
    </font>
    <font>
      <b/>
      <sz val="9"/>
      <color theme="3" tint="-0.249977111117893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u/>
      <sz val="9"/>
      <color theme="0" tint="-0.499984740745262"/>
      <name val="Arial"/>
      <family val="2"/>
    </font>
    <font>
      <sz val="9"/>
      <color indexed="81"/>
      <name val="Tahoma"/>
      <family val="2"/>
    </font>
    <font>
      <sz val="9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11"/>
      <name val="Calibri"/>
      <family val="2"/>
      <scheme val="minor"/>
    </font>
    <font>
      <sz val="9"/>
      <color indexed="81"/>
      <name val="Segoe UI"/>
      <family val="2"/>
    </font>
    <font>
      <sz val="8"/>
      <color rgb="FFFF0000"/>
      <name val="Arial"/>
      <family val="2"/>
    </font>
    <font>
      <sz val="9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0" fillId="0" borderId="0"/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</cellStyleXfs>
  <cellXfs count="177">
    <xf numFmtId="0" fontId="0" fillId="0" borderId="0" xfId="0"/>
    <xf numFmtId="0" fontId="2" fillId="0" borderId="0" xfId="3" applyAlignment="1">
      <alignment vertical="center"/>
    </xf>
    <xf numFmtId="0" fontId="4" fillId="0" borderId="0" xfId="3" applyFont="1" applyAlignment="1">
      <alignment vertical="center"/>
    </xf>
    <xf numFmtId="0" fontId="5" fillId="0" borderId="0" xfId="3" applyFont="1" applyAlignment="1">
      <alignment vertical="center"/>
    </xf>
    <xf numFmtId="165" fontId="5" fillId="0" borderId="0" xfId="4" applyFont="1" applyAlignment="1">
      <alignment vertical="center"/>
    </xf>
    <xf numFmtId="165" fontId="0" fillId="0" borderId="0" xfId="4" applyFont="1" applyAlignment="1">
      <alignment vertical="center"/>
    </xf>
    <xf numFmtId="0" fontId="3" fillId="0" borderId="4" xfId="3" applyFont="1" applyBorder="1" applyAlignment="1">
      <alignment horizontal="center" vertical="center"/>
    </xf>
    <xf numFmtId="165" fontId="3" fillId="0" borderId="4" xfId="4" applyFont="1" applyBorder="1" applyAlignment="1">
      <alignment vertical="center"/>
    </xf>
    <xf numFmtId="0" fontId="8" fillId="0" borderId="0" xfId="3" applyFont="1" applyAlignment="1">
      <alignment vertical="center"/>
    </xf>
    <xf numFmtId="0" fontId="4" fillId="0" borderId="0" xfId="3" applyFont="1"/>
    <xf numFmtId="165" fontId="0" fillId="0" borderId="0" xfId="4" applyFont="1"/>
    <xf numFmtId="165" fontId="5" fillId="0" borderId="0" xfId="4" applyFont="1"/>
    <xf numFmtId="0" fontId="2" fillId="0" borderId="0" xfId="3"/>
    <xf numFmtId="0" fontId="3" fillId="0" borderId="0" xfId="3" applyFont="1"/>
    <xf numFmtId="0" fontId="3" fillId="0" borderId="0" xfId="3" applyFont="1" applyAlignment="1"/>
    <xf numFmtId="0" fontId="3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12" fillId="0" borderId="0" xfId="3" applyFont="1"/>
    <xf numFmtId="0" fontId="13" fillId="0" borderId="0" xfId="3" applyFont="1" applyAlignment="1">
      <alignment horizontal="center"/>
    </xf>
    <xf numFmtId="0" fontId="14" fillId="0" borderId="0" xfId="3" applyFont="1" applyAlignment="1">
      <alignment horizontal="right"/>
    </xf>
    <xf numFmtId="165" fontId="12" fillId="0" borderId="0" xfId="4" applyFont="1" applyAlignment="1">
      <alignment horizontal="right"/>
    </xf>
    <xf numFmtId="9" fontId="16" fillId="0" borderId="0" xfId="5" applyFont="1" applyAlignment="1">
      <alignment horizontal="center"/>
    </xf>
    <xf numFmtId="10" fontId="16" fillId="0" borderId="0" xfId="5" applyNumberFormat="1" applyFont="1"/>
    <xf numFmtId="165" fontId="0" fillId="0" borderId="0" xfId="4" quotePrefix="1" applyFont="1"/>
    <xf numFmtId="10" fontId="16" fillId="0" borderId="0" xfId="5" quotePrefix="1" applyNumberFormat="1" applyFont="1"/>
    <xf numFmtId="0" fontId="2" fillId="0" borderId="0" xfId="3" applyFont="1"/>
    <xf numFmtId="0" fontId="3" fillId="3" borderId="0" xfId="3" applyFont="1" applyFill="1"/>
    <xf numFmtId="0" fontId="2" fillId="3" borderId="0" xfId="3" applyFill="1"/>
    <xf numFmtId="10" fontId="7" fillId="3" borderId="0" xfId="5" applyNumberFormat="1" applyFont="1" applyFill="1"/>
    <xf numFmtId="165" fontId="3" fillId="3" borderId="0" xfId="4" applyFont="1" applyFill="1"/>
    <xf numFmtId="0" fontId="2" fillId="0" borderId="7" xfId="3" applyBorder="1"/>
    <xf numFmtId="0" fontId="2" fillId="0" borderId="8" xfId="3" applyBorder="1"/>
    <xf numFmtId="0" fontId="4" fillId="0" borderId="8" xfId="3" applyFont="1" applyBorder="1"/>
    <xf numFmtId="165" fontId="0" fillId="0" borderId="8" xfId="4" applyFont="1" applyBorder="1"/>
    <xf numFmtId="165" fontId="5" fillId="0" borderId="8" xfId="4" applyFont="1" applyBorder="1"/>
    <xf numFmtId="165" fontId="5" fillId="0" borderId="9" xfId="4" applyFont="1" applyBorder="1"/>
    <xf numFmtId="165" fontId="2" fillId="0" borderId="8" xfId="3" applyNumberFormat="1" applyBorder="1"/>
    <xf numFmtId="43" fontId="2" fillId="0" borderId="0" xfId="3" applyNumberFormat="1"/>
    <xf numFmtId="0" fontId="5" fillId="0" borderId="0" xfId="3" applyFont="1" applyAlignment="1">
      <alignment horizontal="center"/>
    </xf>
    <xf numFmtId="165" fontId="5" fillId="0" borderId="0" xfId="4" applyFont="1" applyAlignment="1">
      <alignment horizontal="center"/>
    </xf>
    <xf numFmtId="165" fontId="15" fillId="0" borderId="0" xfId="4" applyFont="1" applyAlignment="1">
      <alignment horizontal="center"/>
    </xf>
    <xf numFmtId="10" fontId="17" fillId="0" borderId="0" xfId="5" applyNumberFormat="1" applyFont="1" applyAlignment="1">
      <alignment horizontal="center"/>
    </xf>
    <xf numFmtId="165" fontId="2" fillId="0" borderId="0" xfId="4" applyFont="1"/>
    <xf numFmtId="10" fontId="21" fillId="3" borderId="0" xfId="3" applyNumberFormat="1" applyFont="1" applyFill="1" applyAlignment="1">
      <alignment horizontal="center"/>
    </xf>
    <xf numFmtId="9" fontId="5" fillId="0" borderId="8" xfId="5" applyFont="1" applyBorder="1" applyAlignment="1">
      <alignment horizontal="center"/>
    </xf>
    <xf numFmtId="165" fontId="5" fillId="0" borderId="9" xfId="4" applyFont="1" applyBorder="1" applyAlignment="1">
      <alignment horizontal="center"/>
    </xf>
    <xf numFmtId="0" fontId="11" fillId="0" borderId="0" xfId="3" applyFont="1" applyAlignment="1">
      <alignment vertical="center"/>
    </xf>
    <xf numFmtId="0" fontId="3" fillId="0" borderId="0" xfId="3" applyFont="1" applyAlignment="1">
      <alignment vertical="center"/>
    </xf>
    <xf numFmtId="0" fontId="3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12" fillId="0" borderId="0" xfId="3" applyFont="1" applyAlignment="1">
      <alignment vertical="center"/>
    </xf>
    <xf numFmtId="0" fontId="24" fillId="0" borderId="0" xfId="3" applyFont="1" applyAlignment="1">
      <alignment horizontal="center" vertical="center"/>
    </xf>
    <xf numFmtId="0" fontId="14" fillId="0" borderId="0" xfId="3" applyFont="1" applyAlignment="1">
      <alignment horizontal="right" vertical="center"/>
    </xf>
    <xf numFmtId="165" fontId="12" fillId="0" borderId="0" xfId="4" applyFont="1" applyAlignment="1">
      <alignment horizontal="center" vertical="center"/>
    </xf>
    <xf numFmtId="165" fontId="15" fillId="0" borderId="0" xfId="4" applyFont="1" applyAlignment="1">
      <alignment horizontal="right" vertical="center"/>
    </xf>
    <xf numFmtId="9" fontId="16" fillId="0" borderId="0" xfId="5" applyFont="1" applyAlignment="1">
      <alignment horizontal="center" vertical="center"/>
    </xf>
    <xf numFmtId="10" fontId="16" fillId="0" borderId="0" xfId="5" applyNumberFormat="1" applyFont="1" applyAlignment="1">
      <alignment vertical="center"/>
    </xf>
    <xf numFmtId="10" fontId="17" fillId="0" borderId="0" xfId="5" applyNumberFormat="1" applyFont="1" applyAlignment="1">
      <alignment vertical="center"/>
    </xf>
    <xf numFmtId="165" fontId="0" fillId="0" borderId="0" xfId="4" quotePrefix="1" applyFont="1" applyAlignment="1">
      <alignment vertical="center"/>
    </xf>
    <xf numFmtId="10" fontId="16" fillId="0" borderId="0" xfId="5" quotePrefix="1" applyNumberFormat="1" applyFont="1" applyAlignment="1">
      <alignment vertical="center"/>
    </xf>
    <xf numFmtId="165" fontId="2" fillId="0" borderId="0" xfId="4" applyFont="1" applyAlignment="1">
      <alignment vertical="center"/>
    </xf>
    <xf numFmtId="165" fontId="18" fillId="0" borderId="0" xfId="4" applyFont="1" applyAlignment="1">
      <alignment vertical="center"/>
    </xf>
    <xf numFmtId="10" fontId="19" fillId="0" borderId="0" xfId="5" applyNumberFormat="1" applyFont="1" applyAlignment="1">
      <alignment vertical="center"/>
    </xf>
    <xf numFmtId="10" fontId="20" fillId="0" borderId="0" xfId="5" applyNumberFormat="1" applyFont="1" applyAlignment="1">
      <alignment vertical="center"/>
    </xf>
    <xf numFmtId="0" fontId="3" fillId="4" borderId="0" xfId="3" applyFont="1" applyFill="1" applyAlignment="1">
      <alignment vertical="center"/>
    </xf>
    <xf numFmtId="0" fontId="2" fillId="4" borderId="0" xfId="3" applyFill="1" applyAlignment="1">
      <alignment vertical="center"/>
    </xf>
    <xf numFmtId="10" fontId="7" fillId="4" borderId="0" xfId="5" applyNumberFormat="1" applyFont="1" applyFill="1" applyAlignment="1">
      <alignment vertical="center"/>
    </xf>
    <xf numFmtId="165" fontId="3" fillId="4" borderId="0" xfId="4" applyFont="1" applyFill="1" applyAlignment="1">
      <alignment vertical="center"/>
    </xf>
    <xf numFmtId="168" fontId="21" fillId="4" borderId="0" xfId="3" applyNumberFormat="1" applyFont="1" applyFill="1" applyAlignment="1">
      <alignment vertical="center"/>
    </xf>
    <xf numFmtId="10" fontId="21" fillId="4" borderId="0" xfId="3" applyNumberFormat="1" applyFont="1" applyFill="1" applyAlignment="1">
      <alignment vertical="center"/>
    </xf>
    <xf numFmtId="0" fontId="2" fillId="0" borderId="7" xfId="3" applyBorder="1" applyAlignment="1">
      <alignment vertical="center"/>
    </xf>
    <xf numFmtId="0" fontId="2" fillId="0" borderId="8" xfId="3" applyBorder="1" applyAlignment="1">
      <alignment vertical="center"/>
    </xf>
    <xf numFmtId="0" fontId="4" fillId="0" borderId="8" xfId="3" applyFont="1" applyBorder="1" applyAlignment="1">
      <alignment vertical="center"/>
    </xf>
    <xf numFmtId="165" fontId="0" fillId="0" borderId="8" xfId="4" applyFont="1" applyBorder="1" applyAlignment="1">
      <alignment vertical="center"/>
    </xf>
    <xf numFmtId="165" fontId="5" fillId="0" borderId="8" xfId="4" applyFont="1" applyBorder="1" applyAlignment="1">
      <alignment vertical="center"/>
    </xf>
    <xf numFmtId="165" fontId="5" fillId="0" borderId="9" xfId="4" applyFont="1" applyBorder="1" applyAlignment="1">
      <alignment vertical="center"/>
    </xf>
    <xf numFmtId="0" fontId="5" fillId="0" borderId="8" xfId="3" applyFont="1" applyBorder="1" applyAlignment="1">
      <alignment vertical="center"/>
    </xf>
    <xf numFmtId="0" fontId="2" fillId="0" borderId="0" xfId="3" applyFill="1" applyAlignment="1">
      <alignment vertical="center"/>
    </xf>
    <xf numFmtId="0" fontId="3" fillId="0" borderId="0" xfId="3" applyFont="1" applyFill="1" applyAlignment="1">
      <alignment vertical="center"/>
    </xf>
    <xf numFmtId="10" fontId="7" fillId="0" borderId="0" xfId="5" applyNumberFormat="1" applyFont="1" applyFill="1" applyAlignment="1">
      <alignment vertical="center"/>
    </xf>
    <xf numFmtId="165" fontId="3" fillId="0" borderId="0" xfId="4" applyFont="1" applyFill="1" applyAlignment="1">
      <alignment vertical="center"/>
    </xf>
    <xf numFmtId="166" fontId="21" fillId="0" borderId="0" xfId="6" applyFont="1" applyFill="1" applyAlignment="1">
      <alignment vertical="center"/>
    </xf>
    <xf numFmtId="10" fontId="21" fillId="0" borderId="0" xfId="3" applyNumberFormat="1" applyFont="1" applyFill="1" applyAlignment="1">
      <alignment vertical="center"/>
    </xf>
    <xf numFmtId="10" fontId="4" fillId="0" borderId="4" xfId="6" applyNumberFormat="1" applyFont="1" applyBorder="1" applyAlignment="1">
      <alignment horizontal="center" vertical="center"/>
    </xf>
    <xf numFmtId="10" fontId="4" fillId="0" borderId="4" xfId="3" applyNumberFormat="1" applyFont="1" applyBorder="1" applyAlignment="1">
      <alignment horizontal="center" vertical="center"/>
    </xf>
    <xf numFmtId="10" fontId="7" fillId="0" borderId="4" xfId="3" applyNumberFormat="1" applyFont="1" applyBorder="1" applyAlignment="1">
      <alignment horizontal="center" vertical="center"/>
    </xf>
    <xf numFmtId="10" fontId="6" fillId="0" borderId="4" xfId="3" applyNumberFormat="1" applyFont="1" applyBorder="1" applyAlignment="1">
      <alignment horizontal="center" vertical="center"/>
    </xf>
    <xf numFmtId="43" fontId="2" fillId="0" borderId="0" xfId="3" applyNumberFormat="1" applyAlignment="1">
      <alignment vertical="center"/>
    </xf>
    <xf numFmtId="43" fontId="7" fillId="0" borderId="4" xfId="1" applyFont="1" applyBorder="1" applyAlignment="1">
      <alignment vertical="center"/>
    </xf>
    <xf numFmtId="0" fontId="10" fillId="0" borderId="0" xfId="3" applyFont="1"/>
    <xf numFmtId="0" fontId="10" fillId="0" borderId="0" xfId="3" applyFont="1" applyAlignment="1">
      <alignment vertical="center"/>
    </xf>
    <xf numFmtId="10" fontId="2" fillId="0" borderId="0" xfId="3" applyNumberFormat="1"/>
    <xf numFmtId="43" fontId="2" fillId="0" borderId="0" xfId="1" applyFont="1"/>
    <xf numFmtId="0" fontId="28" fillId="0" borderId="0" xfId="3" applyFont="1" applyAlignment="1">
      <alignment vertical="center"/>
    </xf>
    <xf numFmtId="43" fontId="32" fillId="0" borderId="0" xfId="1" applyFont="1" applyAlignment="1">
      <alignment vertical="center"/>
    </xf>
    <xf numFmtId="0" fontId="28" fillId="0" borderId="0" xfId="3" applyFont="1" applyFill="1" applyAlignment="1">
      <alignment vertical="center"/>
    </xf>
    <xf numFmtId="165" fontId="26" fillId="0" borderId="5" xfId="4" applyFont="1" applyBorder="1" applyAlignment="1">
      <alignment vertical="center"/>
    </xf>
    <xf numFmtId="165" fontId="33" fillId="0" borderId="0" xfId="4" applyFont="1" applyBorder="1" applyAlignment="1">
      <alignment vertical="center"/>
    </xf>
    <xf numFmtId="165" fontId="0" fillId="8" borderId="4" xfId="4" applyFont="1" applyFill="1" applyBorder="1" applyAlignment="1">
      <alignment vertical="center"/>
    </xf>
    <xf numFmtId="165" fontId="2" fillId="8" borderId="4" xfId="4" applyFont="1" applyFill="1" applyBorder="1" applyAlignment="1">
      <alignment vertical="center"/>
    </xf>
    <xf numFmtId="165" fontId="2" fillId="0" borderId="4" xfId="4" applyFont="1" applyBorder="1" applyAlignment="1">
      <alignment vertical="center"/>
    </xf>
    <xf numFmtId="165" fontId="34" fillId="8" borderId="4" xfId="4" applyFont="1" applyFill="1" applyBorder="1" applyAlignment="1">
      <alignment vertical="center"/>
    </xf>
    <xf numFmtId="165" fontId="3" fillId="8" borderId="4" xfId="4" applyFont="1" applyFill="1" applyBorder="1" applyAlignment="1">
      <alignment vertical="center"/>
    </xf>
    <xf numFmtId="9" fontId="16" fillId="0" borderId="0" xfId="5" applyFont="1" applyAlignment="1">
      <alignment horizontal="center" vertical="center" shrinkToFit="1"/>
    </xf>
    <xf numFmtId="165" fontId="26" fillId="0" borderId="0" xfId="4" applyFont="1" applyBorder="1" applyAlignment="1">
      <alignment vertical="center"/>
    </xf>
    <xf numFmtId="10" fontId="5" fillId="0" borderId="4" xfId="3" applyNumberFormat="1" applyFont="1" applyBorder="1" applyAlignment="1">
      <alignment horizontal="center" vertical="center"/>
    </xf>
    <xf numFmtId="0" fontId="2" fillId="0" borderId="0" xfId="3" applyBorder="1" applyAlignment="1">
      <alignment vertical="center"/>
    </xf>
    <xf numFmtId="0" fontId="4" fillId="0" borderId="0" xfId="3" applyFont="1" applyBorder="1" applyAlignment="1">
      <alignment vertical="center"/>
    </xf>
    <xf numFmtId="0" fontId="5" fillId="0" borderId="0" xfId="3" applyFont="1" applyBorder="1" applyAlignment="1">
      <alignment vertical="center"/>
    </xf>
    <xf numFmtId="165" fontId="5" fillId="0" borderId="0" xfId="4" applyFont="1" applyBorder="1" applyAlignment="1">
      <alignment vertical="center"/>
    </xf>
    <xf numFmtId="0" fontId="11" fillId="0" borderId="0" xfId="3" applyFont="1" applyBorder="1" applyAlignment="1">
      <alignment vertical="center"/>
    </xf>
    <xf numFmtId="0" fontId="2" fillId="0" borderId="0" xfId="3" applyFill="1" applyBorder="1" applyAlignment="1">
      <alignment vertical="center"/>
    </xf>
    <xf numFmtId="10" fontId="5" fillId="0" borderId="6" xfId="6" applyNumberFormat="1" applyFont="1" applyBorder="1" applyAlignment="1">
      <alignment horizontal="center" vertical="center"/>
    </xf>
    <xf numFmtId="43" fontId="10" fillId="0" borderId="0" xfId="1" applyFont="1" applyAlignment="1">
      <alignment vertical="center"/>
    </xf>
    <xf numFmtId="9" fontId="7" fillId="8" borderId="4" xfId="2" applyFont="1" applyFill="1" applyBorder="1" applyAlignment="1">
      <alignment horizontal="center" vertical="center"/>
    </xf>
    <xf numFmtId="9" fontId="7" fillId="0" borderId="4" xfId="2" applyFont="1" applyBorder="1" applyAlignment="1">
      <alignment horizontal="center" vertical="center"/>
    </xf>
    <xf numFmtId="43" fontId="36" fillId="9" borderId="0" xfId="1" applyFont="1" applyFill="1" applyAlignment="1">
      <alignment horizontal="left" vertical="center"/>
    </xf>
    <xf numFmtId="43" fontId="30" fillId="9" borderId="0" xfId="1" applyFont="1" applyFill="1" applyAlignment="1">
      <alignment horizontal="left"/>
    </xf>
    <xf numFmtId="0" fontId="2" fillId="0" borderId="1" xfId="3" applyFont="1" applyBorder="1" applyAlignment="1">
      <alignment horizontal="left" vertical="center"/>
    </xf>
    <xf numFmtId="0" fontId="2" fillId="0" borderId="2" xfId="3" applyFont="1" applyBorder="1" applyAlignment="1">
      <alignment horizontal="left" vertical="center"/>
    </xf>
    <xf numFmtId="0" fontId="2" fillId="0" borderId="3" xfId="3" applyFont="1" applyBorder="1" applyAlignment="1">
      <alignment horizontal="left" vertical="center"/>
    </xf>
    <xf numFmtId="0" fontId="7" fillId="0" borderId="1" xfId="3" applyFont="1" applyBorder="1" applyAlignment="1">
      <alignment horizontal="center" vertical="center"/>
    </xf>
    <xf numFmtId="0" fontId="7" fillId="0" borderId="2" xfId="3" applyFont="1" applyBorder="1" applyAlignment="1">
      <alignment horizontal="center" vertical="center"/>
    </xf>
    <xf numFmtId="0" fontId="7" fillId="0" borderId="3" xfId="3" applyFont="1" applyBorder="1" applyAlignment="1">
      <alignment horizontal="center" vertical="center"/>
    </xf>
    <xf numFmtId="166" fontId="7" fillId="0" borderId="4" xfId="3" applyNumberFormat="1" applyFont="1" applyBorder="1" applyAlignment="1">
      <alignment horizontal="center" vertical="center"/>
    </xf>
    <xf numFmtId="0" fontId="22" fillId="2" borderId="0" xfId="3" applyFont="1" applyFill="1" applyAlignment="1">
      <alignment horizontal="center" vertical="center"/>
    </xf>
    <xf numFmtId="0" fontId="23" fillId="7" borderId="1" xfId="3" applyFont="1" applyFill="1" applyBorder="1" applyAlignment="1">
      <alignment horizontal="center" vertical="center"/>
    </xf>
    <xf numFmtId="0" fontId="23" fillId="7" borderId="2" xfId="3" applyFont="1" applyFill="1" applyBorder="1" applyAlignment="1">
      <alignment horizontal="center" vertical="center"/>
    </xf>
    <xf numFmtId="0" fontId="23" fillId="7" borderId="3" xfId="3" applyFont="1" applyFill="1" applyBorder="1" applyAlignment="1">
      <alignment horizontal="center" vertical="center"/>
    </xf>
    <xf numFmtId="0" fontId="3" fillId="5" borderId="1" xfId="3" applyFont="1" applyFill="1" applyBorder="1" applyAlignment="1">
      <alignment horizontal="center" vertical="center"/>
    </xf>
    <xf numFmtId="0" fontId="3" fillId="5" borderId="2" xfId="3" applyFont="1" applyFill="1" applyBorder="1" applyAlignment="1">
      <alignment horizontal="center" vertical="center"/>
    </xf>
    <xf numFmtId="0" fontId="3" fillId="5" borderId="3" xfId="3" applyFont="1" applyFill="1" applyBorder="1" applyAlignment="1">
      <alignment horizontal="center" vertical="center"/>
    </xf>
    <xf numFmtId="0" fontId="22" fillId="6" borderId="0" xfId="3" applyFont="1" applyFill="1" applyAlignment="1">
      <alignment horizontal="center" vertical="center"/>
    </xf>
    <xf numFmtId="0" fontId="27" fillId="0" borderId="0" xfId="3" applyFont="1" applyBorder="1" applyAlignment="1">
      <alignment horizontal="center" vertical="center"/>
    </xf>
    <xf numFmtId="165" fontId="3" fillId="8" borderId="1" xfId="4" applyFont="1" applyFill="1" applyBorder="1" applyAlignment="1">
      <alignment horizontal="left" vertical="center"/>
    </xf>
    <xf numFmtId="165" fontId="3" fillId="8" borderId="2" xfId="4" applyFont="1" applyFill="1" applyBorder="1" applyAlignment="1">
      <alignment horizontal="left" vertical="center"/>
    </xf>
    <xf numFmtId="165" fontId="3" fillId="8" borderId="3" xfId="4" applyFont="1" applyFill="1" applyBorder="1" applyAlignment="1">
      <alignment horizontal="left" vertical="center"/>
    </xf>
    <xf numFmtId="0" fontId="2" fillId="0" borderId="1" xfId="3" applyBorder="1" applyAlignment="1">
      <alignment horizontal="left" vertical="center"/>
    </xf>
    <xf numFmtId="0" fontId="2" fillId="0" borderId="2" xfId="3" applyBorder="1" applyAlignment="1">
      <alignment horizontal="left" vertical="center"/>
    </xf>
    <xf numFmtId="0" fontId="2" fillId="0" borderId="3" xfId="3" applyBorder="1" applyAlignment="1">
      <alignment horizontal="left" vertical="center"/>
    </xf>
    <xf numFmtId="0" fontId="3" fillId="0" borderId="1" xfId="3" applyFont="1" applyBorder="1" applyAlignment="1">
      <alignment horizontal="center" vertical="center"/>
    </xf>
    <xf numFmtId="0" fontId="3" fillId="0" borderId="2" xfId="3" applyFont="1" applyBorder="1" applyAlignment="1">
      <alignment horizontal="center" vertical="center"/>
    </xf>
    <xf numFmtId="0" fontId="3" fillId="0" borderId="3" xfId="3" applyFont="1" applyBorder="1" applyAlignment="1">
      <alignment horizontal="center" vertical="center"/>
    </xf>
    <xf numFmtId="166" fontId="4" fillId="0" borderId="4" xfId="6" applyFont="1" applyBorder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0" fontId="6" fillId="0" borderId="3" xfId="3" applyFont="1" applyBorder="1" applyAlignment="1">
      <alignment horizontal="center" vertical="center"/>
    </xf>
    <xf numFmtId="0" fontId="4" fillId="0" borderId="1" xfId="3" applyFont="1" applyBorder="1" applyAlignment="1">
      <alignment horizontal="left" vertical="center"/>
    </xf>
    <xf numFmtId="0" fontId="4" fillId="0" borderId="2" xfId="3" applyFont="1" applyBorder="1" applyAlignment="1">
      <alignment horizontal="left" vertical="center"/>
    </xf>
    <xf numFmtId="0" fontId="4" fillId="0" borderId="3" xfId="3" applyFont="1" applyBorder="1" applyAlignment="1">
      <alignment horizontal="left" vertical="center"/>
    </xf>
    <xf numFmtId="0" fontId="29" fillId="0" borderId="10" xfId="3" applyFont="1" applyBorder="1" applyAlignment="1">
      <alignment horizontal="center" vertical="center"/>
    </xf>
    <xf numFmtId="0" fontId="3" fillId="0" borderId="1" xfId="3" applyFont="1" applyBorder="1" applyAlignment="1">
      <alignment horizontal="center"/>
    </xf>
    <xf numFmtId="0" fontId="3" fillId="0" borderId="2" xfId="3" applyFont="1" applyBorder="1" applyAlignment="1">
      <alignment horizontal="center"/>
    </xf>
    <xf numFmtId="0" fontId="3" fillId="0" borderId="3" xfId="3" applyFont="1" applyBorder="1" applyAlignment="1">
      <alignment horizontal="center"/>
    </xf>
    <xf numFmtId="0" fontId="35" fillId="2" borderId="0" xfId="3" applyFont="1" applyFill="1" applyAlignment="1">
      <alignment horizontal="center"/>
    </xf>
    <xf numFmtId="43" fontId="3" fillId="0" borderId="1" xfId="1" applyFont="1" applyBorder="1" applyAlignment="1">
      <alignment horizontal="left" vertical="center"/>
    </xf>
    <xf numFmtId="43" fontId="3" fillId="0" borderId="2" xfId="1" applyFont="1" applyBorder="1" applyAlignment="1">
      <alignment horizontal="left" vertical="center"/>
    </xf>
    <xf numFmtId="43" fontId="3" fillId="0" borderId="3" xfId="1" applyFont="1" applyBorder="1" applyAlignment="1">
      <alignment horizontal="left" vertical="center"/>
    </xf>
    <xf numFmtId="43" fontId="2" fillId="0" borderId="1" xfId="1" applyFont="1" applyBorder="1" applyAlignment="1">
      <alignment horizontal="left" vertical="center"/>
    </xf>
    <xf numFmtId="43" fontId="2" fillId="0" borderId="2" xfId="1" applyFont="1" applyBorder="1" applyAlignment="1">
      <alignment horizontal="left" vertical="center"/>
    </xf>
    <xf numFmtId="43" fontId="2" fillId="0" borderId="3" xfId="1" applyFont="1" applyBorder="1" applyAlignment="1">
      <alignment horizontal="left" vertical="center"/>
    </xf>
    <xf numFmtId="0" fontId="6" fillId="0" borderId="4" xfId="3" applyFont="1" applyBorder="1" applyAlignment="1">
      <alignment horizontal="center" vertical="center"/>
    </xf>
    <xf numFmtId="0" fontId="5" fillId="0" borderId="4" xfId="3" applyFont="1" applyBorder="1" applyAlignment="1">
      <alignment horizontal="center" vertical="center"/>
    </xf>
    <xf numFmtId="0" fontId="5" fillId="0" borderId="6" xfId="3" applyFont="1" applyBorder="1" applyAlignment="1">
      <alignment horizontal="center" vertical="center"/>
    </xf>
    <xf numFmtId="166" fontId="6" fillId="0" borderId="1" xfId="3" applyNumberFormat="1" applyFont="1" applyBorder="1" applyAlignment="1">
      <alignment horizontal="center" vertical="center"/>
    </xf>
    <xf numFmtId="166" fontId="6" fillId="0" borderId="3" xfId="3" applyNumberFormat="1" applyFont="1" applyBorder="1" applyAlignment="1">
      <alignment horizontal="center" vertical="center"/>
    </xf>
    <xf numFmtId="166" fontId="5" fillId="0" borderId="1" xfId="6" applyFont="1" applyBorder="1" applyAlignment="1">
      <alignment horizontal="center" vertical="center"/>
    </xf>
    <xf numFmtId="166" fontId="5" fillId="0" borderId="3" xfId="6" applyFont="1" applyBorder="1" applyAlignment="1">
      <alignment horizontal="center" vertical="center"/>
    </xf>
    <xf numFmtId="0" fontId="9" fillId="0" borderId="0" xfId="3" applyFont="1" applyAlignment="1">
      <alignment horizontal="center"/>
    </xf>
    <xf numFmtId="0" fontId="2" fillId="0" borderId="1" xfId="3" applyBorder="1" applyAlignment="1">
      <alignment horizontal="center" vertic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9" fontId="5" fillId="8" borderId="6" xfId="2" applyFont="1" applyFill="1" applyBorder="1" applyAlignment="1">
      <alignment horizontal="center" vertical="center"/>
    </xf>
    <xf numFmtId="9" fontId="5" fillId="8" borderId="4" xfId="2" applyFont="1" applyFill="1" applyBorder="1" applyAlignment="1">
      <alignment horizontal="center" vertical="center"/>
    </xf>
    <xf numFmtId="9" fontId="6" fillId="0" borderId="4" xfId="2" applyFont="1" applyBorder="1" applyAlignment="1">
      <alignment vertical="center"/>
    </xf>
  </cellXfs>
  <cellStyles count="12">
    <cellStyle name="Moeda 2" xfId="4" xr:uid="{00000000-0005-0000-0000-000001000000}"/>
    <cellStyle name="Moeda 3" xfId="11" xr:uid="{00000000-0005-0000-0000-000002000000}"/>
    <cellStyle name="Normal" xfId="0" builtinId="0"/>
    <cellStyle name="Normal 2" xfId="3" xr:uid="{00000000-0005-0000-0000-000004000000}"/>
    <cellStyle name="Normal 2 2" xfId="9" xr:uid="{00000000-0005-0000-0000-000005000000}"/>
    <cellStyle name="Porcentagem" xfId="2" builtinId="5"/>
    <cellStyle name="Porcentagem 2" xfId="5" xr:uid="{00000000-0005-0000-0000-000007000000}"/>
    <cellStyle name="Porcentagem 3" xfId="7" xr:uid="{00000000-0005-0000-0000-000008000000}"/>
    <cellStyle name="Separador de milhares 2" xfId="8" xr:uid="{00000000-0005-0000-0000-000009000000}"/>
    <cellStyle name="Vírgula" xfId="1" builtinId="3"/>
    <cellStyle name="Vírgula 2" xfId="6" xr:uid="{00000000-0005-0000-0000-00000B000000}"/>
    <cellStyle name="Vírgula 2 2" xfId="10" xr:uid="{00000000-0005-0000-0000-00000C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A$4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ermuta!E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B3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B3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B3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</xdr:rowOff>
    </xdr:from>
    <xdr:to>
      <xdr:col>3</xdr:col>
      <xdr:colOff>0</xdr:colOff>
      <xdr:row>7</xdr:row>
      <xdr:rowOff>0</xdr:rowOff>
    </xdr:to>
    <xdr:sp macro="[0]!Ir_Venda_Imoveis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96058" y="1143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7</xdr:row>
      <xdr:rowOff>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6058" y="1524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3</xdr:col>
      <xdr:colOff>0</xdr:colOff>
      <xdr:row>9</xdr:row>
      <xdr:rowOff>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6058" y="1905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10</xdr:row>
      <xdr:rowOff>1</xdr:rowOff>
    </xdr:from>
    <xdr:to>
      <xdr:col>3</xdr:col>
      <xdr:colOff>0</xdr:colOff>
      <xdr:row>11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96058" y="2286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7</xdr:row>
      <xdr:rowOff>1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96058" y="1524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3</xdr:col>
      <xdr:colOff>0</xdr:colOff>
      <xdr:row>9</xdr:row>
      <xdr:rowOff>1</xdr:rowOff>
    </xdr:to>
    <xdr:sp macro="[0]!Ir_Locacao_Imoveis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696058" y="1905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2</xdr:col>
      <xdr:colOff>0</xdr:colOff>
      <xdr:row>10</xdr:row>
      <xdr:rowOff>1</xdr:rowOff>
    </xdr:from>
    <xdr:to>
      <xdr:col>3</xdr:col>
      <xdr:colOff>0</xdr:colOff>
      <xdr:row>11</xdr:row>
      <xdr:rowOff>0</xdr:rowOff>
    </xdr:to>
    <xdr:sp macro="[0]!Ir_Prest_Servicos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96058" y="2286001"/>
          <a:ext cx="241788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97848</xdr:colOff>
      <xdr:row>1</xdr:row>
      <xdr:rowOff>16452</xdr:rowOff>
    </xdr:from>
    <xdr:to>
      <xdr:col>15</xdr:col>
      <xdr:colOff>582091</xdr:colOff>
      <xdr:row>1</xdr:row>
      <xdr:rowOff>206952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527598" y="92652"/>
          <a:ext cx="484243" cy="1905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285750</xdr:colOff>
          <xdr:row>4</xdr:row>
          <xdr:rowOff>9525</xdr:rowOff>
        </xdr:from>
        <xdr:to>
          <xdr:col>14</xdr:col>
          <xdr:colOff>561975</xdr:colOff>
          <xdr:row>4</xdr:row>
          <xdr:rowOff>228600</xdr:rowOff>
        </xdr:to>
        <xdr:sp macro="" textlink="">
          <xdr:nvSpPr>
            <xdr:cNvPr id="12336" name="CheckBox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1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97848</xdr:colOff>
      <xdr:row>1</xdr:row>
      <xdr:rowOff>16452</xdr:rowOff>
    </xdr:from>
    <xdr:to>
      <xdr:col>15</xdr:col>
      <xdr:colOff>582091</xdr:colOff>
      <xdr:row>1</xdr:row>
      <xdr:rowOff>206952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79848" y="92652"/>
          <a:ext cx="484243" cy="1905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285750</xdr:colOff>
          <xdr:row>4</xdr:row>
          <xdr:rowOff>9525</xdr:rowOff>
        </xdr:from>
        <xdr:to>
          <xdr:col>14</xdr:col>
          <xdr:colOff>561975</xdr:colOff>
          <xdr:row>4</xdr:row>
          <xdr:rowOff>228600</xdr:rowOff>
        </xdr:to>
        <xdr:sp macro="" textlink="">
          <xdr:nvSpPr>
            <xdr:cNvPr id="18433" name="CheckBox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3</xdr:row>
          <xdr:rowOff>9525</xdr:rowOff>
        </xdr:from>
        <xdr:to>
          <xdr:col>14</xdr:col>
          <xdr:colOff>400050</xdr:colOff>
          <xdr:row>3</xdr:row>
          <xdr:rowOff>228600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66675</xdr:colOff>
      <xdr:row>1</xdr:row>
      <xdr:rowOff>0</xdr:rowOff>
    </xdr:from>
    <xdr:to>
      <xdr:col>15</xdr:col>
      <xdr:colOff>550918</xdr:colOff>
      <xdr:row>2</xdr:row>
      <xdr:rowOff>0</xdr:rowOff>
    </xdr:to>
    <xdr:sp macro="" textlink="">
      <xdr:nvSpPr>
        <xdr:cNvPr id="5" name="CaixaDe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8782050" y="47625"/>
          <a:ext cx="484243" cy="1905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>
    <tabColor rgb="FFC00000"/>
    <pageSetUpPr fitToPage="1"/>
  </sheetPr>
  <dimension ref="B3:K11"/>
  <sheetViews>
    <sheetView showGridLines="0" showRowColHeaders="0" tabSelected="1" zoomScaleNormal="100" workbookViewId="0">
      <selection activeCell="H16" sqref="H16"/>
    </sheetView>
  </sheetViews>
  <sheetFormatPr defaultRowHeight="15" x14ac:dyDescent="0.25"/>
  <cols>
    <col min="1" max="1" width="3.28515625" customWidth="1"/>
    <col min="2" max="2" width="1.28515625" customWidth="1"/>
    <col min="3" max="3" width="3.5703125" customWidth="1"/>
  </cols>
  <sheetData>
    <row r="3" spans="2:11" ht="15" customHeight="1" x14ac:dyDescent="0.25">
      <c r="B3" s="118" t="s">
        <v>38</v>
      </c>
      <c r="C3" s="118"/>
      <c r="D3" s="118"/>
      <c r="E3" s="118"/>
      <c r="F3" s="118"/>
      <c r="G3" s="118"/>
      <c r="H3" s="118"/>
      <c r="I3" s="118"/>
      <c r="J3" s="118"/>
      <c r="K3" s="118"/>
    </row>
    <row r="4" spans="2:11" ht="15" customHeight="1" x14ac:dyDescent="0.25">
      <c r="B4" s="118"/>
      <c r="C4" s="118"/>
      <c r="D4" s="118"/>
      <c r="E4" s="118"/>
      <c r="F4" s="118"/>
      <c r="G4" s="118"/>
      <c r="H4" s="118"/>
      <c r="I4" s="118"/>
      <c r="J4" s="118"/>
      <c r="K4" s="118"/>
    </row>
    <row r="7" spans="2:11" x14ac:dyDescent="0.25">
      <c r="D7" s="119" t="s">
        <v>34</v>
      </c>
      <c r="E7" s="119"/>
      <c r="F7" s="119"/>
      <c r="G7" s="119"/>
      <c r="H7" s="119"/>
      <c r="I7" s="119"/>
      <c r="J7" s="119"/>
      <c r="K7" s="119"/>
    </row>
    <row r="9" spans="2:11" x14ac:dyDescent="0.25">
      <c r="D9" s="119" t="s">
        <v>33</v>
      </c>
      <c r="E9" s="119"/>
      <c r="F9" s="119"/>
      <c r="G9" s="119"/>
      <c r="H9" s="119"/>
      <c r="I9" s="119"/>
      <c r="J9" s="119"/>
      <c r="K9" s="119"/>
    </row>
    <row r="11" spans="2:11" x14ac:dyDescent="0.25">
      <c r="D11" s="119" t="s">
        <v>28</v>
      </c>
      <c r="E11" s="119"/>
      <c r="F11" s="119"/>
      <c r="G11" s="119"/>
      <c r="H11" s="119"/>
      <c r="I11" s="119"/>
      <c r="J11" s="119"/>
      <c r="K11" s="119"/>
    </row>
  </sheetData>
  <mergeCells count="4">
    <mergeCell ref="B3:K4"/>
    <mergeCell ref="D7:K7"/>
    <mergeCell ref="D9:K9"/>
    <mergeCell ref="D11:K11"/>
  </mergeCells>
  <pageMargins left="0.51181102362204722" right="0.51181102362204722" top="0.78740157480314965" bottom="0.78740157480314965" header="0.31496062992125984" footer="0.31496062992125984"/>
  <pageSetup paperSize="9" orientation="landscape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VendaImoveis">
    <pageSetUpPr fitToPage="1"/>
  </sheetPr>
  <dimension ref="A1:P40"/>
  <sheetViews>
    <sheetView showGridLines="0" topLeftCell="B1" zoomScaleNormal="100" workbookViewId="0">
      <selection activeCell="N7" sqref="N7:O7"/>
    </sheetView>
  </sheetViews>
  <sheetFormatPr defaultColWidth="9.140625" defaultRowHeight="15" x14ac:dyDescent="0.25"/>
  <cols>
    <col min="1" max="1" width="13.42578125" style="95" hidden="1" customWidth="1"/>
    <col min="2" max="2" width="2.140625" style="108" customWidth="1"/>
    <col min="3" max="3" width="9" style="1" customWidth="1"/>
    <col min="4" max="4" width="8.42578125" style="1" bestFit="1" customWidth="1"/>
    <col min="5" max="5" width="7" style="2" bestFit="1" customWidth="1"/>
    <col min="6" max="6" width="18.42578125" style="5" bestFit="1" customWidth="1"/>
    <col min="7" max="7" width="9" style="4" bestFit="1" customWidth="1"/>
    <col min="8" max="8" width="10.28515625" style="4" bestFit="1" customWidth="1"/>
    <col min="9" max="9" width="4" style="1" customWidth="1"/>
    <col min="10" max="10" width="8.5703125" style="1" customWidth="1"/>
    <col min="11" max="11" width="8.42578125" style="1" bestFit="1" customWidth="1"/>
    <col min="12" max="12" width="6.28515625" style="2" bestFit="1" customWidth="1"/>
    <col min="13" max="13" width="16" style="1" bestFit="1" customWidth="1"/>
    <col min="14" max="14" width="9" style="3" bestFit="1" customWidth="1"/>
    <col min="15" max="15" width="9.140625" style="4" bestFit="1" customWidth="1"/>
    <col min="16" max="16" width="11.28515625" style="1" bestFit="1" customWidth="1"/>
    <col min="17" max="16384" width="9.140625" style="1"/>
  </cols>
  <sheetData>
    <row r="1" spans="1:15" ht="6" customHeight="1" x14ac:dyDescent="0.25"/>
    <row r="2" spans="1:15" ht="18.75" customHeight="1" x14ac:dyDescent="0.25">
      <c r="C2" s="142" t="s">
        <v>0</v>
      </c>
      <c r="D2" s="143"/>
      <c r="E2" s="144"/>
      <c r="F2" s="136"/>
      <c r="G2" s="137"/>
      <c r="H2" s="137"/>
      <c r="I2" s="137"/>
      <c r="J2" s="137"/>
      <c r="K2" s="137"/>
      <c r="L2" s="137"/>
      <c r="M2" s="137"/>
      <c r="N2" s="137"/>
      <c r="O2" s="138"/>
    </row>
    <row r="3" spans="1:15" ht="4.5" customHeight="1" x14ac:dyDescent="0.25"/>
    <row r="4" spans="1:15" ht="4.5" customHeight="1" x14ac:dyDescent="0.25"/>
    <row r="5" spans="1:15" ht="18.75" customHeight="1" x14ac:dyDescent="0.25">
      <c r="A5" s="99" t="b">
        <v>1</v>
      </c>
      <c r="C5" s="142" t="s">
        <v>40</v>
      </c>
      <c r="D5" s="143"/>
      <c r="E5" s="143"/>
      <c r="F5" s="6" t="s">
        <v>2</v>
      </c>
      <c r="I5" s="146" t="s">
        <v>51</v>
      </c>
      <c r="J5" s="147"/>
      <c r="K5" s="147"/>
      <c r="L5" s="147"/>
      <c r="M5" s="147"/>
      <c r="N5" s="147"/>
      <c r="O5" s="148"/>
    </row>
    <row r="6" spans="1:15" ht="18.75" customHeight="1" x14ac:dyDescent="0.25">
      <c r="A6" s="96">
        <f>IF($A$5=TRUE,N6,0)</f>
        <v>0</v>
      </c>
      <c r="C6" s="139" t="s">
        <v>37</v>
      </c>
      <c r="D6" s="140"/>
      <c r="E6" s="141"/>
      <c r="F6" s="103"/>
      <c r="I6" s="149" t="s">
        <v>29</v>
      </c>
      <c r="J6" s="150"/>
      <c r="K6" s="151"/>
      <c r="L6" s="85">
        <f>L17</f>
        <v>1.6500000000000001E-2</v>
      </c>
      <c r="M6" s="116">
        <v>1</v>
      </c>
      <c r="N6" s="145">
        <f>IF(F7="",0,M6*L6*-F7)</f>
        <v>0</v>
      </c>
      <c r="O6" s="145"/>
    </row>
    <row r="7" spans="1:15" ht="18.75" customHeight="1" x14ac:dyDescent="0.25">
      <c r="A7" s="96">
        <f>IF($A$5=TRUE,N7,0)</f>
        <v>0</v>
      </c>
      <c r="C7" s="139" t="s">
        <v>46</v>
      </c>
      <c r="D7" s="140"/>
      <c r="E7" s="141"/>
      <c r="F7" s="104"/>
      <c r="I7" s="149" t="s">
        <v>30</v>
      </c>
      <c r="J7" s="150"/>
      <c r="K7" s="151"/>
      <c r="L7" s="86">
        <f>L18</f>
        <v>7.5999999999999998E-2</v>
      </c>
      <c r="M7" s="116">
        <f>M6</f>
        <v>1</v>
      </c>
      <c r="N7" s="145">
        <f>IF(F7="",0,M7*L7*-F7)</f>
        <v>0</v>
      </c>
      <c r="O7" s="145"/>
    </row>
    <row r="8" spans="1:15" ht="18.75" customHeight="1" x14ac:dyDescent="0.25">
      <c r="B8" s="106"/>
      <c r="C8" s="120" t="str">
        <f>IF(F8&gt;0,"Ganho na Operação","Perda na Operação")</f>
        <v>Perda na Operação</v>
      </c>
      <c r="D8" s="121"/>
      <c r="E8" s="122"/>
      <c r="F8" s="102">
        <f>F6+F7</f>
        <v>0</v>
      </c>
      <c r="I8" s="123" t="s">
        <v>31</v>
      </c>
      <c r="J8" s="124"/>
      <c r="K8" s="125"/>
      <c r="L8" s="87">
        <f>SUM(L6:L7)</f>
        <v>9.2499999999999999E-2</v>
      </c>
      <c r="M8" s="117"/>
      <c r="N8" s="126">
        <f>SUM(N6:N7)</f>
        <v>0</v>
      </c>
      <c r="O8" s="126"/>
    </row>
    <row r="9" spans="1:15" ht="18.75" customHeight="1" x14ac:dyDescent="0.25">
      <c r="A9" s="96"/>
      <c r="C9" s="139" t="s">
        <v>47</v>
      </c>
      <c r="D9" s="140"/>
      <c r="E9" s="141"/>
      <c r="F9" s="104">
        <v>0</v>
      </c>
      <c r="I9" s="135" t="str">
        <f>IF(A5=TRUE,"","CRÉDITOS NÃO DEDUZIDOS DO PIS/COFINS A PAGAR")</f>
        <v/>
      </c>
      <c r="J9" s="135"/>
      <c r="K9" s="135"/>
      <c r="L9" s="135"/>
      <c r="M9" s="135"/>
      <c r="N9" s="135"/>
      <c r="O9" s="135"/>
    </row>
    <row r="10" spans="1:15" ht="18.75" customHeight="1" x14ac:dyDescent="0.25">
      <c r="B10" s="106"/>
      <c r="C10" s="120" t="str">
        <f>IF(F10&gt;0,"Lucro Estimado","Prejuízo Estimado")</f>
        <v>Prejuízo Estimado</v>
      </c>
      <c r="D10" s="121"/>
      <c r="E10" s="122"/>
      <c r="F10" s="102">
        <f>F8+F9</f>
        <v>0</v>
      </c>
      <c r="I10" s="108"/>
      <c r="J10" s="108"/>
      <c r="K10" s="108"/>
      <c r="L10" s="109"/>
      <c r="M10" s="108"/>
      <c r="N10" s="110"/>
      <c r="O10" s="111"/>
    </row>
    <row r="11" spans="1:15" ht="9" customHeight="1" x14ac:dyDescent="0.25">
      <c r="E11" s="1"/>
      <c r="F11" s="1"/>
    </row>
    <row r="12" spans="1:15" ht="16.5" customHeight="1" x14ac:dyDescent="0.25">
      <c r="C12" s="127" t="s">
        <v>48</v>
      </c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</row>
    <row r="13" spans="1:15" ht="6" customHeight="1" x14ac:dyDescent="0.25">
      <c r="B13" s="112"/>
      <c r="C13" s="48"/>
    </row>
    <row r="14" spans="1:15" ht="12.75" x14ac:dyDescent="0.25">
      <c r="C14" s="128" t="s">
        <v>8</v>
      </c>
      <c r="D14" s="129"/>
      <c r="E14" s="129"/>
      <c r="F14" s="129"/>
      <c r="G14" s="129"/>
      <c r="H14" s="130"/>
      <c r="I14" s="48"/>
      <c r="J14" s="131" t="s">
        <v>9</v>
      </c>
      <c r="K14" s="132"/>
      <c r="L14" s="132"/>
      <c r="M14" s="132"/>
      <c r="N14" s="132"/>
      <c r="O14" s="133"/>
    </row>
    <row r="15" spans="1:15" ht="6" customHeight="1" x14ac:dyDescent="0.25">
      <c r="C15" s="49"/>
      <c r="D15" s="49"/>
      <c r="E15" s="50"/>
      <c r="F15" s="49"/>
      <c r="G15" s="51"/>
      <c r="H15" s="51"/>
      <c r="I15" s="48"/>
      <c r="J15" s="49"/>
      <c r="K15" s="49"/>
      <c r="L15" s="50"/>
      <c r="M15" s="49"/>
      <c r="O15" s="51"/>
    </row>
    <row r="16" spans="1:15" ht="12.75" x14ac:dyDescent="0.25">
      <c r="C16" s="52" t="s">
        <v>10</v>
      </c>
      <c r="D16" s="53" t="s">
        <v>11</v>
      </c>
      <c r="E16" s="54" t="s">
        <v>12</v>
      </c>
      <c r="F16" s="55" t="s">
        <v>13</v>
      </c>
      <c r="G16" s="56" t="s">
        <v>25</v>
      </c>
      <c r="H16" s="56" t="s">
        <v>14</v>
      </c>
      <c r="J16" s="52" t="s">
        <v>10</v>
      </c>
      <c r="K16" s="53" t="s">
        <v>11</v>
      </c>
      <c r="L16" s="54" t="s">
        <v>12</v>
      </c>
      <c r="M16" s="55" t="s">
        <v>13</v>
      </c>
      <c r="N16" s="56" t="s">
        <v>25</v>
      </c>
      <c r="O16" s="56" t="s">
        <v>14</v>
      </c>
    </row>
    <row r="17" spans="1:16" x14ac:dyDescent="0.25">
      <c r="C17" s="1" t="s">
        <v>15</v>
      </c>
      <c r="D17" s="57" t="s">
        <v>27</v>
      </c>
      <c r="E17" s="58">
        <v>6.4999999999999997E-3</v>
      </c>
      <c r="F17" s="5">
        <f>E17*$F$6</f>
        <v>0</v>
      </c>
      <c r="G17" s="59">
        <f>IF(F6=0,0,F17/$F$6)</f>
        <v>0</v>
      </c>
      <c r="H17" s="59">
        <f>IF($F$8=0,0,F17/$F$8)</f>
        <v>0</v>
      </c>
      <c r="J17" s="1" t="s">
        <v>15</v>
      </c>
      <c r="K17" s="57" t="s">
        <v>27</v>
      </c>
      <c r="L17" s="58">
        <v>1.6500000000000001E-2</v>
      </c>
      <c r="M17" s="5">
        <f>IF(((L17*F6)-A6)&lt;0,0,(L17*F6)-A6)</f>
        <v>0</v>
      </c>
      <c r="N17" s="59">
        <f>IF(F6=0,0,M17/$F$6)</f>
        <v>0</v>
      </c>
      <c r="O17" s="59">
        <f>IF($F$8=0,0,M17/$F$8)</f>
        <v>0</v>
      </c>
    </row>
    <row r="18" spans="1:16" x14ac:dyDescent="0.25">
      <c r="C18" s="1" t="s">
        <v>18</v>
      </c>
      <c r="D18" s="57" t="s">
        <v>27</v>
      </c>
      <c r="E18" s="58">
        <v>0.03</v>
      </c>
      <c r="F18" s="5">
        <f>E18*$F$6</f>
        <v>0</v>
      </c>
      <c r="G18" s="59">
        <f>IF(F6=0,0,F18/$F$6)</f>
        <v>0</v>
      </c>
      <c r="H18" s="59">
        <f>IF($F$8=0,0,F18/$F$8)</f>
        <v>0</v>
      </c>
      <c r="J18" s="1" t="s">
        <v>18</v>
      </c>
      <c r="K18" s="57" t="s">
        <v>27</v>
      </c>
      <c r="L18" s="58">
        <v>7.5999999999999998E-2</v>
      </c>
      <c r="M18" s="5">
        <f>IF(((L18*F6)-A7)&lt;0,0,(L18*F6)-A7)</f>
        <v>0</v>
      </c>
      <c r="N18" s="59">
        <f>IF(F6=0,0,M18/$F$6)</f>
        <v>0</v>
      </c>
      <c r="O18" s="59">
        <f>IF($F$8=0,0,M18/$F$8)</f>
        <v>0</v>
      </c>
    </row>
    <row r="19" spans="1:16" x14ac:dyDescent="0.25">
      <c r="C19" s="1" t="s">
        <v>19</v>
      </c>
      <c r="D19" s="57">
        <v>0.08</v>
      </c>
      <c r="E19" s="58">
        <v>0.15</v>
      </c>
      <c r="F19" s="5">
        <f>$F$6*D19*E19</f>
        <v>0</v>
      </c>
      <c r="G19" s="59">
        <f>IF(F6=0,0,F19/$F$6)</f>
        <v>0</v>
      </c>
      <c r="H19" s="59">
        <f>IF($F$8=0,0,F19/$F$8)</f>
        <v>0</v>
      </c>
      <c r="J19" s="1" t="s">
        <v>19</v>
      </c>
      <c r="K19" s="57" t="s">
        <v>39</v>
      </c>
      <c r="L19" s="58">
        <v>0.15</v>
      </c>
      <c r="M19" s="5">
        <f>IF($F$10&lt;0,0,L19*F$10)</f>
        <v>0</v>
      </c>
      <c r="N19" s="59">
        <f>IF(F6=0,0,M19/$F$6)</f>
        <v>0</v>
      </c>
      <c r="O19" s="59">
        <f>IF($F$8=0,0,M19/$F$8)</f>
        <v>0</v>
      </c>
    </row>
    <row r="20" spans="1:16" x14ac:dyDescent="0.25">
      <c r="C20" s="1" t="s">
        <v>21</v>
      </c>
      <c r="D20" s="57">
        <v>0.08</v>
      </c>
      <c r="E20" s="58">
        <v>0.1</v>
      </c>
      <c r="F20" s="60">
        <f>IF(((F6*D20)-60000)*E20&lt;0,0,((F6*D20)-60000)*E20)</f>
        <v>0</v>
      </c>
      <c r="G20" s="59">
        <f>IF(F6=0,0,F20/$F$6)</f>
        <v>0</v>
      </c>
      <c r="H20" s="59">
        <f>IF($F$8=0,0,F20/$F$8)</f>
        <v>0</v>
      </c>
      <c r="J20" s="1" t="s">
        <v>21</v>
      </c>
      <c r="K20" s="57" t="s">
        <v>39</v>
      </c>
      <c r="L20" s="61">
        <v>0.1</v>
      </c>
      <c r="M20" s="60">
        <f>IF((F10-240000)*L20&lt;0,0,(F10-240000)*L20)</f>
        <v>0</v>
      </c>
      <c r="N20" s="59">
        <f>IF(F6=0,0,M20/$F$6)</f>
        <v>0</v>
      </c>
      <c r="O20" s="59">
        <f>IF($F$8=0,0,M20/$F$8)</f>
        <v>0</v>
      </c>
      <c r="P20" s="89"/>
    </row>
    <row r="21" spans="1:16" ht="12.75" x14ac:dyDescent="0.25">
      <c r="C21" s="1" t="s">
        <v>22</v>
      </c>
      <c r="D21" s="57">
        <v>0.12</v>
      </c>
      <c r="E21" s="58">
        <v>0.09</v>
      </c>
      <c r="F21" s="62">
        <f>$F$6*D21*E21</f>
        <v>0</v>
      </c>
      <c r="G21" s="59">
        <f>IFERROR(IF(F5=0,0,F21/$F$6),0)</f>
        <v>0</v>
      </c>
      <c r="H21" s="59">
        <f>IF($F$8=0,0,F21/$F$8)</f>
        <v>0</v>
      </c>
      <c r="J21" s="1" t="s">
        <v>22</v>
      </c>
      <c r="K21" s="57" t="s">
        <v>39</v>
      </c>
      <c r="L21" s="58">
        <v>0.09</v>
      </c>
      <c r="M21" s="62">
        <f>IF($F$10&lt;0,0,L21*$F$10)</f>
        <v>0</v>
      </c>
      <c r="N21" s="59">
        <f>IFERROR(IF(F5=0,0,M21/$F$6),0)</f>
        <v>0</v>
      </c>
      <c r="O21" s="59">
        <f>IF($F$8=0,0,M21/$F$8)</f>
        <v>0</v>
      </c>
    </row>
    <row r="22" spans="1:16" ht="12.75" x14ac:dyDescent="0.25">
      <c r="C22" s="66" t="s">
        <v>23</v>
      </c>
      <c r="D22" s="67"/>
      <c r="E22" s="68">
        <f>IF($F$8=0,0,F22/$F$8)</f>
        <v>0</v>
      </c>
      <c r="F22" s="69">
        <f>SUM(F17:F21)</f>
        <v>0</v>
      </c>
      <c r="G22" s="70">
        <f>SUM(G17:G21)</f>
        <v>0</v>
      </c>
      <c r="H22" s="71">
        <f>SUM(H17:H21)</f>
        <v>0</v>
      </c>
      <c r="J22" s="66" t="s">
        <v>23</v>
      </c>
      <c r="K22" s="67"/>
      <c r="L22" s="68">
        <f>IF($F$8=0,0,M22/$F$8)</f>
        <v>0</v>
      </c>
      <c r="M22" s="69">
        <f>SUM(M17:M21)</f>
        <v>0</v>
      </c>
      <c r="N22" s="71">
        <f>SUM(N17:N21)</f>
        <v>0</v>
      </c>
      <c r="O22" s="71">
        <f>SUM(O17:O21)</f>
        <v>0</v>
      </c>
    </row>
    <row r="23" spans="1:16" x14ac:dyDescent="0.25">
      <c r="C23" s="72" t="s">
        <v>24</v>
      </c>
      <c r="D23" s="73"/>
      <c r="E23" s="74"/>
      <c r="F23" s="75">
        <f>$F$6-F22</f>
        <v>0</v>
      </c>
      <c r="G23" s="76"/>
      <c r="H23" s="77"/>
      <c r="J23" s="72" t="s">
        <v>24</v>
      </c>
      <c r="K23" s="73"/>
      <c r="L23" s="74"/>
      <c r="M23" s="75">
        <f>$F$6-M22</f>
        <v>0</v>
      </c>
      <c r="N23" s="78"/>
      <c r="O23" s="77"/>
    </row>
    <row r="24" spans="1:16" s="79" customFormat="1" ht="12.75" x14ac:dyDescent="0.25">
      <c r="A24" s="97"/>
      <c r="B24" s="113"/>
      <c r="C24" s="80"/>
      <c r="E24" s="81"/>
      <c r="F24" s="82"/>
      <c r="G24" s="83"/>
      <c r="H24" s="84"/>
      <c r="J24" s="80"/>
      <c r="L24" s="81"/>
      <c r="M24" s="82"/>
      <c r="N24" s="84"/>
      <c r="O24" s="84"/>
    </row>
    <row r="25" spans="1:16" ht="16.5" customHeight="1" x14ac:dyDescent="0.25">
      <c r="B25" s="112"/>
      <c r="C25" s="134" t="s">
        <v>32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</row>
    <row r="26" spans="1:16" ht="6" customHeight="1" x14ac:dyDescent="0.25">
      <c r="B26" s="112"/>
      <c r="C26" s="48"/>
    </row>
    <row r="27" spans="1:16" ht="12.75" x14ac:dyDescent="0.25">
      <c r="C27" s="128" t="s">
        <v>8</v>
      </c>
      <c r="D27" s="129"/>
      <c r="E27" s="129"/>
      <c r="F27" s="129"/>
      <c r="G27" s="129"/>
      <c r="H27" s="130"/>
      <c r="I27" s="48"/>
      <c r="J27" s="131" t="s">
        <v>9</v>
      </c>
      <c r="K27" s="132"/>
      <c r="L27" s="132"/>
      <c r="M27" s="132"/>
      <c r="N27" s="132"/>
      <c r="O27" s="133"/>
    </row>
    <row r="28" spans="1:16" ht="6" customHeight="1" x14ac:dyDescent="0.25">
      <c r="C28" s="49"/>
      <c r="D28" s="49"/>
      <c r="E28" s="50"/>
      <c r="F28" s="49"/>
      <c r="G28" s="51"/>
      <c r="H28" s="51"/>
      <c r="I28" s="48"/>
      <c r="J28" s="49"/>
      <c r="K28" s="49"/>
      <c r="L28" s="50"/>
      <c r="M28" s="49"/>
      <c r="O28" s="51"/>
    </row>
    <row r="29" spans="1:16" ht="12.75" x14ac:dyDescent="0.25">
      <c r="C29" s="52" t="s">
        <v>10</v>
      </c>
      <c r="D29" s="53" t="s">
        <v>11</v>
      </c>
      <c r="E29" s="54" t="s">
        <v>12</v>
      </c>
      <c r="F29" s="55" t="s">
        <v>13</v>
      </c>
      <c r="G29" s="56" t="s">
        <v>25</v>
      </c>
      <c r="H29" s="56" t="s">
        <v>14</v>
      </c>
      <c r="J29" s="52" t="s">
        <v>10</v>
      </c>
      <c r="K29" s="53" t="s">
        <v>11</v>
      </c>
      <c r="L29" s="54" t="s">
        <v>12</v>
      </c>
      <c r="M29" s="55" t="s">
        <v>13</v>
      </c>
      <c r="N29" s="56" t="s">
        <v>25</v>
      </c>
      <c r="O29" s="56" t="s">
        <v>14</v>
      </c>
    </row>
    <row r="30" spans="1:16" x14ac:dyDescent="0.25">
      <c r="C30" s="1" t="s">
        <v>15</v>
      </c>
      <c r="D30" s="57" t="s">
        <v>17</v>
      </c>
      <c r="E30" s="58">
        <v>0</v>
      </c>
      <c r="F30" s="5">
        <v>0</v>
      </c>
      <c r="G30" s="59">
        <f>IF(F6=0,0,F30/$F$6)</f>
        <v>0</v>
      </c>
      <c r="H30" s="59">
        <f>IF($F$8=0,0,F30/$F$8)</f>
        <v>0</v>
      </c>
      <c r="J30" s="1" t="s">
        <v>15</v>
      </c>
      <c r="K30" s="57" t="s">
        <v>17</v>
      </c>
      <c r="L30" s="58">
        <v>0</v>
      </c>
      <c r="M30" s="5">
        <v>0</v>
      </c>
      <c r="N30" s="59">
        <f>IF(F6=0,0,M30/$F$6)</f>
        <v>0</v>
      </c>
      <c r="O30" s="59">
        <f>IF($F$8=0,0,M30/$F$8)</f>
        <v>0</v>
      </c>
    </row>
    <row r="31" spans="1:16" x14ac:dyDescent="0.25">
      <c r="C31" s="1" t="s">
        <v>18</v>
      </c>
      <c r="D31" s="57" t="s">
        <v>17</v>
      </c>
      <c r="E31" s="58">
        <v>0</v>
      </c>
      <c r="F31" s="5">
        <v>0</v>
      </c>
      <c r="G31" s="59">
        <f>IF(F6=0,0,F31/$F$6)</f>
        <v>0</v>
      </c>
      <c r="H31" s="59">
        <f>IF($F$8=0,0,F31/$F$8)</f>
        <v>0</v>
      </c>
      <c r="J31" s="1" t="s">
        <v>18</v>
      </c>
      <c r="K31" s="57" t="s">
        <v>17</v>
      </c>
      <c r="L31" s="58">
        <v>0</v>
      </c>
      <c r="M31" s="5">
        <v>0</v>
      </c>
      <c r="N31" s="59">
        <f>IF(F6=0,0,M31/$F$6)</f>
        <v>0</v>
      </c>
      <c r="O31" s="59">
        <f>IF($F$8=0,0,M31/$F$8)</f>
        <v>0</v>
      </c>
    </row>
    <row r="32" spans="1:16" x14ac:dyDescent="0.25">
      <c r="C32" s="1" t="s">
        <v>19</v>
      </c>
      <c r="D32" s="57" t="s">
        <v>4</v>
      </c>
      <c r="E32" s="58">
        <v>0.15</v>
      </c>
      <c r="F32" s="5">
        <f>IF(F8&gt;0,E32*$F$8,0)</f>
        <v>0</v>
      </c>
      <c r="G32" s="59">
        <f>IF(F6=0,0,F32/$F$6)</f>
        <v>0</v>
      </c>
      <c r="H32" s="59">
        <f>IF($F$8=0,0,F32/$F$8)</f>
        <v>0</v>
      </c>
      <c r="J32" s="1" t="s">
        <v>19</v>
      </c>
      <c r="K32" s="57" t="s">
        <v>4</v>
      </c>
      <c r="L32" s="58">
        <v>0.15</v>
      </c>
      <c r="M32" s="5">
        <f>IF($F$10&lt;0,0,L32*$F$10)</f>
        <v>0</v>
      </c>
      <c r="N32" s="59">
        <f>IF(F6=0,0,M32/$F$6)</f>
        <v>0</v>
      </c>
      <c r="O32" s="59">
        <f>IF($F$8=0,0,M32/$F$8)</f>
        <v>0</v>
      </c>
    </row>
    <row r="33" spans="3:15" x14ac:dyDescent="0.25">
      <c r="C33" s="1" t="s">
        <v>21</v>
      </c>
      <c r="D33" s="57" t="s">
        <v>4</v>
      </c>
      <c r="E33" s="58">
        <v>0.1</v>
      </c>
      <c r="F33" s="60">
        <f>IF((F8-60000)*E33&lt;0,0,(F8-60000)*E33)</f>
        <v>0</v>
      </c>
      <c r="G33" s="59">
        <f>IF(F6=0,0,F33/$F$6)</f>
        <v>0</v>
      </c>
      <c r="H33" s="59">
        <f>IF($F$8=0,0,F33/$F$8)</f>
        <v>0</v>
      </c>
      <c r="J33" s="1" t="s">
        <v>21</v>
      </c>
      <c r="K33" s="57" t="s">
        <v>4</v>
      </c>
      <c r="L33" s="61">
        <v>0.1</v>
      </c>
      <c r="M33" s="60">
        <f>IF((F10-240000)*L33&lt;0,0,(F10-240000)*L33)</f>
        <v>0</v>
      </c>
      <c r="N33" s="59">
        <f>IF(F6=0,0,M33/$F$6)</f>
        <v>0</v>
      </c>
      <c r="O33" s="59">
        <f>IF($F$8=0,0,M33/$F$8)</f>
        <v>0</v>
      </c>
    </row>
    <row r="34" spans="3:15" x14ac:dyDescent="0.25">
      <c r="C34" s="1" t="s">
        <v>22</v>
      </c>
      <c r="D34" s="57" t="s">
        <v>4</v>
      </c>
      <c r="E34" s="58">
        <v>0.09</v>
      </c>
      <c r="F34" s="63">
        <f>IF(F8&gt;0,E34*$F$8,0)</f>
        <v>0</v>
      </c>
      <c r="G34" s="64">
        <f>IF(F6=0,0,F34/$F$6)</f>
        <v>0</v>
      </c>
      <c r="H34" s="65">
        <f>IF($F$8=0,0,F34/$F$8)</f>
        <v>0</v>
      </c>
      <c r="J34" s="1" t="s">
        <v>22</v>
      </c>
      <c r="K34" s="57" t="s">
        <v>4</v>
      </c>
      <c r="L34" s="58">
        <v>0.09</v>
      </c>
      <c r="M34" s="63">
        <f>IF($F$10&lt;0,0,L34*$F$10)</f>
        <v>0</v>
      </c>
      <c r="N34" s="65">
        <f>IF(F6=0,0,M34/$F$6)</f>
        <v>0</v>
      </c>
      <c r="O34" s="65">
        <f>IF($F$8=0,0,M34/$F$8)</f>
        <v>0</v>
      </c>
    </row>
    <row r="35" spans="3:15" ht="12.75" x14ac:dyDescent="0.25">
      <c r="C35" s="66" t="s">
        <v>23</v>
      </c>
      <c r="D35" s="67"/>
      <c r="E35" s="68">
        <f>IF($F$8=0,0,F35/$F$8)</f>
        <v>0</v>
      </c>
      <c r="F35" s="69">
        <f>SUM(F30:F34)</f>
        <v>0</v>
      </c>
      <c r="G35" s="71">
        <f>SUM(G30:G34)</f>
        <v>0</v>
      </c>
      <c r="H35" s="71">
        <f>SUM(H30:H34)</f>
        <v>0</v>
      </c>
      <c r="J35" s="66" t="s">
        <v>23</v>
      </c>
      <c r="K35" s="67"/>
      <c r="L35" s="68">
        <f>IF($F$8=0,0,M35/$F$8)</f>
        <v>0</v>
      </c>
      <c r="M35" s="69">
        <f>SUM(M30:M34)</f>
        <v>0</v>
      </c>
      <c r="N35" s="71">
        <f>SUM(N30:N34)</f>
        <v>0</v>
      </c>
      <c r="O35" s="71">
        <f>SUM(O30:O34)</f>
        <v>0</v>
      </c>
    </row>
    <row r="36" spans="3:15" x14ac:dyDescent="0.25">
      <c r="C36" s="72" t="s">
        <v>24</v>
      </c>
      <c r="D36" s="73"/>
      <c r="E36" s="74"/>
      <c r="F36" s="75">
        <f>$F$6-F35</f>
        <v>0</v>
      </c>
      <c r="G36" s="76"/>
      <c r="H36" s="77"/>
      <c r="J36" s="72" t="s">
        <v>24</v>
      </c>
      <c r="K36" s="73"/>
      <c r="L36" s="74"/>
      <c r="M36" s="75">
        <f>$F$6-M35</f>
        <v>0</v>
      </c>
      <c r="N36" s="78"/>
      <c r="O36" s="77"/>
    </row>
    <row r="37" spans="3:15" x14ac:dyDescent="0.25">
      <c r="M37" s="89"/>
    </row>
    <row r="40" spans="3:15" x14ac:dyDescent="0.25">
      <c r="M40" s="89"/>
    </row>
  </sheetData>
  <mergeCells count="22">
    <mergeCell ref="C27:H27"/>
    <mergeCell ref="J27:O27"/>
    <mergeCell ref="C25:O25"/>
    <mergeCell ref="I9:O9"/>
    <mergeCell ref="F2:O2"/>
    <mergeCell ref="C8:E8"/>
    <mergeCell ref="C7:E7"/>
    <mergeCell ref="C6:E6"/>
    <mergeCell ref="C2:E2"/>
    <mergeCell ref="C5:E5"/>
    <mergeCell ref="N7:O7"/>
    <mergeCell ref="N6:O6"/>
    <mergeCell ref="I5:O5"/>
    <mergeCell ref="I7:K7"/>
    <mergeCell ref="I6:K6"/>
    <mergeCell ref="C9:E9"/>
    <mergeCell ref="C10:E10"/>
    <mergeCell ref="I8:K8"/>
    <mergeCell ref="N8:O8"/>
    <mergeCell ref="C12:O12"/>
    <mergeCell ref="C14:H14"/>
    <mergeCell ref="J14:O14"/>
  </mergeCells>
  <conditionalFormatting sqref="I9:O9">
    <cfRule type="cellIs" dxfId="6" priority="1" operator="equal">
      <formula>"CRÉDITOS NÃO DEDUZIDOS DO PIS/COFINS A PAGAR"</formula>
    </cfRule>
    <cfRule type="cellIs" dxfId="5" priority="2" operator="equal">
      <formula>"CRÉDITOS NÃO DEDUZIDOS DO PIS/COFINS A PAGAR"</formula>
    </cfRule>
  </conditionalFormatting>
  <dataValidations count="1">
    <dataValidation type="custom" allowBlank="1" showInputMessage="1" showErrorMessage="1" errorTitle="ERRO!" error="O valor deve ser negativo." sqref="F7:F9" xr:uid="{00000000-0002-0000-0100-000000000000}">
      <formula1>F7&lt;=0</formula1>
    </dataValidation>
  </dataValidations>
  <printOptions horizontalCentered="1" verticalCentered="1"/>
  <pageMargins left="0.51181102362204722" right="0.23622047244094491" top="0.88" bottom="0.78740157480314965" header="0.53" footer="0.31496062992125984"/>
  <pageSetup paperSize="9" orientation="landscape" horizontalDpi="4294967295" verticalDpi="300" r:id="rId1"/>
  <headerFooter>
    <oddHeader>&amp;C&amp;"Arial,Negrito"&amp;14ANÁLISE TRIBUTÁRIA NA VENDA DE IMÓVEL</oddHeader>
    <oddFooter>&amp;L&amp;8&amp;Z&amp;F&amp;R&amp;D / &amp;T</oddFooter>
  </headerFooter>
  <ignoredErrors>
    <ignoredError sqref="F20" formula="1"/>
  </ignoredErrors>
  <drawing r:id="rId2"/>
  <legacyDrawing r:id="rId3"/>
  <controls>
    <mc:AlternateContent xmlns:mc="http://schemas.openxmlformats.org/markup-compatibility/2006">
      <mc:Choice Requires="x14">
        <control shapeId="12336" r:id="rId4" name="CheckBox1">
          <controlPr defaultSize="0" autoLine="0" linkedCell="A5" r:id="rId5">
            <anchor moveWithCells="1">
              <from>
                <xdr:col>14</xdr:col>
                <xdr:colOff>285750</xdr:colOff>
                <xdr:row>4</xdr:row>
                <xdr:rowOff>9525</xdr:rowOff>
              </from>
              <to>
                <xdr:col>14</xdr:col>
                <xdr:colOff>561975</xdr:colOff>
                <xdr:row>4</xdr:row>
                <xdr:rowOff>228600</xdr:rowOff>
              </to>
            </anchor>
          </controlPr>
        </control>
      </mc:Choice>
      <mc:Fallback>
        <control shapeId="12336" r:id="rId4" name="Check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LocacaoImoveis">
    <pageSetUpPr fitToPage="1"/>
  </sheetPr>
  <dimension ref="A1:Q38"/>
  <sheetViews>
    <sheetView showGridLines="0" topLeftCell="B1" zoomScaleNormal="100" workbookViewId="0">
      <selection activeCell="N6" sqref="N6:O6"/>
    </sheetView>
  </sheetViews>
  <sheetFormatPr defaultColWidth="9.140625" defaultRowHeight="15" x14ac:dyDescent="0.25"/>
  <cols>
    <col min="1" max="1" width="13.42578125" style="95" hidden="1" customWidth="1"/>
    <col min="2" max="2" width="2.140625" style="1" customWidth="1"/>
    <col min="3" max="3" width="9" style="1" customWidth="1"/>
    <col min="4" max="4" width="8.42578125" style="1" bestFit="1" customWidth="1"/>
    <col min="5" max="5" width="7" style="2" bestFit="1" customWidth="1"/>
    <col min="6" max="6" width="18.42578125" style="5" bestFit="1" customWidth="1"/>
    <col min="7" max="7" width="9" style="4" bestFit="1" customWidth="1"/>
    <col min="8" max="8" width="10.28515625" style="4" bestFit="1" customWidth="1"/>
    <col min="9" max="9" width="4" style="1" customWidth="1"/>
    <col min="10" max="10" width="8.5703125" style="1" customWidth="1"/>
    <col min="11" max="11" width="8.42578125" style="1" bestFit="1" customWidth="1"/>
    <col min="12" max="12" width="6.28515625" style="2" bestFit="1" customWidth="1"/>
    <col min="13" max="13" width="16" style="1" bestFit="1" customWidth="1"/>
    <col min="14" max="14" width="9" style="3" bestFit="1" customWidth="1"/>
    <col min="15" max="15" width="9.140625" style="4" bestFit="1" customWidth="1"/>
    <col min="16" max="16" width="9.140625" style="1"/>
    <col min="17" max="17" width="12.85546875" style="1" bestFit="1" customWidth="1"/>
    <col min="18" max="16384" width="9.140625" style="1"/>
  </cols>
  <sheetData>
    <row r="1" spans="1:17" ht="6" customHeight="1" x14ac:dyDescent="0.25"/>
    <row r="2" spans="1:17" ht="18.75" customHeight="1" x14ac:dyDescent="0.25">
      <c r="C2" s="142" t="s">
        <v>0</v>
      </c>
      <c r="D2" s="143"/>
      <c r="E2" s="144"/>
      <c r="F2" s="136"/>
      <c r="G2" s="137"/>
      <c r="H2" s="137"/>
      <c r="I2" s="137"/>
      <c r="J2" s="137"/>
      <c r="K2" s="137"/>
      <c r="L2" s="137"/>
      <c r="M2" s="137"/>
      <c r="N2" s="137"/>
      <c r="O2" s="138"/>
    </row>
    <row r="3" spans="1:17" ht="4.5" customHeight="1" x14ac:dyDescent="0.25"/>
    <row r="4" spans="1:17" ht="4.5" customHeight="1" x14ac:dyDescent="0.25"/>
    <row r="5" spans="1:17" ht="18.75" customHeight="1" x14ac:dyDescent="0.25">
      <c r="A5" s="99" t="b">
        <v>1</v>
      </c>
      <c r="C5" s="142" t="s">
        <v>42</v>
      </c>
      <c r="D5" s="143"/>
      <c r="E5" s="143"/>
      <c r="F5" s="6" t="s">
        <v>2</v>
      </c>
      <c r="I5" s="123" t="s">
        <v>51</v>
      </c>
      <c r="J5" s="124"/>
      <c r="K5" s="124"/>
      <c r="L5" s="124"/>
      <c r="M5" s="124"/>
      <c r="N5" s="124"/>
      <c r="O5" s="125"/>
    </row>
    <row r="6" spans="1:17" ht="18.75" customHeight="1" x14ac:dyDescent="0.25">
      <c r="A6" s="96">
        <f>IF($A$5=TRUE,N6,0)</f>
        <v>0</v>
      </c>
      <c r="C6" s="139" t="s">
        <v>41</v>
      </c>
      <c r="D6" s="140"/>
      <c r="E6" s="141"/>
      <c r="F6" s="103"/>
      <c r="I6" s="149" t="s">
        <v>29</v>
      </c>
      <c r="J6" s="150"/>
      <c r="K6" s="151"/>
      <c r="L6" s="85">
        <f>L15</f>
        <v>1.6500000000000001E-2</v>
      </c>
      <c r="M6" s="116">
        <v>1</v>
      </c>
      <c r="N6" s="145">
        <f>-F7*L6*M6</f>
        <v>0</v>
      </c>
      <c r="O6" s="145"/>
    </row>
    <row r="7" spans="1:17" ht="18.75" customHeight="1" x14ac:dyDescent="0.25">
      <c r="A7" s="96">
        <f>IF($A$5=TRUE,N7,0)</f>
        <v>0</v>
      </c>
      <c r="C7" s="139" t="s">
        <v>47</v>
      </c>
      <c r="D7" s="140"/>
      <c r="E7" s="141"/>
      <c r="F7" s="104"/>
      <c r="I7" s="149" t="s">
        <v>30</v>
      </c>
      <c r="J7" s="150"/>
      <c r="K7" s="151"/>
      <c r="L7" s="86">
        <f>L16</f>
        <v>7.5999999999999998E-2</v>
      </c>
      <c r="M7" s="116">
        <f>M6</f>
        <v>1</v>
      </c>
      <c r="N7" s="145">
        <f>-F7*L7*M7</f>
        <v>0</v>
      </c>
      <c r="O7" s="145"/>
    </row>
    <row r="8" spans="1:17" ht="18.75" customHeight="1" x14ac:dyDescent="0.25">
      <c r="B8" s="98"/>
      <c r="C8" s="120" t="str">
        <f>IF(F8&gt;0,"Lucro Estimado","Prejuízo Estimado")</f>
        <v>Prejuízo Estimado</v>
      </c>
      <c r="D8" s="121"/>
      <c r="E8" s="122"/>
      <c r="F8" s="102">
        <f>F6+F7</f>
        <v>0</v>
      </c>
      <c r="I8" s="123" t="s">
        <v>31</v>
      </c>
      <c r="J8" s="124"/>
      <c r="K8" s="125"/>
      <c r="L8" s="87">
        <f>SUM(L6:L7)</f>
        <v>9.2499999999999999E-2</v>
      </c>
      <c r="M8" s="90"/>
      <c r="N8" s="126">
        <f>SUM(N6:N7)</f>
        <v>0</v>
      </c>
      <c r="O8" s="126"/>
    </row>
    <row r="9" spans="1:17" ht="16.5" customHeight="1" x14ac:dyDescent="0.25">
      <c r="E9" s="1"/>
      <c r="F9" s="1"/>
      <c r="I9" s="152" t="str">
        <f>IF(A5=TRUE,"","CRÉDITOS NÃO DEDUZIDOS DO PIS/COFINS A PAGAR")</f>
        <v/>
      </c>
      <c r="J9" s="152"/>
      <c r="K9" s="152"/>
      <c r="L9" s="152"/>
      <c r="M9" s="152"/>
      <c r="N9" s="152"/>
      <c r="O9" s="152"/>
    </row>
    <row r="10" spans="1:17" ht="16.5" customHeight="1" x14ac:dyDescent="0.25">
      <c r="C10" s="127" t="s">
        <v>49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</row>
    <row r="11" spans="1:17" ht="6" customHeight="1" x14ac:dyDescent="0.25">
      <c r="B11" s="47"/>
      <c r="C11" s="48"/>
    </row>
    <row r="12" spans="1:17" ht="12.75" x14ac:dyDescent="0.25">
      <c r="C12" s="128" t="s">
        <v>8</v>
      </c>
      <c r="D12" s="129"/>
      <c r="E12" s="129"/>
      <c r="F12" s="129"/>
      <c r="G12" s="129"/>
      <c r="H12" s="130"/>
      <c r="I12" s="48"/>
      <c r="J12" s="131" t="s">
        <v>9</v>
      </c>
      <c r="K12" s="132"/>
      <c r="L12" s="132"/>
      <c r="M12" s="132"/>
      <c r="N12" s="132"/>
      <c r="O12" s="133"/>
    </row>
    <row r="13" spans="1:17" ht="6" customHeight="1" x14ac:dyDescent="0.25">
      <c r="C13" s="49"/>
      <c r="D13" s="49"/>
      <c r="E13" s="50"/>
      <c r="F13" s="49"/>
      <c r="G13" s="51"/>
      <c r="H13" s="51"/>
      <c r="I13" s="48"/>
      <c r="J13" s="49"/>
      <c r="K13" s="49"/>
      <c r="L13" s="50"/>
      <c r="M13" s="49"/>
      <c r="O13" s="51"/>
    </row>
    <row r="14" spans="1:17" ht="12.75" x14ac:dyDescent="0.25">
      <c r="C14" s="52" t="s">
        <v>10</v>
      </c>
      <c r="D14" s="53" t="s">
        <v>11</v>
      </c>
      <c r="E14" s="54" t="s">
        <v>44</v>
      </c>
      <c r="F14" s="55" t="s">
        <v>13</v>
      </c>
      <c r="G14" s="56" t="s">
        <v>25</v>
      </c>
      <c r="H14" s="56" t="s">
        <v>14</v>
      </c>
      <c r="J14" s="52" t="s">
        <v>10</v>
      </c>
      <c r="K14" s="53" t="s">
        <v>11</v>
      </c>
      <c r="L14" s="54" t="s">
        <v>44</v>
      </c>
      <c r="M14" s="55" t="s">
        <v>13</v>
      </c>
      <c r="N14" s="56" t="s">
        <v>25</v>
      </c>
      <c r="O14" s="56" t="s">
        <v>14</v>
      </c>
    </row>
    <row r="15" spans="1:17" x14ac:dyDescent="0.25">
      <c r="C15" s="1" t="s">
        <v>15</v>
      </c>
      <c r="D15" s="105" t="s">
        <v>43</v>
      </c>
      <c r="E15" s="58">
        <v>6.4999999999999997E-3</v>
      </c>
      <c r="F15" s="5">
        <f>E15*$F$6</f>
        <v>0</v>
      </c>
      <c r="G15" s="59">
        <f>IF(F6=0,0,F15/$F$6)</f>
        <v>0</v>
      </c>
      <c r="H15" s="59">
        <f t="shared" ref="H15:H19" si="0">IF($F$8=0,0,F15/$F$8)</f>
        <v>0</v>
      </c>
      <c r="J15" s="1" t="s">
        <v>15</v>
      </c>
      <c r="K15" s="105" t="s">
        <v>43</v>
      </c>
      <c r="L15" s="58">
        <v>1.6500000000000001E-2</v>
      </c>
      <c r="M15" s="5">
        <f>IF(((L15*F6)-A6)&lt;0,0,(L15*F6)-A6)</f>
        <v>0</v>
      </c>
      <c r="N15" s="59">
        <f>IF(F6=0,0,M15/$F$6)</f>
        <v>0</v>
      </c>
      <c r="O15" s="59">
        <f t="shared" ref="O15:O19" si="1">IF($F$8=0,0,M15/$F$8)</f>
        <v>0</v>
      </c>
      <c r="Q15" s="89"/>
    </row>
    <row r="16" spans="1:17" x14ac:dyDescent="0.25">
      <c r="C16" s="1" t="s">
        <v>18</v>
      </c>
      <c r="D16" s="105" t="s">
        <v>43</v>
      </c>
      <c r="E16" s="58">
        <v>0.03</v>
      </c>
      <c r="F16" s="5">
        <f>E16*$F$6</f>
        <v>0</v>
      </c>
      <c r="G16" s="59">
        <f>IF(F6=0,0,F16/$F$6)</f>
        <v>0</v>
      </c>
      <c r="H16" s="59">
        <f t="shared" si="0"/>
        <v>0</v>
      </c>
      <c r="J16" s="1" t="s">
        <v>18</v>
      </c>
      <c r="K16" s="105" t="s">
        <v>43</v>
      </c>
      <c r="L16" s="58">
        <v>7.5999999999999998E-2</v>
      </c>
      <c r="M16" s="5">
        <f>IF(((L16*F6)-A7)&lt;0,0,(L16*F6)-A7)</f>
        <v>0</v>
      </c>
      <c r="N16" s="59">
        <f>IF(F6=0,0,M16/$F$6)</f>
        <v>0</v>
      </c>
      <c r="O16" s="59">
        <f t="shared" si="1"/>
        <v>0</v>
      </c>
      <c r="Q16" s="89"/>
    </row>
    <row r="17" spans="1:17" x14ac:dyDescent="0.25">
      <c r="C17" s="1" t="s">
        <v>19</v>
      </c>
      <c r="D17" s="105">
        <v>0.32</v>
      </c>
      <c r="E17" s="58">
        <v>0.15</v>
      </c>
      <c r="F17" s="5">
        <f>$F$6*D17*E17</f>
        <v>0</v>
      </c>
      <c r="G17" s="59">
        <f>IF(F6=0,0,F17/$F$6)</f>
        <v>0</v>
      </c>
      <c r="H17" s="59">
        <f t="shared" si="0"/>
        <v>0</v>
      </c>
      <c r="J17" s="1" t="s">
        <v>19</v>
      </c>
      <c r="K17" s="57" t="s">
        <v>39</v>
      </c>
      <c r="L17" s="58">
        <v>0.15</v>
      </c>
      <c r="M17" s="5">
        <f>IF($F$8&lt;0,0,L17*F$8)</f>
        <v>0</v>
      </c>
      <c r="N17" s="59">
        <f>IF(F6=0,0,M17/$F$6)</f>
        <v>0</v>
      </c>
      <c r="O17" s="59">
        <f t="shared" si="1"/>
        <v>0</v>
      </c>
    </row>
    <row r="18" spans="1:17" x14ac:dyDescent="0.25">
      <c r="C18" s="1" t="s">
        <v>21</v>
      </c>
      <c r="D18" s="105">
        <v>0.32</v>
      </c>
      <c r="E18" s="58">
        <v>0.1</v>
      </c>
      <c r="F18" s="60">
        <f>IF(((F6*D18)-20000)*E18&lt;0,0,((F6*D18)-20000)*E18)</f>
        <v>0</v>
      </c>
      <c r="G18" s="59">
        <f>IF(F6=0,0,F18/$F$6)</f>
        <v>0</v>
      </c>
      <c r="H18" s="59">
        <f t="shared" si="0"/>
        <v>0</v>
      </c>
      <c r="J18" s="1" t="s">
        <v>21</v>
      </c>
      <c r="K18" s="57" t="s">
        <v>39</v>
      </c>
      <c r="L18" s="61">
        <v>0.1</v>
      </c>
      <c r="M18" s="60">
        <f>IF((F8-20000)*L18&lt;0,0,(F8-20000))*L18</f>
        <v>0</v>
      </c>
      <c r="N18" s="59">
        <f>IF(F6=0,0,M18/$F$6)</f>
        <v>0</v>
      </c>
      <c r="O18" s="59">
        <f t="shared" si="1"/>
        <v>0</v>
      </c>
      <c r="Q18" s="89"/>
    </row>
    <row r="19" spans="1:17" ht="12.75" x14ac:dyDescent="0.25">
      <c r="C19" s="1" t="s">
        <v>22</v>
      </c>
      <c r="D19" s="105">
        <v>0.32</v>
      </c>
      <c r="E19" s="58">
        <v>0.09</v>
      </c>
      <c r="F19" s="62">
        <f>$F$6*D19*E19</f>
        <v>0</v>
      </c>
      <c r="G19" s="59">
        <f>IFERROR(IF(F5=0,0,F19/$F$6),0)</f>
        <v>0</v>
      </c>
      <c r="H19" s="59">
        <f t="shared" si="0"/>
        <v>0</v>
      </c>
      <c r="J19" s="1" t="s">
        <v>22</v>
      </c>
      <c r="K19" s="57" t="s">
        <v>39</v>
      </c>
      <c r="L19" s="58">
        <v>0.09</v>
      </c>
      <c r="M19" s="62">
        <f>IF($F$8&lt;0,0,L19*$F$8)</f>
        <v>0</v>
      </c>
      <c r="N19" s="59">
        <f>IFERROR(IF(F5=0,0,M19/$F$6),0)</f>
        <v>0</v>
      </c>
      <c r="O19" s="59">
        <f t="shared" si="1"/>
        <v>0</v>
      </c>
    </row>
    <row r="20" spans="1:17" ht="12.75" x14ac:dyDescent="0.25">
      <c r="C20" s="66" t="s">
        <v>23</v>
      </c>
      <c r="D20" s="67"/>
      <c r="E20" s="68">
        <f>IF($F$8=0,0,F20/$F$8)</f>
        <v>0</v>
      </c>
      <c r="F20" s="69">
        <f>SUM(F15:F19)</f>
        <v>0</v>
      </c>
      <c r="G20" s="70">
        <f>SUM(G15:G19)</f>
        <v>0</v>
      </c>
      <c r="H20" s="71">
        <f>SUM(H15:H19)</f>
        <v>0</v>
      </c>
      <c r="J20" s="66" t="s">
        <v>23</v>
      </c>
      <c r="K20" s="67"/>
      <c r="L20" s="68">
        <f>IF($F$8=0,0,M20/$F$8)</f>
        <v>0</v>
      </c>
      <c r="M20" s="69">
        <f>SUM(M15:M19)</f>
        <v>0</v>
      </c>
      <c r="N20" s="71">
        <f>SUM(N15:N19)</f>
        <v>0</v>
      </c>
      <c r="O20" s="71">
        <f>SUM(O15:O19)</f>
        <v>0</v>
      </c>
    </row>
    <row r="21" spans="1:17" x14ac:dyDescent="0.25">
      <c r="C21" s="72" t="s">
        <v>24</v>
      </c>
      <c r="D21" s="73"/>
      <c r="E21" s="74"/>
      <c r="F21" s="75">
        <f>$F$6-F20</f>
        <v>0</v>
      </c>
      <c r="G21" s="76"/>
      <c r="H21" s="77"/>
      <c r="J21" s="72" t="s">
        <v>24</v>
      </c>
      <c r="K21" s="73"/>
      <c r="L21" s="74"/>
      <c r="M21" s="75">
        <f>$F$6-M20</f>
        <v>0</v>
      </c>
      <c r="N21" s="78"/>
      <c r="O21" s="77"/>
    </row>
    <row r="22" spans="1:17" s="79" customFormat="1" ht="12.75" x14ac:dyDescent="0.25">
      <c r="A22" s="97"/>
      <c r="C22" s="80"/>
      <c r="E22" s="81"/>
      <c r="F22" s="82"/>
      <c r="G22" s="83"/>
      <c r="H22" s="84"/>
      <c r="J22" s="80"/>
      <c r="L22" s="81"/>
      <c r="M22" s="82"/>
      <c r="N22" s="84"/>
      <c r="O22" s="84"/>
    </row>
    <row r="23" spans="1:17" ht="16.5" customHeight="1" x14ac:dyDescent="0.25">
      <c r="B23" s="47"/>
      <c r="C23" s="127" t="s">
        <v>45</v>
      </c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</row>
    <row r="24" spans="1:17" ht="6" customHeight="1" x14ac:dyDescent="0.25">
      <c r="B24" s="47"/>
      <c r="C24" s="48"/>
    </row>
    <row r="25" spans="1:17" ht="12.75" x14ac:dyDescent="0.25">
      <c r="C25" s="128" t="s">
        <v>8</v>
      </c>
      <c r="D25" s="129"/>
      <c r="E25" s="129"/>
      <c r="F25" s="129"/>
      <c r="G25" s="129"/>
      <c r="H25" s="130"/>
      <c r="I25" s="48"/>
      <c r="J25" s="131" t="s">
        <v>9</v>
      </c>
      <c r="K25" s="132"/>
      <c r="L25" s="132"/>
      <c r="M25" s="132"/>
      <c r="N25" s="132"/>
      <c r="O25" s="133"/>
    </row>
    <row r="26" spans="1:17" ht="6" customHeight="1" x14ac:dyDescent="0.25">
      <c r="C26" s="49"/>
      <c r="D26" s="49"/>
      <c r="E26" s="50"/>
      <c r="F26" s="49"/>
      <c r="G26" s="51"/>
      <c r="H26" s="51"/>
      <c r="I26" s="48"/>
      <c r="J26" s="49"/>
      <c r="K26" s="49"/>
      <c r="L26" s="50"/>
      <c r="M26" s="49"/>
      <c r="O26" s="51"/>
    </row>
    <row r="27" spans="1:17" ht="12.75" x14ac:dyDescent="0.25">
      <c r="C27" s="52" t="s">
        <v>10</v>
      </c>
      <c r="D27" s="53" t="s">
        <v>11</v>
      </c>
      <c r="E27" s="54" t="s">
        <v>44</v>
      </c>
      <c r="F27" s="55" t="s">
        <v>13</v>
      </c>
      <c r="G27" s="56" t="s">
        <v>25</v>
      </c>
      <c r="H27" s="56" t="s">
        <v>14</v>
      </c>
      <c r="J27" s="52" t="s">
        <v>10</v>
      </c>
      <c r="K27" s="53" t="s">
        <v>11</v>
      </c>
      <c r="L27" s="54" t="s">
        <v>44</v>
      </c>
      <c r="M27" s="55" t="s">
        <v>13</v>
      </c>
      <c r="N27" s="56" t="s">
        <v>25</v>
      </c>
      <c r="O27" s="56" t="s">
        <v>14</v>
      </c>
    </row>
    <row r="28" spans="1:17" x14ac:dyDescent="0.25">
      <c r="C28" s="1" t="s">
        <v>15</v>
      </c>
      <c r="D28" s="57" t="s">
        <v>17</v>
      </c>
      <c r="E28" s="58">
        <v>0</v>
      </c>
      <c r="F28" s="5">
        <v>0</v>
      </c>
      <c r="G28" s="59">
        <f>IF(F6=0,0,F28/$F$6)</f>
        <v>0</v>
      </c>
      <c r="H28" s="59">
        <f>IF($F$8=0,0,F28/$F$8)</f>
        <v>0</v>
      </c>
      <c r="J28" s="1" t="s">
        <v>15</v>
      </c>
      <c r="K28" s="57" t="s">
        <v>17</v>
      </c>
      <c r="L28" s="58">
        <v>0</v>
      </c>
      <c r="M28" s="5">
        <v>0</v>
      </c>
      <c r="N28" s="59">
        <f>IF(F6=0,0,M28/$F$6)</f>
        <v>0</v>
      </c>
      <c r="O28" s="59">
        <f>IF($F$8=0,0,M28/$F$8)</f>
        <v>0</v>
      </c>
    </row>
    <row r="29" spans="1:17" x14ac:dyDescent="0.25">
      <c r="C29" s="1" t="s">
        <v>18</v>
      </c>
      <c r="D29" s="57" t="s">
        <v>17</v>
      </c>
      <c r="E29" s="58">
        <v>0</v>
      </c>
      <c r="F29" s="5">
        <v>0</v>
      </c>
      <c r="G29" s="59">
        <f>IF(F6=0,0,F29/$F$6)</f>
        <v>0</v>
      </c>
      <c r="H29" s="59">
        <f>IF($F$8=0,0,F29/$F$8)</f>
        <v>0</v>
      </c>
      <c r="J29" s="1" t="s">
        <v>18</v>
      </c>
      <c r="K29" s="57" t="s">
        <v>17</v>
      </c>
      <c r="L29" s="58">
        <v>0</v>
      </c>
      <c r="M29" s="5">
        <v>0</v>
      </c>
      <c r="N29" s="59">
        <f>IF(F6=0,0,M29/$F$6)</f>
        <v>0</v>
      </c>
      <c r="O29" s="59">
        <f>IF($F$8=0,0,M29/$F$8)</f>
        <v>0</v>
      </c>
    </row>
    <row r="30" spans="1:17" x14ac:dyDescent="0.25">
      <c r="C30" s="1" t="s">
        <v>19</v>
      </c>
      <c r="D30" s="57" t="s">
        <v>4</v>
      </c>
      <c r="E30" s="58">
        <v>0.15</v>
      </c>
      <c r="F30" s="5">
        <f>E30*$F$6</f>
        <v>0</v>
      </c>
      <c r="G30" s="59">
        <f>IF(F6=0,0,F30/$F$6)</f>
        <v>0</v>
      </c>
      <c r="H30" s="59">
        <f>IF($F$8=0,0,F30/$F$8)</f>
        <v>0</v>
      </c>
      <c r="J30" s="1" t="s">
        <v>19</v>
      </c>
      <c r="K30" s="57" t="s">
        <v>4</v>
      </c>
      <c r="L30" s="58">
        <v>0.15</v>
      </c>
      <c r="M30" s="5">
        <f>IF($F$8&lt;0,0,L30*$F$8)</f>
        <v>0</v>
      </c>
      <c r="N30" s="59">
        <f>IF(F6=0,0,M30/$F$6)</f>
        <v>0</v>
      </c>
      <c r="O30" s="59">
        <f>IF($F$8=0,0,M30/$F$8)</f>
        <v>0</v>
      </c>
    </row>
    <row r="31" spans="1:17" x14ac:dyDescent="0.25">
      <c r="C31" s="1" t="s">
        <v>21</v>
      </c>
      <c r="D31" s="57" t="s">
        <v>4</v>
      </c>
      <c r="E31" s="58">
        <v>0.1</v>
      </c>
      <c r="F31" s="60">
        <f>IF((F6-20000)*E31&lt;0,0,IF(F30=0,0,(F6-20000)*E31))</f>
        <v>0</v>
      </c>
      <c r="G31" s="59">
        <f>IF(F6=0,0,F31/$F$6)</f>
        <v>0</v>
      </c>
      <c r="H31" s="59">
        <f>IF($F$8=0,0,F31/$F$8)</f>
        <v>0</v>
      </c>
      <c r="J31" s="1" t="s">
        <v>21</v>
      </c>
      <c r="K31" s="57" t="s">
        <v>4</v>
      </c>
      <c r="L31" s="61">
        <v>0.1</v>
      </c>
      <c r="M31" s="60">
        <f>IF((F8-20000)*L31&lt;0,0,(F8-20000)*L31)</f>
        <v>0</v>
      </c>
      <c r="N31" s="59">
        <f>IF(F6=0,0,M31/$F$6)</f>
        <v>0</v>
      </c>
      <c r="O31" s="59">
        <f>IF($F$8=0,0,M31/$F$8)</f>
        <v>0</v>
      </c>
    </row>
    <row r="32" spans="1:17" x14ac:dyDescent="0.25">
      <c r="C32" s="1" t="s">
        <v>22</v>
      </c>
      <c r="D32" s="57" t="s">
        <v>4</v>
      </c>
      <c r="E32" s="58">
        <v>0.09</v>
      </c>
      <c r="F32" s="63">
        <f>E32*$F$6</f>
        <v>0</v>
      </c>
      <c r="G32" s="64">
        <f>IF(F6=0,0,F32/$F$6)</f>
        <v>0</v>
      </c>
      <c r="H32" s="65">
        <f>IF($F$8=0,0,F32/$F$8)</f>
        <v>0</v>
      </c>
      <c r="J32" s="1" t="s">
        <v>22</v>
      </c>
      <c r="K32" s="57" t="s">
        <v>4</v>
      </c>
      <c r="L32" s="58">
        <v>0.09</v>
      </c>
      <c r="M32" s="63">
        <f>IF($F$8&lt;0,0,L32*$F$8)</f>
        <v>0</v>
      </c>
      <c r="N32" s="65">
        <f>IF(F6=0,0,M32/$F$6)</f>
        <v>0</v>
      </c>
      <c r="O32" s="65">
        <f>IF($F$8=0,0,M32/$F$8)</f>
        <v>0</v>
      </c>
    </row>
    <row r="33" spans="3:15" ht="12.75" x14ac:dyDescent="0.25">
      <c r="C33" s="66" t="s">
        <v>23</v>
      </c>
      <c r="D33" s="67"/>
      <c r="E33" s="68">
        <f>IF($F$8=0,0,F33/$F$8)</f>
        <v>0</v>
      </c>
      <c r="F33" s="69">
        <f>SUM(F28:F32)</f>
        <v>0</v>
      </c>
      <c r="G33" s="71">
        <f>SUM(G28:G32)</f>
        <v>0</v>
      </c>
      <c r="H33" s="71">
        <f>SUM(H28:H32)</f>
        <v>0</v>
      </c>
      <c r="J33" s="66" t="s">
        <v>23</v>
      </c>
      <c r="K33" s="67"/>
      <c r="L33" s="68">
        <f>IF($F$8=0,0,M33/$F$8)</f>
        <v>0</v>
      </c>
      <c r="M33" s="69">
        <f>SUM(M28:M32)</f>
        <v>0</v>
      </c>
      <c r="N33" s="71">
        <f>SUM(N28:N32)</f>
        <v>0</v>
      </c>
      <c r="O33" s="71">
        <f>SUM(O28:O32)</f>
        <v>0</v>
      </c>
    </row>
    <row r="34" spans="3:15" x14ac:dyDescent="0.25">
      <c r="C34" s="72" t="s">
        <v>24</v>
      </c>
      <c r="D34" s="73"/>
      <c r="E34" s="74"/>
      <c r="F34" s="75">
        <f>$F$6-F33</f>
        <v>0</v>
      </c>
      <c r="G34" s="76"/>
      <c r="H34" s="77"/>
      <c r="J34" s="72" t="s">
        <v>24</v>
      </c>
      <c r="K34" s="73"/>
      <c r="L34" s="74"/>
      <c r="M34" s="75">
        <f>$F$6-M33</f>
        <v>0</v>
      </c>
      <c r="N34" s="78"/>
      <c r="O34" s="77"/>
    </row>
    <row r="35" spans="3:15" x14ac:dyDescent="0.25">
      <c r="M35" s="89"/>
    </row>
    <row r="38" spans="3:15" x14ac:dyDescent="0.25">
      <c r="M38" s="89"/>
    </row>
  </sheetData>
  <mergeCells count="20">
    <mergeCell ref="C2:E2"/>
    <mergeCell ref="F2:O2"/>
    <mergeCell ref="C5:E5"/>
    <mergeCell ref="I5:O5"/>
    <mergeCell ref="C6:E6"/>
    <mergeCell ref="I6:K6"/>
    <mergeCell ref="N6:O6"/>
    <mergeCell ref="C25:H25"/>
    <mergeCell ref="J25:O25"/>
    <mergeCell ref="C7:E7"/>
    <mergeCell ref="I7:K7"/>
    <mergeCell ref="N7:O7"/>
    <mergeCell ref="C8:E8"/>
    <mergeCell ref="I8:K8"/>
    <mergeCell ref="N8:O8"/>
    <mergeCell ref="I9:O9"/>
    <mergeCell ref="C10:O10"/>
    <mergeCell ref="C12:H12"/>
    <mergeCell ref="J12:O12"/>
    <mergeCell ref="C23:O23"/>
  </mergeCells>
  <conditionalFormatting sqref="I9:O9">
    <cfRule type="cellIs" dxfId="4" priority="1" operator="equal">
      <formula>"CRÉDITOS NÃO DEDUZIDOS DO PIS/COFINS A PAGAR"</formula>
    </cfRule>
    <cfRule type="cellIs" dxfId="3" priority="2" operator="equal">
      <formula>"CRÉDITOS NÃO DEDUZIDOS DO PIS/COFINS A PAGAR"</formula>
    </cfRule>
  </conditionalFormatting>
  <dataValidations count="1">
    <dataValidation type="custom" allowBlank="1" showInputMessage="1" showErrorMessage="1" errorTitle="ERRO!" error="O valor deve ser negativo." sqref="F7" xr:uid="{00000000-0002-0000-0200-000000000000}">
      <formula1>F7&lt;=0</formula1>
    </dataValidation>
  </dataValidations>
  <printOptions horizontalCentered="1" verticalCentered="1"/>
  <pageMargins left="0.51181102362204722" right="0.23622047244094491" top="0.88" bottom="0.78740157480314965" header="0.53" footer="0.31496062992125984"/>
  <pageSetup paperSize="9" orientation="landscape" horizontalDpi="4294967295" verticalDpi="300" r:id="rId1"/>
  <headerFooter>
    <oddHeader>&amp;C&amp;"Arial,Negrito"&amp;14ANÁLISE TRIBUTÁRIA NA VENDA DE IMÓVEL</oddHeader>
    <oddFooter>&amp;L&amp;8&amp;Z&amp;F&amp;R&amp;D / &amp;T</oddFooter>
  </headerFooter>
  <ignoredErrors>
    <ignoredError sqref="F31 F18" formula="1"/>
  </ignoredErrors>
  <drawing r:id="rId2"/>
  <legacyDrawing r:id="rId3"/>
  <controls>
    <mc:AlternateContent xmlns:mc="http://schemas.openxmlformats.org/markup-compatibility/2006">
      <mc:Choice Requires="x14">
        <control shapeId="18433" r:id="rId4" name="CheckBox1">
          <controlPr defaultSize="0" autoLine="0" linkedCell="A5" r:id="rId5">
            <anchor moveWithCells="1">
              <from>
                <xdr:col>14</xdr:col>
                <xdr:colOff>285750</xdr:colOff>
                <xdr:row>4</xdr:row>
                <xdr:rowOff>9525</xdr:rowOff>
              </from>
              <to>
                <xdr:col>14</xdr:col>
                <xdr:colOff>561975</xdr:colOff>
                <xdr:row>4</xdr:row>
                <xdr:rowOff>228600</xdr:rowOff>
              </to>
            </anchor>
          </controlPr>
        </control>
      </mc:Choice>
      <mc:Fallback>
        <control shapeId="18433" r:id="rId4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servPrestados">
    <pageSetUpPr fitToPage="1"/>
  </sheetPr>
  <dimension ref="A1:V22"/>
  <sheetViews>
    <sheetView showGridLines="0" topLeftCell="B1" zoomScaleNormal="100" workbookViewId="0">
      <selection activeCell="F7" sqref="F7"/>
    </sheetView>
  </sheetViews>
  <sheetFormatPr defaultColWidth="9.140625" defaultRowHeight="15" x14ac:dyDescent="0.25"/>
  <cols>
    <col min="1" max="1" width="13.28515625" style="91" hidden="1" customWidth="1"/>
    <col min="2" max="2" width="1.42578125" style="12" customWidth="1"/>
    <col min="3" max="4" width="9.42578125" style="12" customWidth="1"/>
    <col min="5" max="5" width="9.42578125" style="9" customWidth="1"/>
    <col min="6" max="6" width="17.28515625" style="10" customWidth="1"/>
    <col min="7" max="8" width="9" style="11" bestFit="1" customWidth="1"/>
    <col min="9" max="9" width="6.140625" style="12" customWidth="1"/>
    <col min="10" max="11" width="9.42578125" style="12" customWidth="1"/>
    <col min="12" max="12" width="9.42578125" style="9" customWidth="1"/>
    <col min="13" max="13" width="15.85546875" style="12" bestFit="1" customWidth="1"/>
    <col min="14" max="14" width="9" style="39" bestFit="1" customWidth="1"/>
    <col min="15" max="15" width="8.85546875" style="40" bestFit="1" customWidth="1"/>
    <col min="16" max="16" width="10.28515625" style="12" bestFit="1" customWidth="1"/>
    <col min="17" max="17" width="12.28515625" style="12" customWidth="1"/>
    <col min="18" max="18" width="9" style="12" customWidth="1"/>
    <col min="19" max="19" width="9.28515625" style="12" bestFit="1" customWidth="1"/>
    <col min="20" max="20" width="7.140625" style="12" bestFit="1" customWidth="1"/>
    <col min="21" max="21" width="9.85546875" style="12" bestFit="1" customWidth="1"/>
    <col min="22" max="22" width="9.140625" style="91" customWidth="1"/>
    <col min="23" max="16384" width="9.140625" style="12"/>
  </cols>
  <sheetData>
    <row r="1" spans="1:22" ht="3.75" customHeight="1" x14ac:dyDescent="0.25">
      <c r="C1" s="170" t="s">
        <v>7</v>
      </c>
      <c r="D1" s="170"/>
    </row>
    <row r="2" spans="1:22" s="1" customFormat="1" ht="15" customHeight="1" x14ac:dyDescent="0.25">
      <c r="A2" s="92"/>
      <c r="C2" s="171" t="s">
        <v>0</v>
      </c>
      <c r="D2" s="172"/>
      <c r="E2" s="173"/>
      <c r="F2" s="136"/>
      <c r="G2" s="137"/>
      <c r="H2" s="137"/>
      <c r="I2" s="137"/>
      <c r="J2" s="137"/>
      <c r="K2" s="137"/>
      <c r="L2" s="137"/>
      <c r="M2" s="137"/>
      <c r="N2" s="137"/>
      <c r="O2" s="138"/>
      <c r="V2" s="92"/>
    </row>
    <row r="3" spans="1:22" s="1" customFormat="1" ht="9" customHeight="1" x14ac:dyDescent="0.25">
      <c r="A3" s="92"/>
      <c r="E3" s="2"/>
      <c r="F3" s="5"/>
      <c r="G3" s="4"/>
      <c r="H3" s="4"/>
      <c r="V3" s="92"/>
    </row>
    <row r="4" spans="1:22" s="1" customFormat="1" ht="18.75" customHeight="1" x14ac:dyDescent="0.25">
      <c r="A4" s="92" t="b">
        <v>1</v>
      </c>
      <c r="C4" s="142" t="s">
        <v>1</v>
      </c>
      <c r="D4" s="143"/>
      <c r="E4" s="143"/>
      <c r="F4" s="6" t="s">
        <v>2</v>
      </c>
      <c r="G4" s="4"/>
      <c r="H4" s="4"/>
      <c r="I4" s="146" t="s">
        <v>51</v>
      </c>
      <c r="J4" s="147"/>
      <c r="K4" s="147"/>
      <c r="L4" s="147"/>
      <c r="M4" s="147"/>
      <c r="N4" s="147"/>
      <c r="O4" s="148"/>
      <c r="V4" s="92"/>
    </row>
    <row r="5" spans="1:22" s="1" customFormat="1" ht="18.75" customHeight="1" x14ac:dyDescent="0.25">
      <c r="A5" s="115">
        <f>IF(A4=TRUE,N5,0)</f>
        <v>-9900</v>
      </c>
      <c r="C5" s="160" t="s">
        <v>52</v>
      </c>
      <c r="D5" s="161"/>
      <c r="E5" s="162"/>
      <c r="F5" s="100">
        <v>1000000</v>
      </c>
      <c r="G5" s="4"/>
      <c r="H5" s="4"/>
      <c r="I5" s="165" t="s">
        <v>3</v>
      </c>
      <c r="J5" s="165"/>
      <c r="K5" s="165"/>
      <c r="L5" s="114">
        <v>1.6500000000000001E-2</v>
      </c>
      <c r="M5" s="174">
        <v>1</v>
      </c>
      <c r="N5" s="168">
        <f>$F$6*L5*M5</f>
        <v>-9900</v>
      </c>
      <c r="O5" s="169"/>
    </row>
    <row r="6" spans="1:22" s="1" customFormat="1" ht="18.75" customHeight="1" x14ac:dyDescent="0.25">
      <c r="A6" s="115">
        <f>IF(A4=TRUE,N6,0)</f>
        <v>-45600</v>
      </c>
      <c r="C6" s="160" t="s">
        <v>50</v>
      </c>
      <c r="D6" s="161"/>
      <c r="E6" s="162"/>
      <c r="F6" s="101">
        <v>-600000</v>
      </c>
      <c r="G6" s="4"/>
      <c r="H6" s="4"/>
      <c r="I6" s="164" t="s">
        <v>5</v>
      </c>
      <c r="J6" s="164"/>
      <c r="K6" s="164"/>
      <c r="L6" s="107">
        <v>7.5999999999999998E-2</v>
      </c>
      <c r="M6" s="175">
        <f>M5</f>
        <v>1</v>
      </c>
      <c r="N6" s="168">
        <f>$F$6*L6*M6</f>
        <v>-45600</v>
      </c>
      <c r="O6" s="169"/>
      <c r="V6" s="92"/>
    </row>
    <row r="7" spans="1:22" s="1" customFormat="1" ht="18.75" customHeight="1" x14ac:dyDescent="0.25">
      <c r="A7" s="92"/>
      <c r="C7" s="157" t="s">
        <v>6</v>
      </c>
      <c r="D7" s="158"/>
      <c r="E7" s="159"/>
      <c r="F7" s="7">
        <f>F5+F6</f>
        <v>400000</v>
      </c>
      <c r="G7" s="4"/>
      <c r="H7" s="4"/>
      <c r="I7" s="163" t="s">
        <v>31</v>
      </c>
      <c r="J7" s="163"/>
      <c r="K7" s="163"/>
      <c r="L7" s="88">
        <f>SUM(L5:L6)</f>
        <v>9.2499999999999999E-2</v>
      </c>
      <c r="M7" s="176"/>
      <c r="N7" s="166">
        <f>SUM(N5:N6)</f>
        <v>-55500</v>
      </c>
      <c r="O7" s="167"/>
      <c r="V7" s="92"/>
    </row>
    <row r="8" spans="1:22" s="1" customFormat="1" ht="17.25" customHeight="1" x14ac:dyDescent="0.25">
      <c r="A8" s="92"/>
      <c r="C8" s="8"/>
      <c r="E8" s="2"/>
      <c r="F8" s="5"/>
      <c r="G8" s="4"/>
      <c r="H8" s="4"/>
      <c r="I8" s="152" t="str">
        <f>IF(A4=TRUE,"","CRÉDITOS NÃO DEDUZIDOS DO PIS/COFINS A PAGAR")</f>
        <v/>
      </c>
      <c r="J8" s="152"/>
      <c r="K8" s="152"/>
      <c r="L8" s="152"/>
      <c r="M8" s="152"/>
      <c r="N8" s="152"/>
      <c r="O8" s="152"/>
      <c r="V8" s="92"/>
    </row>
    <row r="9" spans="1:22" ht="15.75" x14ac:dyDescent="0.25">
      <c r="C9" s="156" t="s">
        <v>53</v>
      </c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</row>
    <row r="10" spans="1:22" ht="8.25" customHeight="1" x14ac:dyDescent="0.25">
      <c r="C10" s="13"/>
    </row>
    <row r="11" spans="1:22" ht="12.75" x14ac:dyDescent="0.2">
      <c r="C11" s="153" t="s">
        <v>8</v>
      </c>
      <c r="D11" s="154"/>
      <c r="E11" s="154"/>
      <c r="F11" s="154"/>
      <c r="G11" s="154"/>
      <c r="H11" s="155"/>
      <c r="I11" s="14"/>
      <c r="J11" s="153" t="s">
        <v>9</v>
      </c>
      <c r="K11" s="154"/>
      <c r="L11" s="154"/>
      <c r="M11" s="154"/>
      <c r="N11" s="154"/>
      <c r="O11" s="155"/>
    </row>
    <row r="12" spans="1:22" ht="8.25" customHeight="1" x14ac:dyDescent="0.2">
      <c r="C12" s="15"/>
      <c r="D12" s="15"/>
      <c r="E12" s="16"/>
      <c r="F12" s="15"/>
      <c r="G12" s="17"/>
      <c r="H12" s="17"/>
      <c r="I12" s="14"/>
      <c r="J12" s="15"/>
      <c r="K12" s="15"/>
      <c r="L12" s="16"/>
      <c r="M12" s="15"/>
      <c r="O12" s="17"/>
    </row>
    <row r="13" spans="1:22" ht="18" customHeight="1" x14ac:dyDescent="0.2">
      <c r="C13" s="18" t="s">
        <v>10</v>
      </c>
      <c r="D13" s="19" t="s">
        <v>11</v>
      </c>
      <c r="E13" s="20" t="s">
        <v>12</v>
      </c>
      <c r="F13" s="21" t="s">
        <v>13</v>
      </c>
      <c r="G13" s="41" t="s">
        <v>35</v>
      </c>
      <c r="H13" s="41" t="s">
        <v>36</v>
      </c>
      <c r="J13" s="18" t="s">
        <v>10</v>
      </c>
      <c r="K13" s="19" t="s">
        <v>11</v>
      </c>
      <c r="L13" s="20" t="s">
        <v>12</v>
      </c>
      <c r="M13" s="21" t="s">
        <v>13</v>
      </c>
      <c r="N13" s="41" t="s">
        <v>35</v>
      </c>
      <c r="O13" s="41" t="s">
        <v>36</v>
      </c>
    </row>
    <row r="14" spans="1:22" ht="18" customHeight="1" x14ac:dyDescent="0.25">
      <c r="C14" s="12" t="s">
        <v>15</v>
      </c>
      <c r="D14" s="22" t="s">
        <v>16</v>
      </c>
      <c r="E14" s="23">
        <v>6.4999999999999997E-3</v>
      </c>
      <c r="F14" s="10">
        <f>E14*$F$5</f>
        <v>6500</v>
      </c>
      <c r="G14" s="42">
        <f>IF(F5=0,0,F14/$F$5)</f>
        <v>6.4999999999999997E-3</v>
      </c>
      <c r="H14" s="42">
        <f t="shared" ref="H14:H19" si="0">IF($F$7=0,0,F14/$F$7)</f>
        <v>1.6250000000000001E-2</v>
      </c>
      <c r="J14" s="12" t="s">
        <v>15</v>
      </c>
      <c r="K14" s="22" t="s">
        <v>16</v>
      </c>
      <c r="L14" s="23">
        <v>1.6500000000000001E-2</v>
      </c>
      <c r="M14" s="10">
        <f>IF(L14*$F$5-A5&lt;0,0,IF($A$4=TRUE,L14*$F$5-A5,$F$5*L14))</f>
        <v>26400</v>
      </c>
      <c r="N14" s="42">
        <f>IF(F5=0,0,M14/$F$5)</f>
        <v>2.64E-2</v>
      </c>
      <c r="O14" s="42">
        <f t="shared" ref="O14:O19" si="1">IF($F$7=0,0,M14/$F$7)</f>
        <v>6.6000000000000003E-2</v>
      </c>
      <c r="P14" s="38"/>
    </row>
    <row r="15" spans="1:22" ht="18" customHeight="1" x14ac:dyDescent="0.25">
      <c r="C15" s="12" t="s">
        <v>18</v>
      </c>
      <c r="D15" s="22" t="s">
        <v>16</v>
      </c>
      <c r="E15" s="23">
        <v>0.03</v>
      </c>
      <c r="F15" s="10">
        <f>E15*$F$5</f>
        <v>30000</v>
      </c>
      <c r="G15" s="42">
        <f>IF(F5=0,0,F15/$F$5)</f>
        <v>0.03</v>
      </c>
      <c r="H15" s="42">
        <f t="shared" si="0"/>
        <v>7.4999999999999997E-2</v>
      </c>
      <c r="J15" s="12" t="s">
        <v>18</v>
      </c>
      <c r="K15" s="22" t="s">
        <v>16</v>
      </c>
      <c r="L15" s="23">
        <v>7.5999999999999998E-2</v>
      </c>
      <c r="M15" s="10">
        <f>IF(L15*$F$5-A6&lt;0,0,IF($A$4=TRUE,L15*$F$5-A6,$F$5*L15))</f>
        <v>121600</v>
      </c>
      <c r="N15" s="42">
        <f>IF(F5=0,0,M15/$F$5)</f>
        <v>0.1216</v>
      </c>
      <c r="O15" s="42">
        <f t="shared" si="1"/>
        <v>0.30399999999999999</v>
      </c>
      <c r="P15" s="38"/>
    </row>
    <row r="16" spans="1:22" ht="18" customHeight="1" x14ac:dyDescent="0.25">
      <c r="C16" s="12" t="s">
        <v>26</v>
      </c>
      <c r="D16" s="22" t="s">
        <v>16</v>
      </c>
      <c r="E16" s="23">
        <v>0.05</v>
      </c>
      <c r="F16" s="10">
        <f>E16*$F$5</f>
        <v>50000</v>
      </c>
      <c r="G16" s="42">
        <f>IF(F5=0,0,F16/$F$5)</f>
        <v>0.05</v>
      </c>
      <c r="H16" s="42">
        <f t="shared" si="0"/>
        <v>0.125</v>
      </c>
      <c r="J16" s="12" t="s">
        <v>26</v>
      </c>
      <c r="K16" s="22" t="s">
        <v>16</v>
      </c>
      <c r="L16" s="23">
        <v>0.05</v>
      </c>
      <c r="M16" s="10">
        <f>L16*$F$5</f>
        <v>50000</v>
      </c>
      <c r="N16" s="42">
        <f>IF(F5=0,0,M16/$F$5)</f>
        <v>0.05</v>
      </c>
      <c r="O16" s="42">
        <f t="shared" si="1"/>
        <v>0.125</v>
      </c>
    </row>
    <row r="17" spans="3:19" ht="18" customHeight="1" x14ac:dyDescent="0.25">
      <c r="C17" s="12" t="s">
        <v>19</v>
      </c>
      <c r="D17" s="22">
        <v>0.32</v>
      </c>
      <c r="E17" s="23">
        <v>0.15</v>
      </c>
      <c r="F17" s="10">
        <f>$F$5*D17*E17</f>
        <v>48000</v>
      </c>
      <c r="G17" s="42">
        <f>IF(F5=0,0,F17/$F$5)</f>
        <v>4.8000000000000001E-2</v>
      </c>
      <c r="H17" s="42">
        <f t="shared" si="0"/>
        <v>0.12</v>
      </c>
      <c r="J17" s="12" t="s">
        <v>19</v>
      </c>
      <c r="K17" s="22" t="s">
        <v>20</v>
      </c>
      <c r="L17" s="23">
        <v>0.15</v>
      </c>
      <c r="M17" s="10">
        <f>IF(F7&lt;0,0,L17*$F$7)</f>
        <v>60000</v>
      </c>
      <c r="N17" s="42">
        <f>IF(F5=0,0,M17/$F$5)</f>
        <v>0.06</v>
      </c>
      <c r="O17" s="42">
        <f t="shared" si="1"/>
        <v>0.15</v>
      </c>
    </row>
    <row r="18" spans="3:19" ht="18" customHeight="1" x14ac:dyDescent="0.25">
      <c r="C18" s="12" t="s">
        <v>21</v>
      </c>
      <c r="D18" s="22">
        <v>0.32</v>
      </c>
      <c r="E18" s="23">
        <v>0.1</v>
      </c>
      <c r="F18" s="24">
        <f>IF(((F5*D18)-20000)*E18&lt;0,0,((F5*D18)-20000)*E18)</f>
        <v>30000</v>
      </c>
      <c r="G18" s="42">
        <f>IF(F5=0,0,F18/$F$5)</f>
        <v>0.03</v>
      </c>
      <c r="H18" s="42">
        <f t="shared" si="0"/>
        <v>7.4999999999999997E-2</v>
      </c>
      <c r="J18" s="12" t="s">
        <v>21</v>
      </c>
      <c r="K18" s="22" t="s">
        <v>20</v>
      </c>
      <c r="L18" s="25">
        <v>0.1</v>
      </c>
      <c r="M18" s="24">
        <f>IF((F7-20000)*L18&lt;0,0,(F7-20000))*L18</f>
        <v>38000</v>
      </c>
      <c r="N18" s="42">
        <f>IF(F5=0,0,M18/$F$5)</f>
        <v>3.7999999999999999E-2</v>
      </c>
      <c r="O18" s="42">
        <f t="shared" si="1"/>
        <v>9.5000000000000001E-2</v>
      </c>
      <c r="Q18" s="38"/>
      <c r="S18" s="94"/>
    </row>
    <row r="19" spans="3:19" ht="18" customHeight="1" x14ac:dyDescent="0.2">
      <c r="C19" s="12" t="s">
        <v>22</v>
      </c>
      <c r="D19" s="22">
        <v>0.32</v>
      </c>
      <c r="E19" s="23">
        <v>0.09</v>
      </c>
      <c r="F19" s="43">
        <f>$F$5*D19*E19</f>
        <v>28800</v>
      </c>
      <c r="G19" s="42">
        <f>IF(F5=0,0,F19/$F$5)</f>
        <v>2.8799999999999999E-2</v>
      </c>
      <c r="H19" s="42">
        <f t="shared" si="0"/>
        <v>7.1999999999999995E-2</v>
      </c>
      <c r="I19" s="26"/>
      <c r="J19" s="26" t="s">
        <v>22</v>
      </c>
      <c r="K19" s="22" t="s">
        <v>20</v>
      </c>
      <c r="L19" s="23">
        <v>0.09</v>
      </c>
      <c r="M19" s="43">
        <f>IF(F7&lt;0,0,L19*$F$7)</f>
        <v>36000</v>
      </c>
      <c r="N19" s="42">
        <f>IF(F5=0,0,M19/$F$5)</f>
        <v>3.5999999999999997E-2</v>
      </c>
      <c r="O19" s="42">
        <f t="shared" si="1"/>
        <v>0.09</v>
      </c>
      <c r="S19" s="94"/>
    </row>
    <row r="20" spans="3:19" ht="18" customHeight="1" x14ac:dyDescent="0.2">
      <c r="C20" s="27" t="s">
        <v>23</v>
      </c>
      <c r="D20" s="28"/>
      <c r="E20" s="29"/>
      <c r="F20" s="30">
        <f>SUM(F14:F19)</f>
        <v>193300</v>
      </c>
      <c r="G20" s="44">
        <f>SUM(G14:G19)</f>
        <v>0.1933</v>
      </c>
      <c r="H20" s="44">
        <f>SUM(H14:H19)</f>
        <v>0.48325000000000001</v>
      </c>
      <c r="J20" s="27" t="s">
        <v>23</v>
      </c>
      <c r="K20" s="28"/>
      <c r="L20" s="29"/>
      <c r="M20" s="30">
        <f>SUM(M14:M19)</f>
        <v>332000</v>
      </c>
      <c r="N20" s="44">
        <f>SUM(N14:N19)</f>
        <v>0.33199999999999996</v>
      </c>
      <c r="O20" s="44">
        <f>SUM(O14:O19)</f>
        <v>0.83</v>
      </c>
      <c r="Q20" s="94"/>
      <c r="R20" s="93"/>
      <c r="S20" s="94"/>
    </row>
    <row r="21" spans="3:19" ht="18" customHeight="1" x14ac:dyDescent="0.25">
      <c r="C21" s="31" t="s">
        <v>24</v>
      </c>
      <c r="D21" s="32"/>
      <c r="E21" s="33"/>
      <c r="F21" s="34">
        <f>$F$5-F20</f>
        <v>806700</v>
      </c>
      <c r="G21" s="35"/>
      <c r="H21" s="36"/>
      <c r="J21" s="31" t="s">
        <v>24</v>
      </c>
      <c r="K21" s="32"/>
      <c r="L21" s="33"/>
      <c r="M21" s="37">
        <f>$F$5-M20</f>
        <v>668000</v>
      </c>
      <c r="N21" s="45"/>
      <c r="O21" s="46"/>
    </row>
    <row r="22" spans="3:19" x14ac:dyDescent="0.25">
      <c r="M22" s="38"/>
    </row>
  </sheetData>
  <mergeCells count="18">
    <mergeCell ref="F2:O2"/>
    <mergeCell ref="C1:D1"/>
    <mergeCell ref="C2:E2"/>
    <mergeCell ref="C4:E4"/>
    <mergeCell ref="I4:O4"/>
    <mergeCell ref="C5:E5"/>
    <mergeCell ref="I7:K7"/>
    <mergeCell ref="I6:K6"/>
    <mergeCell ref="I5:K5"/>
    <mergeCell ref="I8:O8"/>
    <mergeCell ref="N7:O7"/>
    <mergeCell ref="N6:O6"/>
    <mergeCell ref="N5:O5"/>
    <mergeCell ref="C11:H11"/>
    <mergeCell ref="J11:O11"/>
    <mergeCell ref="C9:O9"/>
    <mergeCell ref="C7:E7"/>
    <mergeCell ref="C6:E6"/>
  </mergeCells>
  <conditionalFormatting sqref="C9">
    <cfRule type="expression" dxfId="2" priority="5">
      <formula>IF(#REF!="QUOTA",TRUE,FALSE)</formula>
    </cfRule>
  </conditionalFormatting>
  <conditionalFormatting sqref="I8:O8">
    <cfRule type="cellIs" dxfId="1" priority="1" operator="equal">
      <formula>"CRÉDITOS NÃO DEDUZIDOS DO PIS/COFINS A PAGAR"</formula>
    </cfRule>
    <cfRule type="cellIs" dxfId="0" priority="2" operator="equal">
      <formula>"CRÉDITOS NÃO DEDUZIDOS DO PIS/COFINS A PAGAR"</formula>
    </cfRule>
  </conditionalFormatting>
  <dataValidations count="1">
    <dataValidation type="custom" allowBlank="1" showInputMessage="1" showErrorMessage="1" errorTitle="ERRO!" error="O valor deve ser negativo." sqref="F6" xr:uid="{00000000-0002-0000-0300-000000000000}">
      <formula1>F6&lt;=0</formula1>
    </dataValidation>
  </dataValidations>
  <printOptions horizontalCentered="1" verticalCentered="1"/>
  <pageMargins left="0.23622047244094491" right="0.27559055118110237" top="0.86614173228346458" bottom="0.9055118110236221" header="0.86614173228346458" footer="0.31496062992125984"/>
  <pageSetup paperSize="9" orientation="landscape" r:id="rId1"/>
  <headerFooter>
    <oddHeader>&amp;C&amp;"Arial,Negrito"&amp;14ANÁLISE TRIBUTÁRIA NA PRESTAÇÃO DE SERVIÇOS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14</xdr:col>
                    <xdr:colOff>95250</xdr:colOff>
                    <xdr:row>3</xdr:row>
                    <xdr:rowOff>9525</xdr:rowOff>
                  </from>
                  <to>
                    <xdr:col>14</xdr:col>
                    <xdr:colOff>400050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MENU</vt:lpstr>
      <vt:lpstr>Venda de Imóvel</vt:lpstr>
      <vt:lpstr>Locação de Imóvel</vt:lpstr>
      <vt:lpstr>Serviços Prestados</vt:lpstr>
      <vt:lpstr>'Locação de Imóvel'!Area_de_impressao</vt:lpstr>
      <vt:lpstr>'Serviços Prestados'!Area_de_impressao</vt:lpstr>
      <vt:lpstr>'Venda de Imóvel'!Area_de_impressao</vt:lpstr>
      <vt:lpstr>'Locação de Imóvel'!DescrDados</vt:lpstr>
      <vt:lpstr>DescrDados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2018-01-27T13:26:56Z</cp:lastPrinted>
  <dcterms:created xsi:type="dcterms:W3CDTF">2015-07-08T16:04:48Z</dcterms:created>
  <dcterms:modified xsi:type="dcterms:W3CDTF">2018-03-28T18:07:33Z</dcterms:modified>
</cp:coreProperties>
</file>