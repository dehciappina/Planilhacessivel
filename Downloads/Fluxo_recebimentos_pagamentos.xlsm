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showInkAnnotation="0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egispc\Downloads\"/>
    </mc:Choice>
  </mc:AlternateContent>
  <xr:revisionPtr revIDLastSave="0" documentId="13_ncr:1_{89822965-159D-4E89-9803-6A92AB6F329E}" xr6:coauthVersionLast="34" xr6:coauthVersionMax="34" xr10:uidLastSave="{00000000-0000-0000-0000-000000000000}"/>
  <bookViews>
    <workbookView xWindow="0" yWindow="0" windowWidth="20490" windowHeight="7545" activeTab="1" xr2:uid="{00000000-000D-0000-FFFF-FFFF00000000}"/>
  </bookViews>
  <sheets>
    <sheet name="Tutorial" sheetId="2" r:id="rId1"/>
    <sheet name="CÁLCULO" sheetId="1" r:id="rId2"/>
    <sheet name="Conversão da Taxa" sheetId="3" r:id="rId3"/>
  </sheets>
  <externalReferences>
    <externalReference r:id="rId4"/>
  </externalReferences>
  <definedNames>
    <definedName name="_xlnm._FilterDatabase" localSheetId="1" hidden="1">CÁLCULO!$C$12:$I$969</definedName>
    <definedName name="_xlnm.Print_Area" localSheetId="1">CÁLCULO!$C$4:$I$16</definedName>
    <definedName name="AtualizarAte">CÁLCULO!$C$5</definedName>
    <definedName name="Contagem_Liq">CÁLCULO!$A$5</definedName>
    <definedName name="Diferença">CÁLCULO!$A$11</definedName>
    <definedName name="Juros">CÁLCULO!$F$12</definedName>
    <definedName name="Liquidada">CÁLCULO!$A$5</definedName>
    <definedName name="MaiorData">CÁLCULO!$A$2</definedName>
    <definedName name="Mes_Dld_Devedor">OFFSET(#REF!,1,0,1,COUNT(#REF!))</definedName>
    <definedName name="Prazo">CÁLCULO!$E$12</definedName>
    <definedName name="PV_Contratos">OFFSET(#REF!,0,0,COUNTA(#REF!),26)</definedName>
    <definedName name="PV_ContratoSldDev">OFFSET(#REF!,0,0,COUNTA(#REF!),26)</definedName>
    <definedName name="PV_DadosMovimContratos">OFFSET(#REF!,0,0,COUNTA(#REF!)+1,10)</definedName>
    <definedName name="PV_DadosParcelasMontadas">OFFSET(#REF!,0,0,COUNTA(#REF!),20)</definedName>
    <definedName name="PV_ParcelasFixas">OFFSET([1]CÁLCULO!$R$5,2,0,COUNT([1]CÁLCULO!$R$7:$R$23),2)</definedName>
    <definedName name="rng_UltimalinhaMontagemParc">[1]CÁLCULO!$B$9</definedName>
    <definedName name="Taxa">[1]CÁLCULO!$K$9</definedName>
    <definedName name="TaxaAoDia">CÁLCULO!$G$5</definedName>
    <definedName name="TaxaEscolhida">CÁLCULO!$D$5</definedName>
    <definedName name="TaxaMes_ou_Ano">CÁLCULO!$F$5</definedName>
    <definedName name="TipoCalculo">CÁLCULO!$E$5</definedName>
    <definedName name="TotalAPagar">CÁLCULO!$G$9</definedName>
    <definedName name="TotalDevido">CÁLCULO!$E$9</definedName>
    <definedName name="TotalJuros">CÁLCULO!$D$9</definedName>
    <definedName name="TotalPago">CÁLCULO!$F$9</definedName>
    <definedName name="TotalRecebido">CÁLCULO!$C$9</definedName>
    <definedName name="TotalSaldo">CÁLCULO!$H$9</definedName>
    <definedName name="Txt_Taxa">CÁLCULO!$F$4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" i="1" l="1"/>
  <c r="E14" i="1" s="1"/>
  <c r="F9" i="1"/>
  <c r="C9" i="1"/>
  <c r="F12" i="1"/>
  <c r="A2" i="1"/>
  <c r="F4" i="1"/>
  <c r="A5" i="1"/>
  <c r="H1000" i="1"/>
  <c r="G1000" i="1"/>
  <c r="F1000" i="1"/>
  <c r="E1000" i="1"/>
  <c r="H999" i="1"/>
  <c r="G999" i="1"/>
  <c r="F999" i="1"/>
  <c r="E999" i="1"/>
  <c r="H998" i="1"/>
  <c r="G998" i="1"/>
  <c r="F998" i="1"/>
  <c r="E998" i="1"/>
  <c r="H997" i="1"/>
  <c r="G997" i="1"/>
  <c r="F997" i="1"/>
  <c r="E997" i="1"/>
  <c r="H996" i="1"/>
  <c r="G996" i="1"/>
  <c r="F996" i="1"/>
  <c r="E996" i="1"/>
  <c r="H995" i="1"/>
  <c r="G995" i="1"/>
  <c r="F995" i="1"/>
  <c r="E995" i="1"/>
  <c r="H994" i="1"/>
  <c r="G994" i="1"/>
  <c r="F994" i="1"/>
  <c r="E994" i="1"/>
  <c r="H993" i="1"/>
  <c r="G993" i="1"/>
  <c r="F993" i="1"/>
  <c r="E993" i="1"/>
  <c r="H992" i="1"/>
  <c r="G992" i="1"/>
  <c r="F992" i="1"/>
  <c r="E992" i="1"/>
  <c r="H991" i="1"/>
  <c r="G991" i="1"/>
  <c r="F991" i="1"/>
  <c r="E991" i="1"/>
  <c r="H990" i="1"/>
  <c r="G990" i="1"/>
  <c r="F990" i="1"/>
  <c r="E990" i="1"/>
  <c r="H989" i="1"/>
  <c r="G989" i="1"/>
  <c r="F989" i="1"/>
  <c r="E989" i="1"/>
  <c r="H988" i="1"/>
  <c r="G988" i="1"/>
  <c r="F988" i="1"/>
  <c r="E988" i="1"/>
  <c r="H987" i="1"/>
  <c r="G987" i="1"/>
  <c r="F987" i="1"/>
  <c r="E987" i="1"/>
  <c r="H986" i="1"/>
  <c r="G986" i="1"/>
  <c r="F986" i="1"/>
  <c r="E986" i="1"/>
  <c r="H985" i="1"/>
  <c r="G985" i="1"/>
  <c r="F985" i="1"/>
  <c r="E985" i="1"/>
  <c r="H984" i="1"/>
  <c r="G984" i="1"/>
  <c r="F984" i="1"/>
  <c r="E984" i="1"/>
  <c r="H983" i="1"/>
  <c r="G983" i="1"/>
  <c r="F983" i="1"/>
  <c r="E983" i="1"/>
  <c r="H982" i="1"/>
  <c r="G982" i="1"/>
  <c r="F982" i="1"/>
  <c r="E982" i="1"/>
  <c r="H981" i="1"/>
  <c r="G981" i="1"/>
  <c r="F981" i="1"/>
  <c r="E981" i="1"/>
  <c r="H980" i="1"/>
  <c r="G980" i="1"/>
  <c r="F980" i="1"/>
  <c r="E980" i="1"/>
  <c r="H979" i="1"/>
  <c r="G979" i="1"/>
  <c r="F979" i="1"/>
  <c r="E979" i="1"/>
  <c r="H978" i="1"/>
  <c r="G978" i="1"/>
  <c r="F978" i="1"/>
  <c r="E978" i="1"/>
  <c r="H977" i="1"/>
  <c r="G977" i="1"/>
  <c r="F977" i="1"/>
  <c r="E977" i="1"/>
  <c r="H976" i="1"/>
  <c r="G976" i="1"/>
  <c r="F976" i="1"/>
  <c r="E976" i="1"/>
  <c r="H975" i="1"/>
  <c r="G975" i="1"/>
  <c r="F975" i="1"/>
  <c r="E975" i="1"/>
  <c r="H974" i="1"/>
  <c r="G974" i="1"/>
  <c r="F974" i="1"/>
  <c r="E974" i="1"/>
  <c r="H973" i="1"/>
  <c r="G973" i="1"/>
  <c r="F973" i="1"/>
  <c r="E973" i="1"/>
  <c r="H972" i="1"/>
  <c r="G972" i="1"/>
  <c r="F972" i="1"/>
  <c r="E972" i="1"/>
  <c r="H971" i="1"/>
  <c r="G971" i="1"/>
  <c r="F971" i="1"/>
  <c r="E971" i="1"/>
  <c r="H970" i="1"/>
  <c r="G970" i="1"/>
  <c r="F970" i="1"/>
  <c r="E970" i="1"/>
  <c r="H969" i="1"/>
  <c r="G969" i="1"/>
  <c r="F969" i="1"/>
  <c r="E969" i="1"/>
  <c r="H968" i="1"/>
  <c r="G968" i="1"/>
  <c r="F968" i="1"/>
  <c r="E968" i="1"/>
  <c r="H967" i="1"/>
  <c r="G967" i="1"/>
  <c r="F967" i="1"/>
  <c r="E967" i="1"/>
  <c r="H966" i="1"/>
  <c r="G966" i="1"/>
  <c r="F966" i="1"/>
  <c r="E966" i="1"/>
  <c r="H965" i="1"/>
  <c r="G965" i="1"/>
  <c r="F965" i="1"/>
  <c r="E965" i="1"/>
  <c r="H964" i="1"/>
  <c r="G964" i="1"/>
  <c r="F964" i="1"/>
  <c r="E964" i="1"/>
  <c r="H963" i="1"/>
  <c r="G963" i="1"/>
  <c r="F963" i="1"/>
  <c r="E963" i="1"/>
  <c r="H962" i="1"/>
  <c r="G962" i="1"/>
  <c r="F962" i="1"/>
  <c r="E962" i="1"/>
  <c r="H961" i="1"/>
  <c r="G961" i="1"/>
  <c r="F961" i="1"/>
  <c r="E961" i="1"/>
  <c r="H960" i="1"/>
  <c r="G960" i="1"/>
  <c r="F960" i="1"/>
  <c r="E960" i="1"/>
  <c r="H959" i="1"/>
  <c r="G959" i="1"/>
  <c r="F959" i="1"/>
  <c r="E959" i="1"/>
  <c r="H958" i="1"/>
  <c r="G958" i="1"/>
  <c r="F958" i="1"/>
  <c r="E958" i="1"/>
  <c r="H957" i="1"/>
  <c r="G957" i="1"/>
  <c r="F957" i="1"/>
  <c r="E957" i="1"/>
  <c r="H956" i="1"/>
  <c r="G956" i="1"/>
  <c r="F956" i="1"/>
  <c r="E956" i="1"/>
  <c r="H955" i="1"/>
  <c r="G955" i="1"/>
  <c r="F955" i="1"/>
  <c r="E955" i="1"/>
  <c r="H954" i="1"/>
  <c r="G954" i="1"/>
  <c r="F954" i="1"/>
  <c r="E954" i="1"/>
  <c r="H953" i="1"/>
  <c r="G953" i="1"/>
  <c r="F953" i="1"/>
  <c r="E953" i="1"/>
  <c r="H952" i="1"/>
  <c r="G952" i="1"/>
  <c r="F952" i="1"/>
  <c r="E952" i="1"/>
  <c r="H951" i="1"/>
  <c r="G951" i="1"/>
  <c r="F951" i="1"/>
  <c r="E951" i="1"/>
  <c r="H950" i="1"/>
  <c r="G950" i="1"/>
  <c r="F950" i="1"/>
  <c r="E950" i="1"/>
  <c r="H949" i="1"/>
  <c r="G949" i="1"/>
  <c r="F949" i="1"/>
  <c r="E949" i="1"/>
  <c r="H948" i="1"/>
  <c r="G948" i="1"/>
  <c r="F948" i="1"/>
  <c r="E948" i="1"/>
  <c r="H947" i="1"/>
  <c r="G947" i="1"/>
  <c r="F947" i="1"/>
  <c r="E947" i="1"/>
  <c r="H946" i="1"/>
  <c r="G946" i="1"/>
  <c r="F946" i="1"/>
  <c r="E946" i="1"/>
  <c r="H945" i="1"/>
  <c r="G945" i="1"/>
  <c r="F945" i="1"/>
  <c r="E945" i="1"/>
  <c r="H944" i="1"/>
  <c r="G944" i="1"/>
  <c r="F944" i="1"/>
  <c r="E944" i="1"/>
  <c r="H943" i="1"/>
  <c r="G943" i="1"/>
  <c r="F943" i="1"/>
  <c r="E943" i="1"/>
  <c r="H942" i="1"/>
  <c r="G942" i="1"/>
  <c r="F942" i="1"/>
  <c r="E942" i="1"/>
  <c r="H941" i="1"/>
  <c r="G941" i="1"/>
  <c r="F941" i="1"/>
  <c r="E941" i="1"/>
  <c r="H940" i="1"/>
  <c r="G940" i="1"/>
  <c r="F940" i="1"/>
  <c r="E940" i="1"/>
  <c r="H939" i="1"/>
  <c r="G939" i="1"/>
  <c r="F939" i="1"/>
  <c r="E939" i="1"/>
  <c r="H938" i="1"/>
  <c r="G938" i="1"/>
  <c r="F938" i="1"/>
  <c r="E938" i="1"/>
  <c r="H937" i="1"/>
  <c r="G937" i="1"/>
  <c r="F937" i="1"/>
  <c r="E937" i="1"/>
  <c r="H936" i="1"/>
  <c r="G936" i="1"/>
  <c r="F936" i="1"/>
  <c r="E936" i="1"/>
  <c r="H935" i="1"/>
  <c r="G935" i="1"/>
  <c r="F935" i="1"/>
  <c r="E935" i="1"/>
  <c r="H934" i="1"/>
  <c r="G934" i="1"/>
  <c r="F934" i="1"/>
  <c r="E934" i="1"/>
  <c r="H933" i="1"/>
  <c r="G933" i="1"/>
  <c r="F933" i="1"/>
  <c r="E933" i="1"/>
  <c r="H932" i="1"/>
  <c r="G932" i="1"/>
  <c r="F932" i="1"/>
  <c r="E932" i="1"/>
  <c r="H931" i="1"/>
  <c r="G931" i="1"/>
  <c r="F931" i="1"/>
  <c r="E931" i="1"/>
  <c r="H930" i="1"/>
  <c r="G930" i="1"/>
  <c r="F930" i="1"/>
  <c r="E930" i="1"/>
  <c r="H929" i="1"/>
  <c r="G929" i="1"/>
  <c r="F929" i="1"/>
  <c r="E929" i="1"/>
  <c r="H928" i="1"/>
  <c r="G928" i="1"/>
  <c r="F928" i="1"/>
  <c r="E928" i="1"/>
  <c r="H927" i="1"/>
  <c r="G927" i="1"/>
  <c r="F927" i="1"/>
  <c r="E927" i="1"/>
  <c r="H926" i="1"/>
  <c r="G926" i="1"/>
  <c r="F926" i="1"/>
  <c r="E926" i="1"/>
  <c r="H925" i="1"/>
  <c r="G925" i="1"/>
  <c r="F925" i="1"/>
  <c r="E925" i="1"/>
  <c r="H924" i="1"/>
  <c r="G924" i="1"/>
  <c r="F924" i="1"/>
  <c r="E924" i="1"/>
  <c r="H923" i="1"/>
  <c r="G923" i="1"/>
  <c r="F923" i="1"/>
  <c r="E923" i="1"/>
  <c r="H922" i="1"/>
  <c r="G922" i="1"/>
  <c r="F922" i="1"/>
  <c r="E922" i="1"/>
  <c r="H921" i="1"/>
  <c r="G921" i="1"/>
  <c r="F921" i="1"/>
  <c r="E921" i="1"/>
  <c r="H920" i="1"/>
  <c r="G920" i="1"/>
  <c r="F920" i="1"/>
  <c r="E920" i="1"/>
  <c r="H919" i="1"/>
  <c r="G919" i="1"/>
  <c r="F919" i="1"/>
  <c r="E919" i="1"/>
  <c r="H918" i="1"/>
  <c r="G918" i="1"/>
  <c r="F918" i="1"/>
  <c r="E918" i="1"/>
  <c r="H917" i="1"/>
  <c r="G917" i="1"/>
  <c r="F917" i="1"/>
  <c r="E917" i="1"/>
  <c r="H916" i="1"/>
  <c r="G916" i="1"/>
  <c r="F916" i="1"/>
  <c r="E916" i="1"/>
  <c r="H915" i="1"/>
  <c r="G915" i="1"/>
  <c r="F915" i="1"/>
  <c r="E915" i="1"/>
  <c r="H914" i="1"/>
  <c r="G914" i="1"/>
  <c r="F914" i="1"/>
  <c r="E914" i="1"/>
  <c r="H913" i="1"/>
  <c r="G913" i="1"/>
  <c r="F913" i="1"/>
  <c r="E913" i="1"/>
  <c r="H912" i="1"/>
  <c r="G912" i="1"/>
  <c r="F912" i="1"/>
  <c r="E912" i="1"/>
  <c r="H911" i="1"/>
  <c r="G911" i="1"/>
  <c r="F911" i="1"/>
  <c r="E911" i="1"/>
  <c r="H910" i="1"/>
  <c r="G910" i="1"/>
  <c r="F910" i="1"/>
  <c r="E910" i="1"/>
  <c r="H909" i="1"/>
  <c r="G909" i="1"/>
  <c r="F909" i="1"/>
  <c r="E909" i="1"/>
  <c r="H908" i="1"/>
  <c r="G908" i="1"/>
  <c r="F908" i="1"/>
  <c r="E908" i="1"/>
  <c r="H907" i="1"/>
  <c r="G907" i="1"/>
  <c r="F907" i="1"/>
  <c r="E907" i="1"/>
  <c r="H906" i="1"/>
  <c r="G906" i="1"/>
  <c r="F906" i="1"/>
  <c r="E906" i="1"/>
  <c r="H905" i="1"/>
  <c r="G905" i="1"/>
  <c r="F905" i="1"/>
  <c r="E905" i="1"/>
  <c r="H904" i="1"/>
  <c r="G904" i="1"/>
  <c r="F904" i="1"/>
  <c r="E904" i="1"/>
  <c r="H903" i="1"/>
  <c r="G903" i="1"/>
  <c r="F903" i="1"/>
  <c r="E903" i="1"/>
  <c r="H902" i="1"/>
  <c r="G902" i="1"/>
  <c r="F902" i="1"/>
  <c r="E902" i="1"/>
  <c r="H901" i="1"/>
  <c r="G901" i="1"/>
  <c r="F901" i="1"/>
  <c r="E901" i="1"/>
  <c r="H900" i="1"/>
  <c r="G900" i="1"/>
  <c r="F900" i="1"/>
  <c r="E900" i="1"/>
  <c r="H899" i="1"/>
  <c r="G899" i="1"/>
  <c r="F899" i="1"/>
  <c r="E899" i="1"/>
  <c r="H898" i="1"/>
  <c r="G898" i="1"/>
  <c r="F898" i="1"/>
  <c r="E898" i="1"/>
  <c r="H897" i="1"/>
  <c r="G897" i="1"/>
  <c r="F897" i="1"/>
  <c r="E897" i="1"/>
  <c r="H896" i="1"/>
  <c r="G896" i="1"/>
  <c r="F896" i="1"/>
  <c r="E896" i="1"/>
  <c r="H895" i="1"/>
  <c r="G895" i="1"/>
  <c r="F895" i="1"/>
  <c r="E895" i="1"/>
  <c r="H894" i="1"/>
  <c r="G894" i="1"/>
  <c r="F894" i="1"/>
  <c r="E894" i="1"/>
  <c r="H893" i="1"/>
  <c r="G893" i="1"/>
  <c r="F893" i="1"/>
  <c r="E893" i="1"/>
  <c r="H892" i="1"/>
  <c r="G892" i="1"/>
  <c r="F892" i="1"/>
  <c r="E892" i="1"/>
  <c r="H891" i="1"/>
  <c r="G891" i="1"/>
  <c r="F891" i="1"/>
  <c r="E891" i="1"/>
  <c r="H890" i="1"/>
  <c r="G890" i="1"/>
  <c r="F890" i="1"/>
  <c r="E890" i="1"/>
  <c r="H889" i="1"/>
  <c r="G889" i="1"/>
  <c r="F889" i="1"/>
  <c r="E889" i="1"/>
  <c r="H888" i="1"/>
  <c r="G888" i="1"/>
  <c r="F888" i="1"/>
  <c r="E888" i="1"/>
  <c r="H887" i="1"/>
  <c r="G887" i="1"/>
  <c r="F887" i="1"/>
  <c r="E887" i="1"/>
  <c r="H886" i="1"/>
  <c r="G886" i="1"/>
  <c r="F886" i="1"/>
  <c r="E886" i="1"/>
  <c r="H885" i="1"/>
  <c r="G885" i="1"/>
  <c r="F885" i="1"/>
  <c r="E885" i="1"/>
  <c r="H884" i="1"/>
  <c r="G884" i="1"/>
  <c r="F884" i="1"/>
  <c r="E884" i="1"/>
  <c r="H883" i="1"/>
  <c r="G883" i="1"/>
  <c r="F883" i="1"/>
  <c r="E883" i="1"/>
  <c r="H882" i="1"/>
  <c r="G882" i="1"/>
  <c r="F882" i="1"/>
  <c r="E882" i="1"/>
  <c r="H881" i="1"/>
  <c r="G881" i="1"/>
  <c r="F881" i="1"/>
  <c r="E881" i="1"/>
  <c r="H880" i="1"/>
  <c r="G880" i="1"/>
  <c r="F880" i="1"/>
  <c r="E880" i="1"/>
  <c r="H879" i="1"/>
  <c r="G879" i="1"/>
  <c r="F879" i="1"/>
  <c r="E879" i="1"/>
  <c r="H878" i="1"/>
  <c r="G878" i="1"/>
  <c r="F878" i="1"/>
  <c r="E878" i="1"/>
  <c r="H877" i="1"/>
  <c r="G877" i="1"/>
  <c r="F877" i="1"/>
  <c r="E877" i="1"/>
  <c r="H876" i="1"/>
  <c r="G876" i="1"/>
  <c r="F876" i="1"/>
  <c r="E876" i="1"/>
  <c r="H875" i="1"/>
  <c r="G875" i="1"/>
  <c r="F875" i="1"/>
  <c r="E875" i="1"/>
  <c r="H874" i="1"/>
  <c r="G874" i="1"/>
  <c r="F874" i="1"/>
  <c r="E874" i="1"/>
  <c r="H873" i="1"/>
  <c r="G873" i="1"/>
  <c r="F873" i="1"/>
  <c r="E873" i="1"/>
  <c r="H872" i="1"/>
  <c r="G872" i="1"/>
  <c r="F872" i="1"/>
  <c r="E872" i="1"/>
  <c r="H871" i="1"/>
  <c r="G871" i="1"/>
  <c r="F871" i="1"/>
  <c r="E871" i="1"/>
  <c r="H870" i="1"/>
  <c r="G870" i="1"/>
  <c r="F870" i="1"/>
  <c r="E870" i="1"/>
  <c r="H869" i="1"/>
  <c r="G869" i="1"/>
  <c r="F869" i="1"/>
  <c r="E869" i="1"/>
  <c r="H868" i="1"/>
  <c r="G868" i="1"/>
  <c r="F868" i="1"/>
  <c r="E868" i="1"/>
  <c r="H867" i="1"/>
  <c r="G867" i="1"/>
  <c r="F867" i="1"/>
  <c r="E867" i="1"/>
  <c r="H866" i="1"/>
  <c r="G866" i="1"/>
  <c r="F866" i="1"/>
  <c r="E866" i="1"/>
  <c r="H865" i="1"/>
  <c r="G865" i="1"/>
  <c r="F865" i="1"/>
  <c r="E865" i="1"/>
  <c r="H864" i="1"/>
  <c r="G864" i="1"/>
  <c r="F864" i="1"/>
  <c r="E864" i="1"/>
  <c r="H863" i="1"/>
  <c r="G863" i="1"/>
  <c r="F863" i="1"/>
  <c r="E863" i="1"/>
  <c r="H862" i="1"/>
  <c r="G862" i="1"/>
  <c r="F862" i="1"/>
  <c r="E862" i="1"/>
  <c r="H861" i="1"/>
  <c r="G861" i="1"/>
  <c r="F861" i="1"/>
  <c r="E861" i="1"/>
  <c r="H860" i="1"/>
  <c r="G860" i="1"/>
  <c r="F860" i="1"/>
  <c r="E860" i="1"/>
  <c r="H859" i="1"/>
  <c r="G859" i="1"/>
  <c r="F859" i="1"/>
  <c r="E859" i="1"/>
  <c r="H858" i="1"/>
  <c r="G858" i="1"/>
  <c r="F858" i="1"/>
  <c r="E858" i="1"/>
  <c r="H857" i="1"/>
  <c r="G857" i="1"/>
  <c r="F857" i="1"/>
  <c r="E857" i="1"/>
  <c r="H856" i="1"/>
  <c r="G856" i="1"/>
  <c r="F856" i="1"/>
  <c r="E856" i="1"/>
  <c r="H855" i="1"/>
  <c r="G855" i="1"/>
  <c r="F855" i="1"/>
  <c r="E855" i="1"/>
  <c r="H854" i="1"/>
  <c r="G854" i="1"/>
  <c r="F854" i="1"/>
  <c r="E854" i="1"/>
  <c r="H853" i="1"/>
  <c r="G853" i="1"/>
  <c r="F853" i="1"/>
  <c r="E853" i="1"/>
  <c r="H852" i="1"/>
  <c r="G852" i="1"/>
  <c r="F852" i="1"/>
  <c r="E852" i="1"/>
  <c r="H851" i="1"/>
  <c r="G851" i="1"/>
  <c r="F851" i="1"/>
  <c r="E851" i="1"/>
  <c r="H850" i="1"/>
  <c r="G850" i="1"/>
  <c r="F850" i="1"/>
  <c r="E850" i="1"/>
  <c r="H849" i="1"/>
  <c r="G849" i="1"/>
  <c r="F849" i="1"/>
  <c r="E849" i="1"/>
  <c r="H848" i="1"/>
  <c r="G848" i="1"/>
  <c r="F848" i="1"/>
  <c r="E848" i="1"/>
  <c r="H847" i="1"/>
  <c r="G847" i="1"/>
  <c r="F847" i="1"/>
  <c r="E847" i="1"/>
  <c r="H846" i="1"/>
  <c r="G846" i="1"/>
  <c r="F846" i="1"/>
  <c r="E846" i="1"/>
  <c r="H845" i="1"/>
  <c r="G845" i="1"/>
  <c r="F845" i="1"/>
  <c r="E845" i="1"/>
  <c r="H844" i="1"/>
  <c r="G844" i="1"/>
  <c r="F844" i="1"/>
  <c r="E844" i="1"/>
  <c r="H843" i="1"/>
  <c r="G843" i="1"/>
  <c r="F843" i="1"/>
  <c r="E843" i="1"/>
  <c r="H842" i="1"/>
  <c r="G842" i="1"/>
  <c r="F842" i="1"/>
  <c r="E842" i="1"/>
  <c r="H841" i="1"/>
  <c r="G841" i="1"/>
  <c r="F841" i="1"/>
  <c r="E841" i="1"/>
  <c r="H840" i="1"/>
  <c r="G840" i="1"/>
  <c r="F840" i="1"/>
  <c r="E840" i="1"/>
  <c r="H839" i="1"/>
  <c r="G839" i="1"/>
  <c r="F839" i="1"/>
  <c r="E839" i="1"/>
  <c r="H838" i="1"/>
  <c r="G838" i="1"/>
  <c r="F838" i="1"/>
  <c r="E838" i="1"/>
  <c r="H837" i="1"/>
  <c r="G837" i="1"/>
  <c r="F837" i="1"/>
  <c r="E837" i="1"/>
  <c r="H836" i="1"/>
  <c r="G836" i="1"/>
  <c r="F836" i="1"/>
  <c r="E836" i="1"/>
  <c r="H835" i="1"/>
  <c r="G835" i="1"/>
  <c r="F835" i="1"/>
  <c r="E835" i="1"/>
  <c r="H834" i="1"/>
  <c r="G834" i="1"/>
  <c r="F834" i="1"/>
  <c r="E834" i="1"/>
  <c r="H833" i="1"/>
  <c r="G833" i="1"/>
  <c r="F833" i="1"/>
  <c r="E833" i="1"/>
  <c r="H832" i="1"/>
  <c r="G832" i="1"/>
  <c r="F832" i="1"/>
  <c r="E832" i="1"/>
  <c r="H831" i="1"/>
  <c r="G831" i="1"/>
  <c r="F831" i="1"/>
  <c r="E831" i="1"/>
  <c r="H830" i="1"/>
  <c r="G830" i="1"/>
  <c r="F830" i="1"/>
  <c r="E830" i="1"/>
  <c r="H829" i="1"/>
  <c r="G829" i="1"/>
  <c r="F829" i="1"/>
  <c r="E829" i="1"/>
  <c r="H828" i="1"/>
  <c r="G828" i="1"/>
  <c r="F828" i="1"/>
  <c r="E828" i="1"/>
  <c r="H827" i="1"/>
  <c r="G827" i="1"/>
  <c r="F827" i="1"/>
  <c r="E827" i="1"/>
  <c r="H826" i="1"/>
  <c r="G826" i="1"/>
  <c r="F826" i="1"/>
  <c r="E826" i="1"/>
  <c r="H825" i="1"/>
  <c r="G825" i="1"/>
  <c r="F825" i="1"/>
  <c r="E825" i="1"/>
  <c r="H824" i="1"/>
  <c r="G824" i="1"/>
  <c r="F824" i="1"/>
  <c r="E824" i="1"/>
  <c r="H823" i="1"/>
  <c r="G823" i="1"/>
  <c r="F823" i="1"/>
  <c r="E823" i="1"/>
  <c r="H822" i="1"/>
  <c r="G822" i="1"/>
  <c r="F822" i="1"/>
  <c r="E822" i="1"/>
  <c r="H821" i="1"/>
  <c r="G821" i="1"/>
  <c r="F821" i="1"/>
  <c r="E821" i="1"/>
  <c r="H820" i="1"/>
  <c r="G820" i="1"/>
  <c r="F820" i="1"/>
  <c r="E820" i="1"/>
  <c r="H819" i="1"/>
  <c r="G819" i="1"/>
  <c r="F819" i="1"/>
  <c r="E819" i="1"/>
  <c r="H818" i="1"/>
  <c r="G818" i="1"/>
  <c r="F818" i="1"/>
  <c r="E818" i="1"/>
  <c r="H817" i="1"/>
  <c r="G817" i="1"/>
  <c r="F817" i="1"/>
  <c r="E817" i="1"/>
  <c r="H816" i="1"/>
  <c r="G816" i="1"/>
  <c r="F816" i="1"/>
  <c r="E816" i="1"/>
  <c r="H815" i="1"/>
  <c r="G815" i="1"/>
  <c r="F815" i="1"/>
  <c r="E815" i="1"/>
  <c r="H814" i="1"/>
  <c r="G814" i="1"/>
  <c r="F814" i="1"/>
  <c r="E814" i="1"/>
  <c r="H813" i="1"/>
  <c r="G813" i="1"/>
  <c r="F813" i="1"/>
  <c r="E813" i="1"/>
  <c r="H812" i="1"/>
  <c r="G812" i="1"/>
  <c r="F812" i="1"/>
  <c r="E812" i="1"/>
  <c r="H811" i="1"/>
  <c r="G811" i="1"/>
  <c r="F811" i="1"/>
  <c r="E811" i="1"/>
  <c r="H810" i="1"/>
  <c r="G810" i="1"/>
  <c r="F810" i="1"/>
  <c r="E810" i="1"/>
  <c r="H809" i="1"/>
  <c r="G809" i="1"/>
  <c r="F809" i="1"/>
  <c r="E809" i="1"/>
  <c r="H808" i="1"/>
  <c r="G808" i="1"/>
  <c r="F808" i="1"/>
  <c r="E808" i="1"/>
  <c r="H807" i="1"/>
  <c r="G807" i="1"/>
  <c r="F807" i="1"/>
  <c r="E807" i="1"/>
  <c r="H806" i="1"/>
  <c r="G806" i="1"/>
  <c r="F806" i="1"/>
  <c r="E806" i="1"/>
  <c r="H805" i="1"/>
  <c r="G805" i="1"/>
  <c r="F805" i="1"/>
  <c r="E805" i="1"/>
  <c r="H804" i="1"/>
  <c r="G804" i="1"/>
  <c r="F804" i="1"/>
  <c r="E804" i="1"/>
  <c r="H803" i="1"/>
  <c r="G803" i="1"/>
  <c r="F803" i="1"/>
  <c r="E803" i="1"/>
  <c r="H802" i="1"/>
  <c r="G802" i="1"/>
  <c r="F802" i="1"/>
  <c r="E802" i="1"/>
  <c r="H801" i="1"/>
  <c r="G801" i="1"/>
  <c r="F801" i="1"/>
  <c r="E801" i="1"/>
  <c r="H800" i="1"/>
  <c r="G800" i="1"/>
  <c r="F800" i="1"/>
  <c r="E800" i="1"/>
  <c r="H799" i="1"/>
  <c r="G799" i="1"/>
  <c r="F799" i="1"/>
  <c r="E799" i="1"/>
  <c r="H798" i="1"/>
  <c r="G798" i="1"/>
  <c r="F798" i="1"/>
  <c r="E798" i="1"/>
  <c r="H797" i="1"/>
  <c r="G797" i="1"/>
  <c r="F797" i="1"/>
  <c r="E797" i="1"/>
  <c r="H796" i="1"/>
  <c r="G796" i="1"/>
  <c r="F796" i="1"/>
  <c r="E796" i="1"/>
  <c r="H795" i="1"/>
  <c r="G795" i="1"/>
  <c r="F795" i="1"/>
  <c r="E795" i="1"/>
  <c r="H794" i="1"/>
  <c r="G794" i="1"/>
  <c r="F794" i="1"/>
  <c r="E794" i="1"/>
  <c r="H793" i="1"/>
  <c r="G793" i="1"/>
  <c r="F793" i="1"/>
  <c r="E793" i="1"/>
  <c r="H792" i="1"/>
  <c r="G792" i="1"/>
  <c r="F792" i="1"/>
  <c r="E792" i="1"/>
  <c r="H791" i="1"/>
  <c r="G791" i="1"/>
  <c r="F791" i="1"/>
  <c r="E791" i="1"/>
  <c r="H790" i="1"/>
  <c r="G790" i="1"/>
  <c r="F790" i="1"/>
  <c r="E790" i="1"/>
  <c r="H789" i="1"/>
  <c r="G789" i="1"/>
  <c r="F789" i="1"/>
  <c r="E789" i="1"/>
  <c r="H788" i="1"/>
  <c r="G788" i="1"/>
  <c r="F788" i="1"/>
  <c r="E788" i="1"/>
  <c r="H787" i="1"/>
  <c r="G787" i="1"/>
  <c r="F787" i="1"/>
  <c r="E787" i="1"/>
  <c r="H786" i="1"/>
  <c r="G786" i="1"/>
  <c r="F786" i="1"/>
  <c r="E786" i="1"/>
  <c r="H785" i="1"/>
  <c r="G785" i="1"/>
  <c r="F785" i="1"/>
  <c r="E785" i="1"/>
  <c r="H784" i="1"/>
  <c r="G784" i="1"/>
  <c r="F784" i="1"/>
  <c r="E784" i="1"/>
  <c r="H783" i="1"/>
  <c r="G783" i="1"/>
  <c r="F783" i="1"/>
  <c r="E783" i="1"/>
  <c r="H782" i="1"/>
  <c r="G782" i="1"/>
  <c r="F782" i="1"/>
  <c r="E782" i="1"/>
  <c r="H781" i="1"/>
  <c r="G781" i="1"/>
  <c r="F781" i="1"/>
  <c r="E781" i="1"/>
  <c r="H780" i="1"/>
  <c r="G780" i="1"/>
  <c r="F780" i="1"/>
  <c r="E780" i="1"/>
  <c r="H779" i="1"/>
  <c r="G779" i="1"/>
  <c r="F779" i="1"/>
  <c r="E779" i="1"/>
  <c r="H778" i="1"/>
  <c r="G778" i="1"/>
  <c r="F778" i="1"/>
  <c r="E778" i="1"/>
  <c r="H777" i="1"/>
  <c r="G777" i="1"/>
  <c r="F777" i="1"/>
  <c r="E777" i="1"/>
  <c r="H776" i="1"/>
  <c r="G776" i="1"/>
  <c r="F776" i="1"/>
  <c r="E776" i="1"/>
  <c r="H775" i="1"/>
  <c r="G775" i="1"/>
  <c r="F775" i="1"/>
  <c r="E775" i="1"/>
  <c r="H774" i="1"/>
  <c r="G774" i="1"/>
  <c r="F774" i="1"/>
  <c r="E774" i="1"/>
  <c r="H773" i="1"/>
  <c r="G773" i="1"/>
  <c r="F773" i="1"/>
  <c r="E773" i="1"/>
  <c r="H772" i="1"/>
  <c r="G772" i="1"/>
  <c r="F772" i="1"/>
  <c r="E772" i="1"/>
  <c r="H771" i="1"/>
  <c r="G771" i="1"/>
  <c r="F771" i="1"/>
  <c r="E771" i="1"/>
  <c r="H770" i="1"/>
  <c r="G770" i="1"/>
  <c r="F770" i="1"/>
  <c r="E770" i="1"/>
  <c r="H769" i="1"/>
  <c r="G769" i="1"/>
  <c r="F769" i="1"/>
  <c r="E769" i="1"/>
  <c r="H768" i="1"/>
  <c r="G768" i="1"/>
  <c r="F768" i="1"/>
  <c r="E768" i="1"/>
  <c r="H767" i="1"/>
  <c r="G767" i="1"/>
  <c r="F767" i="1"/>
  <c r="E767" i="1"/>
  <c r="H766" i="1"/>
  <c r="G766" i="1"/>
  <c r="F766" i="1"/>
  <c r="E766" i="1"/>
  <c r="H765" i="1"/>
  <c r="G765" i="1"/>
  <c r="F765" i="1"/>
  <c r="E765" i="1"/>
  <c r="H764" i="1"/>
  <c r="G764" i="1"/>
  <c r="F764" i="1"/>
  <c r="E764" i="1"/>
  <c r="H763" i="1"/>
  <c r="G763" i="1"/>
  <c r="F763" i="1"/>
  <c r="E763" i="1"/>
  <c r="H762" i="1"/>
  <c r="G762" i="1"/>
  <c r="F762" i="1"/>
  <c r="E762" i="1"/>
  <c r="H761" i="1"/>
  <c r="G761" i="1"/>
  <c r="F761" i="1"/>
  <c r="E761" i="1"/>
  <c r="H760" i="1"/>
  <c r="G760" i="1"/>
  <c r="F760" i="1"/>
  <c r="E760" i="1"/>
  <c r="H759" i="1"/>
  <c r="G759" i="1"/>
  <c r="F759" i="1"/>
  <c r="E759" i="1"/>
  <c r="H758" i="1"/>
  <c r="G758" i="1"/>
  <c r="F758" i="1"/>
  <c r="E758" i="1"/>
  <c r="H757" i="1"/>
  <c r="G757" i="1"/>
  <c r="F757" i="1"/>
  <c r="E757" i="1"/>
  <c r="H756" i="1"/>
  <c r="G756" i="1"/>
  <c r="F756" i="1"/>
  <c r="E756" i="1"/>
  <c r="H755" i="1"/>
  <c r="G755" i="1"/>
  <c r="F755" i="1"/>
  <c r="E755" i="1"/>
  <c r="H754" i="1"/>
  <c r="G754" i="1"/>
  <c r="F754" i="1"/>
  <c r="E754" i="1"/>
  <c r="H753" i="1"/>
  <c r="G753" i="1"/>
  <c r="F753" i="1"/>
  <c r="E753" i="1"/>
  <c r="H752" i="1"/>
  <c r="G752" i="1"/>
  <c r="F752" i="1"/>
  <c r="E752" i="1"/>
  <c r="H751" i="1"/>
  <c r="G751" i="1"/>
  <c r="F751" i="1"/>
  <c r="E751" i="1"/>
  <c r="H750" i="1"/>
  <c r="G750" i="1"/>
  <c r="F750" i="1"/>
  <c r="E750" i="1"/>
  <c r="H749" i="1"/>
  <c r="G749" i="1"/>
  <c r="F749" i="1"/>
  <c r="E749" i="1"/>
  <c r="H748" i="1"/>
  <c r="G748" i="1"/>
  <c r="F748" i="1"/>
  <c r="E748" i="1"/>
  <c r="H747" i="1"/>
  <c r="G747" i="1"/>
  <c r="F747" i="1"/>
  <c r="E747" i="1"/>
  <c r="H746" i="1"/>
  <c r="G746" i="1"/>
  <c r="F746" i="1"/>
  <c r="E746" i="1"/>
  <c r="H745" i="1"/>
  <c r="G745" i="1"/>
  <c r="F745" i="1"/>
  <c r="E745" i="1"/>
  <c r="H744" i="1"/>
  <c r="G744" i="1"/>
  <c r="F744" i="1"/>
  <c r="E744" i="1"/>
  <c r="H743" i="1"/>
  <c r="G743" i="1"/>
  <c r="F743" i="1"/>
  <c r="E743" i="1"/>
  <c r="H742" i="1"/>
  <c r="G742" i="1"/>
  <c r="F742" i="1"/>
  <c r="E742" i="1"/>
  <c r="H741" i="1"/>
  <c r="G741" i="1"/>
  <c r="F741" i="1"/>
  <c r="E741" i="1"/>
  <c r="H740" i="1"/>
  <c r="G740" i="1"/>
  <c r="F740" i="1"/>
  <c r="E740" i="1"/>
  <c r="H739" i="1"/>
  <c r="G739" i="1"/>
  <c r="F739" i="1"/>
  <c r="E739" i="1"/>
  <c r="H738" i="1"/>
  <c r="G738" i="1"/>
  <c r="F738" i="1"/>
  <c r="E738" i="1"/>
  <c r="H737" i="1"/>
  <c r="G737" i="1"/>
  <c r="F737" i="1"/>
  <c r="E737" i="1"/>
  <c r="H736" i="1"/>
  <c r="G736" i="1"/>
  <c r="F736" i="1"/>
  <c r="E736" i="1"/>
  <c r="H735" i="1"/>
  <c r="G735" i="1"/>
  <c r="F735" i="1"/>
  <c r="E735" i="1"/>
  <c r="H734" i="1"/>
  <c r="G734" i="1"/>
  <c r="F734" i="1"/>
  <c r="E734" i="1"/>
  <c r="H733" i="1"/>
  <c r="G733" i="1"/>
  <c r="F733" i="1"/>
  <c r="E733" i="1"/>
  <c r="H732" i="1"/>
  <c r="G732" i="1"/>
  <c r="F732" i="1"/>
  <c r="E732" i="1"/>
  <c r="H731" i="1"/>
  <c r="G731" i="1"/>
  <c r="F731" i="1"/>
  <c r="E731" i="1"/>
  <c r="H730" i="1"/>
  <c r="G730" i="1"/>
  <c r="F730" i="1"/>
  <c r="E730" i="1"/>
  <c r="H729" i="1"/>
  <c r="G729" i="1"/>
  <c r="F729" i="1"/>
  <c r="E729" i="1"/>
  <c r="H728" i="1"/>
  <c r="G728" i="1"/>
  <c r="F728" i="1"/>
  <c r="E728" i="1"/>
  <c r="H727" i="1"/>
  <c r="G727" i="1"/>
  <c r="F727" i="1"/>
  <c r="E727" i="1"/>
  <c r="H726" i="1"/>
  <c r="G726" i="1"/>
  <c r="F726" i="1"/>
  <c r="E726" i="1"/>
  <c r="H725" i="1"/>
  <c r="G725" i="1"/>
  <c r="F725" i="1"/>
  <c r="E725" i="1"/>
  <c r="H724" i="1"/>
  <c r="G724" i="1"/>
  <c r="F724" i="1"/>
  <c r="E724" i="1"/>
  <c r="H723" i="1"/>
  <c r="G723" i="1"/>
  <c r="F723" i="1"/>
  <c r="E723" i="1"/>
  <c r="H722" i="1"/>
  <c r="G722" i="1"/>
  <c r="F722" i="1"/>
  <c r="E722" i="1"/>
  <c r="H721" i="1"/>
  <c r="G721" i="1"/>
  <c r="F721" i="1"/>
  <c r="E721" i="1"/>
  <c r="H720" i="1"/>
  <c r="G720" i="1"/>
  <c r="F720" i="1"/>
  <c r="E720" i="1"/>
  <c r="H719" i="1"/>
  <c r="G719" i="1"/>
  <c r="F719" i="1"/>
  <c r="E719" i="1"/>
  <c r="H718" i="1"/>
  <c r="G718" i="1"/>
  <c r="F718" i="1"/>
  <c r="E718" i="1"/>
  <c r="H717" i="1"/>
  <c r="G717" i="1"/>
  <c r="F717" i="1"/>
  <c r="E717" i="1"/>
  <c r="H716" i="1"/>
  <c r="G716" i="1"/>
  <c r="F716" i="1"/>
  <c r="E716" i="1"/>
  <c r="H715" i="1"/>
  <c r="G715" i="1"/>
  <c r="F715" i="1"/>
  <c r="E715" i="1"/>
  <c r="H714" i="1"/>
  <c r="G714" i="1"/>
  <c r="F714" i="1"/>
  <c r="E714" i="1"/>
  <c r="H713" i="1"/>
  <c r="G713" i="1"/>
  <c r="F713" i="1"/>
  <c r="E713" i="1"/>
  <c r="H712" i="1"/>
  <c r="G712" i="1"/>
  <c r="F712" i="1"/>
  <c r="E712" i="1"/>
  <c r="H711" i="1"/>
  <c r="G711" i="1"/>
  <c r="F711" i="1"/>
  <c r="E711" i="1"/>
  <c r="H710" i="1"/>
  <c r="G710" i="1"/>
  <c r="F710" i="1"/>
  <c r="E710" i="1"/>
  <c r="H709" i="1"/>
  <c r="G709" i="1"/>
  <c r="F709" i="1"/>
  <c r="E709" i="1"/>
  <c r="H708" i="1"/>
  <c r="G708" i="1"/>
  <c r="F708" i="1"/>
  <c r="E708" i="1"/>
  <c r="H707" i="1"/>
  <c r="G707" i="1"/>
  <c r="F707" i="1"/>
  <c r="E707" i="1"/>
  <c r="H706" i="1"/>
  <c r="G706" i="1"/>
  <c r="F706" i="1"/>
  <c r="E706" i="1"/>
  <c r="H705" i="1"/>
  <c r="G705" i="1"/>
  <c r="F705" i="1"/>
  <c r="E705" i="1"/>
  <c r="H704" i="1"/>
  <c r="G704" i="1"/>
  <c r="F704" i="1"/>
  <c r="E704" i="1"/>
  <c r="H703" i="1"/>
  <c r="G703" i="1"/>
  <c r="F703" i="1"/>
  <c r="E703" i="1"/>
  <c r="H702" i="1"/>
  <c r="G702" i="1"/>
  <c r="F702" i="1"/>
  <c r="E702" i="1"/>
  <c r="H701" i="1"/>
  <c r="G701" i="1"/>
  <c r="F701" i="1"/>
  <c r="E701" i="1"/>
  <c r="H700" i="1"/>
  <c r="G700" i="1"/>
  <c r="F700" i="1"/>
  <c r="E700" i="1"/>
  <c r="H699" i="1"/>
  <c r="G699" i="1"/>
  <c r="F699" i="1"/>
  <c r="E699" i="1"/>
  <c r="H698" i="1"/>
  <c r="G698" i="1"/>
  <c r="F698" i="1"/>
  <c r="E698" i="1"/>
  <c r="H697" i="1"/>
  <c r="G697" i="1"/>
  <c r="F697" i="1"/>
  <c r="E697" i="1"/>
  <c r="H696" i="1"/>
  <c r="G696" i="1"/>
  <c r="F696" i="1"/>
  <c r="E696" i="1"/>
  <c r="H695" i="1"/>
  <c r="G695" i="1"/>
  <c r="F695" i="1"/>
  <c r="E695" i="1"/>
  <c r="H694" i="1"/>
  <c r="G694" i="1"/>
  <c r="F694" i="1"/>
  <c r="E694" i="1"/>
  <c r="H693" i="1"/>
  <c r="G693" i="1"/>
  <c r="F693" i="1"/>
  <c r="E693" i="1"/>
  <c r="H692" i="1"/>
  <c r="G692" i="1"/>
  <c r="F692" i="1"/>
  <c r="E692" i="1"/>
  <c r="H691" i="1"/>
  <c r="G691" i="1"/>
  <c r="F691" i="1"/>
  <c r="E691" i="1"/>
  <c r="H690" i="1"/>
  <c r="G690" i="1"/>
  <c r="F690" i="1"/>
  <c r="E690" i="1"/>
  <c r="H689" i="1"/>
  <c r="G689" i="1"/>
  <c r="F689" i="1"/>
  <c r="E689" i="1"/>
  <c r="H688" i="1"/>
  <c r="G688" i="1"/>
  <c r="F688" i="1"/>
  <c r="E688" i="1"/>
  <c r="H687" i="1"/>
  <c r="G687" i="1"/>
  <c r="F687" i="1"/>
  <c r="E687" i="1"/>
  <c r="H686" i="1"/>
  <c r="G686" i="1"/>
  <c r="F686" i="1"/>
  <c r="E686" i="1"/>
  <c r="H685" i="1"/>
  <c r="G685" i="1"/>
  <c r="F685" i="1"/>
  <c r="E685" i="1"/>
  <c r="H684" i="1"/>
  <c r="G684" i="1"/>
  <c r="F684" i="1"/>
  <c r="E684" i="1"/>
  <c r="H683" i="1"/>
  <c r="G683" i="1"/>
  <c r="F683" i="1"/>
  <c r="E683" i="1"/>
  <c r="H682" i="1"/>
  <c r="G682" i="1"/>
  <c r="F682" i="1"/>
  <c r="E682" i="1"/>
  <c r="H681" i="1"/>
  <c r="G681" i="1"/>
  <c r="F681" i="1"/>
  <c r="E681" i="1"/>
  <c r="H680" i="1"/>
  <c r="G680" i="1"/>
  <c r="F680" i="1"/>
  <c r="E680" i="1"/>
  <c r="H679" i="1"/>
  <c r="G679" i="1"/>
  <c r="F679" i="1"/>
  <c r="E679" i="1"/>
  <c r="H678" i="1"/>
  <c r="G678" i="1"/>
  <c r="F678" i="1"/>
  <c r="E678" i="1"/>
  <c r="H677" i="1"/>
  <c r="G677" i="1"/>
  <c r="F677" i="1"/>
  <c r="E677" i="1"/>
  <c r="H676" i="1"/>
  <c r="G676" i="1"/>
  <c r="F676" i="1"/>
  <c r="E676" i="1"/>
  <c r="H675" i="1"/>
  <c r="G675" i="1"/>
  <c r="F675" i="1"/>
  <c r="E675" i="1"/>
  <c r="H674" i="1"/>
  <c r="G674" i="1"/>
  <c r="F674" i="1"/>
  <c r="E674" i="1"/>
  <c r="H673" i="1"/>
  <c r="G673" i="1"/>
  <c r="F673" i="1"/>
  <c r="E673" i="1"/>
  <c r="H672" i="1"/>
  <c r="G672" i="1"/>
  <c r="F672" i="1"/>
  <c r="E672" i="1"/>
  <c r="H671" i="1"/>
  <c r="G671" i="1"/>
  <c r="F671" i="1"/>
  <c r="E671" i="1"/>
  <c r="H670" i="1"/>
  <c r="G670" i="1"/>
  <c r="F670" i="1"/>
  <c r="E670" i="1"/>
  <c r="H669" i="1"/>
  <c r="G669" i="1"/>
  <c r="F669" i="1"/>
  <c r="E669" i="1"/>
  <c r="H668" i="1"/>
  <c r="G668" i="1"/>
  <c r="F668" i="1"/>
  <c r="E668" i="1"/>
  <c r="H667" i="1"/>
  <c r="G667" i="1"/>
  <c r="F667" i="1"/>
  <c r="E667" i="1"/>
  <c r="H666" i="1"/>
  <c r="G666" i="1"/>
  <c r="F666" i="1"/>
  <c r="E666" i="1"/>
  <c r="H665" i="1"/>
  <c r="G665" i="1"/>
  <c r="F665" i="1"/>
  <c r="E665" i="1"/>
  <c r="H664" i="1"/>
  <c r="G664" i="1"/>
  <c r="F664" i="1"/>
  <c r="E664" i="1"/>
  <c r="H663" i="1"/>
  <c r="G663" i="1"/>
  <c r="F663" i="1"/>
  <c r="E663" i="1"/>
  <c r="H662" i="1"/>
  <c r="G662" i="1"/>
  <c r="F662" i="1"/>
  <c r="E662" i="1"/>
  <c r="H661" i="1"/>
  <c r="G661" i="1"/>
  <c r="F661" i="1"/>
  <c r="E661" i="1"/>
  <c r="H660" i="1"/>
  <c r="G660" i="1"/>
  <c r="F660" i="1"/>
  <c r="E660" i="1"/>
  <c r="H659" i="1"/>
  <c r="G659" i="1"/>
  <c r="F659" i="1"/>
  <c r="E659" i="1"/>
  <c r="H658" i="1"/>
  <c r="G658" i="1"/>
  <c r="F658" i="1"/>
  <c r="E658" i="1"/>
  <c r="H657" i="1"/>
  <c r="G657" i="1"/>
  <c r="F657" i="1"/>
  <c r="E657" i="1"/>
  <c r="H656" i="1"/>
  <c r="G656" i="1"/>
  <c r="F656" i="1"/>
  <c r="E656" i="1"/>
  <c r="H655" i="1"/>
  <c r="G655" i="1"/>
  <c r="F655" i="1"/>
  <c r="E655" i="1"/>
  <c r="H654" i="1"/>
  <c r="G654" i="1"/>
  <c r="F654" i="1"/>
  <c r="E654" i="1"/>
  <c r="H653" i="1"/>
  <c r="G653" i="1"/>
  <c r="F653" i="1"/>
  <c r="E653" i="1"/>
  <c r="H652" i="1"/>
  <c r="G652" i="1"/>
  <c r="F652" i="1"/>
  <c r="E652" i="1"/>
  <c r="H651" i="1"/>
  <c r="G651" i="1"/>
  <c r="F651" i="1"/>
  <c r="E651" i="1"/>
  <c r="H650" i="1"/>
  <c r="G650" i="1"/>
  <c r="F650" i="1"/>
  <c r="E650" i="1"/>
  <c r="H649" i="1"/>
  <c r="G649" i="1"/>
  <c r="F649" i="1"/>
  <c r="E649" i="1"/>
  <c r="H648" i="1"/>
  <c r="G648" i="1"/>
  <c r="F648" i="1"/>
  <c r="E648" i="1"/>
  <c r="H647" i="1"/>
  <c r="G647" i="1"/>
  <c r="F647" i="1"/>
  <c r="E647" i="1"/>
  <c r="H646" i="1"/>
  <c r="G646" i="1"/>
  <c r="F646" i="1"/>
  <c r="E646" i="1"/>
  <c r="H645" i="1"/>
  <c r="G645" i="1"/>
  <c r="F645" i="1"/>
  <c r="E645" i="1"/>
  <c r="H644" i="1"/>
  <c r="G644" i="1"/>
  <c r="F644" i="1"/>
  <c r="E644" i="1"/>
  <c r="H643" i="1"/>
  <c r="G643" i="1"/>
  <c r="F643" i="1"/>
  <c r="E643" i="1"/>
  <c r="H642" i="1"/>
  <c r="G642" i="1"/>
  <c r="F642" i="1"/>
  <c r="E642" i="1"/>
  <c r="H641" i="1"/>
  <c r="G641" i="1"/>
  <c r="F641" i="1"/>
  <c r="E641" i="1"/>
  <c r="H640" i="1"/>
  <c r="G640" i="1"/>
  <c r="F640" i="1"/>
  <c r="E640" i="1"/>
  <c r="H639" i="1"/>
  <c r="G639" i="1"/>
  <c r="F639" i="1"/>
  <c r="E639" i="1"/>
  <c r="H638" i="1"/>
  <c r="G638" i="1"/>
  <c r="F638" i="1"/>
  <c r="E638" i="1"/>
  <c r="H637" i="1"/>
  <c r="G637" i="1"/>
  <c r="F637" i="1"/>
  <c r="E637" i="1"/>
  <c r="H636" i="1"/>
  <c r="G636" i="1"/>
  <c r="F636" i="1"/>
  <c r="E636" i="1"/>
  <c r="H635" i="1"/>
  <c r="G635" i="1"/>
  <c r="F635" i="1"/>
  <c r="E635" i="1"/>
  <c r="H634" i="1"/>
  <c r="G634" i="1"/>
  <c r="F634" i="1"/>
  <c r="E634" i="1"/>
  <c r="H633" i="1"/>
  <c r="G633" i="1"/>
  <c r="F633" i="1"/>
  <c r="E633" i="1"/>
  <c r="H632" i="1"/>
  <c r="G632" i="1"/>
  <c r="F632" i="1"/>
  <c r="E632" i="1"/>
  <c r="H631" i="1"/>
  <c r="G631" i="1"/>
  <c r="F631" i="1"/>
  <c r="E631" i="1"/>
  <c r="H630" i="1"/>
  <c r="G630" i="1"/>
  <c r="F630" i="1"/>
  <c r="E630" i="1"/>
  <c r="H629" i="1"/>
  <c r="G629" i="1"/>
  <c r="F629" i="1"/>
  <c r="E629" i="1"/>
  <c r="H628" i="1"/>
  <c r="G628" i="1"/>
  <c r="F628" i="1"/>
  <c r="E628" i="1"/>
  <c r="H627" i="1"/>
  <c r="G627" i="1"/>
  <c r="F627" i="1"/>
  <c r="E627" i="1"/>
  <c r="H626" i="1"/>
  <c r="G626" i="1"/>
  <c r="F626" i="1"/>
  <c r="E626" i="1"/>
  <c r="H625" i="1"/>
  <c r="G625" i="1"/>
  <c r="F625" i="1"/>
  <c r="E625" i="1"/>
  <c r="H624" i="1"/>
  <c r="G624" i="1"/>
  <c r="F624" i="1"/>
  <c r="E624" i="1"/>
  <c r="H623" i="1"/>
  <c r="G623" i="1"/>
  <c r="F623" i="1"/>
  <c r="E623" i="1"/>
  <c r="H622" i="1"/>
  <c r="G622" i="1"/>
  <c r="F622" i="1"/>
  <c r="E622" i="1"/>
  <c r="H621" i="1"/>
  <c r="G621" i="1"/>
  <c r="F621" i="1"/>
  <c r="E621" i="1"/>
  <c r="H620" i="1"/>
  <c r="G620" i="1"/>
  <c r="F620" i="1"/>
  <c r="E620" i="1"/>
  <c r="H619" i="1"/>
  <c r="G619" i="1"/>
  <c r="F619" i="1"/>
  <c r="E619" i="1"/>
  <c r="H618" i="1"/>
  <c r="G618" i="1"/>
  <c r="F618" i="1"/>
  <c r="E618" i="1"/>
  <c r="H617" i="1"/>
  <c r="G617" i="1"/>
  <c r="F617" i="1"/>
  <c r="E617" i="1"/>
  <c r="H616" i="1"/>
  <c r="G616" i="1"/>
  <c r="F616" i="1"/>
  <c r="E616" i="1"/>
  <c r="H615" i="1"/>
  <c r="G615" i="1"/>
  <c r="F615" i="1"/>
  <c r="E615" i="1"/>
  <c r="H614" i="1"/>
  <c r="G614" i="1"/>
  <c r="F614" i="1"/>
  <c r="E614" i="1"/>
  <c r="H613" i="1"/>
  <c r="G613" i="1"/>
  <c r="F613" i="1"/>
  <c r="E613" i="1"/>
  <c r="H612" i="1"/>
  <c r="G612" i="1"/>
  <c r="F612" i="1"/>
  <c r="E612" i="1"/>
  <c r="H611" i="1"/>
  <c r="G611" i="1"/>
  <c r="F611" i="1"/>
  <c r="E611" i="1"/>
  <c r="H610" i="1"/>
  <c r="G610" i="1"/>
  <c r="F610" i="1"/>
  <c r="E610" i="1"/>
  <c r="H609" i="1"/>
  <c r="G609" i="1"/>
  <c r="F609" i="1"/>
  <c r="E609" i="1"/>
  <c r="H608" i="1"/>
  <c r="G608" i="1"/>
  <c r="F608" i="1"/>
  <c r="E608" i="1"/>
  <c r="H607" i="1"/>
  <c r="G607" i="1"/>
  <c r="F607" i="1"/>
  <c r="E607" i="1"/>
  <c r="H606" i="1"/>
  <c r="G606" i="1"/>
  <c r="F606" i="1"/>
  <c r="E606" i="1"/>
  <c r="H605" i="1"/>
  <c r="G605" i="1"/>
  <c r="F605" i="1"/>
  <c r="E605" i="1"/>
  <c r="H604" i="1"/>
  <c r="G604" i="1"/>
  <c r="F604" i="1"/>
  <c r="E604" i="1"/>
  <c r="H603" i="1"/>
  <c r="G603" i="1"/>
  <c r="F603" i="1"/>
  <c r="E603" i="1"/>
  <c r="H602" i="1"/>
  <c r="G602" i="1"/>
  <c r="F602" i="1"/>
  <c r="E602" i="1"/>
  <c r="H601" i="1"/>
  <c r="G601" i="1"/>
  <c r="F601" i="1"/>
  <c r="E601" i="1"/>
  <c r="H600" i="1"/>
  <c r="G600" i="1"/>
  <c r="F600" i="1"/>
  <c r="E600" i="1"/>
  <c r="H599" i="1"/>
  <c r="G599" i="1"/>
  <c r="F599" i="1"/>
  <c r="E599" i="1"/>
  <c r="H598" i="1"/>
  <c r="G598" i="1"/>
  <c r="F598" i="1"/>
  <c r="E598" i="1"/>
  <c r="H597" i="1"/>
  <c r="G597" i="1"/>
  <c r="F597" i="1"/>
  <c r="E597" i="1"/>
  <c r="H596" i="1"/>
  <c r="G596" i="1"/>
  <c r="F596" i="1"/>
  <c r="E596" i="1"/>
  <c r="H595" i="1"/>
  <c r="G595" i="1"/>
  <c r="F595" i="1"/>
  <c r="E595" i="1"/>
  <c r="H594" i="1"/>
  <c r="G594" i="1"/>
  <c r="F594" i="1"/>
  <c r="E594" i="1"/>
  <c r="H593" i="1"/>
  <c r="G593" i="1"/>
  <c r="F593" i="1"/>
  <c r="E593" i="1"/>
  <c r="H592" i="1"/>
  <c r="G592" i="1"/>
  <c r="F592" i="1"/>
  <c r="E592" i="1"/>
  <c r="H591" i="1"/>
  <c r="G591" i="1"/>
  <c r="F591" i="1"/>
  <c r="E591" i="1"/>
  <c r="H590" i="1"/>
  <c r="G590" i="1"/>
  <c r="F590" i="1"/>
  <c r="E590" i="1"/>
  <c r="H589" i="1"/>
  <c r="G589" i="1"/>
  <c r="F589" i="1"/>
  <c r="E589" i="1"/>
  <c r="H588" i="1"/>
  <c r="G588" i="1"/>
  <c r="F588" i="1"/>
  <c r="E588" i="1"/>
  <c r="H587" i="1"/>
  <c r="G587" i="1"/>
  <c r="F587" i="1"/>
  <c r="E587" i="1"/>
  <c r="H586" i="1"/>
  <c r="G586" i="1"/>
  <c r="F586" i="1"/>
  <c r="E586" i="1"/>
  <c r="H585" i="1"/>
  <c r="G585" i="1"/>
  <c r="F585" i="1"/>
  <c r="E585" i="1"/>
  <c r="H584" i="1"/>
  <c r="G584" i="1"/>
  <c r="F584" i="1"/>
  <c r="E584" i="1"/>
  <c r="H583" i="1"/>
  <c r="G583" i="1"/>
  <c r="F583" i="1"/>
  <c r="E583" i="1"/>
  <c r="H582" i="1"/>
  <c r="G582" i="1"/>
  <c r="F582" i="1"/>
  <c r="E582" i="1"/>
  <c r="H581" i="1"/>
  <c r="G581" i="1"/>
  <c r="F581" i="1"/>
  <c r="E581" i="1"/>
  <c r="H580" i="1"/>
  <c r="G580" i="1"/>
  <c r="F580" i="1"/>
  <c r="E580" i="1"/>
  <c r="H579" i="1"/>
  <c r="G579" i="1"/>
  <c r="F579" i="1"/>
  <c r="E579" i="1"/>
  <c r="H578" i="1"/>
  <c r="G578" i="1"/>
  <c r="F578" i="1"/>
  <c r="E578" i="1"/>
  <c r="H577" i="1"/>
  <c r="G577" i="1"/>
  <c r="F577" i="1"/>
  <c r="E577" i="1"/>
  <c r="H576" i="1"/>
  <c r="G576" i="1"/>
  <c r="F576" i="1"/>
  <c r="E576" i="1"/>
  <c r="H575" i="1"/>
  <c r="G575" i="1"/>
  <c r="F575" i="1"/>
  <c r="E575" i="1"/>
  <c r="H574" i="1"/>
  <c r="G574" i="1"/>
  <c r="F574" i="1"/>
  <c r="E574" i="1"/>
  <c r="H573" i="1"/>
  <c r="G573" i="1"/>
  <c r="F573" i="1"/>
  <c r="E573" i="1"/>
  <c r="H572" i="1"/>
  <c r="G572" i="1"/>
  <c r="F572" i="1"/>
  <c r="E572" i="1"/>
  <c r="H571" i="1"/>
  <c r="G571" i="1"/>
  <c r="F571" i="1"/>
  <c r="E571" i="1"/>
  <c r="H570" i="1"/>
  <c r="G570" i="1"/>
  <c r="F570" i="1"/>
  <c r="E570" i="1"/>
  <c r="H569" i="1"/>
  <c r="G569" i="1"/>
  <c r="F569" i="1"/>
  <c r="E569" i="1"/>
  <c r="H568" i="1"/>
  <c r="G568" i="1"/>
  <c r="F568" i="1"/>
  <c r="E568" i="1"/>
  <c r="H567" i="1"/>
  <c r="G567" i="1"/>
  <c r="F567" i="1"/>
  <c r="E567" i="1"/>
  <c r="H566" i="1"/>
  <c r="G566" i="1"/>
  <c r="F566" i="1"/>
  <c r="E566" i="1"/>
  <c r="H565" i="1"/>
  <c r="G565" i="1"/>
  <c r="F565" i="1"/>
  <c r="E565" i="1"/>
  <c r="H564" i="1"/>
  <c r="G564" i="1"/>
  <c r="F564" i="1"/>
  <c r="E564" i="1"/>
  <c r="H563" i="1"/>
  <c r="G563" i="1"/>
  <c r="F563" i="1"/>
  <c r="E563" i="1"/>
  <c r="H562" i="1"/>
  <c r="G562" i="1"/>
  <c r="F562" i="1"/>
  <c r="E562" i="1"/>
  <c r="H561" i="1"/>
  <c r="G561" i="1"/>
  <c r="F561" i="1"/>
  <c r="E561" i="1"/>
  <c r="H560" i="1"/>
  <c r="G560" i="1"/>
  <c r="F560" i="1"/>
  <c r="E560" i="1"/>
  <c r="H559" i="1"/>
  <c r="G559" i="1"/>
  <c r="F559" i="1"/>
  <c r="E559" i="1"/>
  <c r="H558" i="1"/>
  <c r="G558" i="1"/>
  <c r="F558" i="1"/>
  <c r="E558" i="1"/>
  <c r="H557" i="1"/>
  <c r="G557" i="1"/>
  <c r="F557" i="1"/>
  <c r="E557" i="1"/>
  <c r="H556" i="1"/>
  <c r="G556" i="1"/>
  <c r="F556" i="1"/>
  <c r="E556" i="1"/>
  <c r="H555" i="1"/>
  <c r="G555" i="1"/>
  <c r="F555" i="1"/>
  <c r="E555" i="1"/>
  <c r="H554" i="1"/>
  <c r="G554" i="1"/>
  <c r="F554" i="1"/>
  <c r="E554" i="1"/>
  <c r="H553" i="1"/>
  <c r="G553" i="1"/>
  <c r="F553" i="1"/>
  <c r="E553" i="1"/>
  <c r="H552" i="1"/>
  <c r="G552" i="1"/>
  <c r="F552" i="1"/>
  <c r="E552" i="1"/>
  <c r="H551" i="1"/>
  <c r="G551" i="1"/>
  <c r="F551" i="1"/>
  <c r="E551" i="1"/>
  <c r="H550" i="1"/>
  <c r="G550" i="1"/>
  <c r="F550" i="1"/>
  <c r="E550" i="1"/>
  <c r="H549" i="1"/>
  <c r="G549" i="1"/>
  <c r="F549" i="1"/>
  <c r="E549" i="1"/>
  <c r="H548" i="1"/>
  <c r="G548" i="1"/>
  <c r="F548" i="1"/>
  <c r="E548" i="1"/>
  <c r="H547" i="1"/>
  <c r="G547" i="1"/>
  <c r="F547" i="1"/>
  <c r="E547" i="1"/>
  <c r="H546" i="1"/>
  <c r="G546" i="1"/>
  <c r="F546" i="1"/>
  <c r="E546" i="1"/>
  <c r="H545" i="1"/>
  <c r="G545" i="1"/>
  <c r="F545" i="1"/>
  <c r="E545" i="1"/>
  <c r="H544" i="1"/>
  <c r="G544" i="1"/>
  <c r="F544" i="1"/>
  <c r="E544" i="1"/>
  <c r="H543" i="1"/>
  <c r="G543" i="1"/>
  <c r="F543" i="1"/>
  <c r="E543" i="1"/>
  <c r="H542" i="1"/>
  <c r="G542" i="1"/>
  <c r="F542" i="1"/>
  <c r="E542" i="1"/>
  <c r="H541" i="1"/>
  <c r="G541" i="1"/>
  <c r="F541" i="1"/>
  <c r="E541" i="1"/>
  <c r="H540" i="1"/>
  <c r="G540" i="1"/>
  <c r="F540" i="1"/>
  <c r="E540" i="1"/>
  <c r="H539" i="1"/>
  <c r="G539" i="1"/>
  <c r="F539" i="1"/>
  <c r="E539" i="1"/>
  <c r="H538" i="1"/>
  <c r="G538" i="1"/>
  <c r="F538" i="1"/>
  <c r="E538" i="1"/>
  <c r="H537" i="1"/>
  <c r="G537" i="1"/>
  <c r="F537" i="1"/>
  <c r="E537" i="1"/>
  <c r="H536" i="1"/>
  <c r="G536" i="1"/>
  <c r="F536" i="1"/>
  <c r="E536" i="1"/>
  <c r="H535" i="1"/>
  <c r="G535" i="1"/>
  <c r="F535" i="1"/>
  <c r="E535" i="1"/>
  <c r="H534" i="1"/>
  <c r="G534" i="1"/>
  <c r="F534" i="1"/>
  <c r="E534" i="1"/>
  <c r="H533" i="1"/>
  <c r="G533" i="1"/>
  <c r="F533" i="1"/>
  <c r="E533" i="1"/>
  <c r="H532" i="1"/>
  <c r="G532" i="1"/>
  <c r="F532" i="1"/>
  <c r="E532" i="1"/>
  <c r="H531" i="1"/>
  <c r="G531" i="1"/>
  <c r="F531" i="1"/>
  <c r="E531" i="1"/>
  <c r="H530" i="1"/>
  <c r="G530" i="1"/>
  <c r="F530" i="1"/>
  <c r="E530" i="1"/>
  <c r="H529" i="1"/>
  <c r="G529" i="1"/>
  <c r="F529" i="1"/>
  <c r="E529" i="1"/>
  <c r="H528" i="1"/>
  <c r="G528" i="1"/>
  <c r="F528" i="1"/>
  <c r="E528" i="1"/>
  <c r="H527" i="1"/>
  <c r="G527" i="1"/>
  <c r="F527" i="1"/>
  <c r="E527" i="1"/>
  <c r="H526" i="1"/>
  <c r="G526" i="1"/>
  <c r="F526" i="1"/>
  <c r="E526" i="1"/>
  <c r="H525" i="1"/>
  <c r="G525" i="1"/>
  <c r="F525" i="1"/>
  <c r="E525" i="1"/>
  <c r="H524" i="1"/>
  <c r="G524" i="1"/>
  <c r="F524" i="1"/>
  <c r="E524" i="1"/>
  <c r="H523" i="1"/>
  <c r="G523" i="1"/>
  <c r="F523" i="1"/>
  <c r="E523" i="1"/>
  <c r="H522" i="1"/>
  <c r="G522" i="1"/>
  <c r="F522" i="1"/>
  <c r="E522" i="1"/>
  <c r="H521" i="1"/>
  <c r="G521" i="1"/>
  <c r="F521" i="1"/>
  <c r="E521" i="1"/>
  <c r="H520" i="1"/>
  <c r="G520" i="1"/>
  <c r="F520" i="1"/>
  <c r="E520" i="1"/>
  <c r="H519" i="1"/>
  <c r="G519" i="1"/>
  <c r="F519" i="1"/>
  <c r="E519" i="1"/>
  <c r="H518" i="1"/>
  <c r="G518" i="1"/>
  <c r="F518" i="1"/>
  <c r="E518" i="1"/>
  <c r="H517" i="1"/>
  <c r="G517" i="1"/>
  <c r="F517" i="1"/>
  <c r="E517" i="1"/>
  <c r="H516" i="1"/>
  <c r="G516" i="1"/>
  <c r="F516" i="1"/>
  <c r="E516" i="1"/>
  <c r="H515" i="1"/>
  <c r="G515" i="1"/>
  <c r="F515" i="1"/>
  <c r="E515" i="1"/>
  <c r="H514" i="1"/>
  <c r="G514" i="1"/>
  <c r="F514" i="1"/>
  <c r="E514" i="1"/>
  <c r="H513" i="1"/>
  <c r="G513" i="1"/>
  <c r="F513" i="1"/>
  <c r="E513" i="1"/>
  <c r="H512" i="1"/>
  <c r="G512" i="1"/>
  <c r="F512" i="1"/>
  <c r="E512" i="1"/>
  <c r="H511" i="1"/>
  <c r="G511" i="1"/>
  <c r="F511" i="1"/>
  <c r="E511" i="1"/>
  <c r="H510" i="1"/>
  <c r="G510" i="1"/>
  <c r="F510" i="1"/>
  <c r="E510" i="1"/>
  <c r="H509" i="1"/>
  <c r="G509" i="1"/>
  <c r="F509" i="1"/>
  <c r="E509" i="1"/>
  <c r="H508" i="1"/>
  <c r="G508" i="1"/>
  <c r="F508" i="1"/>
  <c r="E508" i="1"/>
  <c r="H507" i="1"/>
  <c r="G507" i="1"/>
  <c r="F507" i="1"/>
  <c r="E507" i="1"/>
  <c r="H506" i="1"/>
  <c r="G506" i="1"/>
  <c r="F506" i="1"/>
  <c r="E506" i="1"/>
  <c r="H505" i="1"/>
  <c r="G505" i="1"/>
  <c r="F505" i="1"/>
  <c r="E505" i="1"/>
  <c r="H504" i="1"/>
  <c r="G504" i="1"/>
  <c r="F504" i="1"/>
  <c r="E504" i="1"/>
  <c r="H503" i="1"/>
  <c r="G503" i="1"/>
  <c r="F503" i="1"/>
  <c r="E503" i="1"/>
  <c r="H502" i="1"/>
  <c r="G502" i="1"/>
  <c r="F502" i="1"/>
  <c r="E502" i="1"/>
  <c r="H501" i="1"/>
  <c r="G501" i="1"/>
  <c r="F501" i="1"/>
  <c r="E501" i="1"/>
  <c r="H500" i="1"/>
  <c r="G500" i="1"/>
  <c r="F500" i="1"/>
  <c r="E500" i="1"/>
  <c r="H499" i="1"/>
  <c r="G499" i="1"/>
  <c r="F499" i="1"/>
  <c r="E499" i="1"/>
  <c r="H498" i="1"/>
  <c r="G498" i="1"/>
  <c r="F498" i="1"/>
  <c r="E498" i="1"/>
  <c r="H497" i="1"/>
  <c r="G497" i="1"/>
  <c r="F497" i="1"/>
  <c r="E497" i="1"/>
  <c r="H496" i="1"/>
  <c r="G496" i="1"/>
  <c r="F496" i="1"/>
  <c r="E496" i="1"/>
  <c r="H495" i="1"/>
  <c r="G495" i="1"/>
  <c r="F495" i="1"/>
  <c r="E495" i="1"/>
  <c r="H494" i="1"/>
  <c r="G494" i="1"/>
  <c r="F494" i="1"/>
  <c r="E494" i="1"/>
  <c r="H493" i="1"/>
  <c r="G493" i="1"/>
  <c r="F493" i="1"/>
  <c r="E493" i="1"/>
  <c r="H492" i="1"/>
  <c r="G492" i="1"/>
  <c r="F492" i="1"/>
  <c r="E492" i="1"/>
  <c r="H491" i="1"/>
  <c r="G491" i="1"/>
  <c r="F491" i="1"/>
  <c r="E491" i="1"/>
  <c r="H490" i="1"/>
  <c r="G490" i="1"/>
  <c r="F490" i="1"/>
  <c r="E490" i="1"/>
  <c r="H489" i="1"/>
  <c r="G489" i="1"/>
  <c r="F489" i="1"/>
  <c r="E489" i="1"/>
  <c r="H488" i="1"/>
  <c r="G488" i="1"/>
  <c r="F488" i="1"/>
  <c r="E488" i="1"/>
  <c r="H487" i="1"/>
  <c r="G487" i="1"/>
  <c r="F487" i="1"/>
  <c r="E487" i="1"/>
  <c r="H486" i="1"/>
  <c r="G486" i="1"/>
  <c r="F486" i="1"/>
  <c r="E486" i="1"/>
  <c r="H485" i="1"/>
  <c r="G485" i="1"/>
  <c r="F485" i="1"/>
  <c r="E485" i="1"/>
  <c r="H484" i="1"/>
  <c r="G484" i="1"/>
  <c r="F484" i="1"/>
  <c r="E484" i="1"/>
  <c r="H483" i="1"/>
  <c r="G483" i="1"/>
  <c r="F483" i="1"/>
  <c r="E483" i="1"/>
  <c r="H482" i="1"/>
  <c r="G482" i="1"/>
  <c r="F482" i="1"/>
  <c r="E482" i="1"/>
  <c r="H481" i="1"/>
  <c r="G481" i="1"/>
  <c r="F481" i="1"/>
  <c r="E481" i="1"/>
  <c r="H480" i="1"/>
  <c r="G480" i="1"/>
  <c r="F480" i="1"/>
  <c r="E480" i="1"/>
  <c r="H479" i="1"/>
  <c r="G479" i="1"/>
  <c r="F479" i="1"/>
  <c r="E479" i="1"/>
  <c r="H478" i="1"/>
  <c r="G478" i="1"/>
  <c r="F478" i="1"/>
  <c r="E478" i="1"/>
  <c r="H477" i="1"/>
  <c r="G477" i="1"/>
  <c r="F477" i="1"/>
  <c r="E477" i="1"/>
  <c r="H476" i="1"/>
  <c r="G476" i="1"/>
  <c r="F476" i="1"/>
  <c r="E476" i="1"/>
  <c r="H475" i="1"/>
  <c r="G475" i="1"/>
  <c r="F475" i="1"/>
  <c r="E475" i="1"/>
  <c r="H474" i="1"/>
  <c r="G474" i="1"/>
  <c r="F474" i="1"/>
  <c r="E474" i="1"/>
  <c r="H473" i="1"/>
  <c r="G473" i="1"/>
  <c r="F473" i="1"/>
  <c r="E473" i="1"/>
  <c r="H472" i="1"/>
  <c r="G472" i="1"/>
  <c r="F472" i="1"/>
  <c r="E472" i="1"/>
  <c r="H471" i="1"/>
  <c r="G471" i="1"/>
  <c r="F471" i="1"/>
  <c r="E471" i="1"/>
  <c r="H470" i="1"/>
  <c r="G470" i="1"/>
  <c r="F470" i="1"/>
  <c r="E470" i="1"/>
  <c r="H469" i="1"/>
  <c r="G469" i="1"/>
  <c r="F469" i="1"/>
  <c r="E469" i="1"/>
  <c r="H468" i="1"/>
  <c r="G468" i="1"/>
  <c r="F468" i="1"/>
  <c r="E468" i="1"/>
  <c r="H467" i="1"/>
  <c r="G467" i="1"/>
  <c r="F467" i="1"/>
  <c r="E467" i="1"/>
  <c r="H466" i="1"/>
  <c r="G466" i="1"/>
  <c r="F466" i="1"/>
  <c r="E466" i="1"/>
  <c r="H465" i="1"/>
  <c r="G465" i="1"/>
  <c r="F465" i="1"/>
  <c r="E465" i="1"/>
  <c r="H464" i="1"/>
  <c r="G464" i="1"/>
  <c r="F464" i="1"/>
  <c r="E464" i="1"/>
  <c r="H463" i="1"/>
  <c r="G463" i="1"/>
  <c r="F463" i="1"/>
  <c r="E463" i="1"/>
  <c r="H462" i="1"/>
  <c r="G462" i="1"/>
  <c r="F462" i="1"/>
  <c r="E462" i="1"/>
  <c r="H461" i="1"/>
  <c r="G461" i="1"/>
  <c r="F461" i="1"/>
  <c r="E461" i="1"/>
  <c r="H460" i="1"/>
  <c r="G460" i="1"/>
  <c r="F460" i="1"/>
  <c r="E460" i="1"/>
  <c r="H459" i="1"/>
  <c r="G459" i="1"/>
  <c r="F459" i="1"/>
  <c r="E459" i="1"/>
  <c r="H458" i="1"/>
  <c r="G458" i="1"/>
  <c r="F458" i="1"/>
  <c r="E458" i="1"/>
  <c r="H457" i="1"/>
  <c r="G457" i="1"/>
  <c r="F457" i="1"/>
  <c r="E457" i="1"/>
  <c r="H456" i="1"/>
  <c r="G456" i="1"/>
  <c r="F456" i="1"/>
  <c r="E456" i="1"/>
  <c r="H455" i="1"/>
  <c r="G455" i="1"/>
  <c r="F455" i="1"/>
  <c r="E455" i="1"/>
  <c r="H454" i="1"/>
  <c r="G454" i="1"/>
  <c r="F454" i="1"/>
  <c r="E454" i="1"/>
  <c r="H453" i="1"/>
  <c r="G453" i="1"/>
  <c r="F453" i="1"/>
  <c r="E453" i="1"/>
  <c r="H452" i="1"/>
  <c r="G452" i="1"/>
  <c r="F452" i="1"/>
  <c r="E452" i="1"/>
  <c r="H451" i="1"/>
  <c r="G451" i="1"/>
  <c r="F451" i="1"/>
  <c r="E451" i="1"/>
  <c r="H450" i="1"/>
  <c r="G450" i="1"/>
  <c r="F450" i="1"/>
  <c r="E450" i="1"/>
  <c r="H449" i="1"/>
  <c r="G449" i="1"/>
  <c r="F449" i="1"/>
  <c r="E449" i="1"/>
  <c r="H448" i="1"/>
  <c r="G448" i="1"/>
  <c r="F448" i="1"/>
  <c r="E448" i="1"/>
  <c r="H447" i="1"/>
  <c r="G447" i="1"/>
  <c r="F447" i="1"/>
  <c r="E447" i="1"/>
  <c r="H446" i="1"/>
  <c r="G446" i="1"/>
  <c r="F446" i="1"/>
  <c r="E446" i="1"/>
  <c r="H445" i="1"/>
  <c r="G445" i="1"/>
  <c r="F445" i="1"/>
  <c r="E445" i="1"/>
  <c r="H444" i="1"/>
  <c r="G444" i="1"/>
  <c r="F444" i="1"/>
  <c r="E444" i="1"/>
  <c r="H443" i="1"/>
  <c r="G443" i="1"/>
  <c r="F443" i="1"/>
  <c r="E443" i="1"/>
  <c r="H442" i="1"/>
  <c r="G442" i="1"/>
  <c r="F442" i="1"/>
  <c r="E442" i="1"/>
  <c r="H441" i="1"/>
  <c r="G441" i="1"/>
  <c r="F441" i="1"/>
  <c r="E441" i="1"/>
  <c r="H440" i="1"/>
  <c r="G440" i="1"/>
  <c r="F440" i="1"/>
  <c r="E440" i="1"/>
  <c r="H439" i="1"/>
  <c r="G439" i="1"/>
  <c r="F439" i="1"/>
  <c r="E439" i="1"/>
  <c r="H438" i="1"/>
  <c r="G438" i="1"/>
  <c r="F438" i="1"/>
  <c r="E438" i="1"/>
  <c r="H437" i="1"/>
  <c r="G437" i="1"/>
  <c r="F437" i="1"/>
  <c r="E437" i="1"/>
  <c r="H436" i="1"/>
  <c r="G436" i="1"/>
  <c r="F436" i="1"/>
  <c r="E436" i="1"/>
  <c r="H435" i="1"/>
  <c r="G435" i="1"/>
  <c r="F435" i="1"/>
  <c r="E435" i="1"/>
  <c r="H434" i="1"/>
  <c r="G434" i="1"/>
  <c r="F434" i="1"/>
  <c r="E434" i="1"/>
  <c r="H433" i="1"/>
  <c r="G433" i="1"/>
  <c r="F433" i="1"/>
  <c r="E433" i="1"/>
  <c r="H432" i="1"/>
  <c r="G432" i="1"/>
  <c r="F432" i="1"/>
  <c r="E432" i="1"/>
  <c r="H431" i="1"/>
  <c r="G431" i="1"/>
  <c r="F431" i="1"/>
  <c r="E431" i="1"/>
  <c r="H430" i="1"/>
  <c r="G430" i="1"/>
  <c r="F430" i="1"/>
  <c r="E430" i="1"/>
  <c r="H429" i="1"/>
  <c r="G429" i="1"/>
  <c r="F429" i="1"/>
  <c r="E429" i="1"/>
  <c r="H428" i="1"/>
  <c r="G428" i="1"/>
  <c r="F428" i="1"/>
  <c r="E428" i="1"/>
  <c r="H427" i="1"/>
  <c r="G427" i="1"/>
  <c r="F427" i="1"/>
  <c r="E427" i="1"/>
  <c r="H426" i="1"/>
  <c r="G426" i="1"/>
  <c r="F426" i="1"/>
  <c r="E426" i="1"/>
  <c r="H425" i="1"/>
  <c r="G425" i="1"/>
  <c r="F425" i="1"/>
  <c r="E425" i="1"/>
  <c r="H424" i="1"/>
  <c r="G424" i="1"/>
  <c r="F424" i="1"/>
  <c r="E424" i="1"/>
  <c r="H423" i="1"/>
  <c r="G423" i="1"/>
  <c r="F423" i="1"/>
  <c r="E423" i="1"/>
  <c r="H422" i="1"/>
  <c r="G422" i="1"/>
  <c r="F422" i="1"/>
  <c r="E422" i="1"/>
  <c r="H421" i="1"/>
  <c r="G421" i="1"/>
  <c r="F421" i="1"/>
  <c r="E421" i="1"/>
  <c r="H420" i="1"/>
  <c r="G420" i="1"/>
  <c r="F420" i="1"/>
  <c r="E420" i="1"/>
  <c r="H419" i="1"/>
  <c r="G419" i="1"/>
  <c r="F419" i="1"/>
  <c r="E419" i="1"/>
  <c r="H418" i="1"/>
  <c r="G418" i="1"/>
  <c r="F418" i="1"/>
  <c r="E418" i="1"/>
  <c r="H417" i="1"/>
  <c r="G417" i="1"/>
  <c r="F417" i="1"/>
  <c r="E417" i="1"/>
  <c r="H416" i="1"/>
  <c r="G416" i="1"/>
  <c r="F416" i="1"/>
  <c r="E416" i="1"/>
  <c r="H415" i="1"/>
  <c r="G415" i="1"/>
  <c r="F415" i="1"/>
  <c r="E415" i="1"/>
  <c r="H414" i="1"/>
  <c r="G414" i="1"/>
  <c r="F414" i="1"/>
  <c r="E414" i="1"/>
  <c r="H413" i="1"/>
  <c r="G413" i="1"/>
  <c r="F413" i="1"/>
  <c r="E413" i="1"/>
  <c r="H412" i="1"/>
  <c r="G412" i="1"/>
  <c r="F412" i="1"/>
  <c r="E412" i="1"/>
  <c r="H411" i="1"/>
  <c r="G411" i="1"/>
  <c r="F411" i="1"/>
  <c r="E411" i="1"/>
  <c r="H410" i="1"/>
  <c r="G410" i="1"/>
  <c r="F410" i="1"/>
  <c r="E410" i="1"/>
  <c r="H409" i="1"/>
  <c r="G409" i="1"/>
  <c r="F409" i="1"/>
  <c r="E409" i="1"/>
  <c r="H408" i="1"/>
  <c r="G408" i="1"/>
  <c r="F408" i="1"/>
  <c r="E408" i="1"/>
  <c r="H407" i="1"/>
  <c r="G407" i="1"/>
  <c r="F407" i="1"/>
  <c r="E407" i="1"/>
  <c r="H406" i="1"/>
  <c r="G406" i="1"/>
  <c r="F406" i="1"/>
  <c r="E406" i="1"/>
  <c r="H405" i="1"/>
  <c r="G405" i="1"/>
  <c r="F405" i="1"/>
  <c r="E405" i="1"/>
  <c r="H404" i="1"/>
  <c r="G404" i="1"/>
  <c r="F404" i="1"/>
  <c r="E404" i="1"/>
  <c r="H403" i="1"/>
  <c r="G403" i="1"/>
  <c r="F403" i="1"/>
  <c r="E403" i="1"/>
  <c r="H402" i="1"/>
  <c r="G402" i="1"/>
  <c r="F402" i="1"/>
  <c r="E402" i="1"/>
  <c r="H401" i="1"/>
  <c r="G401" i="1"/>
  <c r="F401" i="1"/>
  <c r="E401" i="1"/>
  <c r="H400" i="1"/>
  <c r="G400" i="1"/>
  <c r="F400" i="1"/>
  <c r="E400" i="1"/>
  <c r="H399" i="1"/>
  <c r="G399" i="1"/>
  <c r="F399" i="1"/>
  <c r="E399" i="1"/>
  <c r="H398" i="1"/>
  <c r="G398" i="1"/>
  <c r="F398" i="1"/>
  <c r="E398" i="1"/>
  <c r="H397" i="1"/>
  <c r="G397" i="1"/>
  <c r="F397" i="1"/>
  <c r="E397" i="1"/>
  <c r="H396" i="1"/>
  <c r="G396" i="1"/>
  <c r="F396" i="1"/>
  <c r="E396" i="1"/>
  <c r="H395" i="1"/>
  <c r="G395" i="1"/>
  <c r="F395" i="1"/>
  <c r="E395" i="1"/>
  <c r="H394" i="1"/>
  <c r="G394" i="1"/>
  <c r="F394" i="1"/>
  <c r="E394" i="1"/>
  <c r="H393" i="1"/>
  <c r="G393" i="1"/>
  <c r="F393" i="1"/>
  <c r="E393" i="1"/>
  <c r="H392" i="1"/>
  <c r="G392" i="1"/>
  <c r="F392" i="1"/>
  <c r="E392" i="1"/>
  <c r="H391" i="1"/>
  <c r="G391" i="1"/>
  <c r="F391" i="1"/>
  <c r="E391" i="1"/>
  <c r="H390" i="1"/>
  <c r="G390" i="1"/>
  <c r="F390" i="1"/>
  <c r="E390" i="1"/>
  <c r="H389" i="1"/>
  <c r="G389" i="1"/>
  <c r="F389" i="1"/>
  <c r="E389" i="1"/>
  <c r="H388" i="1"/>
  <c r="G388" i="1"/>
  <c r="F388" i="1"/>
  <c r="E388" i="1"/>
  <c r="H387" i="1"/>
  <c r="G387" i="1"/>
  <c r="F387" i="1"/>
  <c r="E387" i="1"/>
  <c r="H386" i="1"/>
  <c r="G386" i="1"/>
  <c r="F386" i="1"/>
  <c r="E386" i="1"/>
  <c r="H385" i="1"/>
  <c r="G385" i="1"/>
  <c r="F385" i="1"/>
  <c r="E385" i="1"/>
  <c r="H384" i="1"/>
  <c r="G384" i="1"/>
  <c r="F384" i="1"/>
  <c r="E384" i="1"/>
  <c r="H383" i="1"/>
  <c r="G383" i="1"/>
  <c r="F383" i="1"/>
  <c r="E383" i="1"/>
  <c r="H382" i="1"/>
  <c r="G382" i="1"/>
  <c r="F382" i="1"/>
  <c r="E382" i="1"/>
  <c r="H381" i="1"/>
  <c r="G381" i="1"/>
  <c r="F381" i="1"/>
  <c r="E381" i="1"/>
  <c r="H380" i="1"/>
  <c r="G380" i="1"/>
  <c r="F380" i="1"/>
  <c r="E380" i="1"/>
  <c r="H379" i="1"/>
  <c r="G379" i="1"/>
  <c r="F379" i="1"/>
  <c r="E379" i="1"/>
  <c r="H378" i="1"/>
  <c r="G378" i="1"/>
  <c r="F378" i="1"/>
  <c r="E378" i="1"/>
  <c r="H377" i="1"/>
  <c r="G377" i="1"/>
  <c r="F377" i="1"/>
  <c r="E377" i="1"/>
  <c r="H376" i="1"/>
  <c r="G376" i="1"/>
  <c r="F376" i="1"/>
  <c r="E376" i="1"/>
  <c r="H375" i="1"/>
  <c r="G375" i="1"/>
  <c r="F375" i="1"/>
  <c r="E375" i="1"/>
  <c r="H374" i="1"/>
  <c r="G374" i="1"/>
  <c r="F374" i="1"/>
  <c r="E374" i="1"/>
  <c r="H373" i="1"/>
  <c r="G373" i="1"/>
  <c r="F373" i="1"/>
  <c r="E373" i="1"/>
  <c r="H372" i="1"/>
  <c r="G372" i="1"/>
  <c r="F372" i="1"/>
  <c r="E372" i="1"/>
  <c r="H371" i="1"/>
  <c r="G371" i="1"/>
  <c r="F371" i="1"/>
  <c r="E371" i="1"/>
  <c r="H370" i="1"/>
  <c r="G370" i="1"/>
  <c r="F370" i="1"/>
  <c r="E370" i="1"/>
  <c r="H369" i="1"/>
  <c r="G369" i="1"/>
  <c r="F369" i="1"/>
  <c r="E369" i="1"/>
  <c r="H368" i="1"/>
  <c r="G368" i="1"/>
  <c r="F368" i="1"/>
  <c r="E368" i="1"/>
  <c r="H367" i="1"/>
  <c r="G367" i="1"/>
  <c r="F367" i="1"/>
  <c r="E367" i="1"/>
  <c r="H366" i="1"/>
  <c r="G366" i="1"/>
  <c r="F366" i="1"/>
  <c r="E366" i="1"/>
  <c r="H365" i="1"/>
  <c r="G365" i="1"/>
  <c r="F365" i="1"/>
  <c r="E365" i="1"/>
  <c r="H364" i="1"/>
  <c r="G364" i="1"/>
  <c r="F364" i="1"/>
  <c r="E364" i="1"/>
  <c r="H363" i="1"/>
  <c r="G363" i="1"/>
  <c r="F363" i="1"/>
  <c r="E363" i="1"/>
  <c r="H362" i="1"/>
  <c r="G362" i="1"/>
  <c r="F362" i="1"/>
  <c r="E362" i="1"/>
  <c r="H361" i="1"/>
  <c r="G361" i="1"/>
  <c r="F361" i="1"/>
  <c r="E361" i="1"/>
  <c r="H360" i="1"/>
  <c r="G360" i="1"/>
  <c r="F360" i="1"/>
  <c r="E360" i="1"/>
  <c r="H359" i="1"/>
  <c r="G359" i="1"/>
  <c r="F359" i="1"/>
  <c r="E359" i="1"/>
  <c r="H358" i="1"/>
  <c r="G358" i="1"/>
  <c r="F358" i="1"/>
  <c r="E358" i="1"/>
  <c r="H357" i="1"/>
  <c r="G357" i="1"/>
  <c r="F357" i="1"/>
  <c r="E357" i="1"/>
  <c r="H356" i="1"/>
  <c r="G356" i="1"/>
  <c r="F356" i="1"/>
  <c r="E356" i="1"/>
  <c r="H355" i="1"/>
  <c r="G355" i="1"/>
  <c r="F355" i="1"/>
  <c r="E355" i="1"/>
  <c r="H354" i="1"/>
  <c r="G354" i="1"/>
  <c r="F354" i="1"/>
  <c r="E354" i="1"/>
  <c r="H353" i="1"/>
  <c r="G353" i="1"/>
  <c r="F353" i="1"/>
  <c r="E353" i="1"/>
  <c r="H352" i="1"/>
  <c r="G352" i="1"/>
  <c r="F352" i="1"/>
  <c r="E352" i="1"/>
  <c r="H351" i="1"/>
  <c r="G351" i="1"/>
  <c r="F351" i="1"/>
  <c r="E351" i="1"/>
  <c r="H350" i="1"/>
  <c r="G350" i="1"/>
  <c r="F350" i="1"/>
  <c r="E350" i="1"/>
  <c r="H349" i="1"/>
  <c r="G349" i="1"/>
  <c r="F349" i="1"/>
  <c r="E349" i="1"/>
  <c r="H348" i="1"/>
  <c r="G348" i="1"/>
  <c r="F348" i="1"/>
  <c r="E348" i="1"/>
  <c r="H347" i="1"/>
  <c r="G347" i="1"/>
  <c r="F347" i="1"/>
  <c r="E347" i="1"/>
  <c r="H346" i="1"/>
  <c r="G346" i="1"/>
  <c r="F346" i="1"/>
  <c r="E346" i="1"/>
  <c r="H345" i="1"/>
  <c r="G345" i="1"/>
  <c r="F345" i="1"/>
  <c r="E345" i="1"/>
  <c r="H344" i="1"/>
  <c r="G344" i="1"/>
  <c r="F344" i="1"/>
  <c r="E344" i="1"/>
  <c r="H343" i="1"/>
  <c r="G343" i="1"/>
  <c r="F343" i="1"/>
  <c r="E343" i="1"/>
  <c r="H342" i="1"/>
  <c r="G342" i="1"/>
  <c r="F342" i="1"/>
  <c r="E342" i="1"/>
  <c r="H341" i="1"/>
  <c r="G341" i="1"/>
  <c r="F341" i="1"/>
  <c r="E341" i="1"/>
  <c r="H340" i="1"/>
  <c r="G340" i="1"/>
  <c r="F340" i="1"/>
  <c r="E340" i="1"/>
  <c r="H339" i="1"/>
  <c r="G339" i="1"/>
  <c r="F339" i="1"/>
  <c r="E339" i="1"/>
  <c r="H338" i="1"/>
  <c r="G338" i="1"/>
  <c r="F338" i="1"/>
  <c r="E338" i="1"/>
  <c r="H337" i="1"/>
  <c r="G337" i="1"/>
  <c r="F337" i="1"/>
  <c r="E337" i="1"/>
  <c r="H336" i="1"/>
  <c r="G336" i="1"/>
  <c r="F336" i="1"/>
  <c r="E336" i="1"/>
  <c r="H335" i="1"/>
  <c r="G335" i="1"/>
  <c r="F335" i="1"/>
  <c r="E335" i="1"/>
  <c r="H334" i="1"/>
  <c r="G334" i="1"/>
  <c r="F334" i="1"/>
  <c r="E334" i="1"/>
  <c r="H333" i="1"/>
  <c r="G333" i="1"/>
  <c r="F333" i="1"/>
  <c r="E333" i="1"/>
  <c r="H332" i="1"/>
  <c r="G332" i="1"/>
  <c r="F332" i="1"/>
  <c r="E332" i="1"/>
  <c r="H331" i="1"/>
  <c r="G331" i="1"/>
  <c r="F331" i="1"/>
  <c r="E331" i="1"/>
  <c r="H330" i="1"/>
  <c r="G330" i="1"/>
  <c r="F330" i="1"/>
  <c r="E330" i="1"/>
  <c r="H329" i="1"/>
  <c r="G329" i="1"/>
  <c r="F329" i="1"/>
  <c r="E329" i="1"/>
  <c r="H328" i="1"/>
  <c r="G328" i="1"/>
  <c r="F328" i="1"/>
  <c r="E328" i="1"/>
  <c r="H327" i="1"/>
  <c r="G327" i="1"/>
  <c r="F327" i="1"/>
  <c r="E327" i="1"/>
  <c r="H326" i="1"/>
  <c r="G326" i="1"/>
  <c r="F326" i="1"/>
  <c r="E326" i="1"/>
  <c r="H325" i="1"/>
  <c r="G325" i="1"/>
  <c r="F325" i="1"/>
  <c r="E325" i="1"/>
  <c r="H324" i="1"/>
  <c r="G324" i="1"/>
  <c r="F324" i="1"/>
  <c r="E324" i="1"/>
  <c r="H323" i="1"/>
  <c r="G323" i="1"/>
  <c r="F323" i="1"/>
  <c r="E323" i="1"/>
  <c r="H322" i="1"/>
  <c r="G322" i="1"/>
  <c r="F322" i="1"/>
  <c r="E322" i="1"/>
  <c r="H321" i="1"/>
  <c r="G321" i="1"/>
  <c r="F321" i="1"/>
  <c r="E321" i="1"/>
  <c r="H320" i="1"/>
  <c r="G320" i="1"/>
  <c r="F320" i="1"/>
  <c r="E320" i="1"/>
  <c r="H319" i="1"/>
  <c r="G319" i="1"/>
  <c r="F319" i="1"/>
  <c r="E319" i="1"/>
  <c r="H318" i="1"/>
  <c r="G318" i="1"/>
  <c r="F318" i="1"/>
  <c r="E318" i="1"/>
  <c r="H317" i="1"/>
  <c r="G317" i="1"/>
  <c r="F317" i="1"/>
  <c r="E317" i="1"/>
  <c r="H316" i="1"/>
  <c r="G316" i="1"/>
  <c r="F316" i="1"/>
  <c r="E316" i="1"/>
  <c r="H315" i="1"/>
  <c r="G315" i="1"/>
  <c r="F315" i="1"/>
  <c r="E315" i="1"/>
  <c r="H314" i="1"/>
  <c r="G314" i="1"/>
  <c r="F314" i="1"/>
  <c r="E314" i="1"/>
  <c r="H313" i="1"/>
  <c r="G313" i="1"/>
  <c r="F313" i="1"/>
  <c r="E313" i="1"/>
  <c r="H312" i="1"/>
  <c r="G312" i="1"/>
  <c r="F312" i="1"/>
  <c r="E312" i="1"/>
  <c r="H311" i="1"/>
  <c r="G311" i="1"/>
  <c r="F311" i="1"/>
  <c r="E311" i="1"/>
  <c r="H310" i="1"/>
  <c r="G310" i="1"/>
  <c r="F310" i="1"/>
  <c r="E310" i="1"/>
  <c r="H309" i="1"/>
  <c r="G309" i="1"/>
  <c r="F309" i="1"/>
  <c r="E309" i="1"/>
  <c r="H308" i="1"/>
  <c r="G308" i="1"/>
  <c r="F308" i="1"/>
  <c r="E308" i="1"/>
  <c r="H307" i="1"/>
  <c r="G307" i="1"/>
  <c r="F307" i="1"/>
  <c r="E307" i="1"/>
  <c r="H306" i="1"/>
  <c r="G306" i="1"/>
  <c r="F306" i="1"/>
  <c r="E306" i="1"/>
  <c r="H305" i="1"/>
  <c r="G305" i="1"/>
  <c r="F305" i="1"/>
  <c r="E305" i="1"/>
  <c r="H304" i="1"/>
  <c r="G304" i="1"/>
  <c r="F304" i="1"/>
  <c r="E304" i="1"/>
  <c r="H303" i="1"/>
  <c r="G303" i="1"/>
  <c r="F303" i="1"/>
  <c r="E303" i="1"/>
  <c r="H302" i="1"/>
  <c r="G302" i="1"/>
  <c r="F302" i="1"/>
  <c r="E302" i="1"/>
  <c r="H301" i="1"/>
  <c r="G301" i="1"/>
  <c r="F301" i="1"/>
  <c r="E301" i="1"/>
  <c r="H300" i="1"/>
  <c r="G300" i="1"/>
  <c r="F300" i="1"/>
  <c r="E300" i="1"/>
  <c r="H299" i="1"/>
  <c r="G299" i="1"/>
  <c r="F299" i="1"/>
  <c r="E299" i="1"/>
  <c r="H298" i="1"/>
  <c r="G298" i="1"/>
  <c r="F298" i="1"/>
  <c r="E298" i="1"/>
  <c r="H297" i="1"/>
  <c r="G297" i="1"/>
  <c r="F297" i="1"/>
  <c r="E297" i="1"/>
  <c r="H296" i="1"/>
  <c r="G296" i="1"/>
  <c r="F296" i="1"/>
  <c r="E296" i="1"/>
  <c r="H295" i="1"/>
  <c r="G295" i="1"/>
  <c r="F295" i="1"/>
  <c r="E295" i="1"/>
  <c r="H294" i="1"/>
  <c r="G294" i="1"/>
  <c r="F294" i="1"/>
  <c r="E294" i="1"/>
  <c r="H293" i="1"/>
  <c r="G293" i="1"/>
  <c r="F293" i="1"/>
  <c r="E293" i="1"/>
  <c r="H292" i="1"/>
  <c r="G292" i="1"/>
  <c r="F292" i="1"/>
  <c r="E292" i="1"/>
  <c r="H291" i="1"/>
  <c r="G291" i="1"/>
  <c r="F291" i="1"/>
  <c r="E291" i="1"/>
  <c r="H290" i="1"/>
  <c r="G290" i="1"/>
  <c r="F290" i="1"/>
  <c r="E290" i="1"/>
  <c r="H289" i="1"/>
  <c r="G289" i="1"/>
  <c r="F289" i="1"/>
  <c r="E289" i="1"/>
  <c r="H288" i="1"/>
  <c r="G288" i="1"/>
  <c r="F288" i="1"/>
  <c r="E288" i="1"/>
  <c r="H287" i="1"/>
  <c r="G287" i="1"/>
  <c r="F287" i="1"/>
  <c r="E287" i="1"/>
  <c r="H286" i="1"/>
  <c r="G286" i="1"/>
  <c r="F286" i="1"/>
  <c r="E286" i="1"/>
  <c r="H285" i="1"/>
  <c r="G285" i="1"/>
  <c r="F285" i="1"/>
  <c r="E285" i="1"/>
  <c r="H284" i="1"/>
  <c r="G284" i="1"/>
  <c r="F284" i="1"/>
  <c r="E284" i="1"/>
  <c r="H283" i="1"/>
  <c r="G283" i="1"/>
  <c r="F283" i="1"/>
  <c r="E283" i="1"/>
  <c r="H282" i="1"/>
  <c r="G282" i="1"/>
  <c r="F282" i="1"/>
  <c r="E282" i="1"/>
  <c r="H281" i="1"/>
  <c r="G281" i="1"/>
  <c r="F281" i="1"/>
  <c r="E281" i="1"/>
  <c r="H280" i="1"/>
  <c r="G280" i="1"/>
  <c r="F280" i="1"/>
  <c r="E280" i="1"/>
  <c r="H279" i="1"/>
  <c r="G279" i="1"/>
  <c r="F279" i="1"/>
  <c r="E279" i="1"/>
  <c r="H278" i="1"/>
  <c r="G278" i="1"/>
  <c r="F278" i="1"/>
  <c r="E278" i="1"/>
  <c r="H277" i="1"/>
  <c r="G277" i="1"/>
  <c r="F277" i="1"/>
  <c r="E277" i="1"/>
  <c r="H276" i="1"/>
  <c r="G276" i="1"/>
  <c r="F276" i="1"/>
  <c r="E276" i="1"/>
  <c r="H275" i="1"/>
  <c r="G275" i="1"/>
  <c r="F275" i="1"/>
  <c r="E275" i="1"/>
  <c r="H274" i="1"/>
  <c r="G274" i="1"/>
  <c r="F274" i="1"/>
  <c r="E274" i="1"/>
  <c r="H273" i="1"/>
  <c r="G273" i="1"/>
  <c r="F273" i="1"/>
  <c r="E273" i="1"/>
  <c r="H272" i="1"/>
  <c r="G272" i="1"/>
  <c r="F272" i="1"/>
  <c r="E272" i="1"/>
  <c r="H271" i="1"/>
  <c r="G271" i="1"/>
  <c r="F271" i="1"/>
  <c r="E271" i="1"/>
  <c r="H270" i="1"/>
  <c r="G270" i="1"/>
  <c r="F270" i="1"/>
  <c r="E270" i="1"/>
  <c r="H269" i="1"/>
  <c r="G269" i="1"/>
  <c r="F269" i="1"/>
  <c r="E269" i="1"/>
  <c r="H268" i="1"/>
  <c r="G268" i="1"/>
  <c r="F268" i="1"/>
  <c r="E268" i="1"/>
  <c r="H267" i="1"/>
  <c r="G267" i="1"/>
  <c r="F267" i="1"/>
  <c r="E267" i="1"/>
  <c r="H266" i="1"/>
  <c r="G266" i="1"/>
  <c r="F266" i="1"/>
  <c r="E266" i="1"/>
  <c r="H265" i="1"/>
  <c r="G265" i="1"/>
  <c r="F265" i="1"/>
  <c r="E265" i="1"/>
  <c r="H264" i="1"/>
  <c r="G264" i="1"/>
  <c r="F264" i="1"/>
  <c r="E264" i="1"/>
  <c r="H263" i="1"/>
  <c r="G263" i="1"/>
  <c r="F263" i="1"/>
  <c r="E263" i="1"/>
  <c r="H262" i="1"/>
  <c r="G262" i="1"/>
  <c r="F262" i="1"/>
  <c r="E262" i="1"/>
  <c r="H261" i="1"/>
  <c r="G261" i="1"/>
  <c r="F261" i="1"/>
  <c r="E261" i="1"/>
  <c r="H260" i="1"/>
  <c r="G260" i="1"/>
  <c r="F260" i="1"/>
  <c r="E260" i="1"/>
  <c r="H259" i="1"/>
  <c r="G259" i="1"/>
  <c r="F259" i="1"/>
  <c r="E259" i="1"/>
  <c r="H258" i="1"/>
  <c r="G258" i="1"/>
  <c r="F258" i="1"/>
  <c r="E258" i="1"/>
  <c r="H257" i="1"/>
  <c r="G257" i="1"/>
  <c r="F257" i="1"/>
  <c r="E257" i="1"/>
  <c r="H256" i="1"/>
  <c r="G256" i="1"/>
  <c r="F256" i="1"/>
  <c r="E256" i="1"/>
  <c r="H255" i="1"/>
  <c r="G255" i="1"/>
  <c r="F255" i="1"/>
  <c r="E255" i="1"/>
  <c r="H254" i="1"/>
  <c r="G254" i="1"/>
  <c r="F254" i="1"/>
  <c r="E254" i="1"/>
  <c r="H253" i="1"/>
  <c r="G253" i="1"/>
  <c r="F253" i="1"/>
  <c r="E253" i="1"/>
  <c r="H252" i="1"/>
  <c r="G252" i="1"/>
  <c r="F252" i="1"/>
  <c r="E252" i="1"/>
  <c r="H251" i="1"/>
  <c r="G251" i="1"/>
  <c r="F251" i="1"/>
  <c r="E251" i="1"/>
  <c r="H250" i="1"/>
  <c r="G250" i="1"/>
  <c r="F250" i="1"/>
  <c r="E250" i="1"/>
  <c r="H249" i="1"/>
  <c r="G249" i="1"/>
  <c r="F249" i="1"/>
  <c r="E249" i="1"/>
  <c r="H248" i="1"/>
  <c r="G248" i="1"/>
  <c r="F248" i="1"/>
  <c r="E248" i="1"/>
  <c r="H247" i="1"/>
  <c r="G247" i="1"/>
  <c r="F247" i="1"/>
  <c r="E247" i="1"/>
  <c r="H246" i="1"/>
  <c r="G246" i="1"/>
  <c r="F246" i="1"/>
  <c r="E246" i="1"/>
  <c r="H245" i="1"/>
  <c r="G245" i="1"/>
  <c r="F245" i="1"/>
  <c r="E245" i="1"/>
  <c r="H244" i="1"/>
  <c r="G244" i="1"/>
  <c r="F244" i="1"/>
  <c r="E244" i="1"/>
  <c r="H243" i="1"/>
  <c r="G243" i="1"/>
  <c r="F243" i="1"/>
  <c r="E243" i="1"/>
  <c r="H242" i="1"/>
  <c r="G242" i="1"/>
  <c r="F242" i="1"/>
  <c r="E242" i="1"/>
  <c r="H241" i="1"/>
  <c r="G241" i="1"/>
  <c r="F241" i="1"/>
  <c r="E241" i="1"/>
  <c r="H240" i="1"/>
  <c r="G240" i="1"/>
  <c r="F240" i="1"/>
  <c r="E240" i="1"/>
  <c r="H239" i="1"/>
  <c r="G239" i="1"/>
  <c r="F239" i="1"/>
  <c r="E239" i="1"/>
  <c r="H238" i="1"/>
  <c r="G238" i="1"/>
  <c r="F238" i="1"/>
  <c r="E238" i="1"/>
  <c r="H237" i="1"/>
  <c r="G237" i="1"/>
  <c r="F237" i="1"/>
  <c r="E237" i="1"/>
  <c r="H236" i="1"/>
  <c r="G236" i="1"/>
  <c r="F236" i="1"/>
  <c r="E236" i="1"/>
  <c r="H235" i="1"/>
  <c r="G235" i="1"/>
  <c r="F235" i="1"/>
  <c r="E235" i="1"/>
  <c r="H234" i="1"/>
  <c r="G234" i="1"/>
  <c r="F234" i="1"/>
  <c r="E234" i="1"/>
  <c r="H233" i="1"/>
  <c r="G233" i="1"/>
  <c r="F233" i="1"/>
  <c r="E233" i="1"/>
  <c r="H232" i="1"/>
  <c r="G232" i="1"/>
  <c r="F232" i="1"/>
  <c r="E232" i="1"/>
  <c r="H231" i="1"/>
  <c r="G231" i="1"/>
  <c r="F231" i="1"/>
  <c r="E231" i="1"/>
  <c r="H230" i="1"/>
  <c r="G230" i="1"/>
  <c r="F230" i="1"/>
  <c r="E230" i="1"/>
  <c r="H229" i="1"/>
  <c r="G229" i="1"/>
  <c r="F229" i="1"/>
  <c r="E229" i="1"/>
  <c r="H228" i="1"/>
  <c r="G228" i="1"/>
  <c r="F228" i="1"/>
  <c r="E228" i="1"/>
  <c r="H227" i="1"/>
  <c r="G227" i="1"/>
  <c r="F227" i="1"/>
  <c r="E227" i="1"/>
  <c r="H226" i="1"/>
  <c r="G226" i="1"/>
  <c r="F226" i="1"/>
  <c r="E226" i="1"/>
  <c r="H225" i="1"/>
  <c r="G225" i="1"/>
  <c r="F225" i="1"/>
  <c r="E225" i="1"/>
  <c r="H224" i="1"/>
  <c r="G224" i="1"/>
  <c r="F224" i="1"/>
  <c r="E224" i="1"/>
  <c r="H223" i="1"/>
  <c r="G223" i="1"/>
  <c r="F223" i="1"/>
  <c r="E223" i="1"/>
  <c r="H222" i="1"/>
  <c r="G222" i="1"/>
  <c r="F222" i="1"/>
  <c r="E222" i="1"/>
  <c r="H221" i="1"/>
  <c r="G221" i="1"/>
  <c r="F221" i="1"/>
  <c r="E221" i="1"/>
  <c r="H220" i="1"/>
  <c r="G220" i="1"/>
  <c r="F220" i="1"/>
  <c r="E220" i="1"/>
  <c r="H219" i="1"/>
  <c r="G219" i="1"/>
  <c r="F219" i="1"/>
  <c r="E219" i="1"/>
  <c r="H218" i="1"/>
  <c r="G218" i="1"/>
  <c r="F218" i="1"/>
  <c r="E218" i="1"/>
  <c r="H217" i="1"/>
  <c r="G217" i="1"/>
  <c r="F217" i="1"/>
  <c r="E217" i="1"/>
  <c r="H216" i="1"/>
  <c r="G216" i="1"/>
  <c r="F216" i="1"/>
  <c r="E216" i="1"/>
  <c r="H215" i="1"/>
  <c r="G215" i="1"/>
  <c r="F215" i="1"/>
  <c r="E215" i="1"/>
  <c r="H214" i="1"/>
  <c r="G214" i="1"/>
  <c r="F214" i="1"/>
  <c r="E214" i="1"/>
  <c r="H213" i="1"/>
  <c r="G213" i="1"/>
  <c r="F213" i="1"/>
  <c r="E213" i="1"/>
  <c r="H212" i="1"/>
  <c r="G212" i="1"/>
  <c r="F212" i="1"/>
  <c r="E212" i="1"/>
  <c r="H211" i="1"/>
  <c r="G211" i="1"/>
  <c r="F211" i="1"/>
  <c r="E211" i="1"/>
  <c r="H210" i="1"/>
  <c r="G210" i="1"/>
  <c r="F210" i="1"/>
  <c r="E210" i="1"/>
  <c r="H209" i="1"/>
  <c r="G209" i="1"/>
  <c r="F209" i="1"/>
  <c r="E209" i="1"/>
  <c r="H208" i="1"/>
  <c r="G208" i="1"/>
  <c r="F208" i="1"/>
  <c r="E208" i="1"/>
  <c r="H207" i="1"/>
  <c r="G207" i="1"/>
  <c r="F207" i="1"/>
  <c r="E207" i="1"/>
  <c r="H206" i="1"/>
  <c r="G206" i="1"/>
  <c r="F206" i="1"/>
  <c r="E206" i="1"/>
  <c r="H205" i="1"/>
  <c r="G205" i="1"/>
  <c r="F205" i="1"/>
  <c r="E205" i="1"/>
  <c r="H204" i="1"/>
  <c r="G204" i="1"/>
  <c r="F204" i="1"/>
  <c r="E204" i="1"/>
  <c r="H203" i="1"/>
  <c r="G203" i="1"/>
  <c r="F203" i="1"/>
  <c r="E203" i="1"/>
  <c r="H202" i="1"/>
  <c r="G202" i="1"/>
  <c r="F202" i="1"/>
  <c r="E202" i="1"/>
  <c r="H201" i="1"/>
  <c r="G201" i="1"/>
  <c r="F201" i="1"/>
  <c r="E201" i="1"/>
  <c r="H200" i="1"/>
  <c r="G200" i="1"/>
  <c r="F200" i="1"/>
  <c r="E200" i="1"/>
  <c r="H199" i="1"/>
  <c r="G199" i="1"/>
  <c r="F199" i="1"/>
  <c r="E199" i="1"/>
  <c r="H198" i="1"/>
  <c r="G198" i="1"/>
  <c r="F198" i="1"/>
  <c r="E198" i="1"/>
  <c r="H197" i="1"/>
  <c r="G197" i="1"/>
  <c r="F197" i="1"/>
  <c r="E197" i="1"/>
  <c r="H196" i="1"/>
  <c r="G196" i="1"/>
  <c r="F196" i="1"/>
  <c r="E196" i="1"/>
  <c r="H195" i="1"/>
  <c r="G195" i="1"/>
  <c r="F195" i="1"/>
  <c r="E195" i="1"/>
  <c r="H194" i="1"/>
  <c r="G194" i="1"/>
  <c r="F194" i="1"/>
  <c r="E194" i="1"/>
  <c r="H193" i="1"/>
  <c r="G193" i="1"/>
  <c r="F193" i="1"/>
  <c r="E193" i="1"/>
  <c r="H192" i="1"/>
  <c r="G192" i="1"/>
  <c r="F192" i="1"/>
  <c r="E192" i="1"/>
  <c r="H191" i="1"/>
  <c r="G191" i="1"/>
  <c r="F191" i="1"/>
  <c r="E191" i="1"/>
  <c r="H190" i="1"/>
  <c r="G190" i="1"/>
  <c r="F190" i="1"/>
  <c r="E190" i="1"/>
  <c r="H189" i="1"/>
  <c r="G189" i="1"/>
  <c r="F189" i="1"/>
  <c r="E189" i="1"/>
  <c r="H188" i="1"/>
  <c r="G188" i="1"/>
  <c r="F188" i="1"/>
  <c r="E188" i="1"/>
  <c r="H187" i="1"/>
  <c r="G187" i="1"/>
  <c r="F187" i="1"/>
  <c r="E187" i="1"/>
  <c r="H186" i="1"/>
  <c r="G186" i="1"/>
  <c r="F186" i="1"/>
  <c r="E186" i="1"/>
  <c r="H185" i="1"/>
  <c r="G185" i="1"/>
  <c r="F185" i="1"/>
  <c r="E185" i="1"/>
  <c r="H184" i="1"/>
  <c r="G184" i="1"/>
  <c r="F184" i="1"/>
  <c r="E184" i="1"/>
  <c r="H183" i="1"/>
  <c r="G183" i="1"/>
  <c r="F183" i="1"/>
  <c r="E183" i="1"/>
  <c r="H182" i="1"/>
  <c r="G182" i="1"/>
  <c r="F182" i="1"/>
  <c r="E182" i="1"/>
  <c r="H181" i="1"/>
  <c r="G181" i="1"/>
  <c r="F181" i="1"/>
  <c r="E181" i="1"/>
  <c r="H180" i="1"/>
  <c r="G180" i="1"/>
  <c r="F180" i="1"/>
  <c r="E180" i="1"/>
  <c r="H179" i="1"/>
  <c r="G179" i="1"/>
  <c r="F179" i="1"/>
  <c r="E179" i="1"/>
  <c r="H178" i="1"/>
  <c r="G178" i="1"/>
  <c r="F178" i="1"/>
  <c r="E178" i="1"/>
  <c r="H177" i="1"/>
  <c r="G177" i="1"/>
  <c r="F177" i="1"/>
  <c r="E177" i="1"/>
  <c r="H176" i="1"/>
  <c r="G176" i="1"/>
  <c r="F176" i="1"/>
  <c r="E176" i="1"/>
  <c r="H175" i="1"/>
  <c r="G175" i="1"/>
  <c r="F175" i="1"/>
  <c r="E175" i="1"/>
  <c r="H174" i="1"/>
  <c r="G174" i="1"/>
  <c r="F174" i="1"/>
  <c r="E174" i="1"/>
  <c r="H173" i="1"/>
  <c r="G173" i="1"/>
  <c r="F173" i="1"/>
  <c r="E173" i="1"/>
  <c r="H172" i="1"/>
  <c r="G172" i="1"/>
  <c r="F172" i="1"/>
  <c r="E172" i="1"/>
  <c r="H171" i="1"/>
  <c r="G171" i="1"/>
  <c r="F171" i="1"/>
  <c r="E171" i="1"/>
  <c r="H170" i="1"/>
  <c r="G170" i="1"/>
  <c r="F170" i="1"/>
  <c r="E170" i="1"/>
  <c r="H169" i="1"/>
  <c r="G169" i="1"/>
  <c r="F169" i="1"/>
  <c r="E169" i="1"/>
  <c r="H168" i="1"/>
  <c r="G168" i="1"/>
  <c r="F168" i="1"/>
  <c r="E168" i="1"/>
  <c r="H167" i="1"/>
  <c r="G167" i="1"/>
  <c r="F167" i="1"/>
  <c r="E167" i="1"/>
  <c r="H166" i="1"/>
  <c r="G166" i="1"/>
  <c r="F166" i="1"/>
  <c r="E166" i="1"/>
  <c r="H165" i="1"/>
  <c r="G165" i="1"/>
  <c r="F165" i="1"/>
  <c r="E165" i="1"/>
  <c r="H164" i="1"/>
  <c r="G164" i="1"/>
  <c r="F164" i="1"/>
  <c r="E164" i="1"/>
  <c r="H163" i="1"/>
  <c r="G163" i="1"/>
  <c r="F163" i="1"/>
  <c r="E163" i="1"/>
  <c r="H162" i="1"/>
  <c r="G162" i="1"/>
  <c r="F162" i="1"/>
  <c r="E162" i="1"/>
  <c r="H161" i="1"/>
  <c r="G161" i="1"/>
  <c r="F161" i="1"/>
  <c r="E161" i="1"/>
  <c r="H160" i="1"/>
  <c r="G160" i="1"/>
  <c r="F160" i="1"/>
  <c r="E160" i="1"/>
  <c r="H159" i="1"/>
  <c r="G159" i="1"/>
  <c r="F159" i="1"/>
  <c r="E159" i="1"/>
  <c r="H158" i="1"/>
  <c r="G158" i="1"/>
  <c r="F158" i="1"/>
  <c r="E158" i="1"/>
  <c r="H157" i="1"/>
  <c r="G157" i="1"/>
  <c r="F157" i="1"/>
  <c r="E157" i="1"/>
  <c r="H156" i="1"/>
  <c r="G156" i="1"/>
  <c r="F156" i="1"/>
  <c r="E156" i="1"/>
  <c r="H155" i="1"/>
  <c r="G155" i="1"/>
  <c r="F155" i="1"/>
  <c r="E155" i="1"/>
  <c r="H154" i="1"/>
  <c r="G154" i="1"/>
  <c r="F154" i="1"/>
  <c r="E154" i="1"/>
  <c r="H153" i="1"/>
  <c r="G153" i="1"/>
  <c r="F153" i="1"/>
  <c r="E153" i="1"/>
  <c r="H152" i="1"/>
  <c r="G152" i="1"/>
  <c r="F152" i="1"/>
  <c r="E152" i="1"/>
  <c r="H151" i="1"/>
  <c r="G151" i="1"/>
  <c r="F151" i="1"/>
  <c r="E151" i="1"/>
  <c r="H150" i="1"/>
  <c r="G150" i="1"/>
  <c r="F150" i="1"/>
  <c r="E150" i="1"/>
  <c r="H149" i="1"/>
  <c r="G149" i="1"/>
  <c r="F149" i="1"/>
  <c r="E149" i="1"/>
  <c r="H148" i="1"/>
  <c r="G148" i="1"/>
  <c r="F148" i="1"/>
  <c r="E148" i="1"/>
  <c r="H147" i="1"/>
  <c r="G147" i="1"/>
  <c r="F147" i="1"/>
  <c r="E147" i="1"/>
  <c r="H146" i="1"/>
  <c r="G146" i="1"/>
  <c r="F146" i="1"/>
  <c r="E146" i="1"/>
  <c r="H145" i="1"/>
  <c r="G145" i="1"/>
  <c r="F145" i="1"/>
  <c r="E145" i="1"/>
  <c r="H144" i="1"/>
  <c r="G144" i="1"/>
  <c r="F144" i="1"/>
  <c r="E144" i="1"/>
  <c r="H143" i="1"/>
  <c r="G143" i="1"/>
  <c r="F143" i="1"/>
  <c r="E143" i="1"/>
  <c r="H142" i="1"/>
  <c r="G142" i="1"/>
  <c r="F142" i="1"/>
  <c r="E142" i="1"/>
  <c r="H141" i="1"/>
  <c r="G141" i="1"/>
  <c r="F141" i="1"/>
  <c r="E141" i="1"/>
  <c r="H140" i="1"/>
  <c r="G140" i="1"/>
  <c r="F140" i="1"/>
  <c r="E140" i="1"/>
  <c r="H139" i="1"/>
  <c r="G139" i="1"/>
  <c r="F139" i="1"/>
  <c r="E139" i="1"/>
  <c r="H138" i="1"/>
  <c r="G138" i="1"/>
  <c r="F138" i="1"/>
  <c r="E138" i="1"/>
  <c r="H137" i="1"/>
  <c r="G137" i="1"/>
  <c r="F137" i="1"/>
  <c r="E137" i="1"/>
  <c r="H136" i="1"/>
  <c r="G136" i="1"/>
  <c r="F136" i="1"/>
  <c r="E136" i="1"/>
  <c r="H135" i="1"/>
  <c r="G135" i="1"/>
  <c r="F135" i="1"/>
  <c r="E135" i="1"/>
  <c r="H134" i="1"/>
  <c r="G134" i="1"/>
  <c r="F134" i="1"/>
  <c r="E134" i="1"/>
  <c r="H133" i="1"/>
  <c r="G133" i="1"/>
  <c r="F133" i="1"/>
  <c r="E133" i="1"/>
  <c r="H132" i="1"/>
  <c r="G132" i="1"/>
  <c r="F132" i="1"/>
  <c r="E132" i="1"/>
  <c r="H131" i="1"/>
  <c r="G131" i="1"/>
  <c r="F131" i="1"/>
  <c r="E131" i="1"/>
  <c r="H130" i="1"/>
  <c r="G130" i="1"/>
  <c r="F130" i="1"/>
  <c r="E130" i="1"/>
  <c r="H129" i="1"/>
  <c r="G129" i="1"/>
  <c r="F129" i="1"/>
  <c r="E129" i="1"/>
  <c r="H128" i="1"/>
  <c r="G128" i="1"/>
  <c r="F128" i="1"/>
  <c r="E128" i="1"/>
  <c r="H127" i="1"/>
  <c r="G127" i="1"/>
  <c r="F127" i="1"/>
  <c r="E127" i="1"/>
  <c r="H126" i="1"/>
  <c r="G126" i="1"/>
  <c r="F126" i="1"/>
  <c r="E126" i="1"/>
  <c r="H125" i="1"/>
  <c r="G125" i="1"/>
  <c r="F125" i="1"/>
  <c r="E125" i="1"/>
  <c r="H124" i="1"/>
  <c r="G124" i="1"/>
  <c r="F124" i="1"/>
  <c r="E124" i="1"/>
  <c r="H123" i="1"/>
  <c r="G123" i="1"/>
  <c r="F123" i="1"/>
  <c r="E123" i="1"/>
  <c r="H122" i="1"/>
  <c r="G122" i="1"/>
  <c r="F122" i="1"/>
  <c r="E122" i="1"/>
  <c r="H121" i="1"/>
  <c r="G121" i="1"/>
  <c r="F121" i="1"/>
  <c r="E121" i="1"/>
  <c r="H120" i="1"/>
  <c r="G120" i="1"/>
  <c r="F120" i="1"/>
  <c r="E120" i="1"/>
  <c r="H119" i="1"/>
  <c r="G119" i="1"/>
  <c r="F119" i="1"/>
  <c r="E119" i="1"/>
  <c r="H118" i="1"/>
  <c r="G118" i="1"/>
  <c r="F118" i="1"/>
  <c r="E118" i="1"/>
  <c r="H117" i="1"/>
  <c r="G117" i="1"/>
  <c r="F117" i="1"/>
  <c r="E117" i="1"/>
  <c r="H116" i="1"/>
  <c r="G116" i="1"/>
  <c r="F116" i="1"/>
  <c r="E116" i="1"/>
  <c r="H115" i="1"/>
  <c r="G115" i="1"/>
  <c r="F115" i="1"/>
  <c r="E115" i="1"/>
  <c r="H114" i="1"/>
  <c r="G114" i="1"/>
  <c r="F114" i="1"/>
  <c r="E114" i="1"/>
  <c r="H113" i="1"/>
  <c r="G113" i="1"/>
  <c r="F113" i="1"/>
  <c r="E113" i="1"/>
  <c r="H112" i="1"/>
  <c r="G112" i="1"/>
  <c r="F112" i="1"/>
  <c r="E112" i="1"/>
  <c r="H111" i="1"/>
  <c r="G111" i="1"/>
  <c r="F111" i="1"/>
  <c r="E111" i="1"/>
  <c r="H110" i="1"/>
  <c r="G110" i="1"/>
  <c r="F110" i="1"/>
  <c r="E110" i="1"/>
  <c r="H109" i="1"/>
  <c r="G109" i="1"/>
  <c r="F109" i="1"/>
  <c r="E109" i="1"/>
  <c r="H108" i="1"/>
  <c r="G108" i="1"/>
  <c r="F108" i="1"/>
  <c r="E108" i="1"/>
  <c r="H107" i="1"/>
  <c r="G107" i="1"/>
  <c r="F107" i="1"/>
  <c r="E107" i="1"/>
  <c r="H106" i="1"/>
  <c r="G106" i="1"/>
  <c r="F106" i="1"/>
  <c r="E106" i="1"/>
  <c r="H105" i="1"/>
  <c r="G105" i="1"/>
  <c r="F105" i="1"/>
  <c r="E105" i="1"/>
  <c r="H104" i="1"/>
  <c r="G104" i="1"/>
  <c r="F104" i="1"/>
  <c r="E104" i="1"/>
  <c r="H103" i="1"/>
  <c r="G103" i="1"/>
  <c r="F103" i="1"/>
  <c r="E103" i="1"/>
  <c r="H102" i="1"/>
  <c r="G102" i="1"/>
  <c r="F102" i="1"/>
  <c r="E102" i="1"/>
  <c r="H101" i="1"/>
  <c r="G101" i="1"/>
  <c r="F101" i="1"/>
  <c r="E101" i="1"/>
  <c r="H100" i="1"/>
  <c r="G100" i="1"/>
  <c r="F100" i="1"/>
  <c r="E100" i="1"/>
  <c r="H99" i="1"/>
  <c r="G99" i="1"/>
  <c r="F99" i="1"/>
  <c r="E99" i="1"/>
  <c r="H98" i="1"/>
  <c r="G98" i="1"/>
  <c r="F98" i="1"/>
  <c r="E98" i="1"/>
  <c r="H97" i="1"/>
  <c r="G97" i="1"/>
  <c r="F97" i="1"/>
  <c r="E97" i="1"/>
  <c r="H96" i="1"/>
  <c r="G96" i="1"/>
  <c r="F96" i="1"/>
  <c r="E96" i="1"/>
  <c r="H95" i="1"/>
  <c r="G95" i="1"/>
  <c r="F95" i="1"/>
  <c r="E95" i="1"/>
  <c r="H94" i="1"/>
  <c r="G94" i="1"/>
  <c r="F94" i="1"/>
  <c r="E94" i="1"/>
  <c r="H93" i="1"/>
  <c r="G93" i="1"/>
  <c r="F93" i="1"/>
  <c r="E93" i="1"/>
  <c r="H92" i="1"/>
  <c r="G92" i="1"/>
  <c r="F92" i="1"/>
  <c r="E92" i="1"/>
  <c r="H91" i="1"/>
  <c r="G91" i="1"/>
  <c r="F91" i="1"/>
  <c r="E91" i="1"/>
  <c r="H90" i="1"/>
  <c r="G90" i="1"/>
  <c r="F90" i="1"/>
  <c r="E90" i="1"/>
  <c r="H89" i="1"/>
  <c r="G89" i="1"/>
  <c r="F89" i="1"/>
  <c r="E89" i="1"/>
  <c r="H88" i="1"/>
  <c r="G88" i="1"/>
  <c r="F88" i="1"/>
  <c r="E88" i="1"/>
  <c r="H87" i="1"/>
  <c r="G87" i="1"/>
  <c r="F87" i="1"/>
  <c r="E87" i="1"/>
  <c r="H86" i="1"/>
  <c r="G86" i="1"/>
  <c r="F86" i="1"/>
  <c r="E86" i="1"/>
  <c r="H85" i="1"/>
  <c r="G85" i="1"/>
  <c r="F85" i="1"/>
  <c r="E85" i="1"/>
  <c r="H84" i="1"/>
  <c r="G84" i="1"/>
  <c r="F84" i="1"/>
  <c r="E84" i="1"/>
  <c r="H83" i="1"/>
  <c r="G83" i="1"/>
  <c r="F83" i="1"/>
  <c r="E83" i="1"/>
  <c r="H82" i="1"/>
  <c r="G82" i="1"/>
  <c r="F82" i="1"/>
  <c r="E82" i="1"/>
  <c r="H81" i="1"/>
  <c r="G81" i="1"/>
  <c r="F81" i="1"/>
  <c r="E81" i="1"/>
  <c r="H80" i="1"/>
  <c r="G80" i="1"/>
  <c r="F80" i="1"/>
  <c r="E80" i="1"/>
  <c r="H79" i="1"/>
  <c r="G79" i="1"/>
  <c r="F79" i="1"/>
  <c r="E79" i="1"/>
  <c r="H78" i="1"/>
  <c r="G78" i="1"/>
  <c r="F78" i="1"/>
  <c r="E78" i="1"/>
  <c r="H77" i="1"/>
  <c r="G77" i="1"/>
  <c r="F77" i="1"/>
  <c r="E77" i="1"/>
  <c r="H76" i="1"/>
  <c r="G76" i="1"/>
  <c r="F76" i="1"/>
  <c r="E76" i="1"/>
  <c r="H75" i="1"/>
  <c r="G75" i="1"/>
  <c r="F75" i="1"/>
  <c r="E75" i="1"/>
  <c r="H74" i="1"/>
  <c r="G74" i="1"/>
  <c r="F74" i="1"/>
  <c r="E74" i="1"/>
  <c r="H73" i="1"/>
  <c r="G73" i="1"/>
  <c r="F73" i="1"/>
  <c r="E73" i="1"/>
  <c r="H72" i="1"/>
  <c r="G72" i="1"/>
  <c r="F72" i="1"/>
  <c r="E72" i="1"/>
  <c r="H71" i="1"/>
  <c r="G71" i="1"/>
  <c r="F71" i="1"/>
  <c r="E71" i="1"/>
  <c r="H70" i="1"/>
  <c r="G70" i="1"/>
  <c r="F70" i="1"/>
  <c r="E70" i="1"/>
  <c r="H69" i="1"/>
  <c r="G69" i="1"/>
  <c r="F69" i="1"/>
  <c r="E69" i="1"/>
  <c r="H68" i="1"/>
  <c r="G68" i="1"/>
  <c r="F68" i="1"/>
  <c r="E68" i="1"/>
  <c r="H67" i="1"/>
  <c r="G67" i="1"/>
  <c r="F67" i="1"/>
  <c r="E67" i="1"/>
  <c r="H66" i="1"/>
  <c r="G66" i="1"/>
  <c r="F66" i="1"/>
  <c r="E66" i="1"/>
  <c r="H65" i="1"/>
  <c r="G65" i="1"/>
  <c r="F65" i="1"/>
  <c r="E65" i="1"/>
  <c r="H64" i="1"/>
  <c r="G64" i="1"/>
  <c r="F64" i="1"/>
  <c r="E64" i="1"/>
  <c r="H63" i="1"/>
  <c r="G63" i="1"/>
  <c r="F63" i="1"/>
  <c r="E63" i="1"/>
  <c r="H62" i="1"/>
  <c r="G62" i="1"/>
  <c r="F62" i="1"/>
  <c r="E62" i="1"/>
  <c r="H61" i="1"/>
  <c r="G61" i="1"/>
  <c r="F61" i="1"/>
  <c r="E61" i="1"/>
  <c r="H60" i="1"/>
  <c r="G60" i="1"/>
  <c r="F60" i="1"/>
  <c r="E60" i="1"/>
  <c r="H59" i="1"/>
  <c r="G59" i="1"/>
  <c r="F59" i="1"/>
  <c r="E59" i="1"/>
  <c r="H58" i="1"/>
  <c r="G58" i="1"/>
  <c r="F58" i="1"/>
  <c r="E58" i="1"/>
  <c r="H57" i="1"/>
  <c r="G57" i="1"/>
  <c r="F57" i="1"/>
  <c r="E57" i="1"/>
  <c r="H56" i="1"/>
  <c r="G56" i="1"/>
  <c r="F56" i="1"/>
  <c r="E56" i="1"/>
  <c r="H55" i="1"/>
  <c r="G55" i="1"/>
  <c r="F55" i="1"/>
  <c r="E55" i="1"/>
  <c r="H54" i="1"/>
  <c r="G54" i="1"/>
  <c r="F54" i="1"/>
  <c r="E54" i="1"/>
  <c r="H53" i="1"/>
  <c r="G53" i="1"/>
  <c r="F53" i="1"/>
  <c r="E53" i="1"/>
  <c r="H52" i="1"/>
  <c r="G52" i="1"/>
  <c r="F52" i="1"/>
  <c r="E52" i="1"/>
  <c r="H51" i="1"/>
  <c r="G51" i="1"/>
  <c r="F51" i="1"/>
  <c r="E51" i="1"/>
  <c r="H50" i="1"/>
  <c r="G50" i="1"/>
  <c r="F50" i="1"/>
  <c r="E50" i="1"/>
  <c r="H49" i="1"/>
  <c r="G49" i="1"/>
  <c r="F49" i="1"/>
  <c r="E49" i="1"/>
  <c r="H48" i="1"/>
  <c r="G48" i="1"/>
  <c r="F48" i="1"/>
  <c r="E48" i="1"/>
  <c r="H47" i="1"/>
  <c r="G47" i="1"/>
  <c r="F47" i="1"/>
  <c r="E47" i="1"/>
  <c r="H46" i="1"/>
  <c r="G46" i="1"/>
  <c r="F46" i="1"/>
  <c r="E46" i="1"/>
  <c r="H45" i="1"/>
  <c r="G45" i="1"/>
  <c r="F45" i="1"/>
  <c r="E45" i="1"/>
  <c r="H44" i="1"/>
  <c r="G44" i="1"/>
  <c r="F44" i="1"/>
  <c r="E44" i="1"/>
  <c r="H43" i="1"/>
  <c r="G43" i="1"/>
  <c r="F43" i="1"/>
  <c r="E43" i="1"/>
  <c r="H42" i="1"/>
  <c r="G42" i="1"/>
  <c r="F42" i="1"/>
  <c r="E42" i="1"/>
  <c r="H41" i="1"/>
  <c r="G41" i="1"/>
  <c r="F41" i="1"/>
  <c r="E41" i="1"/>
  <c r="H40" i="1"/>
  <c r="G40" i="1"/>
  <c r="F40" i="1"/>
  <c r="E40" i="1"/>
  <c r="H39" i="1"/>
  <c r="G39" i="1"/>
  <c r="F39" i="1"/>
  <c r="E39" i="1"/>
  <c r="H38" i="1"/>
  <c r="G38" i="1"/>
  <c r="F38" i="1"/>
  <c r="E38" i="1"/>
  <c r="H37" i="1"/>
  <c r="G37" i="1"/>
  <c r="F37" i="1"/>
  <c r="E37" i="1"/>
  <c r="H36" i="1"/>
  <c r="G36" i="1"/>
  <c r="F36" i="1"/>
  <c r="E36" i="1"/>
  <c r="H35" i="1"/>
  <c r="G35" i="1"/>
  <c r="F35" i="1"/>
  <c r="E35" i="1"/>
  <c r="H34" i="1"/>
  <c r="G34" i="1"/>
  <c r="F34" i="1"/>
  <c r="E34" i="1"/>
  <c r="H33" i="1"/>
  <c r="G33" i="1"/>
  <c r="F33" i="1"/>
  <c r="E33" i="1"/>
  <c r="H32" i="1"/>
  <c r="G32" i="1"/>
  <c r="F32" i="1"/>
  <c r="E32" i="1"/>
  <c r="H31" i="1"/>
  <c r="G31" i="1"/>
  <c r="F31" i="1"/>
  <c r="E31" i="1"/>
  <c r="H30" i="1"/>
  <c r="G30" i="1"/>
  <c r="F30" i="1"/>
  <c r="E30" i="1"/>
  <c r="H29" i="1"/>
  <c r="G29" i="1"/>
  <c r="F29" i="1"/>
  <c r="E29" i="1"/>
  <c r="H28" i="1"/>
  <c r="G28" i="1"/>
  <c r="F28" i="1"/>
  <c r="E28" i="1"/>
  <c r="H27" i="1"/>
  <c r="G27" i="1"/>
  <c r="F27" i="1"/>
  <c r="E27" i="1"/>
  <c r="H26" i="1"/>
  <c r="G26" i="1"/>
  <c r="F26" i="1"/>
  <c r="E26" i="1"/>
  <c r="H25" i="1"/>
  <c r="G25" i="1"/>
  <c r="F25" i="1"/>
  <c r="E25" i="1"/>
  <c r="H24" i="1"/>
  <c r="G24" i="1"/>
  <c r="F24" i="1"/>
  <c r="E24" i="1"/>
  <c r="H23" i="1"/>
  <c r="G23" i="1"/>
  <c r="F23" i="1"/>
  <c r="E23" i="1"/>
  <c r="H22" i="1"/>
  <c r="G22" i="1"/>
  <c r="F22" i="1"/>
  <c r="E22" i="1"/>
  <c r="H21" i="1"/>
  <c r="G21" i="1"/>
  <c r="F21" i="1"/>
  <c r="E21" i="1"/>
  <c r="H20" i="1"/>
  <c r="G20" i="1"/>
  <c r="F20" i="1"/>
  <c r="E20" i="1"/>
  <c r="H19" i="1"/>
  <c r="G19" i="1"/>
  <c r="F19" i="1"/>
  <c r="E19" i="1"/>
  <c r="H18" i="1"/>
  <c r="G18" i="1"/>
  <c r="F18" i="1"/>
  <c r="E18" i="1"/>
  <c r="H17" i="1"/>
  <c r="G17" i="1"/>
  <c r="F17" i="1"/>
  <c r="E17" i="1"/>
  <c r="E16" i="1"/>
  <c r="E15" i="1"/>
  <c r="E13" i="1"/>
  <c r="F8" i="1"/>
  <c r="E8" i="1"/>
  <c r="C8" i="1"/>
  <c r="E12" i="1" l="1"/>
  <c r="B2" i="3" l="1"/>
  <c r="C7" i="1" l="1"/>
  <c r="H2" i="1"/>
  <c r="B8" i="3" l="1"/>
  <c r="F2" i="1"/>
  <c r="D8" i="3"/>
  <c r="C8" i="3"/>
  <c r="D9" i="3"/>
  <c r="C9" i="3"/>
  <c r="B11" i="3" s="1"/>
  <c r="D10" i="3" l="1"/>
  <c r="G5" i="1" s="1"/>
  <c r="C10" i="3"/>
  <c r="F15" i="1" l="1"/>
  <c r="G15" i="1" s="1"/>
  <c r="F13" i="1"/>
  <c r="F16" i="1"/>
  <c r="G16" i="1" s="1"/>
  <c r="F14" i="1"/>
  <c r="G14" i="1" s="1"/>
  <c r="C11" i="3"/>
  <c r="D11" i="3"/>
  <c r="F5" i="1" s="1"/>
  <c r="E2" i="1"/>
  <c r="G13" i="1" l="1"/>
  <c r="H13" i="1" s="1"/>
  <c r="H14" i="1" s="1"/>
  <c r="H15" i="1" s="1"/>
  <c r="H16" i="1" s="1"/>
  <c r="D9" i="1"/>
  <c r="E9" i="1" s="1"/>
  <c r="G9" i="1" s="1"/>
  <c r="H9" i="1" s="1"/>
  <c r="A11" i="1"/>
  <c r="G2" i="1"/>
  <c r="G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C5" authorId="0" shapeId="0" xr:uid="{00000000-0006-0000-0100-000001000000}">
      <text>
        <r>
          <rPr>
            <sz val="9"/>
            <color indexed="81"/>
            <rFont val="Segoe UI"/>
            <family val="2"/>
          </rPr>
          <t>Data para a qual devem ser calculados os juros pro-rata.</t>
        </r>
      </text>
    </comment>
    <comment ref="D5" authorId="0" shapeId="0" xr:uid="{00000000-0006-0000-0100-000002000000}">
      <text>
        <r>
          <rPr>
            <sz val="9"/>
            <color indexed="81"/>
            <rFont val="Segoe UI"/>
            <family val="2"/>
          </rPr>
          <t>Taxa de juros mensal ou anual, utilizada para a atualização dos recebimentos e pagamentos informados no fluxo financeiro abaixo.</t>
        </r>
      </text>
    </comment>
    <comment ref="E5" authorId="0" shapeId="0" xr:uid="{0CDCEDA1-E502-45B0-8698-3CF33021F7EE}">
      <text>
        <r>
          <rPr>
            <sz val="9"/>
            <color indexed="81"/>
            <rFont val="Segoe UI"/>
            <family val="2"/>
          </rPr>
          <t>Clique na célula e escolha uma das opções da seta de validação à direita.</t>
        </r>
      </text>
    </comment>
    <comment ref="C12" authorId="0" shapeId="0" xr:uid="{10AAAE4E-96C2-416E-A2DB-A9AE7934A735}">
      <text>
        <r>
          <rPr>
            <sz val="9"/>
            <color indexed="81"/>
            <rFont val="Segoe UI"/>
            <family val="2"/>
          </rPr>
          <t>Data da entrada ou da saída do dinheiro.</t>
        </r>
      </text>
    </comment>
    <comment ref="D12" authorId="0" shapeId="0" xr:uid="{255D574D-032A-444D-B9A1-2A5C919C61F6}">
      <text>
        <r>
          <rPr>
            <sz val="9"/>
            <color indexed="81"/>
            <rFont val="Segoe UI"/>
            <family val="2"/>
          </rPr>
          <t>Para indicar a saída de dinheiro digite o valor com sinal negativo.</t>
        </r>
      </text>
    </comment>
    <comment ref="H12" authorId="0" shapeId="0" xr:uid="{2271D50D-F1C6-4E75-9B76-B49A68CF3FA3}">
      <text>
        <r>
          <rPr>
            <sz val="9"/>
            <color indexed="81"/>
            <rFont val="Segoe UI"/>
            <family val="2"/>
          </rPr>
          <t>Saldo atualizado até o dia informado no campo "ATUALIAR ATÉ:"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C8" authorId="0" shapeId="0" xr:uid="{27D55D69-B849-45F2-92B2-F36BF9AF2D5D}">
      <text>
        <r>
          <rPr>
            <sz val="9"/>
            <color indexed="81"/>
            <rFont val="Segoe UI"/>
            <family val="2"/>
          </rPr>
          <t>Taxa de juros informada.</t>
        </r>
      </text>
    </comment>
    <comment ref="D8" authorId="0" shapeId="0" xr:uid="{5C4D4EEF-CA1D-4AC4-94F2-9AC6DA13B17F}">
      <text>
        <r>
          <rPr>
            <sz val="9"/>
            <color indexed="81"/>
            <rFont val="Segoe UI"/>
            <family val="2"/>
          </rPr>
          <t>Taxa de juros informada.</t>
        </r>
      </text>
    </comment>
    <comment ref="C9" authorId="0" shapeId="0" xr:uid="{2DFE3122-9C43-47E5-87AD-5549D9FC079B}">
      <text>
        <r>
          <rPr>
            <sz val="9"/>
            <color indexed="81"/>
            <rFont val="Segoe UI"/>
            <family val="2"/>
          </rPr>
          <t>Nº dias correspondentes ao período da taxa informada.</t>
        </r>
      </text>
    </comment>
    <comment ref="D9" authorId="0" shapeId="0" xr:uid="{9C8F6096-C0FE-4E90-BAA6-1C958F99B2D8}">
      <text>
        <r>
          <rPr>
            <sz val="9"/>
            <color indexed="81"/>
            <rFont val="Segoe UI"/>
            <family val="2"/>
          </rPr>
          <t>Nº dias correspondentes ao período da taxa informada.</t>
        </r>
      </text>
    </comment>
    <comment ref="C10" authorId="0" shapeId="0" xr:uid="{F8EFA07D-AB5C-4CAA-8C09-5AAFBBDBF5BD}">
      <text>
        <r>
          <rPr>
            <sz val="9"/>
            <color indexed="81"/>
            <rFont val="Segoe UI"/>
            <family val="2"/>
          </rPr>
          <t>Taxa de juros diária linear.</t>
        </r>
      </text>
    </comment>
    <comment ref="D10" authorId="0" shapeId="0" xr:uid="{78C0EF0C-908D-4E94-BFD1-2A9954EB58DF}">
      <text>
        <r>
          <rPr>
            <sz val="9"/>
            <color indexed="81"/>
            <rFont val="Segoe UI"/>
            <family val="2"/>
          </rPr>
          <t>Taxa de juros diária exponencial .</t>
        </r>
      </text>
    </comment>
  </commentList>
</comments>
</file>

<file path=xl/sharedStrings.xml><?xml version="1.0" encoding="utf-8"?>
<sst xmlns="http://schemas.openxmlformats.org/spreadsheetml/2006/main" count="51" uniqueCount="37">
  <si>
    <t>VALOR</t>
  </si>
  <si>
    <t>TAXA</t>
  </si>
  <si>
    <t>DESCRIÇÃO / OBSERVAÇÃO</t>
  </si>
  <si>
    <t>VALOR ATUAL</t>
  </si>
  <si>
    <t>SALDO ATUALIZ.</t>
  </si>
  <si>
    <t>T U T O R I A L</t>
  </si>
  <si>
    <t>GERAL</t>
  </si>
  <si>
    <t>.</t>
  </si>
  <si>
    <t>CÁLCULO</t>
  </si>
  <si>
    <t>TAXA AO DIA</t>
  </si>
  <si>
    <t>ATUALIZAR ATÉ:</t>
  </si>
  <si>
    <t>Não foi instalada senha de proteção; então, para desproteger as planilhas, vá até o menu "Revisão" e apenas clique em "Desproteger Planilha".</t>
  </si>
  <si>
    <t>MOVIMENTAÇÃO DO FLUXO DE RECEBIMENTOS E PAGAMENTOS</t>
  </si>
  <si>
    <t>DATA</t>
  </si>
  <si>
    <t>As fórmulas vão até a linha 1000 da aba "CÁLCULO".</t>
  </si>
  <si>
    <t>JUROS COMPOSTOS</t>
  </si>
  <si>
    <t>JUROS SIMPLES</t>
  </si>
  <si>
    <t>'i' ao dia</t>
  </si>
  <si>
    <t>'i' = taxa de juros</t>
  </si>
  <si>
    <t>TIPO CÁLCULO</t>
  </si>
  <si>
    <t>SALDO EM %</t>
  </si>
  <si>
    <t>O botão EXCLUIR LINHA exclui a linha que estiver ativa e dentro da área de movimentação do fluxo de recebimentos e pagamentos;</t>
  </si>
  <si>
    <t>IMPRESSÃO</t>
  </si>
  <si>
    <t>Para visualizar a impressão da planilha contendo os registros de movimentação do fluxo de recebimentos e pagamentos basta clicar na imagem da impressora, pois o enquadramento da área de impressão é automático.</t>
  </si>
  <si>
    <t>Este aplicativo está trabalhando com as duas formas de atualização financeira, uma com base no conceito de juros simples bancários e outra com base no conceito dos juros compostos;</t>
  </si>
  <si>
    <t>Os campos marcados na cor azul degradê são os que podem ser preenchidos;</t>
  </si>
  <si>
    <t>Para saber a taxa de juros real utilizada no fluxo financeiro lançado, clique no botão AJUSTAR TAXA PARA ZERAR FLUXO. Ao clicar nesse botão, a taxa de juros da célula D5 será alterada, através do recurso 'Atingir Meta', e corresponderá ao percentual necessário para zerar o fluxo financeiro preenchido a partir das células C13 e D13;</t>
  </si>
  <si>
    <t>Ao clicar no botão LIQUIDAR OPERAÇÃO você também acionará o recurso 'Atingir Meta' (menu Dados), o qual ajustará o VALOR da última linha para que o fluxo financeiro fique zerado (SALDO ATUALIZ.);</t>
  </si>
  <si>
    <t>O botão AJUSTAR PLANILHA restabelece o formato de todas as células, além de reinserir as fórmulas utilizadas neste aplicativo. Use-o a vontade, pois ele não exclui e nem altera os lançamentos realizados;</t>
  </si>
  <si>
    <t>Através do botão LIMPAR DADOS você poderá eliminar os lançamentos realizados e começar um novo controle de fluxo financeiro;</t>
  </si>
  <si>
    <t>A data para a liquidação não poderá ser inferior às demais do fluxo financeiro e caso não seja digitada uma data será considerada a aquela informada no campo "ATUALIZAR ATE:";</t>
  </si>
  <si>
    <t>Ao passar o cursor sobre os campos de preenchimento da aba "CÁLCULO", você obterá informações sobre suas funções e utilidades;</t>
  </si>
  <si>
    <t>Também prevê a possibilidade de inserção de uma taxa de juros mensal ou anual. Na aba "Conversão da Taxa" você observará as fórmulas de conversão da taxa, seja de anual para mensal e vice versa, até chegar na taxa ao dia, que é a adotada no cálculo de atualização financeira dos valores informados na área de registro do fluxo de movimentação de recebimentos e pagamentos;</t>
  </si>
  <si>
    <t>Ainda na aba "Conversão da Taxa" você poderá observar o uso do recurso de concatenação de textos aplicado na linha B2;</t>
  </si>
  <si>
    <t>'nd' = período em dias</t>
  </si>
  <si>
    <t>'nd'</t>
  </si>
  <si>
    <t>SOMA JUROS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</si>
</sst>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R$&quot;#,##0.00;[Red]\-&quot;R$&quot;#,##0.00"/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0.0000%"/>
    <numFmt numFmtId="165" formatCode="0.0000000%"/>
    <numFmt numFmtId="166" formatCode="_(* #,##0.00_);_(* \(#,##0.00\);_(* &quot;-&quot;??_);_(@_)"/>
    <numFmt numFmtId="167" formatCode="#,##0.00_ ;[Red]\-#,##0.00\ "/>
    <numFmt numFmtId="168" formatCode="0.00000%"/>
    <numFmt numFmtId="169" formatCode="_-[$R$-416]* #,##0.00_-;\-[$R$-416]* #,##0.00_-;_-[$R$-416]* &quot;-&quot;??_-;_-@_-"/>
    <numFmt numFmtId="170" formatCode="0.00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9"/>
      <color indexed="81"/>
      <name val="Segoe UI"/>
      <family val="2"/>
    </font>
    <font>
      <b/>
      <i/>
      <u val="doubleAccounting"/>
      <sz val="16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i/>
      <u val="singleAccounting"/>
      <sz val="11"/>
      <color theme="1"/>
      <name val="Calibri"/>
      <family val="2"/>
      <scheme val="minor"/>
    </font>
    <font>
      <b/>
      <i/>
      <u val="singleAccounting"/>
      <sz val="11"/>
      <color theme="3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3" tint="0.59999389629810485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 tint="0.3999450666829432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499984740745262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top"/>
    </xf>
    <xf numFmtId="0" fontId="0" fillId="0" borderId="6" xfId="0" applyBorder="1" applyAlignment="1" applyProtection="1">
      <alignment horizontal="right" vertical="top"/>
    </xf>
    <xf numFmtId="0" fontId="0" fillId="0" borderId="6" xfId="0" applyBorder="1" applyAlignment="1" applyProtection="1">
      <alignment horizontal="left" vertical="top" wrapText="1"/>
    </xf>
    <xf numFmtId="0" fontId="0" fillId="0" borderId="0" xfId="0" applyAlignment="1" applyProtection="1">
      <alignment horizontal="right" vertical="top"/>
    </xf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43" fontId="0" fillId="0" borderId="0" xfId="1" applyFont="1" applyAlignment="1" applyProtection="1">
      <alignment vertical="center"/>
      <protection locked="0"/>
    </xf>
    <xf numFmtId="14" fontId="0" fillId="0" borderId="0" xfId="0" applyNumberFormat="1" applyAlignment="1" applyProtection="1">
      <alignment horizontal="center" vertical="center"/>
    </xf>
    <xf numFmtId="44" fontId="0" fillId="0" borderId="0" xfId="2" applyFont="1" applyAlignment="1" applyProtection="1">
      <alignment horizontal="center" vertical="center"/>
    </xf>
    <xf numFmtId="43" fontId="0" fillId="0" borderId="0" xfId="1" applyFont="1" applyAlignment="1" applyProtection="1">
      <alignment vertical="center"/>
    </xf>
    <xf numFmtId="14" fontId="7" fillId="3" borderId="2" xfId="0" applyNumberFormat="1" applyFont="1" applyFill="1" applyBorder="1" applyAlignment="1" applyProtection="1">
      <alignment horizontal="center" vertical="center"/>
    </xf>
    <xf numFmtId="165" fontId="8" fillId="0" borderId="3" xfId="0" applyNumberFormat="1" applyFont="1" applyFill="1" applyBorder="1" applyAlignment="1" applyProtection="1">
      <alignment horizontal="center" vertical="center"/>
    </xf>
    <xf numFmtId="43" fontId="0" fillId="3" borderId="5" xfId="1" applyFont="1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4" fontId="0" fillId="0" borderId="0" xfId="0" applyNumberFormat="1" applyFill="1" applyBorder="1" applyAlignment="1" applyProtection="1">
      <alignment horizontal="center" vertical="center"/>
      <protection locked="0"/>
    </xf>
    <xf numFmtId="43" fontId="0" fillId="0" borderId="0" xfId="1" applyFont="1" applyFill="1" applyBorder="1" applyAlignment="1" applyProtection="1">
      <alignment vertical="center"/>
      <protection locked="0"/>
    </xf>
    <xf numFmtId="14" fontId="0" fillId="3" borderId="5" xfId="0" applyNumberFormat="1" applyFill="1" applyBorder="1" applyAlignment="1" applyProtection="1">
      <alignment horizontal="center" vertical="center"/>
    </xf>
    <xf numFmtId="44" fontId="9" fillId="0" borderId="0" xfId="2" applyFont="1" applyAlignment="1" applyProtection="1">
      <alignment horizontal="center" vertical="top"/>
    </xf>
    <xf numFmtId="43" fontId="0" fillId="0" borderId="0" xfId="1" applyFont="1"/>
    <xf numFmtId="14" fontId="10" fillId="3" borderId="2" xfId="0" applyNumberFormat="1" applyFont="1" applyFill="1" applyBorder="1" applyAlignment="1" applyProtection="1">
      <alignment horizontal="center" vertical="center"/>
    </xf>
    <xf numFmtId="10" fontId="0" fillId="0" borderId="0" xfId="3" applyNumberFormat="1" applyFont="1"/>
    <xf numFmtId="43" fontId="2" fillId="0" borderId="0" xfId="1" applyFont="1" applyAlignment="1">
      <alignment horizontal="center"/>
    </xf>
    <xf numFmtId="0" fontId="0" fillId="0" borderId="1" xfId="1" applyNumberFormat="1" applyFont="1" applyBorder="1" applyAlignment="1">
      <alignment horizontal="center"/>
    </xf>
    <xf numFmtId="164" fontId="8" fillId="0" borderId="3" xfId="0" applyNumberFormat="1" applyFont="1" applyFill="1" applyBorder="1" applyAlignment="1" applyProtection="1">
      <alignment horizontal="center" vertical="center"/>
    </xf>
    <xf numFmtId="14" fontId="2" fillId="2" borderId="4" xfId="0" applyNumberFormat="1" applyFont="1" applyFill="1" applyBorder="1" applyAlignment="1" applyProtection="1">
      <alignment horizontal="center" vertical="center"/>
      <protection locked="0"/>
    </xf>
    <xf numFmtId="164" fontId="2" fillId="2" borderId="4" xfId="0" applyNumberFormat="1" applyFont="1" applyFill="1" applyBorder="1" applyAlignment="1" applyProtection="1">
      <alignment horizontal="center" vertical="center"/>
      <protection locked="0"/>
    </xf>
    <xf numFmtId="168" fontId="0" fillId="0" borderId="1" xfId="3" applyNumberFormat="1" applyFont="1" applyBorder="1" applyAlignment="1">
      <alignment horizontal="center"/>
    </xf>
    <xf numFmtId="43" fontId="2" fillId="0" borderId="1" xfId="1" applyFont="1" applyBorder="1" applyAlignment="1">
      <alignment horizontal="center"/>
    </xf>
    <xf numFmtId="43" fontId="11" fillId="0" borderId="0" xfId="1" applyFont="1" applyFill="1" applyAlignment="1"/>
    <xf numFmtId="43" fontId="2" fillId="0" borderId="1" xfId="1" quotePrefix="1" applyFont="1" applyBorder="1" applyAlignment="1">
      <alignment horizontal="center"/>
    </xf>
    <xf numFmtId="44" fontId="0" fillId="0" borderId="0" xfId="2" applyFont="1" applyFill="1" applyBorder="1" applyAlignment="1" applyProtection="1">
      <alignment horizontal="right" vertical="center"/>
      <protection locked="0"/>
    </xf>
    <xf numFmtId="44" fontId="0" fillId="0" borderId="0" xfId="2" applyFont="1" applyAlignment="1" applyProtection="1">
      <alignment horizontal="right" vertical="center"/>
      <protection locked="0"/>
    </xf>
    <xf numFmtId="164" fontId="8" fillId="0" borderId="0" xfId="0" applyNumberFormat="1" applyFont="1" applyFill="1" applyBorder="1" applyAlignment="1" applyProtection="1">
      <alignment horizontal="center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169" fontId="2" fillId="0" borderId="1" xfId="0" applyNumberFormat="1" applyFont="1" applyBorder="1" applyAlignment="1" applyProtection="1">
      <alignment horizontal="center" vertical="center"/>
    </xf>
    <xf numFmtId="169" fontId="2" fillId="0" borderId="1" xfId="0" applyNumberFormat="1" applyFont="1" applyBorder="1" applyAlignment="1" applyProtection="1">
      <alignment vertical="center"/>
    </xf>
    <xf numFmtId="10" fontId="2" fillId="0" borderId="1" xfId="3" applyNumberFormat="1" applyFont="1" applyBorder="1" applyAlignment="1" applyProtection="1">
      <alignment horizontal="center" vertical="center"/>
    </xf>
    <xf numFmtId="14" fontId="0" fillId="5" borderId="1" xfId="0" applyNumberFormat="1" applyFont="1" applyFill="1" applyBorder="1" applyAlignment="1" applyProtection="1">
      <alignment horizontal="center" vertical="center"/>
    </xf>
    <xf numFmtId="0" fontId="0" fillId="5" borderId="1" xfId="0" applyFont="1" applyFill="1" applyBorder="1" applyAlignment="1" applyProtection="1">
      <alignment horizontal="center" vertical="center"/>
    </xf>
    <xf numFmtId="167" fontId="0" fillId="0" borderId="0" xfId="1" applyNumberFormat="1" applyFont="1" applyAlignment="1" applyProtection="1">
      <alignment horizontal="right" vertical="center"/>
    </xf>
    <xf numFmtId="167" fontId="0" fillId="0" borderId="0" xfId="1" applyNumberFormat="1" applyFont="1" applyAlignment="1" applyProtection="1">
      <alignment vertical="center"/>
    </xf>
    <xf numFmtId="0" fontId="0" fillId="0" borderId="0" xfId="2" applyNumberFormat="1" applyFont="1" applyBorder="1" applyAlignment="1" applyProtection="1">
      <alignment horizontal="center" vertical="center"/>
    </xf>
    <xf numFmtId="43" fontId="0" fillId="0" borderId="0" xfId="1" applyFont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8" fontId="0" fillId="0" borderId="0" xfId="0" applyNumberFormat="1" applyFill="1" applyBorder="1" applyAlignment="1" applyProtection="1">
      <alignment vertical="center"/>
    </xf>
    <xf numFmtId="0" fontId="0" fillId="0" borderId="0" xfId="2" applyNumberFormat="1" applyFont="1" applyFill="1" applyBorder="1" applyAlignment="1" applyProtection="1">
      <alignment horizontal="center" vertical="center"/>
    </xf>
    <xf numFmtId="169" fontId="0" fillId="0" borderId="0" xfId="1" applyNumberFormat="1" applyFont="1" applyFill="1" applyBorder="1" applyAlignment="1" applyProtection="1">
      <alignment vertical="center"/>
    </xf>
    <xf numFmtId="0" fontId="0" fillId="0" borderId="0" xfId="1" applyNumberFormat="1" applyFont="1" applyAlignment="1" applyProtection="1">
      <alignment horizontal="center" vertical="center"/>
    </xf>
    <xf numFmtId="169" fontId="0" fillId="0" borderId="0" xfId="1" applyNumberFormat="1" applyFont="1" applyAlignment="1" applyProtection="1">
      <alignment vertical="center"/>
    </xf>
    <xf numFmtId="43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6" xfId="0" applyBorder="1" applyAlignment="1" applyProtection="1">
      <alignment horizontal="left" vertical="center" wrapText="1"/>
    </xf>
    <xf numFmtId="0" fontId="0" fillId="0" borderId="0" xfId="0" applyAlignment="1" applyProtection="1">
      <alignment horizontal="left" vertical="center"/>
    </xf>
    <xf numFmtId="0" fontId="0" fillId="0" borderId="6" xfId="0" applyBorder="1" applyAlignment="1" applyProtection="1">
      <alignment horizontal="right" vertical="center"/>
    </xf>
    <xf numFmtId="164" fontId="14" fillId="2" borderId="4" xfId="0" applyNumberFormat="1" applyFont="1" applyFill="1" applyBorder="1" applyAlignment="1" applyProtection="1">
      <alignment horizontal="center" vertical="center" shrinkToFit="1"/>
      <protection locked="0"/>
    </xf>
    <xf numFmtId="14" fontId="0" fillId="3" borderId="1" xfId="0" applyNumberFormat="1" applyFont="1" applyFill="1" applyBorder="1" applyAlignment="1" applyProtection="1">
      <alignment horizontal="center" vertical="top"/>
    </xf>
    <xf numFmtId="14" fontId="0" fillId="3" borderId="1" xfId="0" applyNumberFormat="1" applyFont="1" applyFill="1" applyBorder="1" applyAlignment="1" applyProtection="1">
      <alignment horizontal="center" vertical="top" wrapText="1"/>
    </xf>
    <xf numFmtId="44" fontId="0" fillId="3" borderId="1" xfId="2" applyFont="1" applyFill="1" applyBorder="1" applyAlignment="1" applyProtection="1">
      <alignment horizontal="center" vertical="top"/>
    </xf>
    <xf numFmtId="170" fontId="0" fillId="0" borderId="1" xfId="1" applyNumberFormat="1" applyFont="1" applyBorder="1" applyAlignment="1">
      <alignment horizontal="center"/>
    </xf>
    <xf numFmtId="170" fontId="0" fillId="0" borderId="0" xfId="3" applyNumberFormat="1" applyFont="1" applyAlignment="1">
      <alignment horizontal="center"/>
    </xf>
    <xf numFmtId="170" fontId="0" fillId="0" borderId="0" xfId="3" applyNumberFormat="1" applyFont="1"/>
    <xf numFmtId="164" fontId="0" fillId="0" borderId="0" xfId="3" applyNumberFormat="1" applyFont="1"/>
    <xf numFmtId="0" fontId="5" fillId="0" borderId="0" xfId="4" applyNumberFormat="1" applyFont="1" applyAlignment="1" applyProtection="1">
      <alignment horizontal="left" vertical="top"/>
    </xf>
    <xf numFmtId="0" fontId="6" fillId="0" borderId="0" xfId="4" applyNumberFormat="1" applyFont="1" applyBorder="1" applyAlignment="1" applyProtection="1">
      <alignment horizontal="left" vertical="top"/>
    </xf>
    <xf numFmtId="14" fontId="2" fillId="4" borderId="7" xfId="0" applyNumberFormat="1" applyFont="1" applyFill="1" applyBorder="1" applyAlignment="1" applyProtection="1">
      <alignment horizontal="center" vertical="center"/>
    </xf>
    <xf numFmtId="14" fontId="2" fillId="4" borderId="8" xfId="0" applyNumberFormat="1" applyFont="1" applyFill="1" applyBorder="1" applyAlignment="1" applyProtection="1">
      <alignment horizontal="center" vertical="center"/>
    </xf>
    <xf numFmtId="14" fontId="2" fillId="4" borderId="9" xfId="0" applyNumberFormat="1" applyFont="1" applyFill="1" applyBorder="1" applyAlignment="1" applyProtection="1">
      <alignment horizontal="center" vertical="center"/>
    </xf>
    <xf numFmtId="14" fontId="13" fillId="6" borderId="1" xfId="0" applyNumberFormat="1" applyFont="1" applyFill="1" applyBorder="1" applyAlignment="1" applyProtection="1">
      <alignment horizontal="center" vertical="center"/>
    </xf>
    <xf numFmtId="43" fontId="0" fillId="0" borderId="0" xfId="1" quotePrefix="1" applyFont="1" applyAlignment="1">
      <alignment horizontal="left"/>
    </xf>
    <xf numFmtId="43" fontId="0" fillId="0" borderId="0" xfId="1" applyFont="1" applyAlignment="1">
      <alignment horizontal="left"/>
    </xf>
    <xf numFmtId="43" fontId="1" fillId="0" borderId="0" xfId="1" applyFont="1" applyAlignment="1">
      <alignment horizontal="left"/>
    </xf>
    <xf numFmtId="43" fontId="12" fillId="0" borderId="0" xfId="1" applyFont="1" applyFill="1" applyAlignment="1">
      <alignment horizontal="center"/>
    </xf>
  </cellXfs>
  <cellStyles count="5">
    <cellStyle name="Moeda" xfId="2" builtinId="4"/>
    <cellStyle name="Normal" xfId="0" builtinId="0"/>
    <cellStyle name="Porcentagem" xfId="3" builtinId="5"/>
    <cellStyle name="Vírgula" xfId="1" builtinId="3"/>
    <cellStyle name="Vírgula 2" xfId="4" xr:uid="{00000000-0005-0000-0000-000004000000}"/>
  </cellStyles>
  <dxfs count="11">
    <dxf>
      <fill>
        <gradientFill degree="90">
          <stop position="0">
            <color theme="0"/>
          </stop>
          <stop position="1">
            <color theme="3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3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3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3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1">
            <color theme="3" tint="0.59999389629810485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6699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checked="Checked" firstButton="1" fmlaLink="A4" lockText="1"/>
</file>

<file path=xl/ctrlProps/ctrlProp2.xml><?xml version="1.0" encoding="utf-8"?>
<formControlPr xmlns="http://schemas.microsoft.com/office/spreadsheetml/2009/9/main" objectType="Radio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2</xdr:row>
          <xdr:rowOff>85725</xdr:rowOff>
        </xdr:from>
        <xdr:to>
          <xdr:col>3</xdr:col>
          <xdr:colOff>1123950</xdr:colOff>
          <xdr:row>4</xdr:row>
          <xdr:rowOff>28575</xdr:rowOff>
        </xdr:to>
        <xdr:grpSp>
          <xdr:nvGrpSpPr>
            <xdr:cNvPr id="3" name="Agrupar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1743075" y="85725"/>
              <a:ext cx="733425" cy="257175"/>
              <a:chOff x="5172068" y="1981200"/>
              <a:chExt cx="781042" cy="238125"/>
            </a:xfrm>
          </xdr:grpSpPr>
          <xdr:sp macro="" textlink="">
            <xdr:nvSpPr>
              <xdr:cNvPr id="1028" name="Botão de opção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5172068" y="1981200"/>
                <a:ext cx="37147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AM</a:t>
                </a:r>
              </a:p>
            </xdr:txBody>
          </xdr:sp>
          <xdr:sp macro="" textlink="">
            <xdr:nvSpPr>
              <xdr:cNvPr id="1029" name="Option 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5581635" y="1981200"/>
                <a:ext cx="37147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AA</a:t>
                </a:r>
              </a:p>
            </xdr:txBody>
          </xdr:sp>
        </xdr:grpSp>
        <xdr:clientData/>
      </xdr:twoCellAnchor>
    </mc:Choice>
    <mc:Fallback/>
  </mc:AlternateContent>
  <xdr:twoCellAnchor editAs="oneCell">
    <xdr:from>
      <xdr:col>8</xdr:col>
      <xdr:colOff>769800</xdr:colOff>
      <xdr:row>4</xdr:row>
      <xdr:rowOff>209024</xdr:rowOff>
    </xdr:from>
    <xdr:to>
      <xdr:col>8</xdr:col>
      <xdr:colOff>3048000</xdr:colOff>
      <xdr:row>5</xdr:row>
      <xdr:rowOff>228600</xdr:rowOff>
    </xdr:to>
    <xdr:sp macro="[0]!Liquidar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7570650" y="523349"/>
          <a:ext cx="2278200" cy="229126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LIQUIDAR</a:t>
          </a:r>
          <a:r>
            <a:rPr lang="pt-BR" sz="1100" b="1" baseline="0">
              <a:solidFill>
                <a:schemeClr val="bg1"/>
              </a:solidFill>
            </a:rPr>
            <a:t> OPERAÇÃO</a:t>
          </a:r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oneCell">
    <xdr:from>
      <xdr:col>8</xdr:col>
      <xdr:colOff>781050</xdr:colOff>
      <xdr:row>7</xdr:row>
      <xdr:rowOff>171450</xdr:rowOff>
    </xdr:from>
    <xdr:to>
      <xdr:col>8</xdr:col>
      <xdr:colOff>2219325</xdr:colOff>
      <xdr:row>9</xdr:row>
      <xdr:rowOff>20850</xdr:rowOff>
    </xdr:to>
    <xdr:sp macro="[0]!Limpar_Dados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581900" y="1152525"/>
          <a:ext cx="1438275" cy="2304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50000"/>
                </a:schemeClr>
              </a:solidFill>
            </a:rPr>
            <a:t>LIMPAR</a:t>
          </a:r>
          <a:r>
            <a:rPr lang="pt-BR" sz="1100" b="1" baseline="0">
              <a:solidFill>
                <a:schemeClr val="accent5">
                  <a:lumMod val="50000"/>
                </a:schemeClr>
              </a:solidFill>
            </a:rPr>
            <a:t> DADOS</a:t>
          </a:r>
          <a:endParaRPr lang="pt-BR" sz="1100" b="1">
            <a:solidFill>
              <a:schemeClr val="accent5">
                <a:lumMod val="50000"/>
              </a:schemeClr>
            </a:solidFill>
          </a:endParaRPr>
        </a:p>
      </xdr:txBody>
    </xdr:sp>
    <xdr:clientData fPrintsWithSheet="0"/>
  </xdr:twoCellAnchor>
  <xdr:twoCellAnchor editAs="oneCell">
    <xdr:from>
      <xdr:col>7</xdr:col>
      <xdr:colOff>457200</xdr:colOff>
      <xdr:row>3</xdr:row>
      <xdr:rowOff>57150</xdr:rowOff>
    </xdr:from>
    <xdr:to>
      <xdr:col>7</xdr:col>
      <xdr:colOff>923924</xdr:colOff>
      <xdr:row>5</xdr:row>
      <xdr:rowOff>133349</xdr:rowOff>
    </xdr:to>
    <xdr:pic macro="[0]!Visualizar_Impressao"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0" y="180975"/>
          <a:ext cx="466724" cy="466724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781050</xdr:colOff>
      <xdr:row>6</xdr:row>
      <xdr:rowOff>76199</xdr:rowOff>
    </xdr:from>
    <xdr:to>
      <xdr:col>8</xdr:col>
      <xdr:colOff>2219325</xdr:colOff>
      <xdr:row>7</xdr:row>
      <xdr:rowOff>106574</xdr:rowOff>
    </xdr:to>
    <xdr:sp macro="[0]!AjustesLinhas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581900" y="857249"/>
          <a:ext cx="1438275" cy="2304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6">
                  <a:lumMod val="50000"/>
                </a:schemeClr>
              </a:solidFill>
            </a:rPr>
            <a:t>AJUSTAR PLANILHA</a:t>
          </a:r>
        </a:p>
      </xdr:txBody>
    </xdr:sp>
    <xdr:clientData fPrintsWithSheet="0"/>
  </xdr:twoCellAnchor>
  <xdr:twoCellAnchor editAs="oneCell">
    <xdr:from>
      <xdr:col>8</xdr:col>
      <xdr:colOff>771525</xdr:colOff>
      <xdr:row>3</xdr:row>
      <xdr:rowOff>66149</xdr:rowOff>
    </xdr:from>
    <xdr:to>
      <xdr:col>8</xdr:col>
      <xdr:colOff>3049725</xdr:colOff>
      <xdr:row>4</xdr:row>
      <xdr:rowOff>104775</xdr:rowOff>
    </xdr:to>
    <xdr:sp macro="[0]!AjustarTaxaJuros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572375" y="189974"/>
          <a:ext cx="2278200" cy="229126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AJUSTAR TAXA</a:t>
          </a:r>
          <a:r>
            <a:rPr lang="pt-BR" sz="1100" b="1" baseline="0">
              <a:solidFill>
                <a:schemeClr val="bg1"/>
              </a:solidFill>
            </a:rPr>
            <a:t> P/</a:t>
          </a:r>
          <a:r>
            <a:rPr lang="pt-BR" sz="1100" b="1">
              <a:solidFill>
                <a:schemeClr val="bg1"/>
              </a:solidFill>
            </a:rPr>
            <a:t>ZERAR</a:t>
          </a:r>
          <a:r>
            <a:rPr lang="pt-BR" sz="1100" b="1" baseline="0">
              <a:solidFill>
                <a:schemeClr val="bg1"/>
              </a:solidFill>
            </a:rPr>
            <a:t> FLUXO</a:t>
          </a:r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oneCell">
    <xdr:from>
      <xdr:col>8</xdr:col>
      <xdr:colOff>2286000</xdr:colOff>
      <xdr:row>6</xdr:row>
      <xdr:rowOff>95250</xdr:rowOff>
    </xdr:from>
    <xdr:to>
      <xdr:col>8</xdr:col>
      <xdr:colOff>3048001</xdr:colOff>
      <xdr:row>8</xdr:row>
      <xdr:rowOff>173250</xdr:rowOff>
    </xdr:to>
    <xdr:sp macro="[0]!ExcluirLinha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9086850" y="876300"/>
          <a:ext cx="762001" cy="46852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EXCLUIR</a:t>
          </a:r>
        </a:p>
        <a:p>
          <a:pPr algn="ctr"/>
          <a:r>
            <a:rPr lang="pt-BR" sz="1100" b="1">
              <a:solidFill>
                <a:schemeClr val="bg1"/>
              </a:solidFill>
            </a:rPr>
            <a:t>LINHA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_Operacao_Emprestimo_V3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torial"/>
      <sheetName val="CÁLCULO"/>
      <sheetName val="Comparativo SAC x Price"/>
      <sheetName val="Feriados"/>
    </sheetNames>
    <sheetDataSet>
      <sheetData sheetId="0"/>
      <sheetData sheetId="1">
        <row r="5">
          <cell r="R5" t="str">
            <v>P</v>
          </cell>
        </row>
        <row r="9">
          <cell r="B9">
            <v>18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Tutorial"/>
  <dimension ref="B2:C22"/>
  <sheetViews>
    <sheetView showGridLines="0" topLeftCell="A13" workbookViewId="0">
      <selection activeCell="C9" sqref="C9"/>
    </sheetView>
  </sheetViews>
  <sheetFormatPr defaultRowHeight="22.5" customHeight="1" x14ac:dyDescent="0.25"/>
  <cols>
    <col min="1" max="1" width="3.85546875" style="2" customWidth="1"/>
    <col min="2" max="2" width="1.85546875" style="5" customWidth="1"/>
    <col min="3" max="3" width="150.42578125" style="6" customWidth="1"/>
    <col min="4" max="16384" width="9.140625" style="2"/>
  </cols>
  <sheetData>
    <row r="2" spans="2:3" ht="22.5" customHeight="1" x14ac:dyDescent="0.25">
      <c r="B2" s="65" t="s">
        <v>5</v>
      </c>
      <c r="C2" s="65"/>
    </row>
    <row r="4" spans="2:3" ht="22.5" customHeight="1" x14ac:dyDescent="0.25">
      <c r="B4" s="66" t="s">
        <v>6</v>
      </c>
      <c r="C4" s="66"/>
    </row>
    <row r="5" spans="2:3" ht="22.5" customHeight="1" x14ac:dyDescent="0.25">
      <c r="B5" s="3" t="s">
        <v>7</v>
      </c>
      <c r="C5" s="4" t="s">
        <v>31</v>
      </c>
    </row>
    <row r="6" spans="2:3" s="1" customFormat="1" ht="22.5" customHeight="1" x14ac:dyDescent="0.25">
      <c r="B6" s="56" t="s">
        <v>7</v>
      </c>
      <c r="C6" s="54" t="s">
        <v>11</v>
      </c>
    </row>
    <row r="8" spans="2:3" ht="22.5" customHeight="1" x14ac:dyDescent="0.25">
      <c r="B8" s="66" t="s">
        <v>8</v>
      </c>
      <c r="C8" s="66"/>
    </row>
    <row r="9" spans="2:3" ht="22.5" customHeight="1" x14ac:dyDescent="0.25">
      <c r="B9" s="3" t="s">
        <v>7</v>
      </c>
      <c r="C9" s="4" t="s">
        <v>25</v>
      </c>
    </row>
    <row r="10" spans="2:3" ht="35.25" customHeight="1" x14ac:dyDescent="0.25">
      <c r="B10" s="3" t="s">
        <v>7</v>
      </c>
      <c r="C10" s="4" t="s">
        <v>24</v>
      </c>
    </row>
    <row r="11" spans="2:3" ht="45" x14ac:dyDescent="0.25">
      <c r="B11" s="3" t="s">
        <v>7</v>
      </c>
      <c r="C11" s="4" t="s">
        <v>32</v>
      </c>
    </row>
    <row r="12" spans="2:3" s="55" customFormat="1" ht="22.5" customHeight="1" x14ac:dyDescent="0.25">
      <c r="B12" s="56" t="s">
        <v>7</v>
      </c>
      <c r="C12" s="54" t="s">
        <v>33</v>
      </c>
    </row>
    <row r="13" spans="2:3" ht="35.25" customHeight="1" x14ac:dyDescent="0.25">
      <c r="B13" s="3" t="s">
        <v>7</v>
      </c>
      <c r="C13" s="4" t="s">
        <v>26</v>
      </c>
    </row>
    <row r="14" spans="2:3" ht="30" x14ac:dyDescent="0.25">
      <c r="B14" s="3" t="s">
        <v>7</v>
      </c>
      <c r="C14" s="4" t="s">
        <v>27</v>
      </c>
    </row>
    <row r="15" spans="2:3" ht="30" x14ac:dyDescent="0.25">
      <c r="B15" s="3" t="s">
        <v>7</v>
      </c>
      <c r="C15" s="4" t="s">
        <v>30</v>
      </c>
    </row>
    <row r="16" spans="2:3" ht="30" x14ac:dyDescent="0.25">
      <c r="B16" s="3" t="s">
        <v>7</v>
      </c>
      <c r="C16" s="4" t="s">
        <v>28</v>
      </c>
    </row>
    <row r="17" spans="2:3" s="55" customFormat="1" ht="22.5" customHeight="1" x14ac:dyDescent="0.25">
      <c r="B17" s="56" t="s">
        <v>7</v>
      </c>
      <c r="C17" s="54" t="s">
        <v>29</v>
      </c>
    </row>
    <row r="18" spans="2:3" s="55" customFormat="1" ht="22.5" customHeight="1" x14ac:dyDescent="0.25">
      <c r="B18" s="56" t="s">
        <v>7</v>
      </c>
      <c r="C18" s="54" t="s">
        <v>21</v>
      </c>
    </row>
    <row r="19" spans="2:3" s="1" customFormat="1" ht="22.5" customHeight="1" x14ac:dyDescent="0.25">
      <c r="B19" s="56" t="s">
        <v>7</v>
      </c>
      <c r="C19" s="54" t="s">
        <v>14</v>
      </c>
    </row>
    <row r="21" spans="2:3" ht="22.5" customHeight="1" x14ac:dyDescent="0.25">
      <c r="B21" s="66" t="s">
        <v>22</v>
      </c>
      <c r="C21" s="66"/>
    </row>
    <row r="22" spans="2:3" ht="30" x14ac:dyDescent="0.25">
      <c r="B22" s="3" t="s">
        <v>7</v>
      </c>
      <c r="C22" s="4" t="s">
        <v>23</v>
      </c>
    </row>
  </sheetData>
  <sheetProtection formatColumns="0" deleteRows="0"/>
  <mergeCells count="4">
    <mergeCell ref="B2:C2"/>
    <mergeCell ref="B4:C4"/>
    <mergeCell ref="B8:C8"/>
    <mergeCell ref="B21:C2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Calculo">
    <tabColor theme="4" tint="-0.499984740745262"/>
    <pageSetUpPr fitToPage="1"/>
  </sheetPr>
  <dimension ref="A1:J1000"/>
  <sheetViews>
    <sheetView showGridLines="0" tabSelected="1" workbookViewId="0">
      <pane ySplit="12" topLeftCell="A13" activePane="bottomLeft" state="frozen"/>
      <selection pane="bottomLeft" activeCell="E5" sqref="E5"/>
    </sheetView>
  </sheetViews>
  <sheetFormatPr defaultRowHeight="15" x14ac:dyDescent="0.25"/>
  <cols>
    <col min="1" max="1" width="11" style="7" hidden="1" customWidth="1"/>
    <col min="2" max="2" width="2.7109375" style="1" customWidth="1"/>
    <col min="3" max="3" width="17.5703125" style="8" customWidth="1"/>
    <col min="4" max="4" width="17.5703125" style="34" customWidth="1"/>
    <col min="5" max="5" width="17" style="42" customWidth="1"/>
    <col min="6" max="6" width="16" style="43" customWidth="1"/>
    <col min="7" max="7" width="16.5703125" style="43" customWidth="1"/>
    <col min="8" max="8" width="16" style="43" customWidth="1"/>
    <col min="9" max="9" width="59.42578125" style="9" customWidth="1"/>
    <col min="10" max="10" width="11" style="1" bestFit="1" customWidth="1"/>
    <col min="11" max="11" width="9.140625" style="1"/>
    <col min="12" max="12" width="21.5703125" style="1" customWidth="1"/>
    <col min="13" max="16384" width="9.140625" style="1"/>
  </cols>
  <sheetData>
    <row r="1" spans="1:10" hidden="1" x14ac:dyDescent="0.25">
      <c r="C1" s="10"/>
      <c r="D1" s="11"/>
      <c r="I1" s="12"/>
    </row>
    <row r="2" spans="1:10" hidden="1" x14ac:dyDescent="0.25">
      <c r="A2" s="8">
        <f>LARGE(C13:C1004,1)</f>
        <v>43343</v>
      </c>
      <c r="C2" s="10"/>
      <c r="D2" s="11"/>
      <c r="E2" s="44" t="str">
        <f>IF(OR(C2="",D2=""),"",AtualizarAte-C2)</f>
        <v/>
      </c>
      <c r="F2" s="45" t="str">
        <f>IF(OR(C2="",D2=""),"",IF(TipoCalculo="JUROS SIMPLES",D2*E2*TaxaAoDia,FV(TaxaAoDia,E2,,-D2)-D2))</f>
        <v/>
      </c>
      <c r="G2" s="45" t="str">
        <f>IF(OR(C2="",D2=""),"",D2+F2)</f>
        <v/>
      </c>
      <c r="H2" s="45" t="str">
        <f>IF(C2="","",IF(D2="","",IF(H1="SALDO ATUALIZ.",G2,H1+G2)))</f>
        <v/>
      </c>
      <c r="I2" s="1"/>
    </row>
    <row r="3" spans="1:10" ht="9.75" customHeight="1" x14ac:dyDescent="0.25">
      <c r="C3" s="10"/>
      <c r="D3" s="11"/>
      <c r="E3" s="1"/>
      <c r="F3" s="1"/>
      <c r="G3" s="1"/>
      <c r="H3" s="1"/>
      <c r="I3" s="1"/>
    </row>
    <row r="4" spans="1:10" x14ac:dyDescent="0.25">
      <c r="A4" s="7">
        <v>1</v>
      </c>
      <c r="C4" s="19" t="s">
        <v>10</v>
      </c>
      <c r="D4" s="15" t="s">
        <v>1</v>
      </c>
      <c r="E4" s="22" t="s">
        <v>19</v>
      </c>
      <c r="F4" s="13" t="str">
        <f>IF(A4=1,"TAXA AO ANO",IF(A4=2,"TAXA AO MÊS"))</f>
        <v>TAXA AO ANO</v>
      </c>
      <c r="G4" s="13" t="s">
        <v>9</v>
      </c>
      <c r="H4" s="12"/>
      <c r="I4" s="1"/>
    </row>
    <row r="5" spans="1:10" ht="15.75" x14ac:dyDescent="0.25">
      <c r="A5" s="7">
        <f>COUNTIF(A13:A1004,"LIQ.")</f>
        <v>0</v>
      </c>
      <c r="C5" s="27">
        <f ca="1">TODAY()</f>
        <v>43347</v>
      </c>
      <c r="D5" s="28">
        <v>0.02</v>
      </c>
      <c r="E5" s="57" t="s">
        <v>15</v>
      </c>
      <c r="F5" s="26">
        <f>IF(E5="JUROS SIMPLES",'Conversão da Taxa'!C11,'Conversão da Taxa'!D11)</f>
        <v>0.26824179456254282</v>
      </c>
      <c r="G5" s="14">
        <f>IF(E5="JUROS SIMPLES",'Conversão da Taxa'!C10,'Conversão da Taxa'!D10)</f>
        <v>6.6030548228668273E-4</v>
      </c>
      <c r="H5" s="1"/>
      <c r="I5" s="1"/>
    </row>
    <row r="6" spans="1:10" ht="21" customHeight="1" x14ac:dyDescent="0.25">
      <c r="C6" s="10"/>
      <c r="D6" s="20"/>
      <c r="E6" s="1"/>
      <c r="F6" s="35"/>
      <c r="G6" s="36"/>
      <c r="H6" s="1"/>
      <c r="I6" s="1"/>
    </row>
    <row r="7" spans="1:10" ht="15.75" customHeight="1" x14ac:dyDescent="0.25">
      <c r="C7" s="70" t="str">
        <f>"RESUMO DO FLUXO FINANCEIRO CORRIGIDO POR "&amp;TipoCalculo</f>
        <v>RESUMO DO FLUXO FINANCEIRO CORRIGIDO POR JUROS COMPOSTOS</v>
      </c>
      <c r="D7" s="70"/>
      <c r="E7" s="70"/>
      <c r="F7" s="70"/>
      <c r="G7" s="70"/>
      <c r="H7" s="70"/>
      <c r="I7" s="1"/>
    </row>
    <row r="8" spans="1:10" x14ac:dyDescent="0.25">
      <c r="C8" s="40" t="str">
        <f>IF(D13&lt;0,"SOMA SAÍDAS","SOMA ENTRADAS")</f>
        <v>SOMA SAÍDAS</v>
      </c>
      <c r="D8" s="41" t="s">
        <v>36</v>
      </c>
      <c r="E8" s="41" t="str">
        <f>IF(D13&lt;0,"SAÍDAS+JUROS","ENTRADAS+JUROS")</f>
        <v>SAÍDAS+JUROS</v>
      </c>
      <c r="F8" s="40" t="str">
        <f>IF(D13&lt;0,"SOMA ENTRADAS","SOMA SAÍDAS")</f>
        <v>SOMA ENTRADAS</v>
      </c>
      <c r="G8" s="41" t="str">
        <f ca="1">IF(-TotalPago&lt;TotalDevido,"SALDO A PAGAR","SALDO A RECEBER")</f>
        <v>SALDO A RECEBER</v>
      </c>
      <c r="H8" s="41" t="s">
        <v>20</v>
      </c>
      <c r="I8" s="1"/>
    </row>
    <row r="9" spans="1:10" x14ac:dyDescent="0.25">
      <c r="C9" s="37">
        <f>SUMIF($D$13:$D$1000,"&gt;"&amp;0)</f>
        <v>10000</v>
      </c>
      <c r="D9" s="38">
        <f ca="1">SUM(F13:F1009)</f>
        <v>-3839.3421614850954</v>
      </c>
      <c r="E9" s="38">
        <f ca="1">C9+D9</f>
        <v>6160.6578385149041</v>
      </c>
      <c r="F9" s="37">
        <f>SUMIF($D$13:$D$1000,"&lt;"&amp;0)</f>
        <v>-10000</v>
      </c>
      <c r="G9" s="37">
        <f ca="1">SUM(E9:F9)</f>
        <v>-3839.3421614850959</v>
      </c>
      <c r="H9" s="39">
        <f ca="1">IFERROR(G9/E9,0)</f>
        <v>-0.62320327830617073</v>
      </c>
      <c r="I9" s="1"/>
    </row>
    <row r="10" spans="1:10" ht="15" customHeight="1" x14ac:dyDescent="0.25">
      <c r="C10" s="10"/>
      <c r="D10" s="20"/>
      <c r="E10" s="1"/>
      <c r="F10" s="12"/>
      <c r="G10" s="1"/>
      <c r="H10" s="1"/>
      <c r="I10" s="1"/>
    </row>
    <row r="11" spans="1:10" ht="18" customHeight="1" x14ac:dyDescent="0.25">
      <c r="A11" s="52">
        <f ca="1">SUM(D13:D1004,F13:F1004)</f>
        <v>-3839.3421614850954</v>
      </c>
      <c r="C11" s="67" t="s">
        <v>12</v>
      </c>
      <c r="D11" s="68"/>
      <c r="E11" s="68"/>
      <c r="F11" s="68"/>
      <c r="G11" s="68"/>
      <c r="H11" s="68"/>
      <c r="I11" s="69"/>
    </row>
    <row r="12" spans="1:10" s="2" customFormat="1" ht="28.5" customHeight="1" x14ac:dyDescent="0.25">
      <c r="A12" s="53"/>
      <c r="C12" s="58" t="s">
        <v>13</v>
      </c>
      <c r="D12" s="58" t="s">
        <v>0</v>
      </c>
      <c r="E12" s="58" t="str">
        <f ca="1">IF(AND(AtualizarAte="",C13&lt;&gt;""),"ERRO PRAZO","PRAZO EM DIAS")</f>
        <v>PRAZO EM DIAS</v>
      </c>
      <c r="F12" s="59" t="str">
        <f>IF(AND(C13&lt;&gt;"",TaxaEscolhida=0),"ERRO TAXA","VALOR DOS JUROS")</f>
        <v>VALOR DOS JUROS</v>
      </c>
      <c r="G12" s="60" t="s">
        <v>3</v>
      </c>
      <c r="H12" s="60" t="s">
        <v>4</v>
      </c>
      <c r="I12" s="60" t="s">
        <v>2</v>
      </c>
    </row>
    <row r="13" spans="1:10" s="2" customFormat="1" x14ac:dyDescent="0.25">
      <c r="A13" s="16"/>
      <c r="B13" s="46"/>
      <c r="C13" s="17">
        <v>42739</v>
      </c>
      <c r="D13" s="33">
        <v>-10000</v>
      </c>
      <c r="E13" s="48">
        <f ca="1">IF(OR(C13="",D13=""),"",AtualizarAte-C13)</f>
        <v>608</v>
      </c>
      <c r="F13" s="49">
        <f ca="1">IF(OR(C13="",D13=""),"",IF(TipoCalculo="JUROS SIMPLES",D13*E13*TaxaAoDia,FV(TaxaAoDia,E13,,-D13)-D13))</f>
        <v>-4938.1499423477799</v>
      </c>
      <c r="G13" s="49">
        <f t="shared" ref="G13:G76" ca="1" si="0">IF(OR(C13="",D13=""),"",D13+F13)</f>
        <v>-14938.14994234778</v>
      </c>
      <c r="H13" s="49">
        <f t="shared" ref="H13:H76" ca="1" si="1">IF(C13="","",IF(D13="","",IF(H12="SALDO ATUALIZ.",G13,H12+G13)))</f>
        <v>-14938.14994234778</v>
      </c>
      <c r="I13" s="18"/>
    </row>
    <row r="14" spans="1:10" s="46" customFormat="1" x14ac:dyDescent="0.25">
      <c r="A14" s="16"/>
      <c r="C14" s="17">
        <v>42892</v>
      </c>
      <c r="D14" s="33">
        <v>2000</v>
      </c>
      <c r="E14" s="48">
        <f ca="1">IF(OR(C14="",D14=""),"",AtualizarAte-C14)</f>
        <v>455</v>
      </c>
      <c r="F14" s="49">
        <f ca="1">IF(OR(C14="",D14=""),"",IF(TipoCalculo="JUROS SIMPLES",D14*E14*TaxaAoDia,FV(TaxaAoDia,E14,,-D14)-D14))</f>
        <v>700.63526288405455</v>
      </c>
      <c r="G14" s="49">
        <f t="shared" ca="1" si="0"/>
        <v>2700.6352628840546</v>
      </c>
      <c r="H14" s="49">
        <f t="shared" ca="1" si="1"/>
        <v>-12237.514679463726</v>
      </c>
      <c r="I14" s="18"/>
      <c r="J14" s="47"/>
    </row>
    <row r="15" spans="1:10" s="46" customFormat="1" x14ac:dyDescent="0.25">
      <c r="A15" s="16"/>
      <c r="C15" s="17">
        <v>43082</v>
      </c>
      <c r="D15" s="33">
        <v>2000</v>
      </c>
      <c r="E15" s="48">
        <f ca="1">IF(OR(C15="",D15=""),"",AtualizarAte-C15)</f>
        <v>265</v>
      </c>
      <c r="F15" s="49">
        <f ca="1">IF(OR(C15="",D15=""),"",IF(TipoCalculo="JUROS SIMPLES",D15*E15*TaxaAoDia,FV(TaxaAoDia,E15,,-D15)-D15))</f>
        <v>382.30948337324344</v>
      </c>
      <c r="G15" s="49">
        <f t="shared" ca="1" si="0"/>
        <v>2382.3094833732434</v>
      </c>
      <c r="H15" s="49">
        <f t="shared" ca="1" si="1"/>
        <v>-9855.2051960904828</v>
      </c>
      <c r="I15" s="18"/>
      <c r="J15" s="47"/>
    </row>
    <row r="16" spans="1:10" x14ac:dyDescent="0.25">
      <c r="C16" s="8">
        <v>43343</v>
      </c>
      <c r="D16" s="34">
        <v>6000</v>
      </c>
      <c r="E16" s="50">
        <f ca="1">IF(OR(C16="",D16=""),"",AtualizarAte-C16)</f>
        <v>4</v>
      </c>
      <c r="F16" s="51">
        <f ca="1">IF(OR(C16="",D16=""),"",IF(TipoCalculo="JUROS SIMPLES",D16*E16*TaxaAoDia,FV(TaxaAoDia,E16,,-D16)-D16))</f>
        <v>15.863034605386929</v>
      </c>
      <c r="G16" s="51">
        <f t="shared" ca="1" si="0"/>
        <v>6015.8630346053869</v>
      </c>
      <c r="H16" s="51">
        <f t="shared" ca="1" si="1"/>
        <v>-3839.3421614850959</v>
      </c>
    </row>
    <row r="17" spans="5:8" x14ac:dyDescent="0.25">
      <c r="E17" s="50" t="str">
        <f>IF(OR(C17="",D17=""),"",AtualizarAte-C17)</f>
        <v/>
      </c>
      <c r="F17" s="51" t="str">
        <f>IF(OR(C17="",D17=""),"",IF(TipoCalculo="JUROS SIMPLES",D17*E17*TaxaAoDia,FV(TaxaAoDia,E17,,-D17)-D17))</f>
        <v/>
      </c>
      <c r="G17" s="51" t="str">
        <f t="shared" si="0"/>
        <v/>
      </c>
      <c r="H17" s="51" t="str">
        <f t="shared" si="1"/>
        <v/>
      </c>
    </row>
    <row r="18" spans="5:8" x14ac:dyDescent="0.25">
      <c r="E18" s="50" t="str">
        <f>IF(OR(C18="",D18=""),"",AtualizarAte-C18)</f>
        <v/>
      </c>
      <c r="F18" s="51" t="str">
        <f>IF(OR(C18="",D18=""),"",IF(TipoCalculo="JUROS SIMPLES",D18*E18*TaxaAoDia,FV(TaxaAoDia,E18,,-D18)-D18))</f>
        <v/>
      </c>
      <c r="G18" s="51" t="str">
        <f t="shared" si="0"/>
        <v/>
      </c>
      <c r="H18" s="51" t="str">
        <f t="shared" si="1"/>
        <v/>
      </c>
    </row>
    <row r="19" spans="5:8" x14ac:dyDescent="0.25">
      <c r="E19" s="50" t="str">
        <f>IF(OR(C19="",D19=""),"",AtualizarAte-C19)</f>
        <v/>
      </c>
      <c r="F19" s="51" t="str">
        <f>IF(OR(C19="",D19=""),"",IF(TipoCalculo="JUROS SIMPLES",D19*E19*TaxaAoDia,FV(TaxaAoDia,E19,,-D19)-D19))</f>
        <v/>
      </c>
      <c r="G19" s="51" t="str">
        <f t="shared" si="0"/>
        <v/>
      </c>
      <c r="H19" s="51" t="str">
        <f t="shared" si="1"/>
        <v/>
      </c>
    </row>
    <row r="20" spans="5:8" x14ac:dyDescent="0.25">
      <c r="E20" s="50" t="str">
        <f>IF(OR(C20="",D20=""),"",AtualizarAte-C20)</f>
        <v/>
      </c>
      <c r="F20" s="51" t="str">
        <f>IF(OR(C20="",D20=""),"",IF(TipoCalculo="JUROS SIMPLES",D20*E20*TaxaAoDia,FV(TaxaAoDia,E20,,-D20)-D20))</f>
        <v/>
      </c>
      <c r="G20" s="51" t="str">
        <f t="shared" si="0"/>
        <v/>
      </c>
      <c r="H20" s="51" t="str">
        <f t="shared" si="1"/>
        <v/>
      </c>
    </row>
    <row r="21" spans="5:8" x14ac:dyDescent="0.25">
      <c r="E21" s="50" t="str">
        <f>IF(OR(C21="",D21=""),"",AtualizarAte-C21)</f>
        <v/>
      </c>
      <c r="F21" s="51" t="str">
        <f>IF(OR(C21="",D21=""),"",IF(TipoCalculo="JUROS SIMPLES",D21*E21*TaxaAoDia,FV(TaxaAoDia,E21,,-D21)-D21))</f>
        <v/>
      </c>
      <c r="G21" s="51" t="str">
        <f t="shared" si="0"/>
        <v/>
      </c>
      <c r="H21" s="51" t="str">
        <f t="shared" si="1"/>
        <v/>
      </c>
    </row>
    <row r="22" spans="5:8" x14ac:dyDescent="0.25">
      <c r="E22" s="50" t="str">
        <f>IF(OR(C22="",D22=""),"",AtualizarAte-C22)</f>
        <v/>
      </c>
      <c r="F22" s="51" t="str">
        <f>IF(OR(C22="",D22=""),"",IF(TipoCalculo="JUROS SIMPLES",D22*E22*TaxaAoDia,FV(TaxaAoDia,E22,,-D22)-D22))</f>
        <v/>
      </c>
      <c r="G22" s="51" t="str">
        <f t="shared" si="0"/>
        <v/>
      </c>
      <c r="H22" s="51" t="str">
        <f t="shared" si="1"/>
        <v/>
      </c>
    </row>
    <row r="23" spans="5:8" x14ac:dyDescent="0.25">
      <c r="E23" s="50" t="str">
        <f>IF(OR(C23="",D23=""),"",AtualizarAte-C23)</f>
        <v/>
      </c>
      <c r="F23" s="51" t="str">
        <f>IF(OR(C23="",D23=""),"",IF(TipoCalculo="JUROS SIMPLES",D23*E23*TaxaAoDia,FV(TaxaAoDia,E23,,-D23)-D23))</f>
        <v/>
      </c>
      <c r="G23" s="51" t="str">
        <f t="shared" si="0"/>
        <v/>
      </c>
      <c r="H23" s="51" t="str">
        <f t="shared" si="1"/>
        <v/>
      </c>
    </row>
    <row r="24" spans="5:8" x14ac:dyDescent="0.25">
      <c r="E24" s="50" t="str">
        <f>IF(OR(C24="",D24=""),"",AtualizarAte-C24)</f>
        <v/>
      </c>
      <c r="F24" s="51" t="str">
        <f>IF(OR(C24="",D24=""),"",IF(TipoCalculo="JUROS SIMPLES",D24*E24*TaxaAoDia,FV(TaxaAoDia,E24,,-D24)-D24))</f>
        <v/>
      </c>
      <c r="G24" s="51" t="str">
        <f t="shared" si="0"/>
        <v/>
      </c>
      <c r="H24" s="51" t="str">
        <f t="shared" si="1"/>
        <v/>
      </c>
    </row>
    <row r="25" spans="5:8" x14ac:dyDescent="0.25">
      <c r="E25" s="50" t="str">
        <f>IF(OR(C25="",D25=""),"",AtualizarAte-C25)</f>
        <v/>
      </c>
      <c r="F25" s="51" t="str">
        <f>IF(OR(C25="",D25=""),"",IF(TipoCalculo="JUROS SIMPLES",D25*E25*TaxaAoDia,FV(TaxaAoDia,E25,,-D25)-D25))</f>
        <v/>
      </c>
      <c r="G25" s="51" t="str">
        <f t="shared" si="0"/>
        <v/>
      </c>
      <c r="H25" s="51" t="str">
        <f t="shared" si="1"/>
        <v/>
      </c>
    </row>
    <row r="26" spans="5:8" x14ac:dyDescent="0.25">
      <c r="E26" s="50" t="str">
        <f>IF(OR(C26="",D26=""),"",AtualizarAte-C26)</f>
        <v/>
      </c>
      <c r="F26" s="51" t="str">
        <f>IF(OR(C26="",D26=""),"",IF(TipoCalculo="JUROS SIMPLES",D26*E26*TaxaAoDia,FV(TaxaAoDia,E26,,-D26)-D26))</f>
        <v/>
      </c>
      <c r="G26" s="51" t="str">
        <f t="shared" si="0"/>
        <v/>
      </c>
      <c r="H26" s="51" t="str">
        <f t="shared" si="1"/>
        <v/>
      </c>
    </row>
    <row r="27" spans="5:8" x14ac:dyDescent="0.25">
      <c r="E27" s="50" t="str">
        <f>IF(OR(C27="",D27=""),"",AtualizarAte-C27)</f>
        <v/>
      </c>
      <c r="F27" s="51" t="str">
        <f>IF(OR(C27="",D27=""),"",IF(TipoCalculo="JUROS SIMPLES",D27*E27*TaxaAoDia,FV(TaxaAoDia,E27,,-D27)-D27))</f>
        <v/>
      </c>
      <c r="G27" s="51" t="str">
        <f t="shared" si="0"/>
        <v/>
      </c>
      <c r="H27" s="51" t="str">
        <f t="shared" si="1"/>
        <v/>
      </c>
    </row>
    <row r="28" spans="5:8" x14ac:dyDescent="0.25">
      <c r="E28" s="50" t="str">
        <f>IF(OR(C28="",D28=""),"",AtualizarAte-C28)</f>
        <v/>
      </c>
      <c r="F28" s="51" t="str">
        <f>IF(OR(C28="",D28=""),"",IF(TipoCalculo="JUROS SIMPLES",D28*E28*TaxaAoDia,FV(TaxaAoDia,E28,,-D28)-D28))</f>
        <v/>
      </c>
      <c r="G28" s="51" t="str">
        <f t="shared" si="0"/>
        <v/>
      </c>
      <c r="H28" s="51" t="str">
        <f t="shared" si="1"/>
        <v/>
      </c>
    </row>
    <row r="29" spans="5:8" x14ac:dyDescent="0.25">
      <c r="E29" s="50" t="str">
        <f>IF(OR(C29="",D29=""),"",AtualizarAte-C29)</f>
        <v/>
      </c>
      <c r="F29" s="51" t="str">
        <f>IF(OR(C29="",D29=""),"",IF(TipoCalculo="JUROS SIMPLES",D29*E29*TaxaAoDia,FV(TaxaAoDia,E29,,-D29)-D29))</f>
        <v/>
      </c>
      <c r="G29" s="51" t="str">
        <f t="shared" si="0"/>
        <v/>
      </c>
      <c r="H29" s="51" t="str">
        <f t="shared" si="1"/>
        <v/>
      </c>
    </row>
    <row r="30" spans="5:8" x14ac:dyDescent="0.25">
      <c r="E30" s="50" t="str">
        <f>IF(OR(C30="",D30=""),"",AtualizarAte-C30)</f>
        <v/>
      </c>
      <c r="F30" s="51" t="str">
        <f>IF(OR(C30="",D30=""),"",IF(TipoCalculo="JUROS SIMPLES",D30*E30*TaxaAoDia,FV(TaxaAoDia,E30,,-D30)-D30))</f>
        <v/>
      </c>
      <c r="G30" s="51" t="str">
        <f t="shared" si="0"/>
        <v/>
      </c>
      <c r="H30" s="51" t="str">
        <f t="shared" si="1"/>
        <v/>
      </c>
    </row>
    <row r="31" spans="5:8" x14ac:dyDescent="0.25">
      <c r="E31" s="50" t="str">
        <f>IF(OR(C31="",D31=""),"",AtualizarAte-C31)</f>
        <v/>
      </c>
      <c r="F31" s="51" t="str">
        <f>IF(OR(C31="",D31=""),"",IF(TipoCalculo="JUROS SIMPLES",D31*E31*TaxaAoDia,FV(TaxaAoDia,E31,,-D31)-D31))</f>
        <v/>
      </c>
      <c r="G31" s="51" t="str">
        <f t="shared" si="0"/>
        <v/>
      </c>
      <c r="H31" s="51" t="str">
        <f t="shared" si="1"/>
        <v/>
      </c>
    </row>
    <row r="32" spans="5:8" x14ac:dyDescent="0.25">
      <c r="E32" s="50" t="str">
        <f>IF(OR(C32="",D32=""),"",AtualizarAte-C32)</f>
        <v/>
      </c>
      <c r="F32" s="51" t="str">
        <f>IF(OR(C32="",D32=""),"",IF(TipoCalculo="JUROS SIMPLES",D32*E32*TaxaAoDia,FV(TaxaAoDia,E32,,-D32)-D32))</f>
        <v/>
      </c>
      <c r="G32" s="51" t="str">
        <f t="shared" si="0"/>
        <v/>
      </c>
      <c r="H32" s="51" t="str">
        <f t="shared" si="1"/>
        <v/>
      </c>
    </row>
    <row r="33" spans="5:8" x14ac:dyDescent="0.25">
      <c r="E33" s="50" t="str">
        <f>IF(OR(C33="",D33=""),"",AtualizarAte-C33)</f>
        <v/>
      </c>
      <c r="F33" s="51" t="str">
        <f>IF(OR(C33="",D33=""),"",IF(TipoCalculo="JUROS SIMPLES",D33*E33*TaxaAoDia,FV(TaxaAoDia,E33,,-D33)-D33))</f>
        <v/>
      </c>
      <c r="G33" s="51" t="str">
        <f t="shared" si="0"/>
        <v/>
      </c>
      <c r="H33" s="51" t="str">
        <f t="shared" si="1"/>
        <v/>
      </c>
    </row>
    <row r="34" spans="5:8" x14ac:dyDescent="0.25">
      <c r="E34" s="50" t="str">
        <f>IF(OR(C34="",D34=""),"",AtualizarAte-C34)</f>
        <v/>
      </c>
      <c r="F34" s="51" t="str">
        <f>IF(OR(C34="",D34=""),"",IF(TipoCalculo="JUROS SIMPLES",D34*E34*TaxaAoDia,FV(TaxaAoDia,E34,,-D34)-D34))</f>
        <v/>
      </c>
      <c r="G34" s="51" t="str">
        <f t="shared" si="0"/>
        <v/>
      </c>
      <c r="H34" s="51" t="str">
        <f t="shared" si="1"/>
        <v/>
      </c>
    </row>
    <row r="35" spans="5:8" x14ac:dyDescent="0.25">
      <c r="E35" s="50" t="str">
        <f>IF(OR(C35="",D35=""),"",AtualizarAte-C35)</f>
        <v/>
      </c>
      <c r="F35" s="51" t="str">
        <f>IF(OR(C35="",D35=""),"",IF(TipoCalculo="JUROS SIMPLES",D35*E35*TaxaAoDia,FV(TaxaAoDia,E35,,-D35)-D35))</f>
        <v/>
      </c>
      <c r="G35" s="51" t="str">
        <f t="shared" si="0"/>
        <v/>
      </c>
      <c r="H35" s="51" t="str">
        <f t="shared" si="1"/>
        <v/>
      </c>
    </row>
    <row r="36" spans="5:8" x14ac:dyDescent="0.25">
      <c r="E36" s="50" t="str">
        <f>IF(OR(C36="",D36=""),"",AtualizarAte-C36)</f>
        <v/>
      </c>
      <c r="F36" s="51" t="str">
        <f>IF(OR(C36="",D36=""),"",IF(TipoCalculo="JUROS SIMPLES",D36*E36*TaxaAoDia,FV(TaxaAoDia,E36,,-D36)-D36))</f>
        <v/>
      </c>
      <c r="G36" s="51" t="str">
        <f t="shared" si="0"/>
        <v/>
      </c>
      <c r="H36" s="51" t="str">
        <f t="shared" si="1"/>
        <v/>
      </c>
    </row>
    <row r="37" spans="5:8" x14ac:dyDescent="0.25">
      <c r="E37" s="50" t="str">
        <f>IF(OR(C37="",D37=""),"",AtualizarAte-C37)</f>
        <v/>
      </c>
      <c r="F37" s="51" t="str">
        <f>IF(OR(C37="",D37=""),"",IF(TipoCalculo="JUROS SIMPLES",D37*E37*TaxaAoDia,FV(TaxaAoDia,E37,,-D37)-D37))</f>
        <v/>
      </c>
      <c r="G37" s="51" t="str">
        <f t="shared" si="0"/>
        <v/>
      </c>
      <c r="H37" s="51" t="str">
        <f t="shared" si="1"/>
        <v/>
      </c>
    </row>
    <row r="38" spans="5:8" x14ac:dyDescent="0.25">
      <c r="E38" s="50" t="str">
        <f>IF(OR(C38="",D38=""),"",AtualizarAte-C38)</f>
        <v/>
      </c>
      <c r="F38" s="51" t="str">
        <f>IF(OR(C38="",D38=""),"",IF(TipoCalculo="JUROS SIMPLES",D38*E38*TaxaAoDia,FV(TaxaAoDia,E38,,-D38)-D38))</f>
        <v/>
      </c>
      <c r="G38" s="51" t="str">
        <f t="shared" si="0"/>
        <v/>
      </c>
      <c r="H38" s="51" t="str">
        <f t="shared" si="1"/>
        <v/>
      </c>
    </row>
    <row r="39" spans="5:8" x14ac:dyDescent="0.25">
      <c r="E39" s="50" t="str">
        <f>IF(OR(C39="",D39=""),"",AtualizarAte-C39)</f>
        <v/>
      </c>
      <c r="F39" s="51" t="str">
        <f>IF(OR(C39="",D39=""),"",IF(TipoCalculo="JUROS SIMPLES",D39*E39*TaxaAoDia,FV(TaxaAoDia,E39,,-D39)-D39))</f>
        <v/>
      </c>
      <c r="G39" s="51" t="str">
        <f t="shared" si="0"/>
        <v/>
      </c>
      <c r="H39" s="51" t="str">
        <f t="shared" si="1"/>
        <v/>
      </c>
    </row>
    <row r="40" spans="5:8" x14ac:dyDescent="0.25">
      <c r="E40" s="50" t="str">
        <f>IF(OR(C40="",D40=""),"",AtualizarAte-C40)</f>
        <v/>
      </c>
      <c r="F40" s="51" t="str">
        <f>IF(OR(C40="",D40=""),"",IF(TipoCalculo="JUROS SIMPLES",D40*E40*TaxaAoDia,FV(TaxaAoDia,E40,,-D40)-D40))</f>
        <v/>
      </c>
      <c r="G40" s="51" t="str">
        <f t="shared" si="0"/>
        <v/>
      </c>
      <c r="H40" s="51" t="str">
        <f t="shared" si="1"/>
        <v/>
      </c>
    </row>
    <row r="41" spans="5:8" x14ac:dyDescent="0.25">
      <c r="E41" s="50" t="str">
        <f>IF(OR(C41="",D41=""),"",AtualizarAte-C41)</f>
        <v/>
      </c>
      <c r="F41" s="51" t="str">
        <f>IF(OR(C41="",D41=""),"",IF(TipoCalculo="JUROS SIMPLES",D41*E41*TaxaAoDia,FV(TaxaAoDia,E41,,-D41)-D41))</f>
        <v/>
      </c>
      <c r="G41" s="51" t="str">
        <f t="shared" si="0"/>
        <v/>
      </c>
      <c r="H41" s="51" t="str">
        <f t="shared" si="1"/>
        <v/>
      </c>
    </row>
    <row r="42" spans="5:8" x14ac:dyDescent="0.25">
      <c r="E42" s="50" t="str">
        <f>IF(OR(C42="",D42=""),"",AtualizarAte-C42)</f>
        <v/>
      </c>
      <c r="F42" s="51" t="str">
        <f>IF(OR(C42="",D42=""),"",IF(TipoCalculo="JUROS SIMPLES",D42*E42*TaxaAoDia,FV(TaxaAoDia,E42,,-D42)-D42))</f>
        <v/>
      </c>
      <c r="G42" s="51" t="str">
        <f t="shared" si="0"/>
        <v/>
      </c>
      <c r="H42" s="51" t="str">
        <f t="shared" si="1"/>
        <v/>
      </c>
    </row>
    <row r="43" spans="5:8" x14ac:dyDescent="0.25">
      <c r="E43" s="50" t="str">
        <f>IF(OR(C43="",D43=""),"",AtualizarAte-C43)</f>
        <v/>
      </c>
      <c r="F43" s="51" t="str">
        <f>IF(OR(C43="",D43=""),"",IF(TipoCalculo="JUROS SIMPLES",D43*E43*TaxaAoDia,FV(TaxaAoDia,E43,,-D43)-D43))</f>
        <v/>
      </c>
      <c r="G43" s="51" t="str">
        <f t="shared" si="0"/>
        <v/>
      </c>
      <c r="H43" s="51" t="str">
        <f t="shared" si="1"/>
        <v/>
      </c>
    </row>
    <row r="44" spans="5:8" x14ac:dyDescent="0.25">
      <c r="E44" s="50" t="str">
        <f>IF(OR(C44="",D44=""),"",AtualizarAte-C44)</f>
        <v/>
      </c>
      <c r="F44" s="51" t="str">
        <f>IF(OR(C44="",D44=""),"",IF(TipoCalculo="JUROS SIMPLES",D44*E44*TaxaAoDia,FV(TaxaAoDia,E44,,-D44)-D44))</f>
        <v/>
      </c>
      <c r="G44" s="51" t="str">
        <f t="shared" si="0"/>
        <v/>
      </c>
      <c r="H44" s="51" t="str">
        <f t="shared" si="1"/>
        <v/>
      </c>
    </row>
    <row r="45" spans="5:8" x14ac:dyDescent="0.25">
      <c r="E45" s="50" t="str">
        <f>IF(OR(C45="",D45=""),"",AtualizarAte-C45)</f>
        <v/>
      </c>
      <c r="F45" s="51" t="str">
        <f>IF(OR(C45="",D45=""),"",IF(TipoCalculo="JUROS SIMPLES",D45*E45*TaxaAoDia,FV(TaxaAoDia,E45,,-D45)-D45))</f>
        <v/>
      </c>
      <c r="G45" s="51" t="str">
        <f t="shared" si="0"/>
        <v/>
      </c>
      <c r="H45" s="51" t="str">
        <f t="shared" si="1"/>
        <v/>
      </c>
    </row>
    <row r="46" spans="5:8" x14ac:dyDescent="0.25">
      <c r="E46" s="50" t="str">
        <f>IF(OR(C46="",D46=""),"",AtualizarAte-C46)</f>
        <v/>
      </c>
      <c r="F46" s="51" t="str">
        <f>IF(OR(C46="",D46=""),"",IF(TipoCalculo="JUROS SIMPLES",D46*E46*TaxaAoDia,FV(TaxaAoDia,E46,,-D46)-D46))</f>
        <v/>
      </c>
      <c r="G46" s="51" t="str">
        <f t="shared" si="0"/>
        <v/>
      </c>
      <c r="H46" s="51" t="str">
        <f t="shared" si="1"/>
        <v/>
      </c>
    </row>
    <row r="47" spans="5:8" x14ac:dyDescent="0.25">
      <c r="E47" s="50" t="str">
        <f>IF(OR(C47="",D47=""),"",AtualizarAte-C47)</f>
        <v/>
      </c>
      <c r="F47" s="51" t="str">
        <f>IF(OR(C47="",D47=""),"",IF(TipoCalculo="JUROS SIMPLES",D47*E47*TaxaAoDia,FV(TaxaAoDia,E47,,-D47)-D47))</f>
        <v/>
      </c>
      <c r="G47" s="51" t="str">
        <f t="shared" si="0"/>
        <v/>
      </c>
      <c r="H47" s="51" t="str">
        <f t="shared" si="1"/>
        <v/>
      </c>
    </row>
    <row r="48" spans="5:8" x14ac:dyDescent="0.25">
      <c r="E48" s="50" t="str">
        <f>IF(OR(C48="",D48=""),"",AtualizarAte-C48)</f>
        <v/>
      </c>
      <c r="F48" s="51" t="str">
        <f>IF(OR(C48="",D48=""),"",IF(TipoCalculo="JUROS SIMPLES",D48*E48*TaxaAoDia,FV(TaxaAoDia,E48,,-D48)-D48))</f>
        <v/>
      </c>
      <c r="G48" s="51" t="str">
        <f t="shared" si="0"/>
        <v/>
      </c>
      <c r="H48" s="51" t="str">
        <f t="shared" si="1"/>
        <v/>
      </c>
    </row>
    <row r="49" spans="5:8" x14ac:dyDescent="0.25">
      <c r="E49" s="50" t="str">
        <f>IF(OR(C49="",D49=""),"",AtualizarAte-C49)</f>
        <v/>
      </c>
      <c r="F49" s="51" t="str">
        <f>IF(OR(C49="",D49=""),"",IF(TipoCalculo="JUROS SIMPLES",D49*E49*TaxaAoDia,FV(TaxaAoDia,E49,,-D49)-D49))</f>
        <v/>
      </c>
      <c r="G49" s="51" t="str">
        <f t="shared" si="0"/>
        <v/>
      </c>
      <c r="H49" s="51" t="str">
        <f t="shared" si="1"/>
        <v/>
      </c>
    </row>
    <row r="50" spans="5:8" x14ac:dyDescent="0.25">
      <c r="E50" s="50" t="str">
        <f>IF(OR(C50="",D50=""),"",AtualizarAte-C50)</f>
        <v/>
      </c>
      <c r="F50" s="51" t="str">
        <f>IF(OR(C50="",D50=""),"",IF(TipoCalculo="JUROS SIMPLES",D50*E50*TaxaAoDia,FV(TaxaAoDia,E50,,-D50)-D50))</f>
        <v/>
      </c>
      <c r="G50" s="51" t="str">
        <f t="shared" si="0"/>
        <v/>
      </c>
      <c r="H50" s="51" t="str">
        <f t="shared" si="1"/>
        <v/>
      </c>
    </row>
    <row r="51" spans="5:8" x14ac:dyDescent="0.25">
      <c r="E51" s="50" t="str">
        <f>IF(OR(C51="",D51=""),"",AtualizarAte-C51)</f>
        <v/>
      </c>
      <c r="F51" s="51" t="str">
        <f>IF(OR(C51="",D51=""),"",IF(TipoCalculo="JUROS SIMPLES",D51*E51*TaxaAoDia,FV(TaxaAoDia,E51,,-D51)-D51))</f>
        <v/>
      </c>
      <c r="G51" s="51" t="str">
        <f t="shared" si="0"/>
        <v/>
      </c>
      <c r="H51" s="51" t="str">
        <f t="shared" si="1"/>
        <v/>
      </c>
    </row>
    <row r="52" spans="5:8" x14ac:dyDescent="0.25">
      <c r="E52" s="50" t="str">
        <f>IF(OR(C52="",D52=""),"",AtualizarAte-C52)</f>
        <v/>
      </c>
      <c r="F52" s="51" t="str">
        <f>IF(OR(C52="",D52=""),"",IF(TipoCalculo="JUROS SIMPLES",D52*E52*TaxaAoDia,FV(TaxaAoDia,E52,,-D52)-D52))</f>
        <v/>
      </c>
      <c r="G52" s="51" t="str">
        <f t="shared" si="0"/>
        <v/>
      </c>
      <c r="H52" s="51" t="str">
        <f t="shared" si="1"/>
        <v/>
      </c>
    </row>
    <row r="53" spans="5:8" x14ac:dyDescent="0.25">
      <c r="E53" s="50" t="str">
        <f>IF(OR(C53="",D53=""),"",AtualizarAte-C53)</f>
        <v/>
      </c>
      <c r="F53" s="51" t="str">
        <f>IF(OR(C53="",D53=""),"",IF(TipoCalculo="JUROS SIMPLES",D53*E53*TaxaAoDia,FV(TaxaAoDia,E53,,-D53)-D53))</f>
        <v/>
      </c>
      <c r="G53" s="51" t="str">
        <f t="shared" si="0"/>
        <v/>
      </c>
      <c r="H53" s="51" t="str">
        <f t="shared" si="1"/>
        <v/>
      </c>
    </row>
    <row r="54" spans="5:8" x14ac:dyDescent="0.25">
      <c r="E54" s="50" t="str">
        <f>IF(OR(C54="",D54=""),"",AtualizarAte-C54)</f>
        <v/>
      </c>
      <c r="F54" s="51" t="str">
        <f>IF(OR(C54="",D54=""),"",IF(TipoCalculo="JUROS SIMPLES",D54*E54*TaxaAoDia,FV(TaxaAoDia,E54,,-D54)-D54))</f>
        <v/>
      </c>
      <c r="G54" s="51" t="str">
        <f t="shared" si="0"/>
        <v/>
      </c>
      <c r="H54" s="51" t="str">
        <f t="shared" si="1"/>
        <v/>
      </c>
    </row>
    <row r="55" spans="5:8" x14ac:dyDescent="0.25">
      <c r="E55" s="50" t="str">
        <f>IF(OR(C55="",D55=""),"",AtualizarAte-C55)</f>
        <v/>
      </c>
      <c r="F55" s="51" t="str">
        <f>IF(OR(C55="",D55=""),"",IF(TipoCalculo="JUROS SIMPLES",D55*E55*TaxaAoDia,FV(TaxaAoDia,E55,,-D55)-D55))</f>
        <v/>
      </c>
      <c r="G55" s="51" t="str">
        <f t="shared" si="0"/>
        <v/>
      </c>
      <c r="H55" s="51" t="str">
        <f t="shared" si="1"/>
        <v/>
      </c>
    </row>
    <row r="56" spans="5:8" x14ac:dyDescent="0.25">
      <c r="E56" s="50" t="str">
        <f>IF(OR(C56="",D56=""),"",AtualizarAte-C56)</f>
        <v/>
      </c>
      <c r="F56" s="51" t="str">
        <f>IF(OR(C56="",D56=""),"",IF(TipoCalculo="JUROS SIMPLES",D56*E56*TaxaAoDia,FV(TaxaAoDia,E56,,-D56)-D56))</f>
        <v/>
      </c>
      <c r="G56" s="51" t="str">
        <f t="shared" si="0"/>
        <v/>
      </c>
      <c r="H56" s="51" t="str">
        <f t="shared" si="1"/>
        <v/>
      </c>
    </row>
    <row r="57" spans="5:8" x14ac:dyDescent="0.25">
      <c r="E57" s="50" t="str">
        <f>IF(OR(C57="",D57=""),"",AtualizarAte-C57)</f>
        <v/>
      </c>
      <c r="F57" s="51" t="str">
        <f>IF(OR(C57="",D57=""),"",IF(TipoCalculo="JUROS SIMPLES",D57*E57*TaxaAoDia,FV(TaxaAoDia,E57,,-D57)-D57))</f>
        <v/>
      </c>
      <c r="G57" s="51" t="str">
        <f t="shared" si="0"/>
        <v/>
      </c>
      <c r="H57" s="51" t="str">
        <f t="shared" si="1"/>
        <v/>
      </c>
    </row>
    <row r="58" spans="5:8" x14ac:dyDescent="0.25">
      <c r="E58" s="50" t="str">
        <f>IF(OR(C58="",D58=""),"",AtualizarAte-C58)</f>
        <v/>
      </c>
      <c r="F58" s="51" t="str">
        <f>IF(OR(C58="",D58=""),"",IF(TipoCalculo="JUROS SIMPLES",D58*E58*TaxaAoDia,FV(TaxaAoDia,E58,,-D58)-D58))</f>
        <v/>
      </c>
      <c r="G58" s="51" t="str">
        <f t="shared" si="0"/>
        <v/>
      </c>
      <c r="H58" s="51" t="str">
        <f t="shared" si="1"/>
        <v/>
      </c>
    </row>
    <row r="59" spans="5:8" x14ac:dyDescent="0.25">
      <c r="E59" s="50" t="str">
        <f>IF(OR(C59="",D59=""),"",AtualizarAte-C59)</f>
        <v/>
      </c>
      <c r="F59" s="51" t="str">
        <f>IF(OR(C59="",D59=""),"",IF(TipoCalculo="JUROS SIMPLES",D59*E59*TaxaAoDia,FV(TaxaAoDia,E59,,-D59)-D59))</f>
        <v/>
      </c>
      <c r="G59" s="51" t="str">
        <f t="shared" si="0"/>
        <v/>
      </c>
      <c r="H59" s="51" t="str">
        <f t="shared" si="1"/>
        <v/>
      </c>
    </row>
    <row r="60" spans="5:8" x14ac:dyDescent="0.25">
      <c r="E60" s="50" t="str">
        <f>IF(OR(C60="",D60=""),"",AtualizarAte-C60)</f>
        <v/>
      </c>
      <c r="F60" s="51" t="str">
        <f>IF(OR(C60="",D60=""),"",IF(TipoCalculo="JUROS SIMPLES",D60*E60*TaxaAoDia,FV(TaxaAoDia,E60,,-D60)-D60))</f>
        <v/>
      </c>
      <c r="G60" s="51" t="str">
        <f t="shared" si="0"/>
        <v/>
      </c>
      <c r="H60" s="51" t="str">
        <f t="shared" si="1"/>
        <v/>
      </c>
    </row>
    <row r="61" spans="5:8" x14ac:dyDescent="0.25">
      <c r="E61" s="50" t="str">
        <f>IF(OR(C61="",D61=""),"",AtualizarAte-C61)</f>
        <v/>
      </c>
      <c r="F61" s="51" t="str">
        <f>IF(OR(C61="",D61=""),"",IF(TipoCalculo="JUROS SIMPLES",D61*E61*TaxaAoDia,FV(TaxaAoDia,E61,,-D61)-D61))</f>
        <v/>
      </c>
      <c r="G61" s="51" t="str">
        <f t="shared" si="0"/>
        <v/>
      </c>
      <c r="H61" s="51" t="str">
        <f t="shared" si="1"/>
        <v/>
      </c>
    </row>
    <row r="62" spans="5:8" x14ac:dyDescent="0.25">
      <c r="E62" s="50" t="str">
        <f>IF(OR(C62="",D62=""),"",AtualizarAte-C62)</f>
        <v/>
      </c>
      <c r="F62" s="51" t="str">
        <f>IF(OR(C62="",D62=""),"",IF(TipoCalculo="JUROS SIMPLES",D62*E62*TaxaAoDia,FV(TaxaAoDia,E62,,-D62)-D62))</f>
        <v/>
      </c>
      <c r="G62" s="51" t="str">
        <f t="shared" si="0"/>
        <v/>
      </c>
      <c r="H62" s="51" t="str">
        <f t="shared" si="1"/>
        <v/>
      </c>
    </row>
    <row r="63" spans="5:8" x14ac:dyDescent="0.25">
      <c r="E63" s="50" t="str">
        <f>IF(OR(C63="",D63=""),"",AtualizarAte-C63)</f>
        <v/>
      </c>
      <c r="F63" s="51" t="str">
        <f>IF(OR(C63="",D63=""),"",IF(TipoCalculo="JUROS SIMPLES",D63*E63*TaxaAoDia,FV(TaxaAoDia,E63,,-D63)-D63))</f>
        <v/>
      </c>
      <c r="G63" s="51" t="str">
        <f t="shared" si="0"/>
        <v/>
      </c>
      <c r="H63" s="51" t="str">
        <f t="shared" si="1"/>
        <v/>
      </c>
    </row>
    <row r="64" spans="5:8" x14ac:dyDescent="0.25">
      <c r="E64" s="50" t="str">
        <f>IF(OR(C64="",D64=""),"",AtualizarAte-C64)</f>
        <v/>
      </c>
      <c r="F64" s="51" t="str">
        <f>IF(OR(C64="",D64=""),"",IF(TipoCalculo="JUROS SIMPLES",D64*E64*TaxaAoDia,FV(TaxaAoDia,E64,,-D64)-D64))</f>
        <v/>
      </c>
      <c r="G64" s="51" t="str">
        <f t="shared" si="0"/>
        <v/>
      </c>
      <c r="H64" s="51" t="str">
        <f t="shared" si="1"/>
        <v/>
      </c>
    </row>
    <row r="65" spans="5:8" x14ac:dyDescent="0.25">
      <c r="E65" s="50" t="str">
        <f>IF(OR(C65="",D65=""),"",AtualizarAte-C65)</f>
        <v/>
      </c>
      <c r="F65" s="51" t="str">
        <f>IF(OR(C65="",D65=""),"",IF(TipoCalculo="JUROS SIMPLES",D65*E65*TaxaAoDia,FV(TaxaAoDia,E65,,-D65)-D65))</f>
        <v/>
      </c>
      <c r="G65" s="51" t="str">
        <f t="shared" si="0"/>
        <v/>
      </c>
      <c r="H65" s="51" t="str">
        <f t="shared" si="1"/>
        <v/>
      </c>
    </row>
    <row r="66" spans="5:8" x14ac:dyDescent="0.25">
      <c r="E66" s="50" t="str">
        <f>IF(OR(C66="",D66=""),"",AtualizarAte-C66)</f>
        <v/>
      </c>
      <c r="F66" s="51" t="str">
        <f>IF(OR(C66="",D66=""),"",IF(TipoCalculo="JUROS SIMPLES",D66*E66*TaxaAoDia,FV(TaxaAoDia,E66,,-D66)-D66))</f>
        <v/>
      </c>
      <c r="G66" s="51" t="str">
        <f t="shared" si="0"/>
        <v/>
      </c>
      <c r="H66" s="51" t="str">
        <f t="shared" si="1"/>
        <v/>
      </c>
    </row>
    <row r="67" spans="5:8" x14ac:dyDescent="0.25">
      <c r="E67" s="50" t="str">
        <f>IF(OR(C67="",D67=""),"",AtualizarAte-C67)</f>
        <v/>
      </c>
      <c r="F67" s="51" t="str">
        <f>IF(OR(C67="",D67=""),"",IF(TipoCalculo="JUROS SIMPLES",D67*E67*TaxaAoDia,FV(TaxaAoDia,E67,,-D67)-D67))</f>
        <v/>
      </c>
      <c r="G67" s="51" t="str">
        <f t="shared" si="0"/>
        <v/>
      </c>
      <c r="H67" s="51" t="str">
        <f t="shared" si="1"/>
        <v/>
      </c>
    </row>
    <row r="68" spans="5:8" x14ac:dyDescent="0.25">
      <c r="E68" s="50" t="str">
        <f>IF(OR(C68="",D68=""),"",AtualizarAte-C68)</f>
        <v/>
      </c>
      <c r="F68" s="51" t="str">
        <f>IF(OR(C68="",D68=""),"",IF(TipoCalculo="JUROS SIMPLES",D68*E68*TaxaAoDia,FV(TaxaAoDia,E68,,-D68)-D68))</f>
        <v/>
      </c>
      <c r="G68" s="51" t="str">
        <f t="shared" si="0"/>
        <v/>
      </c>
      <c r="H68" s="51" t="str">
        <f t="shared" si="1"/>
        <v/>
      </c>
    </row>
    <row r="69" spans="5:8" x14ac:dyDescent="0.25">
      <c r="E69" s="50" t="str">
        <f>IF(OR(C69="",D69=""),"",AtualizarAte-C69)</f>
        <v/>
      </c>
      <c r="F69" s="51" t="str">
        <f>IF(OR(C69="",D69=""),"",IF(TipoCalculo="JUROS SIMPLES",D69*E69*TaxaAoDia,FV(TaxaAoDia,E69,,-D69)-D69))</f>
        <v/>
      </c>
      <c r="G69" s="51" t="str">
        <f t="shared" si="0"/>
        <v/>
      </c>
      <c r="H69" s="51" t="str">
        <f t="shared" si="1"/>
        <v/>
      </c>
    </row>
    <row r="70" spans="5:8" x14ac:dyDescent="0.25">
      <c r="E70" s="50" t="str">
        <f>IF(OR(C70="",D70=""),"",AtualizarAte-C70)</f>
        <v/>
      </c>
      <c r="F70" s="51" t="str">
        <f>IF(OR(C70="",D70=""),"",IF(TipoCalculo="JUROS SIMPLES",D70*E70*TaxaAoDia,FV(TaxaAoDia,E70,,-D70)-D70))</f>
        <v/>
      </c>
      <c r="G70" s="51" t="str">
        <f t="shared" si="0"/>
        <v/>
      </c>
      <c r="H70" s="51" t="str">
        <f t="shared" si="1"/>
        <v/>
      </c>
    </row>
    <row r="71" spans="5:8" x14ac:dyDescent="0.25">
      <c r="E71" s="50" t="str">
        <f>IF(OR(C71="",D71=""),"",AtualizarAte-C71)</f>
        <v/>
      </c>
      <c r="F71" s="51" t="str">
        <f>IF(OR(C71="",D71=""),"",IF(TipoCalculo="JUROS SIMPLES",D71*E71*TaxaAoDia,FV(TaxaAoDia,E71,,-D71)-D71))</f>
        <v/>
      </c>
      <c r="G71" s="51" t="str">
        <f t="shared" si="0"/>
        <v/>
      </c>
      <c r="H71" s="51" t="str">
        <f t="shared" si="1"/>
        <v/>
      </c>
    </row>
    <row r="72" spans="5:8" x14ac:dyDescent="0.25">
      <c r="E72" s="50" t="str">
        <f>IF(OR(C72="",D72=""),"",AtualizarAte-C72)</f>
        <v/>
      </c>
      <c r="F72" s="51" t="str">
        <f>IF(OR(C72="",D72=""),"",IF(TipoCalculo="JUROS SIMPLES",D72*E72*TaxaAoDia,FV(TaxaAoDia,E72,,-D72)-D72))</f>
        <v/>
      </c>
      <c r="G72" s="51" t="str">
        <f t="shared" si="0"/>
        <v/>
      </c>
      <c r="H72" s="51" t="str">
        <f t="shared" si="1"/>
        <v/>
      </c>
    </row>
    <row r="73" spans="5:8" x14ac:dyDescent="0.25">
      <c r="E73" s="50" t="str">
        <f>IF(OR(C73="",D73=""),"",AtualizarAte-C73)</f>
        <v/>
      </c>
      <c r="F73" s="51" t="str">
        <f>IF(OR(C73="",D73=""),"",IF(TipoCalculo="JUROS SIMPLES",D73*E73*TaxaAoDia,FV(TaxaAoDia,E73,,-D73)-D73))</f>
        <v/>
      </c>
      <c r="G73" s="51" t="str">
        <f t="shared" si="0"/>
        <v/>
      </c>
      <c r="H73" s="51" t="str">
        <f t="shared" si="1"/>
        <v/>
      </c>
    </row>
    <row r="74" spans="5:8" x14ac:dyDescent="0.25">
      <c r="E74" s="50" t="str">
        <f>IF(OR(C74="",D74=""),"",AtualizarAte-C74)</f>
        <v/>
      </c>
      <c r="F74" s="51" t="str">
        <f>IF(OR(C74="",D74=""),"",IF(TipoCalculo="JUROS SIMPLES",D74*E74*TaxaAoDia,FV(TaxaAoDia,E74,,-D74)-D74))</f>
        <v/>
      </c>
      <c r="G74" s="51" t="str">
        <f t="shared" si="0"/>
        <v/>
      </c>
      <c r="H74" s="51" t="str">
        <f t="shared" si="1"/>
        <v/>
      </c>
    </row>
    <row r="75" spans="5:8" x14ac:dyDescent="0.25">
      <c r="E75" s="50" t="str">
        <f>IF(OR(C75="",D75=""),"",AtualizarAte-C75)</f>
        <v/>
      </c>
      <c r="F75" s="51" t="str">
        <f>IF(OR(C75="",D75=""),"",IF(TipoCalculo="JUROS SIMPLES",D75*E75*TaxaAoDia,FV(TaxaAoDia,E75,,-D75)-D75))</f>
        <v/>
      </c>
      <c r="G75" s="51" t="str">
        <f t="shared" si="0"/>
        <v/>
      </c>
      <c r="H75" s="51" t="str">
        <f t="shared" si="1"/>
        <v/>
      </c>
    </row>
    <row r="76" spans="5:8" x14ac:dyDescent="0.25">
      <c r="E76" s="50" t="str">
        <f>IF(OR(C76="",D76=""),"",AtualizarAte-C76)</f>
        <v/>
      </c>
      <c r="F76" s="51" t="str">
        <f>IF(OR(C76="",D76=""),"",IF(TipoCalculo="JUROS SIMPLES",D76*E76*TaxaAoDia,FV(TaxaAoDia,E76,,-D76)-D76))</f>
        <v/>
      </c>
      <c r="G76" s="51" t="str">
        <f t="shared" si="0"/>
        <v/>
      </c>
      <c r="H76" s="51" t="str">
        <f t="shared" si="1"/>
        <v/>
      </c>
    </row>
    <row r="77" spans="5:8" x14ac:dyDescent="0.25">
      <c r="E77" s="50" t="str">
        <f>IF(OR(C77="",D77=""),"",AtualizarAte-C77)</f>
        <v/>
      </c>
      <c r="F77" s="51" t="str">
        <f>IF(OR(C77="",D77=""),"",IF(TipoCalculo="JUROS SIMPLES",D77*E77*TaxaAoDia,FV(TaxaAoDia,E77,,-D77)-D77))</f>
        <v/>
      </c>
      <c r="G77" s="51" t="str">
        <f t="shared" ref="G77:G140" si="2">IF(OR(C77="",D77=""),"",D77+F77)</f>
        <v/>
      </c>
      <c r="H77" s="51" t="str">
        <f t="shared" ref="H77:H140" si="3">IF(C77="","",IF(D77="","",IF(H76="SALDO ATUALIZ.",G77,H76+G77)))</f>
        <v/>
      </c>
    </row>
    <row r="78" spans="5:8" x14ac:dyDescent="0.25">
      <c r="E78" s="50" t="str">
        <f>IF(OR(C78="",D78=""),"",AtualizarAte-C78)</f>
        <v/>
      </c>
      <c r="F78" s="51" t="str">
        <f>IF(OR(C78="",D78=""),"",IF(TipoCalculo="JUROS SIMPLES",D78*E78*TaxaAoDia,FV(TaxaAoDia,E78,,-D78)-D78))</f>
        <v/>
      </c>
      <c r="G78" s="51" t="str">
        <f t="shared" si="2"/>
        <v/>
      </c>
      <c r="H78" s="51" t="str">
        <f t="shared" si="3"/>
        <v/>
      </c>
    </row>
    <row r="79" spans="5:8" x14ac:dyDescent="0.25">
      <c r="E79" s="50" t="str">
        <f>IF(OR(C79="",D79=""),"",AtualizarAte-C79)</f>
        <v/>
      </c>
      <c r="F79" s="51" t="str">
        <f>IF(OR(C79="",D79=""),"",IF(TipoCalculo="JUROS SIMPLES",D79*E79*TaxaAoDia,FV(TaxaAoDia,E79,,-D79)-D79))</f>
        <v/>
      </c>
      <c r="G79" s="51" t="str">
        <f t="shared" si="2"/>
        <v/>
      </c>
      <c r="H79" s="51" t="str">
        <f t="shared" si="3"/>
        <v/>
      </c>
    </row>
    <row r="80" spans="5:8" x14ac:dyDescent="0.25">
      <c r="E80" s="50" t="str">
        <f>IF(OR(C80="",D80=""),"",AtualizarAte-C80)</f>
        <v/>
      </c>
      <c r="F80" s="51" t="str">
        <f>IF(OR(C80="",D80=""),"",IF(TipoCalculo="JUROS SIMPLES",D80*E80*TaxaAoDia,FV(TaxaAoDia,E80,,-D80)-D80))</f>
        <v/>
      </c>
      <c r="G80" s="51" t="str">
        <f t="shared" si="2"/>
        <v/>
      </c>
      <c r="H80" s="51" t="str">
        <f t="shared" si="3"/>
        <v/>
      </c>
    </row>
    <row r="81" spans="5:8" x14ac:dyDescent="0.25">
      <c r="E81" s="50" t="str">
        <f>IF(OR(C81="",D81=""),"",AtualizarAte-C81)</f>
        <v/>
      </c>
      <c r="F81" s="51" t="str">
        <f>IF(OR(C81="",D81=""),"",IF(TipoCalculo="JUROS SIMPLES",D81*E81*TaxaAoDia,FV(TaxaAoDia,E81,,-D81)-D81))</f>
        <v/>
      </c>
      <c r="G81" s="51" t="str">
        <f t="shared" si="2"/>
        <v/>
      </c>
      <c r="H81" s="51" t="str">
        <f t="shared" si="3"/>
        <v/>
      </c>
    </row>
    <row r="82" spans="5:8" x14ac:dyDescent="0.25">
      <c r="E82" s="50" t="str">
        <f>IF(OR(C82="",D82=""),"",AtualizarAte-C82)</f>
        <v/>
      </c>
      <c r="F82" s="51" t="str">
        <f>IF(OR(C82="",D82=""),"",IF(TipoCalculo="JUROS SIMPLES",D82*E82*TaxaAoDia,FV(TaxaAoDia,E82,,-D82)-D82))</f>
        <v/>
      </c>
      <c r="G82" s="51" t="str">
        <f t="shared" si="2"/>
        <v/>
      </c>
      <c r="H82" s="51" t="str">
        <f t="shared" si="3"/>
        <v/>
      </c>
    </row>
    <row r="83" spans="5:8" x14ac:dyDescent="0.25">
      <c r="E83" s="50" t="str">
        <f>IF(OR(C83="",D83=""),"",AtualizarAte-C83)</f>
        <v/>
      </c>
      <c r="F83" s="51" t="str">
        <f>IF(OR(C83="",D83=""),"",IF(TipoCalculo="JUROS SIMPLES",D83*E83*TaxaAoDia,FV(TaxaAoDia,E83,,-D83)-D83))</f>
        <v/>
      </c>
      <c r="G83" s="51" t="str">
        <f t="shared" si="2"/>
        <v/>
      </c>
      <c r="H83" s="51" t="str">
        <f t="shared" si="3"/>
        <v/>
      </c>
    </row>
    <row r="84" spans="5:8" x14ac:dyDescent="0.25">
      <c r="E84" s="50" t="str">
        <f>IF(OR(C84="",D84=""),"",AtualizarAte-C84)</f>
        <v/>
      </c>
      <c r="F84" s="51" t="str">
        <f>IF(OR(C84="",D84=""),"",IF(TipoCalculo="JUROS SIMPLES",D84*E84*TaxaAoDia,FV(TaxaAoDia,E84,,-D84)-D84))</f>
        <v/>
      </c>
      <c r="G84" s="51" t="str">
        <f t="shared" si="2"/>
        <v/>
      </c>
      <c r="H84" s="51" t="str">
        <f t="shared" si="3"/>
        <v/>
      </c>
    </row>
    <row r="85" spans="5:8" x14ac:dyDescent="0.25">
      <c r="E85" s="50" t="str">
        <f>IF(OR(C85="",D85=""),"",AtualizarAte-C85)</f>
        <v/>
      </c>
      <c r="F85" s="51" t="str">
        <f>IF(OR(C85="",D85=""),"",IF(TipoCalculo="JUROS SIMPLES",D85*E85*TaxaAoDia,FV(TaxaAoDia,E85,,-D85)-D85))</f>
        <v/>
      </c>
      <c r="G85" s="51" t="str">
        <f t="shared" si="2"/>
        <v/>
      </c>
      <c r="H85" s="51" t="str">
        <f t="shared" si="3"/>
        <v/>
      </c>
    </row>
    <row r="86" spans="5:8" x14ac:dyDescent="0.25">
      <c r="E86" s="50" t="str">
        <f>IF(OR(C86="",D86=""),"",AtualizarAte-C86)</f>
        <v/>
      </c>
      <c r="F86" s="51" t="str">
        <f>IF(OR(C86="",D86=""),"",IF(TipoCalculo="JUROS SIMPLES",D86*E86*TaxaAoDia,FV(TaxaAoDia,E86,,-D86)-D86))</f>
        <v/>
      </c>
      <c r="G86" s="51" t="str">
        <f t="shared" si="2"/>
        <v/>
      </c>
      <c r="H86" s="51" t="str">
        <f t="shared" si="3"/>
        <v/>
      </c>
    </row>
    <row r="87" spans="5:8" x14ac:dyDescent="0.25">
      <c r="E87" s="50" t="str">
        <f>IF(OR(C87="",D87=""),"",AtualizarAte-C87)</f>
        <v/>
      </c>
      <c r="F87" s="51" t="str">
        <f>IF(OR(C87="",D87=""),"",IF(TipoCalculo="JUROS SIMPLES",D87*E87*TaxaAoDia,FV(TaxaAoDia,E87,,-D87)-D87))</f>
        <v/>
      </c>
      <c r="G87" s="51" t="str">
        <f t="shared" si="2"/>
        <v/>
      </c>
      <c r="H87" s="51" t="str">
        <f t="shared" si="3"/>
        <v/>
      </c>
    </row>
    <row r="88" spans="5:8" x14ac:dyDescent="0.25">
      <c r="E88" s="50" t="str">
        <f>IF(OR(C88="",D88=""),"",AtualizarAte-C88)</f>
        <v/>
      </c>
      <c r="F88" s="51" t="str">
        <f>IF(OR(C88="",D88=""),"",IF(TipoCalculo="JUROS SIMPLES",D88*E88*TaxaAoDia,FV(TaxaAoDia,E88,,-D88)-D88))</f>
        <v/>
      </c>
      <c r="G88" s="51" t="str">
        <f t="shared" si="2"/>
        <v/>
      </c>
      <c r="H88" s="51" t="str">
        <f t="shared" si="3"/>
        <v/>
      </c>
    </row>
    <row r="89" spans="5:8" x14ac:dyDescent="0.25">
      <c r="E89" s="50" t="str">
        <f>IF(OR(C89="",D89=""),"",AtualizarAte-C89)</f>
        <v/>
      </c>
      <c r="F89" s="51" t="str">
        <f>IF(OR(C89="",D89=""),"",IF(TipoCalculo="JUROS SIMPLES",D89*E89*TaxaAoDia,FV(TaxaAoDia,E89,,-D89)-D89))</f>
        <v/>
      </c>
      <c r="G89" s="51" t="str">
        <f t="shared" si="2"/>
        <v/>
      </c>
      <c r="H89" s="51" t="str">
        <f t="shared" si="3"/>
        <v/>
      </c>
    </row>
    <row r="90" spans="5:8" x14ac:dyDescent="0.25">
      <c r="E90" s="50" t="str">
        <f>IF(OR(C90="",D90=""),"",AtualizarAte-C90)</f>
        <v/>
      </c>
      <c r="F90" s="51" t="str">
        <f>IF(OR(C90="",D90=""),"",IF(TipoCalculo="JUROS SIMPLES",D90*E90*TaxaAoDia,FV(TaxaAoDia,E90,,-D90)-D90))</f>
        <v/>
      </c>
      <c r="G90" s="51" t="str">
        <f t="shared" si="2"/>
        <v/>
      </c>
      <c r="H90" s="51" t="str">
        <f t="shared" si="3"/>
        <v/>
      </c>
    </row>
    <row r="91" spans="5:8" x14ac:dyDescent="0.25">
      <c r="E91" s="50" t="str">
        <f>IF(OR(C91="",D91=""),"",AtualizarAte-C91)</f>
        <v/>
      </c>
      <c r="F91" s="51" t="str">
        <f>IF(OR(C91="",D91=""),"",IF(TipoCalculo="JUROS SIMPLES",D91*E91*TaxaAoDia,FV(TaxaAoDia,E91,,-D91)-D91))</f>
        <v/>
      </c>
      <c r="G91" s="51" t="str">
        <f t="shared" si="2"/>
        <v/>
      </c>
      <c r="H91" s="51" t="str">
        <f t="shared" si="3"/>
        <v/>
      </c>
    </row>
    <row r="92" spans="5:8" x14ac:dyDescent="0.25">
      <c r="E92" s="50" t="str">
        <f>IF(OR(C92="",D92=""),"",AtualizarAte-C92)</f>
        <v/>
      </c>
      <c r="F92" s="51" t="str">
        <f>IF(OR(C92="",D92=""),"",IF(TipoCalculo="JUROS SIMPLES",D92*E92*TaxaAoDia,FV(TaxaAoDia,E92,,-D92)-D92))</f>
        <v/>
      </c>
      <c r="G92" s="51" t="str">
        <f t="shared" si="2"/>
        <v/>
      </c>
      <c r="H92" s="51" t="str">
        <f t="shared" si="3"/>
        <v/>
      </c>
    </row>
    <row r="93" spans="5:8" x14ac:dyDescent="0.25">
      <c r="E93" s="50" t="str">
        <f>IF(OR(C93="",D93=""),"",AtualizarAte-C93)</f>
        <v/>
      </c>
      <c r="F93" s="51" t="str">
        <f>IF(OR(C93="",D93=""),"",IF(TipoCalculo="JUROS SIMPLES",D93*E93*TaxaAoDia,FV(TaxaAoDia,E93,,-D93)-D93))</f>
        <v/>
      </c>
      <c r="G93" s="51" t="str">
        <f t="shared" si="2"/>
        <v/>
      </c>
      <c r="H93" s="51" t="str">
        <f t="shared" si="3"/>
        <v/>
      </c>
    </row>
    <row r="94" spans="5:8" x14ac:dyDescent="0.25">
      <c r="E94" s="50" t="str">
        <f>IF(OR(C94="",D94=""),"",AtualizarAte-C94)</f>
        <v/>
      </c>
      <c r="F94" s="51" t="str">
        <f>IF(OR(C94="",D94=""),"",IF(TipoCalculo="JUROS SIMPLES",D94*E94*TaxaAoDia,FV(TaxaAoDia,E94,,-D94)-D94))</f>
        <v/>
      </c>
      <c r="G94" s="51" t="str">
        <f t="shared" si="2"/>
        <v/>
      </c>
      <c r="H94" s="51" t="str">
        <f t="shared" si="3"/>
        <v/>
      </c>
    </row>
    <row r="95" spans="5:8" x14ac:dyDescent="0.25">
      <c r="E95" s="50" t="str">
        <f>IF(OR(C95="",D95=""),"",AtualizarAte-C95)</f>
        <v/>
      </c>
      <c r="F95" s="51" t="str">
        <f>IF(OR(C95="",D95=""),"",IF(TipoCalculo="JUROS SIMPLES",D95*E95*TaxaAoDia,FV(TaxaAoDia,E95,,-D95)-D95))</f>
        <v/>
      </c>
      <c r="G95" s="51" t="str">
        <f t="shared" si="2"/>
        <v/>
      </c>
      <c r="H95" s="51" t="str">
        <f t="shared" si="3"/>
        <v/>
      </c>
    </row>
    <row r="96" spans="5:8" x14ac:dyDescent="0.25">
      <c r="E96" s="50" t="str">
        <f>IF(OR(C96="",D96=""),"",AtualizarAte-C96)</f>
        <v/>
      </c>
      <c r="F96" s="51" t="str">
        <f>IF(OR(C96="",D96=""),"",IF(TipoCalculo="JUROS SIMPLES",D96*E96*TaxaAoDia,FV(TaxaAoDia,E96,,-D96)-D96))</f>
        <v/>
      </c>
      <c r="G96" s="51" t="str">
        <f t="shared" si="2"/>
        <v/>
      </c>
      <c r="H96" s="51" t="str">
        <f t="shared" si="3"/>
        <v/>
      </c>
    </row>
    <row r="97" spans="5:8" x14ac:dyDescent="0.25">
      <c r="E97" s="50" t="str">
        <f>IF(OR(C97="",D97=""),"",AtualizarAte-C97)</f>
        <v/>
      </c>
      <c r="F97" s="51" t="str">
        <f>IF(OR(C97="",D97=""),"",IF(TipoCalculo="JUROS SIMPLES",D97*E97*TaxaAoDia,FV(TaxaAoDia,E97,,-D97)-D97))</f>
        <v/>
      </c>
      <c r="G97" s="51" t="str">
        <f t="shared" si="2"/>
        <v/>
      </c>
      <c r="H97" s="51" t="str">
        <f t="shared" si="3"/>
        <v/>
      </c>
    </row>
    <row r="98" spans="5:8" x14ac:dyDescent="0.25">
      <c r="E98" s="50" t="str">
        <f>IF(OR(C98="",D98=""),"",AtualizarAte-C98)</f>
        <v/>
      </c>
      <c r="F98" s="51" t="str">
        <f>IF(OR(C98="",D98=""),"",IF(TipoCalculo="JUROS SIMPLES",D98*E98*TaxaAoDia,FV(TaxaAoDia,E98,,-D98)-D98))</f>
        <v/>
      </c>
      <c r="G98" s="51" t="str">
        <f t="shared" si="2"/>
        <v/>
      </c>
      <c r="H98" s="51" t="str">
        <f t="shared" si="3"/>
        <v/>
      </c>
    </row>
    <row r="99" spans="5:8" x14ac:dyDescent="0.25">
      <c r="E99" s="50" t="str">
        <f>IF(OR(C99="",D99=""),"",AtualizarAte-C99)</f>
        <v/>
      </c>
      <c r="F99" s="51" t="str">
        <f>IF(OR(C99="",D99=""),"",IF(TipoCalculo="JUROS SIMPLES",D99*E99*TaxaAoDia,FV(TaxaAoDia,E99,,-D99)-D99))</f>
        <v/>
      </c>
      <c r="G99" s="51" t="str">
        <f t="shared" si="2"/>
        <v/>
      </c>
      <c r="H99" s="51" t="str">
        <f t="shared" si="3"/>
        <v/>
      </c>
    </row>
    <row r="100" spans="5:8" x14ac:dyDescent="0.25">
      <c r="E100" s="50" t="str">
        <f>IF(OR(C100="",D100=""),"",AtualizarAte-C100)</f>
        <v/>
      </c>
      <c r="F100" s="51" t="str">
        <f>IF(OR(C100="",D100=""),"",IF(TipoCalculo="JUROS SIMPLES",D100*E100*TaxaAoDia,FV(TaxaAoDia,E100,,-D100)-D100))</f>
        <v/>
      </c>
      <c r="G100" s="51" t="str">
        <f t="shared" si="2"/>
        <v/>
      </c>
      <c r="H100" s="51" t="str">
        <f t="shared" si="3"/>
        <v/>
      </c>
    </row>
    <row r="101" spans="5:8" x14ac:dyDescent="0.25">
      <c r="E101" s="50" t="str">
        <f>IF(OR(C101="",D101=""),"",AtualizarAte-C101)</f>
        <v/>
      </c>
      <c r="F101" s="51" t="str">
        <f>IF(OR(C101="",D101=""),"",IF(TipoCalculo="JUROS SIMPLES",D101*E101*TaxaAoDia,FV(TaxaAoDia,E101,,-D101)-D101))</f>
        <v/>
      </c>
      <c r="G101" s="51" t="str">
        <f t="shared" si="2"/>
        <v/>
      </c>
      <c r="H101" s="51" t="str">
        <f t="shared" si="3"/>
        <v/>
      </c>
    </row>
    <row r="102" spans="5:8" x14ac:dyDescent="0.25">
      <c r="E102" s="50" t="str">
        <f>IF(OR(C102="",D102=""),"",AtualizarAte-C102)</f>
        <v/>
      </c>
      <c r="F102" s="51" t="str">
        <f>IF(OR(C102="",D102=""),"",IF(TipoCalculo="JUROS SIMPLES",D102*E102*TaxaAoDia,FV(TaxaAoDia,E102,,-D102)-D102))</f>
        <v/>
      </c>
      <c r="G102" s="51" t="str">
        <f t="shared" si="2"/>
        <v/>
      </c>
      <c r="H102" s="51" t="str">
        <f t="shared" si="3"/>
        <v/>
      </c>
    </row>
    <row r="103" spans="5:8" x14ac:dyDescent="0.25">
      <c r="E103" s="50" t="str">
        <f>IF(OR(C103="",D103=""),"",AtualizarAte-C103)</f>
        <v/>
      </c>
      <c r="F103" s="51" t="str">
        <f>IF(OR(C103="",D103=""),"",IF(TipoCalculo="JUROS SIMPLES",D103*E103*TaxaAoDia,FV(TaxaAoDia,E103,,-D103)-D103))</f>
        <v/>
      </c>
      <c r="G103" s="51" t="str">
        <f t="shared" si="2"/>
        <v/>
      </c>
      <c r="H103" s="51" t="str">
        <f t="shared" si="3"/>
        <v/>
      </c>
    </row>
    <row r="104" spans="5:8" x14ac:dyDescent="0.25">
      <c r="E104" s="50" t="str">
        <f>IF(OR(C104="",D104=""),"",AtualizarAte-C104)</f>
        <v/>
      </c>
      <c r="F104" s="51" t="str">
        <f>IF(OR(C104="",D104=""),"",IF(TipoCalculo="JUROS SIMPLES",D104*E104*TaxaAoDia,FV(TaxaAoDia,E104,,-D104)-D104))</f>
        <v/>
      </c>
      <c r="G104" s="51" t="str">
        <f t="shared" si="2"/>
        <v/>
      </c>
      <c r="H104" s="51" t="str">
        <f t="shared" si="3"/>
        <v/>
      </c>
    </row>
    <row r="105" spans="5:8" x14ac:dyDescent="0.25">
      <c r="E105" s="50" t="str">
        <f>IF(OR(C105="",D105=""),"",AtualizarAte-C105)</f>
        <v/>
      </c>
      <c r="F105" s="51" t="str">
        <f>IF(OR(C105="",D105=""),"",IF(TipoCalculo="JUROS SIMPLES",D105*E105*TaxaAoDia,FV(TaxaAoDia,E105,,-D105)-D105))</f>
        <v/>
      </c>
      <c r="G105" s="51" t="str">
        <f t="shared" si="2"/>
        <v/>
      </c>
      <c r="H105" s="51" t="str">
        <f t="shared" si="3"/>
        <v/>
      </c>
    </row>
    <row r="106" spans="5:8" x14ac:dyDescent="0.25">
      <c r="E106" s="50" t="str">
        <f>IF(OR(C106="",D106=""),"",AtualizarAte-C106)</f>
        <v/>
      </c>
      <c r="F106" s="51" t="str">
        <f>IF(OR(C106="",D106=""),"",IF(TipoCalculo="JUROS SIMPLES",D106*E106*TaxaAoDia,FV(TaxaAoDia,E106,,-D106)-D106))</f>
        <v/>
      </c>
      <c r="G106" s="51" t="str">
        <f t="shared" si="2"/>
        <v/>
      </c>
      <c r="H106" s="51" t="str">
        <f t="shared" si="3"/>
        <v/>
      </c>
    </row>
    <row r="107" spans="5:8" x14ac:dyDescent="0.25">
      <c r="E107" s="50" t="str">
        <f>IF(OR(C107="",D107=""),"",AtualizarAte-C107)</f>
        <v/>
      </c>
      <c r="F107" s="51" t="str">
        <f>IF(OR(C107="",D107=""),"",IF(TipoCalculo="JUROS SIMPLES",D107*E107*TaxaAoDia,FV(TaxaAoDia,E107,,-D107)-D107))</f>
        <v/>
      </c>
      <c r="G107" s="51" t="str">
        <f t="shared" si="2"/>
        <v/>
      </c>
      <c r="H107" s="51" t="str">
        <f t="shared" si="3"/>
        <v/>
      </c>
    </row>
    <row r="108" spans="5:8" x14ac:dyDescent="0.25">
      <c r="E108" s="50" t="str">
        <f>IF(OR(C108="",D108=""),"",AtualizarAte-C108)</f>
        <v/>
      </c>
      <c r="F108" s="51" t="str">
        <f>IF(OR(C108="",D108=""),"",IF(TipoCalculo="JUROS SIMPLES",D108*E108*TaxaAoDia,FV(TaxaAoDia,E108,,-D108)-D108))</f>
        <v/>
      </c>
      <c r="G108" s="51" t="str">
        <f t="shared" si="2"/>
        <v/>
      </c>
      <c r="H108" s="51" t="str">
        <f t="shared" si="3"/>
        <v/>
      </c>
    </row>
    <row r="109" spans="5:8" x14ac:dyDescent="0.25">
      <c r="E109" s="50" t="str">
        <f>IF(OR(C109="",D109=""),"",AtualizarAte-C109)</f>
        <v/>
      </c>
      <c r="F109" s="51" t="str">
        <f>IF(OR(C109="",D109=""),"",IF(TipoCalculo="JUROS SIMPLES",D109*E109*TaxaAoDia,FV(TaxaAoDia,E109,,-D109)-D109))</f>
        <v/>
      </c>
      <c r="G109" s="51" t="str">
        <f t="shared" si="2"/>
        <v/>
      </c>
      <c r="H109" s="51" t="str">
        <f t="shared" si="3"/>
        <v/>
      </c>
    </row>
    <row r="110" spans="5:8" x14ac:dyDescent="0.25">
      <c r="E110" s="50" t="str">
        <f>IF(OR(C110="",D110=""),"",AtualizarAte-C110)</f>
        <v/>
      </c>
      <c r="F110" s="51" t="str">
        <f>IF(OR(C110="",D110=""),"",IF(TipoCalculo="JUROS SIMPLES",D110*E110*TaxaAoDia,FV(TaxaAoDia,E110,,-D110)-D110))</f>
        <v/>
      </c>
      <c r="G110" s="51" t="str">
        <f t="shared" si="2"/>
        <v/>
      </c>
      <c r="H110" s="51" t="str">
        <f t="shared" si="3"/>
        <v/>
      </c>
    </row>
    <row r="111" spans="5:8" x14ac:dyDescent="0.25">
      <c r="E111" s="50" t="str">
        <f>IF(OR(C111="",D111=""),"",AtualizarAte-C111)</f>
        <v/>
      </c>
      <c r="F111" s="51" t="str">
        <f>IF(OR(C111="",D111=""),"",IF(TipoCalculo="JUROS SIMPLES",D111*E111*TaxaAoDia,FV(TaxaAoDia,E111,,-D111)-D111))</f>
        <v/>
      </c>
      <c r="G111" s="51" t="str">
        <f t="shared" si="2"/>
        <v/>
      </c>
      <c r="H111" s="51" t="str">
        <f t="shared" si="3"/>
        <v/>
      </c>
    </row>
    <row r="112" spans="5:8" x14ac:dyDescent="0.25">
      <c r="E112" s="50" t="str">
        <f>IF(OR(C112="",D112=""),"",AtualizarAte-C112)</f>
        <v/>
      </c>
      <c r="F112" s="51" t="str">
        <f>IF(OR(C112="",D112=""),"",IF(TipoCalculo="JUROS SIMPLES",D112*E112*TaxaAoDia,FV(TaxaAoDia,E112,,-D112)-D112))</f>
        <v/>
      </c>
      <c r="G112" s="51" t="str">
        <f t="shared" si="2"/>
        <v/>
      </c>
      <c r="H112" s="51" t="str">
        <f t="shared" si="3"/>
        <v/>
      </c>
    </row>
    <row r="113" spans="5:8" x14ac:dyDescent="0.25">
      <c r="E113" s="50" t="str">
        <f>IF(OR(C113="",D113=""),"",AtualizarAte-C113)</f>
        <v/>
      </c>
      <c r="F113" s="51" t="str">
        <f>IF(OR(C113="",D113=""),"",IF(TipoCalculo="JUROS SIMPLES",D113*E113*TaxaAoDia,FV(TaxaAoDia,E113,,-D113)-D113))</f>
        <v/>
      </c>
      <c r="G113" s="51" t="str">
        <f t="shared" si="2"/>
        <v/>
      </c>
      <c r="H113" s="51" t="str">
        <f t="shared" si="3"/>
        <v/>
      </c>
    </row>
    <row r="114" spans="5:8" x14ac:dyDescent="0.25">
      <c r="E114" s="50" t="str">
        <f>IF(OR(C114="",D114=""),"",AtualizarAte-C114)</f>
        <v/>
      </c>
      <c r="F114" s="51" t="str">
        <f>IF(OR(C114="",D114=""),"",IF(TipoCalculo="JUROS SIMPLES",D114*E114*TaxaAoDia,FV(TaxaAoDia,E114,,-D114)-D114))</f>
        <v/>
      </c>
      <c r="G114" s="51" t="str">
        <f t="shared" si="2"/>
        <v/>
      </c>
      <c r="H114" s="51" t="str">
        <f t="shared" si="3"/>
        <v/>
      </c>
    </row>
    <row r="115" spans="5:8" x14ac:dyDescent="0.25">
      <c r="E115" s="50" t="str">
        <f>IF(OR(C115="",D115=""),"",AtualizarAte-C115)</f>
        <v/>
      </c>
      <c r="F115" s="51" t="str">
        <f>IF(OR(C115="",D115=""),"",IF(TipoCalculo="JUROS SIMPLES",D115*E115*TaxaAoDia,FV(TaxaAoDia,E115,,-D115)-D115))</f>
        <v/>
      </c>
      <c r="G115" s="51" t="str">
        <f t="shared" si="2"/>
        <v/>
      </c>
      <c r="H115" s="51" t="str">
        <f t="shared" si="3"/>
        <v/>
      </c>
    </row>
    <row r="116" spans="5:8" x14ac:dyDescent="0.25">
      <c r="E116" s="50" t="str">
        <f>IF(OR(C116="",D116=""),"",AtualizarAte-C116)</f>
        <v/>
      </c>
      <c r="F116" s="51" t="str">
        <f>IF(OR(C116="",D116=""),"",IF(TipoCalculo="JUROS SIMPLES",D116*E116*TaxaAoDia,FV(TaxaAoDia,E116,,-D116)-D116))</f>
        <v/>
      </c>
      <c r="G116" s="51" t="str">
        <f t="shared" si="2"/>
        <v/>
      </c>
      <c r="H116" s="51" t="str">
        <f t="shared" si="3"/>
        <v/>
      </c>
    </row>
    <row r="117" spans="5:8" x14ac:dyDescent="0.25">
      <c r="E117" s="50" t="str">
        <f>IF(OR(C117="",D117=""),"",AtualizarAte-C117)</f>
        <v/>
      </c>
      <c r="F117" s="51" t="str">
        <f>IF(OR(C117="",D117=""),"",IF(TipoCalculo="JUROS SIMPLES",D117*E117*TaxaAoDia,FV(TaxaAoDia,E117,,-D117)-D117))</f>
        <v/>
      </c>
      <c r="G117" s="51" t="str">
        <f t="shared" si="2"/>
        <v/>
      </c>
      <c r="H117" s="51" t="str">
        <f t="shared" si="3"/>
        <v/>
      </c>
    </row>
    <row r="118" spans="5:8" x14ac:dyDescent="0.25">
      <c r="E118" s="50" t="str">
        <f>IF(OR(C118="",D118=""),"",AtualizarAte-C118)</f>
        <v/>
      </c>
      <c r="F118" s="51" t="str">
        <f>IF(OR(C118="",D118=""),"",IF(TipoCalculo="JUROS SIMPLES",D118*E118*TaxaAoDia,FV(TaxaAoDia,E118,,-D118)-D118))</f>
        <v/>
      </c>
      <c r="G118" s="51" t="str">
        <f t="shared" si="2"/>
        <v/>
      </c>
      <c r="H118" s="51" t="str">
        <f t="shared" si="3"/>
        <v/>
      </c>
    </row>
    <row r="119" spans="5:8" x14ac:dyDescent="0.25">
      <c r="E119" s="50" t="str">
        <f>IF(OR(C119="",D119=""),"",AtualizarAte-C119)</f>
        <v/>
      </c>
      <c r="F119" s="51" t="str">
        <f>IF(OR(C119="",D119=""),"",IF(TipoCalculo="JUROS SIMPLES",D119*E119*TaxaAoDia,FV(TaxaAoDia,E119,,-D119)-D119))</f>
        <v/>
      </c>
      <c r="G119" s="51" t="str">
        <f t="shared" si="2"/>
        <v/>
      </c>
      <c r="H119" s="51" t="str">
        <f t="shared" si="3"/>
        <v/>
      </c>
    </row>
    <row r="120" spans="5:8" x14ac:dyDescent="0.25">
      <c r="E120" s="50" t="str">
        <f>IF(OR(C120="",D120=""),"",AtualizarAte-C120)</f>
        <v/>
      </c>
      <c r="F120" s="51" t="str">
        <f>IF(OR(C120="",D120=""),"",IF(TipoCalculo="JUROS SIMPLES",D120*E120*TaxaAoDia,FV(TaxaAoDia,E120,,-D120)-D120))</f>
        <v/>
      </c>
      <c r="G120" s="51" t="str">
        <f t="shared" si="2"/>
        <v/>
      </c>
      <c r="H120" s="51" t="str">
        <f t="shared" si="3"/>
        <v/>
      </c>
    </row>
    <row r="121" spans="5:8" x14ac:dyDescent="0.25">
      <c r="E121" s="50" t="str">
        <f>IF(OR(C121="",D121=""),"",AtualizarAte-C121)</f>
        <v/>
      </c>
      <c r="F121" s="51" t="str">
        <f>IF(OR(C121="",D121=""),"",IF(TipoCalculo="JUROS SIMPLES",D121*E121*TaxaAoDia,FV(TaxaAoDia,E121,,-D121)-D121))</f>
        <v/>
      </c>
      <c r="G121" s="51" t="str">
        <f t="shared" si="2"/>
        <v/>
      </c>
      <c r="H121" s="51" t="str">
        <f t="shared" si="3"/>
        <v/>
      </c>
    </row>
    <row r="122" spans="5:8" x14ac:dyDescent="0.25">
      <c r="E122" s="50" t="str">
        <f>IF(OR(C122="",D122=""),"",AtualizarAte-C122)</f>
        <v/>
      </c>
      <c r="F122" s="51" t="str">
        <f>IF(OR(C122="",D122=""),"",IF(TipoCalculo="JUROS SIMPLES",D122*E122*TaxaAoDia,FV(TaxaAoDia,E122,,-D122)-D122))</f>
        <v/>
      </c>
      <c r="G122" s="51" t="str">
        <f t="shared" si="2"/>
        <v/>
      </c>
      <c r="H122" s="51" t="str">
        <f t="shared" si="3"/>
        <v/>
      </c>
    </row>
    <row r="123" spans="5:8" x14ac:dyDescent="0.25">
      <c r="E123" s="50" t="str">
        <f>IF(OR(C123="",D123=""),"",AtualizarAte-C123)</f>
        <v/>
      </c>
      <c r="F123" s="51" t="str">
        <f>IF(OR(C123="",D123=""),"",IF(TipoCalculo="JUROS SIMPLES",D123*E123*TaxaAoDia,FV(TaxaAoDia,E123,,-D123)-D123))</f>
        <v/>
      </c>
      <c r="G123" s="51" t="str">
        <f t="shared" si="2"/>
        <v/>
      </c>
      <c r="H123" s="51" t="str">
        <f t="shared" si="3"/>
        <v/>
      </c>
    </row>
    <row r="124" spans="5:8" x14ac:dyDescent="0.25">
      <c r="E124" s="50" t="str">
        <f>IF(OR(C124="",D124=""),"",AtualizarAte-C124)</f>
        <v/>
      </c>
      <c r="F124" s="51" t="str">
        <f>IF(OR(C124="",D124=""),"",IF(TipoCalculo="JUROS SIMPLES",D124*E124*TaxaAoDia,FV(TaxaAoDia,E124,,-D124)-D124))</f>
        <v/>
      </c>
      <c r="G124" s="51" t="str">
        <f t="shared" si="2"/>
        <v/>
      </c>
      <c r="H124" s="51" t="str">
        <f t="shared" si="3"/>
        <v/>
      </c>
    </row>
    <row r="125" spans="5:8" x14ac:dyDescent="0.25">
      <c r="E125" s="50" t="str">
        <f>IF(OR(C125="",D125=""),"",AtualizarAte-C125)</f>
        <v/>
      </c>
      <c r="F125" s="51" t="str">
        <f>IF(OR(C125="",D125=""),"",IF(TipoCalculo="JUROS SIMPLES",D125*E125*TaxaAoDia,FV(TaxaAoDia,E125,,-D125)-D125))</f>
        <v/>
      </c>
      <c r="G125" s="51" t="str">
        <f t="shared" si="2"/>
        <v/>
      </c>
      <c r="H125" s="51" t="str">
        <f t="shared" si="3"/>
        <v/>
      </c>
    </row>
    <row r="126" spans="5:8" x14ac:dyDescent="0.25">
      <c r="E126" s="50" t="str">
        <f>IF(OR(C126="",D126=""),"",AtualizarAte-C126)</f>
        <v/>
      </c>
      <c r="F126" s="51" t="str">
        <f>IF(OR(C126="",D126=""),"",IF(TipoCalculo="JUROS SIMPLES",D126*E126*TaxaAoDia,FV(TaxaAoDia,E126,,-D126)-D126))</f>
        <v/>
      </c>
      <c r="G126" s="51" t="str">
        <f t="shared" si="2"/>
        <v/>
      </c>
      <c r="H126" s="51" t="str">
        <f t="shared" si="3"/>
        <v/>
      </c>
    </row>
    <row r="127" spans="5:8" x14ac:dyDescent="0.25">
      <c r="E127" s="50" t="str">
        <f>IF(OR(C127="",D127=""),"",AtualizarAte-C127)</f>
        <v/>
      </c>
      <c r="F127" s="51" t="str">
        <f>IF(OR(C127="",D127=""),"",IF(TipoCalculo="JUROS SIMPLES",D127*E127*TaxaAoDia,FV(TaxaAoDia,E127,,-D127)-D127))</f>
        <v/>
      </c>
      <c r="G127" s="51" t="str">
        <f t="shared" si="2"/>
        <v/>
      </c>
      <c r="H127" s="51" t="str">
        <f t="shared" si="3"/>
        <v/>
      </c>
    </row>
    <row r="128" spans="5:8" x14ac:dyDescent="0.25">
      <c r="E128" s="50" t="str">
        <f>IF(OR(C128="",D128=""),"",AtualizarAte-C128)</f>
        <v/>
      </c>
      <c r="F128" s="51" t="str">
        <f>IF(OR(C128="",D128=""),"",IF(TipoCalculo="JUROS SIMPLES",D128*E128*TaxaAoDia,FV(TaxaAoDia,E128,,-D128)-D128))</f>
        <v/>
      </c>
      <c r="G128" s="51" t="str">
        <f t="shared" si="2"/>
        <v/>
      </c>
      <c r="H128" s="51" t="str">
        <f t="shared" si="3"/>
        <v/>
      </c>
    </row>
    <row r="129" spans="5:8" x14ac:dyDescent="0.25">
      <c r="E129" s="50" t="str">
        <f>IF(OR(C129="",D129=""),"",AtualizarAte-C129)</f>
        <v/>
      </c>
      <c r="F129" s="51" t="str">
        <f>IF(OR(C129="",D129=""),"",IF(TipoCalculo="JUROS SIMPLES",D129*E129*TaxaAoDia,FV(TaxaAoDia,E129,,-D129)-D129))</f>
        <v/>
      </c>
      <c r="G129" s="51" t="str">
        <f t="shared" si="2"/>
        <v/>
      </c>
      <c r="H129" s="51" t="str">
        <f t="shared" si="3"/>
        <v/>
      </c>
    </row>
    <row r="130" spans="5:8" x14ac:dyDescent="0.25">
      <c r="E130" s="50" t="str">
        <f>IF(OR(C130="",D130=""),"",AtualizarAte-C130)</f>
        <v/>
      </c>
      <c r="F130" s="51" t="str">
        <f>IF(OR(C130="",D130=""),"",IF(TipoCalculo="JUROS SIMPLES",D130*E130*TaxaAoDia,FV(TaxaAoDia,E130,,-D130)-D130))</f>
        <v/>
      </c>
      <c r="G130" s="51" t="str">
        <f t="shared" si="2"/>
        <v/>
      </c>
      <c r="H130" s="51" t="str">
        <f t="shared" si="3"/>
        <v/>
      </c>
    </row>
    <row r="131" spans="5:8" x14ac:dyDescent="0.25">
      <c r="E131" s="50" t="str">
        <f>IF(OR(C131="",D131=""),"",AtualizarAte-C131)</f>
        <v/>
      </c>
      <c r="F131" s="51" t="str">
        <f>IF(OR(C131="",D131=""),"",IF(TipoCalculo="JUROS SIMPLES",D131*E131*TaxaAoDia,FV(TaxaAoDia,E131,,-D131)-D131))</f>
        <v/>
      </c>
      <c r="G131" s="51" t="str">
        <f t="shared" si="2"/>
        <v/>
      </c>
      <c r="H131" s="51" t="str">
        <f t="shared" si="3"/>
        <v/>
      </c>
    </row>
    <row r="132" spans="5:8" x14ac:dyDescent="0.25">
      <c r="E132" s="50" t="str">
        <f>IF(OR(C132="",D132=""),"",AtualizarAte-C132)</f>
        <v/>
      </c>
      <c r="F132" s="51" t="str">
        <f>IF(OR(C132="",D132=""),"",IF(TipoCalculo="JUROS SIMPLES",D132*E132*TaxaAoDia,FV(TaxaAoDia,E132,,-D132)-D132))</f>
        <v/>
      </c>
      <c r="G132" s="51" t="str">
        <f t="shared" si="2"/>
        <v/>
      </c>
      <c r="H132" s="51" t="str">
        <f t="shared" si="3"/>
        <v/>
      </c>
    </row>
    <row r="133" spans="5:8" x14ac:dyDescent="0.25">
      <c r="E133" s="50" t="str">
        <f>IF(OR(C133="",D133=""),"",AtualizarAte-C133)</f>
        <v/>
      </c>
      <c r="F133" s="51" t="str">
        <f>IF(OR(C133="",D133=""),"",IF(TipoCalculo="JUROS SIMPLES",D133*E133*TaxaAoDia,FV(TaxaAoDia,E133,,-D133)-D133))</f>
        <v/>
      </c>
      <c r="G133" s="51" t="str">
        <f t="shared" si="2"/>
        <v/>
      </c>
      <c r="H133" s="51" t="str">
        <f t="shared" si="3"/>
        <v/>
      </c>
    </row>
    <row r="134" spans="5:8" x14ac:dyDescent="0.25">
      <c r="E134" s="50" t="str">
        <f>IF(OR(C134="",D134=""),"",AtualizarAte-C134)</f>
        <v/>
      </c>
      <c r="F134" s="51" t="str">
        <f>IF(OR(C134="",D134=""),"",IF(TipoCalculo="JUROS SIMPLES",D134*E134*TaxaAoDia,FV(TaxaAoDia,E134,,-D134)-D134))</f>
        <v/>
      </c>
      <c r="G134" s="51" t="str">
        <f t="shared" si="2"/>
        <v/>
      </c>
      <c r="H134" s="51" t="str">
        <f t="shared" si="3"/>
        <v/>
      </c>
    </row>
    <row r="135" spans="5:8" x14ac:dyDescent="0.25">
      <c r="E135" s="50" t="str">
        <f>IF(OR(C135="",D135=""),"",AtualizarAte-C135)</f>
        <v/>
      </c>
      <c r="F135" s="51" t="str">
        <f>IF(OR(C135="",D135=""),"",IF(TipoCalculo="JUROS SIMPLES",D135*E135*TaxaAoDia,FV(TaxaAoDia,E135,,-D135)-D135))</f>
        <v/>
      </c>
      <c r="G135" s="51" t="str">
        <f t="shared" si="2"/>
        <v/>
      </c>
      <c r="H135" s="51" t="str">
        <f t="shared" si="3"/>
        <v/>
      </c>
    </row>
    <row r="136" spans="5:8" x14ac:dyDescent="0.25">
      <c r="E136" s="50" t="str">
        <f>IF(OR(C136="",D136=""),"",AtualizarAte-C136)</f>
        <v/>
      </c>
      <c r="F136" s="51" t="str">
        <f>IF(OR(C136="",D136=""),"",IF(TipoCalculo="JUROS SIMPLES",D136*E136*TaxaAoDia,FV(TaxaAoDia,E136,,-D136)-D136))</f>
        <v/>
      </c>
      <c r="G136" s="51" t="str">
        <f t="shared" si="2"/>
        <v/>
      </c>
      <c r="H136" s="51" t="str">
        <f t="shared" si="3"/>
        <v/>
      </c>
    </row>
    <row r="137" spans="5:8" x14ac:dyDescent="0.25">
      <c r="E137" s="50" t="str">
        <f>IF(OR(C137="",D137=""),"",AtualizarAte-C137)</f>
        <v/>
      </c>
      <c r="F137" s="51" t="str">
        <f>IF(OR(C137="",D137=""),"",IF(TipoCalculo="JUROS SIMPLES",D137*E137*TaxaAoDia,FV(TaxaAoDia,E137,,-D137)-D137))</f>
        <v/>
      </c>
      <c r="G137" s="51" t="str">
        <f t="shared" si="2"/>
        <v/>
      </c>
      <c r="H137" s="51" t="str">
        <f t="shared" si="3"/>
        <v/>
      </c>
    </row>
    <row r="138" spans="5:8" x14ac:dyDescent="0.25">
      <c r="E138" s="50" t="str">
        <f>IF(OR(C138="",D138=""),"",AtualizarAte-C138)</f>
        <v/>
      </c>
      <c r="F138" s="51" t="str">
        <f>IF(OR(C138="",D138=""),"",IF(TipoCalculo="JUROS SIMPLES",D138*E138*TaxaAoDia,FV(TaxaAoDia,E138,,-D138)-D138))</f>
        <v/>
      </c>
      <c r="G138" s="51" t="str">
        <f t="shared" si="2"/>
        <v/>
      </c>
      <c r="H138" s="51" t="str">
        <f t="shared" si="3"/>
        <v/>
      </c>
    </row>
    <row r="139" spans="5:8" x14ac:dyDescent="0.25">
      <c r="E139" s="50" t="str">
        <f>IF(OR(C139="",D139=""),"",AtualizarAte-C139)</f>
        <v/>
      </c>
      <c r="F139" s="51" t="str">
        <f>IF(OR(C139="",D139=""),"",IF(TipoCalculo="JUROS SIMPLES",D139*E139*TaxaAoDia,FV(TaxaAoDia,E139,,-D139)-D139))</f>
        <v/>
      </c>
      <c r="G139" s="51" t="str">
        <f t="shared" si="2"/>
        <v/>
      </c>
      <c r="H139" s="51" t="str">
        <f t="shared" si="3"/>
        <v/>
      </c>
    </row>
    <row r="140" spans="5:8" x14ac:dyDescent="0.25">
      <c r="E140" s="50" t="str">
        <f>IF(OR(C140="",D140=""),"",AtualizarAte-C140)</f>
        <v/>
      </c>
      <c r="F140" s="51" t="str">
        <f>IF(OR(C140="",D140=""),"",IF(TipoCalculo="JUROS SIMPLES",D140*E140*TaxaAoDia,FV(TaxaAoDia,E140,,-D140)-D140))</f>
        <v/>
      </c>
      <c r="G140" s="51" t="str">
        <f t="shared" si="2"/>
        <v/>
      </c>
      <c r="H140" s="51" t="str">
        <f t="shared" si="3"/>
        <v/>
      </c>
    </row>
    <row r="141" spans="5:8" x14ac:dyDescent="0.25">
      <c r="E141" s="50" t="str">
        <f>IF(OR(C141="",D141=""),"",AtualizarAte-C141)</f>
        <v/>
      </c>
      <c r="F141" s="51" t="str">
        <f>IF(OR(C141="",D141=""),"",IF(TipoCalculo="JUROS SIMPLES",D141*E141*TaxaAoDia,FV(TaxaAoDia,E141,,-D141)-D141))</f>
        <v/>
      </c>
      <c r="G141" s="51" t="str">
        <f t="shared" ref="G141:G204" si="4">IF(OR(C141="",D141=""),"",D141+F141)</f>
        <v/>
      </c>
      <c r="H141" s="51" t="str">
        <f t="shared" ref="H141:H204" si="5">IF(C141="","",IF(D141="","",IF(H140="SALDO ATUALIZ.",G141,H140+G141)))</f>
        <v/>
      </c>
    </row>
    <row r="142" spans="5:8" x14ac:dyDescent="0.25">
      <c r="E142" s="50" t="str">
        <f>IF(OR(C142="",D142=""),"",AtualizarAte-C142)</f>
        <v/>
      </c>
      <c r="F142" s="51" t="str">
        <f>IF(OR(C142="",D142=""),"",IF(TipoCalculo="JUROS SIMPLES",D142*E142*TaxaAoDia,FV(TaxaAoDia,E142,,-D142)-D142))</f>
        <v/>
      </c>
      <c r="G142" s="51" t="str">
        <f t="shared" si="4"/>
        <v/>
      </c>
      <c r="H142" s="51" t="str">
        <f t="shared" si="5"/>
        <v/>
      </c>
    </row>
    <row r="143" spans="5:8" x14ac:dyDescent="0.25">
      <c r="E143" s="50" t="str">
        <f>IF(OR(C143="",D143=""),"",AtualizarAte-C143)</f>
        <v/>
      </c>
      <c r="F143" s="51" t="str">
        <f>IF(OR(C143="",D143=""),"",IF(TipoCalculo="JUROS SIMPLES",D143*E143*TaxaAoDia,FV(TaxaAoDia,E143,,-D143)-D143))</f>
        <v/>
      </c>
      <c r="G143" s="51" t="str">
        <f t="shared" si="4"/>
        <v/>
      </c>
      <c r="H143" s="51" t="str">
        <f t="shared" si="5"/>
        <v/>
      </c>
    </row>
    <row r="144" spans="5:8" x14ac:dyDescent="0.25">
      <c r="E144" s="50" t="str">
        <f>IF(OR(C144="",D144=""),"",AtualizarAte-C144)</f>
        <v/>
      </c>
      <c r="F144" s="51" t="str">
        <f>IF(OR(C144="",D144=""),"",IF(TipoCalculo="JUROS SIMPLES",D144*E144*TaxaAoDia,FV(TaxaAoDia,E144,,-D144)-D144))</f>
        <v/>
      </c>
      <c r="G144" s="51" t="str">
        <f t="shared" si="4"/>
        <v/>
      </c>
      <c r="H144" s="51" t="str">
        <f t="shared" si="5"/>
        <v/>
      </c>
    </row>
    <row r="145" spans="5:8" x14ac:dyDescent="0.25">
      <c r="E145" s="50" t="str">
        <f>IF(OR(C145="",D145=""),"",AtualizarAte-C145)</f>
        <v/>
      </c>
      <c r="F145" s="51" t="str">
        <f>IF(OR(C145="",D145=""),"",IF(TipoCalculo="JUROS SIMPLES",D145*E145*TaxaAoDia,FV(TaxaAoDia,E145,,-D145)-D145))</f>
        <v/>
      </c>
      <c r="G145" s="51" t="str">
        <f t="shared" si="4"/>
        <v/>
      </c>
      <c r="H145" s="51" t="str">
        <f t="shared" si="5"/>
        <v/>
      </c>
    </row>
    <row r="146" spans="5:8" x14ac:dyDescent="0.25">
      <c r="E146" s="50" t="str">
        <f>IF(OR(C146="",D146=""),"",AtualizarAte-C146)</f>
        <v/>
      </c>
      <c r="F146" s="51" t="str">
        <f>IF(OR(C146="",D146=""),"",IF(TipoCalculo="JUROS SIMPLES",D146*E146*TaxaAoDia,FV(TaxaAoDia,E146,,-D146)-D146))</f>
        <v/>
      </c>
      <c r="G146" s="51" t="str">
        <f t="shared" si="4"/>
        <v/>
      </c>
      <c r="H146" s="51" t="str">
        <f t="shared" si="5"/>
        <v/>
      </c>
    </row>
    <row r="147" spans="5:8" x14ac:dyDescent="0.25">
      <c r="E147" s="50" t="str">
        <f>IF(OR(C147="",D147=""),"",AtualizarAte-C147)</f>
        <v/>
      </c>
      <c r="F147" s="51" t="str">
        <f>IF(OR(C147="",D147=""),"",IF(TipoCalculo="JUROS SIMPLES",D147*E147*TaxaAoDia,FV(TaxaAoDia,E147,,-D147)-D147))</f>
        <v/>
      </c>
      <c r="G147" s="51" t="str">
        <f t="shared" si="4"/>
        <v/>
      </c>
      <c r="H147" s="51" t="str">
        <f t="shared" si="5"/>
        <v/>
      </c>
    </row>
    <row r="148" spans="5:8" x14ac:dyDescent="0.25">
      <c r="E148" s="50" t="str">
        <f>IF(OR(C148="",D148=""),"",AtualizarAte-C148)</f>
        <v/>
      </c>
      <c r="F148" s="51" t="str">
        <f>IF(OR(C148="",D148=""),"",IF(TipoCalculo="JUROS SIMPLES",D148*E148*TaxaAoDia,FV(TaxaAoDia,E148,,-D148)-D148))</f>
        <v/>
      </c>
      <c r="G148" s="51" t="str">
        <f t="shared" si="4"/>
        <v/>
      </c>
      <c r="H148" s="51" t="str">
        <f t="shared" si="5"/>
        <v/>
      </c>
    </row>
    <row r="149" spans="5:8" x14ac:dyDescent="0.25">
      <c r="E149" s="50" t="str">
        <f>IF(OR(C149="",D149=""),"",AtualizarAte-C149)</f>
        <v/>
      </c>
      <c r="F149" s="51" t="str">
        <f>IF(OR(C149="",D149=""),"",IF(TipoCalculo="JUROS SIMPLES",D149*E149*TaxaAoDia,FV(TaxaAoDia,E149,,-D149)-D149))</f>
        <v/>
      </c>
      <c r="G149" s="51" t="str">
        <f t="shared" si="4"/>
        <v/>
      </c>
      <c r="H149" s="51" t="str">
        <f t="shared" si="5"/>
        <v/>
      </c>
    </row>
    <row r="150" spans="5:8" x14ac:dyDescent="0.25">
      <c r="E150" s="50" t="str">
        <f>IF(OR(C150="",D150=""),"",AtualizarAte-C150)</f>
        <v/>
      </c>
      <c r="F150" s="51" t="str">
        <f>IF(OR(C150="",D150=""),"",IF(TipoCalculo="JUROS SIMPLES",D150*E150*TaxaAoDia,FV(TaxaAoDia,E150,,-D150)-D150))</f>
        <v/>
      </c>
      <c r="G150" s="51" t="str">
        <f t="shared" si="4"/>
        <v/>
      </c>
      <c r="H150" s="51" t="str">
        <f t="shared" si="5"/>
        <v/>
      </c>
    </row>
    <row r="151" spans="5:8" x14ac:dyDescent="0.25">
      <c r="E151" s="50" t="str">
        <f>IF(OR(C151="",D151=""),"",AtualizarAte-C151)</f>
        <v/>
      </c>
      <c r="F151" s="51" t="str">
        <f>IF(OR(C151="",D151=""),"",IF(TipoCalculo="JUROS SIMPLES",D151*E151*TaxaAoDia,FV(TaxaAoDia,E151,,-D151)-D151))</f>
        <v/>
      </c>
      <c r="G151" s="51" t="str">
        <f t="shared" si="4"/>
        <v/>
      </c>
      <c r="H151" s="51" t="str">
        <f t="shared" si="5"/>
        <v/>
      </c>
    </row>
    <row r="152" spans="5:8" x14ac:dyDescent="0.25">
      <c r="E152" s="50" t="str">
        <f>IF(OR(C152="",D152=""),"",AtualizarAte-C152)</f>
        <v/>
      </c>
      <c r="F152" s="51" t="str">
        <f>IF(OR(C152="",D152=""),"",IF(TipoCalculo="JUROS SIMPLES",D152*E152*TaxaAoDia,FV(TaxaAoDia,E152,,-D152)-D152))</f>
        <v/>
      </c>
      <c r="G152" s="51" t="str">
        <f t="shared" si="4"/>
        <v/>
      </c>
      <c r="H152" s="51" t="str">
        <f t="shared" si="5"/>
        <v/>
      </c>
    </row>
    <row r="153" spans="5:8" x14ac:dyDescent="0.25">
      <c r="E153" s="50" t="str">
        <f>IF(OR(C153="",D153=""),"",AtualizarAte-C153)</f>
        <v/>
      </c>
      <c r="F153" s="51" t="str">
        <f>IF(OR(C153="",D153=""),"",IF(TipoCalculo="JUROS SIMPLES",D153*E153*TaxaAoDia,FV(TaxaAoDia,E153,,-D153)-D153))</f>
        <v/>
      </c>
      <c r="G153" s="51" t="str">
        <f t="shared" si="4"/>
        <v/>
      </c>
      <c r="H153" s="51" t="str">
        <f t="shared" si="5"/>
        <v/>
      </c>
    </row>
    <row r="154" spans="5:8" x14ac:dyDescent="0.25">
      <c r="E154" s="50" t="str">
        <f>IF(OR(C154="",D154=""),"",AtualizarAte-C154)</f>
        <v/>
      </c>
      <c r="F154" s="51" t="str">
        <f>IF(OR(C154="",D154=""),"",IF(TipoCalculo="JUROS SIMPLES",D154*E154*TaxaAoDia,FV(TaxaAoDia,E154,,-D154)-D154))</f>
        <v/>
      </c>
      <c r="G154" s="51" t="str">
        <f t="shared" si="4"/>
        <v/>
      </c>
      <c r="H154" s="51" t="str">
        <f t="shared" si="5"/>
        <v/>
      </c>
    </row>
    <row r="155" spans="5:8" x14ac:dyDescent="0.25">
      <c r="E155" s="50" t="str">
        <f>IF(OR(C155="",D155=""),"",AtualizarAte-C155)</f>
        <v/>
      </c>
      <c r="F155" s="51" t="str">
        <f>IF(OR(C155="",D155=""),"",IF(TipoCalculo="JUROS SIMPLES",D155*E155*TaxaAoDia,FV(TaxaAoDia,E155,,-D155)-D155))</f>
        <v/>
      </c>
      <c r="G155" s="51" t="str">
        <f t="shared" si="4"/>
        <v/>
      </c>
      <c r="H155" s="51" t="str">
        <f t="shared" si="5"/>
        <v/>
      </c>
    </row>
    <row r="156" spans="5:8" x14ac:dyDescent="0.25">
      <c r="E156" s="50" t="str">
        <f>IF(OR(C156="",D156=""),"",AtualizarAte-C156)</f>
        <v/>
      </c>
      <c r="F156" s="51" t="str">
        <f>IF(OR(C156="",D156=""),"",IF(TipoCalculo="JUROS SIMPLES",D156*E156*TaxaAoDia,FV(TaxaAoDia,E156,,-D156)-D156))</f>
        <v/>
      </c>
      <c r="G156" s="51" t="str">
        <f t="shared" si="4"/>
        <v/>
      </c>
      <c r="H156" s="51" t="str">
        <f t="shared" si="5"/>
        <v/>
      </c>
    </row>
    <row r="157" spans="5:8" x14ac:dyDescent="0.25">
      <c r="E157" s="50" t="str">
        <f>IF(OR(C157="",D157=""),"",AtualizarAte-C157)</f>
        <v/>
      </c>
      <c r="F157" s="51" t="str">
        <f>IF(OR(C157="",D157=""),"",IF(TipoCalculo="JUROS SIMPLES",D157*E157*TaxaAoDia,FV(TaxaAoDia,E157,,-D157)-D157))</f>
        <v/>
      </c>
      <c r="G157" s="51" t="str">
        <f t="shared" si="4"/>
        <v/>
      </c>
      <c r="H157" s="51" t="str">
        <f t="shared" si="5"/>
        <v/>
      </c>
    </row>
    <row r="158" spans="5:8" x14ac:dyDescent="0.25">
      <c r="E158" s="50" t="str">
        <f>IF(OR(C158="",D158=""),"",AtualizarAte-C158)</f>
        <v/>
      </c>
      <c r="F158" s="51" t="str">
        <f>IF(OR(C158="",D158=""),"",IF(TipoCalculo="JUROS SIMPLES",D158*E158*TaxaAoDia,FV(TaxaAoDia,E158,,-D158)-D158))</f>
        <v/>
      </c>
      <c r="G158" s="51" t="str">
        <f t="shared" si="4"/>
        <v/>
      </c>
      <c r="H158" s="51" t="str">
        <f t="shared" si="5"/>
        <v/>
      </c>
    </row>
    <row r="159" spans="5:8" x14ac:dyDescent="0.25">
      <c r="E159" s="50" t="str">
        <f>IF(OR(C159="",D159=""),"",AtualizarAte-C159)</f>
        <v/>
      </c>
      <c r="F159" s="51" t="str">
        <f>IF(OR(C159="",D159=""),"",IF(TipoCalculo="JUROS SIMPLES",D159*E159*TaxaAoDia,FV(TaxaAoDia,E159,,-D159)-D159))</f>
        <v/>
      </c>
      <c r="G159" s="51" t="str">
        <f t="shared" si="4"/>
        <v/>
      </c>
      <c r="H159" s="51" t="str">
        <f t="shared" si="5"/>
        <v/>
      </c>
    </row>
    <row r="160" spans="5:8" x14ac:dyDescent="0.25">
      <c r="E160" s="50" t="str">
        <f>IF(OR(C160="",D160=""),"",AtualizarAte-C160)</f>
        <v/>
      </c>
      <c r="F160" s="51" t="str">
        <f>IF(OR(C160="",D160=""),"",IF(TipoCalculo="JUROS SIMPLES",D160*E160*TaxaAoDia,FV(TaxaAoDia,E160,,-D160)-D160))</f>
        <v/>
      </c>
      <c r="G160" s="51" t="str">
        <f t="shared" si="4"/>
        <v/>
      </c>
      <c r="H160" s="51" t="str">
        <f t="shared" si="5"/>
        <v/>
      </c>
    </row>
    <row r="161" spans="5:8" x14ac:dyDescent="0.25">
      <c r="E161" s="50" t="str">
        <f>IF(OR(C161="",D161=""),"",AtualizarAte-C161)</f>
        <v/>
      </c>
      <c r="F161" s="51" t="str">
        <f>IF(OR(C161="",D161=""),"",IF(TipoCalculo="JUROS SIMPLES",D161*E161*TaxaAoDia,FV(TaxaAoDia,E161,,-D161)-D161))</f>
        <v/>
      </c>
      <c r="G161" s="51" t="str">
        <f t="shared" si="4"/>
        <v/>
      </c>
      <c r="H161" s="51" t="str">
        <f t="shared" si="5"/>
        <v/>
      </c>
    </row>
    <row r="162" spans="5:8" x14ac:dyDescent="0.25">
      <c r="E162" s="50" t="str">
        <f>IF(OR(C162="",D162=""),"",AtualizarAte-C162)</f>
        <v/>
      </c>
      <c r="F162" s="51" t="str">
        <f>IF(OR(C162="",D162=""),"",IF(TipoCalculo="JUROS SIMPLES",D162*E162*TaxaAoDia,FV(TaxaAoDia,E162,,-D162)-D162))</f>
        <v/>
      </c>
      <c r="G162" s="51" t="str">
        <f t="shared" si="4"/>
        <v/>
      </c>
      <c r="H162" s="51" t="str">
        <f t="shared" si="5"/>
        <v/>
      </c>
    </row>
    <row r="163" spans="5:8" x14ac:dyDescent="0.25">
      <c r="E163" s="50" t="str">
        <f>IF(OR(C163="",D163=""),"",AtualizarAte-C163)</f>
        <v/>
      </c>
      <c r="F163" s="51" t="str">
        <f>IF(OR(C163="",D163=""),"",IF(TipoCalculo="JUROS SIMPLES",D163*E163*TaxaAoDia,FV(TaxaAoDia,E163,,-D163)-D163))</f>
        <v/>
      </c>
      <c r="G163" s="51" t="str">
        <f t="shared" si="4"/>
        <v/>
      </c>
      <c r="H163" s="51" t="str">
        <f t="shared" si="5"/>
        <v/>
      </c>
    </row>
    <row r="164" spans="5:8" x14ac:dyDescent="0.25">
      <c r="E164" s="50" t="str">
        <f>IF(OR(C164="",D164=""),"",AtualizarAte-C164)</f>
        <v/>
      </c>
      <c r="F164" s="51" t="str">
        <f>IF(OR(C164="",D164=""),"",IF(TipoCalculo="JUROS SIMPLES",D164*E164*TaxaAoDia,FV(TaxaAoDia,E164,,-D164)-D164))</f>
        <v/>
      </c>
      <c r="G164" s="51" t="str">
        <f t="shared" si="4"/>
        <v/>
      </c>
      <c r="H164" s="51" t="str">
        <f t="shared" si="5"/>
        <v/>
      </c>
    </row>
    <row r="165" spans="5:8" x14ac:dyDescent="0.25">
      <c r="E165" s="50" t="str">
        <f>IF(OR(C165="",D165=""),"",AtualizarAte-C165)</f>
        <v/>
      </c>
      <c r="F165" s="51" t="str">
        <f>IF(OR(C165="",D165=""),"",IF(TipoCalculo="JUROS SIMPLES",D165*E165*TaxaAoDia,FV(TaxaAoDia,E165,,-D165)-D165))</f>
        <v/>
      </c>
      <c r="G165" s="51" t="str">
        <f t="shared" si="4"/>
        <v/>
      </c>
      <c r="H165" s="51" t="str">
        <f t="shared" si="5"/>
        <v/>
      </c>
    </row>
    <row r="166" spans="5:8" x14ac:dyDescent="0.25">
      <c r="E166" s="50" t="str">
        <f>IF(OR(C166="",D166=""),"",AtualizarAte-C166)</f>
        <v/>
      </c>
      <c r="F166" s="51" t="str">
        <f>IF(OR(C166="",D166=""),"",IF(TipoCalculo="JUROS SIMPLES",D166*E166*TaxaAoDia,FV(TaxaAoDia,E166,,-D166)-D166))</f>
        <v/>
      </c>
      <c r="G166" s="51" t="str">
        <f t="shared" si="4"/>
        <v/>
      </c>
      <c r="H166" s="51" t="str">
        <f t="shared" si="5"/>
        <v/>
      </c>
    </row>
    <row r="167" spans="5:8" x14ac:dyDescent="0.25">
      <c r="E167" s="50" t="str">
        <f>IF(OR(C167="",D167=""),"",AtualizarAte-C167)</f>
        <v/>
      </c>
      <c r="F167" s="51" t="str">
        <f>IF(OR(C167="",D167=""),"",IF(TipoCalculo="JUROS SIMPLES",D167*E167*TaxaAoDia,FV(TaxaAoDia,E167,,-D167)-D167))</f>
        <v/>
      </c>
      <c r="G167" s="51" t="str">
        <f t="shared" si="4"/>
        <v/>
      </c>
      <c r="H167" s="51" t="str">
        <f t="shared" si="5"/>
        <v/>
      </c>
    </row>
    <row r="168" spans="5:8" x14ac:dyDescent="0.25">
      <c r="E168" s="50" t="str">
        <f>IF(OR(C168="",D168=""),"",AtualizarAte-C168)</f>
        <v/>
      </c>
      <c r="F168" s="51" t="str">
        <f>IF(OR(C168="",D168=""),"",IF(TipoCalculo="JUROS SIMPLES",D168*E168*TaxaAoDia,FV(TaxaAoDia,E168,,-D168)-D168))</f>
        <v/>
      </c>
      <c r="G168" s="51" t="str">
        <f t="shared" si="4"/>
        <v/>
      </c>
      <c r="H168" s="51" t="str">
        <f t="shared" si="5"/>
        <v/>
      </c>
    </row>
    <row r="169" spans="5:8" x14ac:dyDescent="0.25">
      <c r="E169" s="50" t="str">
        <f>IF(OR(C169="",D169=""),"",AtualizarAte-C169)</f>
        <v/>
      </c>
      <c r="F169" s="51" t="str">
        <f>IF(OR(C169="",D169=""),"",IF(TipoCalculo="JUROS SIMPLES",D169*E169*TaxaAoDia,FV(TaxaAoDia,E169,,-D169)-D169))</f>
        <v/>
      </c>
      <c r="G169" s="51" t="str">
        <f t="shared" si="4"/>
        <v/>
      </c>
      <c r="H169" s="51" t="str">
        <f t="shared" si="5"/>
        <v/>
      </c>
    </row>
    <row r="170" spans="5:8" x14ac:dyDescent="0.25">
      <c r="E170" s="50" t="str">
        <f>IF(OR(C170="",D170=""),"",AtualizarAte-C170)</f>
        <v/>
      </c>
      <c r="F170" s="51" t="str">
        <f>IF(OR(C170="",D170=""),"",IF(TipoCalculo="JUROS SIMPLES",D170*E170*TaxaAoDia,FV(TaxaAoDia,E170,,-D170)-D170))</f>
        <v/>
      </c>
      <c r="G170" s="51" t="str">
        <f t="shared" si="4"/>
        <v/>
      </c>
      <c r="H170" s="51" t="str">
        <f t="shared" si="5"/>
        <v/>
      </c>
    </row>
    <row r="171" spans="5:8" x14ac:dyDescent="0.25">
      <c r="E171" s="50" t="str">
        <f>IF(OR(C171="",D171=""),"",AtualizarAte-C171)</f>
        <v/>
      </c>
      <c r="F171" s="51" t="str">
        <f>IF(OR(C171="",D171=""),"",IF(TipoCalculo="JUROS SIMPLES",D171*E171*TaxaAoDia,FV(TaxaAoDia,E171,,-D171)-D171))</f>
        <v/>
      </c>
      <c r="G171" s="51" t="str">
        <f t="shared" si="4"/>
        <v/>
      </c>
      <c r="H171" s="51" t="str">
        <f t="shared" si="5"/>
        <v/>
      </c>
    </row>
    <row r="172" spans="5:8" x14ac:dyDescent="0.25">
      <c r="E172" s="50" t="str">
        <f>IF(OR(C172="",D172=""),"",AtualizarAte-C172)</f>
        <v/>
      </c>
      <c r="F172" s="51" t="str">
        <f>IF(OR(C172="",D172=""),"",IF(TipoCalculo="JUROS SIMPLES",D172*E172*TaxaAoDia,FV(TaxaAoDia,E172,,-D172)-D172))</f>
        <v/>
      </c>
      <c r="G172" s="51" t="str">
        <f t="shared" si="4"/>
        <v/>
      </c>
      <c r="H172" s="51" t="str">
        <f t="shared" si="5"/>
        <v/>
      </c>
    </row>
    <row r="173" spans="5:8" x14ac:dyDescent="0.25">
      <c r="E173" s="50" t="str">
        <f>IF(OR(C173="",D173=""),"",AtualizarAte-C173)</f>
        <v/>
      </c>
      <c r="F173" s="51" t="str">
        <f>IF(OR(C173="",D173=""),"",IF(TipoCalculo="JUROS SIMPLES",D173*E173*TaxaAoDia,FV(TaxaAoDia,E173,,-D173)-D173))</f>
        <v/>
      </c>
      <c r="G173" s="51" t="str">
        <f t="shared" si="4"/>
        <v/>
      </c>
      <c r="H173" s="51" t="str">
        <f t="shared" si="5"/>
        <v/>
      </c>
    </row>
    <row r="174" spans="5:8" x14ac:dyDescent="0.25">
      <c r="E174" s="50" t="str">
        <f>IF(OR(C174="",D174=""),"",AtualizarAte-C174)</f>
        <v/>
      </c>
      <c r="F174" s="51" t="str">
        <f>IF(OR(C174="",D174=""),"",IF(TipoCalculo="JUROS SIMPLES",D174*E174*TaxaAoDia,FV(TaxaAoDia,E174,,-D174)-D174))</f>
        <v/>
      </c>
      <c r="G174" s="51" t="str">
        <f t="shared" si="4"/>
        <v/>
      </c>
      <c r="H174" s="51" t="str">
        <f t="shared" si="5"/>
        <v/>
      </c>
    </row>
    <row r="175" spans="5:8" x14ac:dyDescent="0.25">
      <c r="E175" s="50" t="str">
        <f>IF(OR(C175="",D175=""),"",AtualizarAte-C175)</f>
        <v/>
      </c>
      <c r="F175" s="51" t="str">
        <f>IF(OR(C175="",D175=""),"",IF(TipoCalculo="JUROS SIMPLES",D175*E175*TaxaAoDia,FV(TaxaAoDia,E175,,-D175)-D175))</f>
        <v/>
      </c>
      <c r="G175" s="51" t="str">
        <f t="shared" si="4"/>
        <v/>
      </c>
      <c r="H175" s="51" t="str">
        <f t="shared" si="5"/>
        <v/>
      </c>
    </row>
    <row r="176" spans="5:8" x14ac:dyDescent="0.25">
      <c r="E176" s="50" t="str">
        <f>IF(OR(C176="",D176=""),"",AtualizarAte-C176)</f>
        <v/>
      </c>
      <c r="F176" s="51" t="str">
        <f>IF(OR(C176="",D176=""),"",IF(TipoCalculo="JUROS SIMPLES",D176*E176*TaxaAoDia,FV(TaxaAoDia,E176,,-D176)-D176))</f>
        <v/>
      </c>
      <c r="G176" s="51" t="str">
        <f t="shared" si="4"/>
        <v/>
      </c>
      <c r="H176" s="51" t="str">
        <f t="shared" si="5"/>
        <v/>
      </c>
    </row>
    <row r="177" spans="5:8" x14ac:dyDescent="0.25">
      <c r="E177" s="50" t="str">
        <f>IF(OR(C177="",D177=""),"",AtualizarAte-C177)</f>
        <v/>
      </c>
      <c r="F177" s="51" t="str">
        <f>IF(OR(C177="",D177=""),"",IF(TipoCalculo="JUROS SIMPLES",D177*E177*TaxaAoDia,FV(TaxaAoDia,E177,,-D177)-D177))</f>
        <v/>
      </c>
      <c r="G177" s="51" t="str">
        <f t="shared" si="4"/>
        <v/>
      </c>
      <c r="H177" s="51" t="str">
        <f t="shared" si="5"/>
        <v/>
      </c>
    </row>
    <row r="178" spans="5:8" x14ac:dyDescent="0.25">
      <c r="E178" s="50" t="str">
        <f>IF(OR(C178="",D178=""),"",AtualizarAte-C178)</f>
        <v/>
      </c>
      <c r="F178" s="51" t="str">
        <f>IF(OR(C178="",D178=""),"",IF(TipoCalculo="JUROS SIMPLES",D178*E178*TaxaAoDia,FV(TaxaAoDia,E178,,-D178)-D178))</f>
        <v/>
      </c>
      <c r="G178" s="51" t="str">
        <f t="shared" si="4"/>
        <v/>
      </c>
      <c r="H178" s="51" t="str">
        <f t="shared" si="5"/>
        <v/>
      </c>
    </row>
    <row r="179" spans="5:8" x14ac:dyDescent="0.25">
      <c r="E179" s="50" t="str">
        <f>IF(OR(C179="",D179=""),"",AtualizarAte-C179)</f>
        <v/>
      </c>
      <c r="F179" s="51" t="str">
        <f>IF(OR(C179="",D179=""),"",IF(TipoCalculo="JUROS SIMPLES",D179*E179*TaxaAoDia,FV(TaxaAoDia,E179,,-D179)-D179))</f>
        <v/>
      </c>
      <c r="G179" s="51" t="str">
        <f t="shared" si="4"/>
        <v/>
      </c>
      <c r="H179" s="51" t="str">
        <f t="shared" si="5"/>
        <v/>
      </c>
    </row>
    <row r="180" spans="5:8" x14ac:dyDescent="0.25">
      <c r="E180" s="50" t="str">
        <f>IF(OR(C180="",D180=""),"",AtualizarAte-C180)</f>
        <v/>
      </c>
      <c r="F180" s="51" t="str">
        <f>IF(OR(C180="",D180=""),"",IF(TipoCalculo="JUROS SIMPLES",D180*E180*TaxaAoDia,FV(TaxaAoDia,E180,,-D180)-D180))</f>
        <v/>
      </c>
      <c r="G180" s="51" t="str">
        <f t="shared" si="4"/>
        <v/>
      </c>
      <c r="H180" s="51" t="str">
        <f t="shared" si="5"/>
        <v/>
      </c>
    </row>
    <row r="181" spans="5:8" x14ac:dyDescent="0.25">
      <c r="E181" s="50" t="str">
        <f>IF(OR(C181="",D181=""),"",AtualizarAte-C181)</f>
        <v/>
      </c>
      <c r="F181" s="51" t="str">
        <f>IF(OR(C181="",D181=""),"",IF(TipoCalculo="JUROS SIMPLES",D181*E181*TaxaAoDia,FV(TaxaAoDia,E181,,-D181)-D181))</f>
        <v/>
      </c>
      <c r="G181" s="51" t="str">
        <f t="shared" si="4"/>
        <v/>
      </c>
      <c r="H181" s="51" t="str">
        <f t="shared" si="5"/>
        <v/>
      </c>
    </row>
    <row r="182" spans="5:8" x14ac:dyDescent="0.25">
      <c r="E182" s="50" t="str">
        <f>IF(OR(C182="",D182=""),"",AtualizarAte-C182)</f>
        <v/>
      </c>
      <c r="F182" s="51" t="str">
        <f>IF(OR(C182="",D182=""),"",IF(TipoCalculo="JUROS SIMPLES",D182*E182*TaxaAoDia,FV(TaxaAoDia,E182,,-D182)-D182))</f>
        <v/>
      </c>
      <c r="G182" s="51" t="str">
        <f t="shared" si="4"/>
        <v/>
      </c>
      <c r="H182" s="51" t="str">
        <f t="shared" si="5"/>
        <v/>
      </c>
    </row>
    <row r="183" spans="5:8" x14ac:dyDescent="0.25">
      <c r="E183" s="50" t="str">
        <f>IF(OR(C183="",D183=""),"",AtualizarAte-C183)</f>
        <v/>
      </c>
      <c r="F183" s="51" t="str">
        <f>IF(OR(C183="",D183=""),"",IF(TipoCalculo="JUROS SIMPLES",D183*E183*TaxaAoDia,FV(TaxaAoDia,E183,,-D183)-D183))</f>
        <v/>
      </c>
      <c r="G183" s="51" t="str">
        <f t="shared" si="4"/>
        <v/>
      </c>
      <c r="H183" s="51" t="str">
        <f t="shared" si="5"/>
        <v/>
      </c>
    </row>
    <row r="184" spans="5:8" x14ac:dyDescent="0.25">
      <c r="E184" s="50" t="str">
        <f>IF(OR(C184="",D184=""),"",AtualizarAte-C184)</f>
        <v/>
      </c>
      <c r="F184" s="51" t="str">
        <f>IF(OR(C184="",D184=""),"",IF(TipoCalculo="JUROS SIMPLES",D184*E184*TaxaAoDia,FV(TaxaAoDia,E184,,-D184)-D184))</f>
        <v/>
      </c>
      <c r="G184" s="51" t="str">
        <f t="shared" si="4"/>
        <v/>
      </c>
      <c r="H184" s="51" t="str">
        <f t="shared" si="5"/>
        <v/>
      </c>
    </row>
    <row r="185" spans="5:8" x14ac:dyDescent="0.25">
      <c r="E185" s="50" t="str">
        <f>IF(OR(C185="",D185=""),"",AtualizarAte-C185)</f>
        <v/>
      </c>
      <c r="F185" s="51" t="str">
        <f>IF(OR(C185="",D185=""),"",IF(TipoCalculo="JUROS SIMPLES",D185*E185*TaxaAoDia,FV(TaxaAoDia,E185,,-D185)-D185))</f>
        <v/>
      </c>
      <c r="G185" s="51" t="str">
        <f t="shared" si="4"/>
        <v/>
      </c>
      <c r="H185" s="51" t="str">
        <f t="shared" si="5"/>
        <v/>
      </c>
    </row>
    <row r="186" spans="5:8" x14ac:dyDescent="0.25">
      <c r="E186" s="50" t="str">
        <f>IF(OR(C186="",D186=""),"",AtualizarAte-C186)</f>
        <v/>
      </c>
      <c r="F186" s="51" t="str">
        <f>IF(OR(C186="",D186=""),"",IF(TipoCalculo="JUROS SIMPLES",D186*E186*TaxaAoDia,FV(TaxaAoDia,E186,,-D186)-D186))</f>
        <v/>
      </c>
      <c r="G186" s="51" t="str">
        <f t="shared" si="4"/>
        <v/>
      </c>
      <c r="H186" s="51" t="str">
        <f t="shared" si="5"/>
        <v/>
      </c>
    </row>
    <row r="187" spans="5:8" x14ac:dyDescent="0.25">
      <c r="E187" s="50" t="str">
        <f>IF(OR(C187="",D187=""),"",AtualizarAte-C187)</f>
        <v/>
      </c>
      <c r="F187" s="51" t="str">
        <f>IF(OR(C187="",D187=""),"",IF(TipoCalculo="JUROS SIMPLES",D187*E187*TaxaAoDia,FV(TaxaAoDia,E187,,-D187)-D187))</f>
        <v/>
      </c>
      <c r="G187" s="51" t="str">
        <f t="shared" si="4"/>
        <v/>
      </c>
      <c r="H187" s="51" t="str">
        <f t="shared" si="5"/>
        <v/>
      </c>
    </row>
    <row r="188" spans="5:8" x14ac:dyDescent="0.25">
      <c r="E188" s="50" t="str">
        <f>IF(OR(C188="",D188=""),"",AtualizarAte-C188)</f>
        <v/>
      </c>
      <c r="F188" s="51" t="str">
        <f>IF(OR(C188="",D188=""),"",IF(TipoCalculo="JUROS SIMPLES",D188*E188*TaxaAoDia,FV(TaxaAoDia,E188,,-D188)-D188))</f>
        <v/>
      </c>
      <c r="G188" s="51" t="str">
        <f t="shared" si="4"/>
        <v/>
      </c>
      <c r="H188" s="51" t="str">
        <f t="shared" si="5"/>
        <v/>
      </c>
    </row>
    <row r="189" spans="5:8" x14ac:dyDescent="0.25">
      <c r="E189" s="50" t="str">
        <f>IF(OR(C189="",D189=""),"",AtualizarAte-C189)</f>
        <v/>
      </c>
      <c r="F189" s="51" t="str">
        <f>IF(OR(C189="",D189=""),"",IF(TipoCalculo="JUROS SIMPLES",D189*E189*TaxaAoDia,FV(TaxaAoDia,E189,,-D189)-D189))</f>
        <v/>
      </c>
      <c r="G189" s="51" t="str">
        <f t="shared" si="4"/>
        <v/>
      </c>
      <c r="H189" s="51" t="str">
        <f t="shared" si="5"/>
        <v/>
      </c>
    </row>
    <row r="190" spans="5:8" x14ac:dyDescent="0.25">
      <c r="E190" s="50" t="str">
        <f>IF(OR(C190="",D190=""),"",AtualizarAte-C190)</f>
        <v/>
      </c>
      <c r="F190" s="51" t="str">
        <f>IF(OR(C190="",D190=""),"",IF(TipoCalculo="JUROS SIMPLES",D190*E190*TaxaAoDia,FV(TaxaAoDia,E190,,-D190)-D190))</f>
        <v/>
      </c>
      <c r="G190" s="51" t="str">
        <f t="shared" si="4"/>
        <v/>
      </c>
      <c r="H190" s="51" t="str">
        <f t="shared" si="5"/>
        <v/>
      </c>
    </row>
    <row r="191" spans="5:8" x14ac:dyDescent="0.25">
      <c r="E191" s="50" t="str">
        <f>IF(OR(C191="",D191=""),"",AtualizarAte-C191)</f>
        <v/>
      </c>
      <c r="F191" s="51" t="str">
        <f>IF(OR(C191="",D191=""),"",IF(TipoCalculo="JUROS SIMPLES",D191*E191*TaxaAoDia,FV(TaxaAoDia,E191,,-D191)-D191))</f>
        <v/>
      </c>
      <c r="G191" s="51" t="str">
        <f t="shared" si="4"/>
        <v/>
      </c>
      <c r="H191" s="51" t="str">
        <f t="shared" si="5"/>
        <v/>
      </c>
    </row>
    <row r="192" spans="5:8" x14ac:dyDescent="0.25">
      <c r="E192" s="50" t="str">
        <f>IF(OR(C192="",D192=""),"",AtualizarAte-C192)</f>
        <v/>
      </c>
      <c r="F192" s="51" t="str">
        <f>IF(OR(C192="",D192=""),"",IF(TipoCalculo="JUROS SIMPLES",D192*E192*TaxaAoDia,FV(TaxaAoDia,E192,,-D192)-D192))</f>
        <v/>
      </c>
      <c r="G192" s="51" t="str">
        <f t="shared" si="4"/>
        <v/>
      </c>
      <c r="H192" s="51" t="str">
        <f t="shared" si="5"/>
        <v/>
      </c>
    </row>
    <row r="193" spans="5:8" x14ac:dyDescent="0.25">
      <c r="E193" s="50" t="str">
        <f>IF(OR(C193="",D193=""),"",AtualizarAte-C193)</f>
        <v/>
      </c>
      <c r="F193" s="51" t="str">
        <f>IF(OR(C193="",D193=""),"",IF(TipoCalculo="JUROS SIMPLES",D193*E193*TaxaAoDia,FV(TaxaAoDia,E193,,-D193)-D193))</f>
        <v/>
      </c>
      <c r="G193" s="51" t="str">
        <f t="shared" si="4"/>
        <v/>
      </c>
      <c r="H193" s="51" t="str">
        <f t="shared" si="5"/>
        <v/>
      </c>
    </row>
    <row r="194" spans="5:8" x14ac:dyDescent="0.25">
      <c r="E194" s="50" t="str">
        <f>IF(OR(C194="",D194=""),"",AtualizarAte-C194)</f>
        <v/>
      </c>
      <c r="F194" s="51" t="str">
        <f>IF(OR(C194="",D194=""),"",IF(TipoCalculo="JUROS SIMPLES",D194*E194*TaxaAoDia,FV(TaxaAoDia,E194,,-D194)-D194))</f>
        <v/>
      </c>
      <c r="G194" s="51" t="str">
        <f t="shared" si="4"/>
        <v/>
      </c>
      <c r="H194" s="51" t="str">
        <f t="shared" si="5"/>
        <v/>
      </c>
    </row>
    <row r="195" spans="5:8" x14ac:dyDescent="0.25">
      <c r="E195" s="50" t="str">
        <f>IF(OR(C195="",D195=""),"",AtualizarAte-C195)</f>
        <v/>
      </c>
      <c r="F195" s="51" t="str">
        <f>IF(OR(C195="",D195=""),"",IF(TipoCalculo="JUROS SIMPLES",D195*E195*TaxaAoDia,FV(TaxaAoDia,E195,,-D195)-D195))</f>
        <v/>
      </c>
      <c r="G195" s="51" t="str">
        <f t="shared" si="4"/>
        <v/>
      </c>
      <c r="H195" s="51" t="str">
        <f t="shared" si="5"/>
        <v/>
      </c>
    </row>
    <row r="196" spans="5:8" x14ac:dyDescent="0.25">
      <c r="E196" s="50" t="str">
        <f>IF(OR(C196="",D196=""),"",AtualizarAte-C196)</f>
        <v/>
      </c>
      <c r="F196" s="51" t="str">
        <f>IF(OR(C196="",D196=""),"",IF(TipoCalculo="JUROS SIMPLES",D196*E196*TaxaAoDia,FV(TaxaAoDia,E196,,-D196)-D196))</f>
        <v/>
      </c>
      <c r="G196" s="51" t="str">
        <f t="shared" si="4"/>
        <v/>
      </c>
      <c r="H196" s="51" t="str">
        <f t="shared" si="5"/>
        <v/>
      </c>
    </row>
    <row r="197" spans="5:8" x14ac:dyDescent="0.25">
      <c r="E197" s="50" t="str">
        <f>IF(OR(C197="",D197=""),"",AtualizarAte-C197)</f>
        <v/>
      </c>
      <c r="F197" s="51" t="str">
        <f>IF(OR(C197="",D197=""),"",IF(TipoCalculo="JUROS SIMPLES",D197*E197*TaxaAoDia,FV(TaxaAoDia,E197,,-D197)-D197))</f>
        <v/>
      </c>
      <c r="G197" s="51" t="str">
        <f t="shared" si="4"/>
        <v/>
      </c>
      <c r="H197" s="51" t="str">
        <f t="shared" si="5"/>
        <v/>
      </c>
    </row>
    <row r="198" spans="5:8" x14ac:dyDescent="0.25">
      <c r="E198" s="50" t="str">
        <f>IF(OR(C198="",D198=""),"",AtualizarAte-C198)</f>
        <v/>
      </c>
      <c r="F198" s="51" t="str">
        <f>IF(OR(C198="",D198=""),"",IF(TipoCalculo="JUROS SIMPLES",D198*E198*TaxaAoDia,FV(TaxaAoDia,E198,,-D198)-D198))</f>
        <v/>
      </c>
      <c r="G198" s="51" t="str">
        <f t="shared" si="4"/>
        <v/>
      </c>
      <c r="H198" s="51" t="str">
        <f t="shared" si="5"/>
        <v/>
      </c>
    </row>
    <row r="199" spans="5:8" x14ac:dyDescent="0.25">
      <c r="E199" s="50" t="str">
        <f>IF(OR(C199="",D199=""),"",AtualizarAte-C199)</f>
        <v/>
      </c>
      <c r="F199" s="51" t="str">
        <f>IF(OR(C199="",D199=""),"",IF(TipoCalculo="JUROS SIMPLES",D199*E199*TaxaAoDia,FV(TaxaAoDia,E199,,-D199)-D199))</f>
        <v/>
      </c>
      <c r="G199" s="51" t="str">
        <f t="shared" si="4"/>
        <v/>
      </c>
      <c r="H199" s="51" t="str">
        <f t="shared" si="5"/>
        <v/>
      </c>
    </row>
    <row r="200" spans="5:8" x14ac:dyDescent="0.25">
      <c r="E200" s="50" t="str">
        <f>IF(OR(C200="",D200=""),"",AtualizarAte-C200)</f>
        <v/>
      </c>
      <c r="F200" s="51" t="str">
        <f>IF(OR(C200="",D200=""),"",IF(TipoCalculo="JUROS SIMPLES",D200*E200*TaxaAoDia,FV(TaxaAoDia,E200,,-D200)-D200))</f>
        <v/>
      </c>
      <c r="G200" s="51" t="str">
        <f t="shared" si="4"/>
        <v/>
      </c>
      <c r="H200" s="51" t="str">
        <f t="shared" si="5"/>
        <v/>
      </c>
    </row>
    <row r="201" spans="5:8" x14ac:dyDescent="0.25">
      <c r="E201" s="50" t="str">
        <f>IF(OR(C201="",D201=""),"",AtualizarAte-C201)</f>
        <v/>
      </c>
      <c r="F201" s="51" t="str">
        <f>IF(OR(C201="",D201=""),"",IF(TipoCalculo="JUROS SIMPLES",D201*E201*TaxaAoDia,FV(TaxaAoDia,E201,,-D201)-D201))</f>
        <v/>
      </c>
      <c r="G201" s="51" t="str">
        <f t="shared" si="4"/>
        <v/>
      </c>
      <c r="H201" s="51" t="str">
        <f t="shared" si="5"/>
        <v/>
      </c>
    </row>
    <row r="202" spans="5:8" x14ac:dyDescent="0.25">
      <c r="E202" s="50" t="str">
        <f>IF(OR(C202="",D202=""),"",AtualizarAte-C202)</f>
        <v/>
      </c>
      <c r="F202" s="51" t="str">
        <f>IF(OR(C202="",D202=""),"",IF(TipoCalculo="JUROS SIMPLES",D202*E202*TaxaAoDia,FV(TaxaAoDia,E202,,-D202)-D202))</f>
        <v/>
      </c>
      <c r="G202" s="51" t="str">
        <f t="shared" si="4"/>
        <v/>
      </c>
      <c r="H202" s="51" t="str">
        <f t="shared" si="5"/>
        <v/>
      </c>
    </row>
    <row r="203" spans="5:8" x14ac:dyDescent="0.25">
      <c r="E203" s="50" t="str">
        <f>IF(OR(C203="",D203=""),"",AtualizarAte-C203)</f>
        <v/>
      </c>
      <c r="F203" s="51" t="str">
        <f>IF(OR(C203="",D203=""),"",IF(TipoCalculo="JUROS SIMPLES",D203*E203*TaxaAoDia,FV(TaxaAoDia,E203,,-D203)-D203))</f>
        <v/>
      </c>
      <c r="G203" s="51" t="str">
        <f t="shared" si="4"/>
        <v/>
      </c>
      <c r="H203" s="51" t="str">
        <f t="shared" si="5"/>
        <v/>
      </c>
    </row>
    <row r="204" spans="5:8" x14ac:dyDescent="0.25">
      <c r="E204" s="50" t="str">
        <f>IF(OR(C204="",D204=""),"",AtualizarAte-C204)</f>
        <v/>
      </c>
      <c r="F204" s="51" t="str">
        <f>IF(OR(C204="",D204=""),"",IF(TipoCalculo="JUROS SIMPLES",D204*E204*TaxaAoDia,FV(TaxaAoDia,E204,,-D204)-D204))</f>
        <v/>
      </c>
      <c r="G204" s="51" t="str">
        <f t="shared" si="4"/>
        <v/>
      </c>
      <c r="H204" s="51" t="str">
        <f t="shared" si="5"/>
        <v/>
      </c>
    </row>
    <row r="205" spans="5:8" x14ac:dyDescent="0.25">
      <c r="E205" s="50" t="str">
        <f>IF(OR(C205="",D205=""),"",AtualizarAte-C205)</f>
        <v/>
      </c>
      <c r="F205" s="51" t="str">
        <f>IF(OR(C205="",D205=""),"",IF(TipoCalculo="JUROS SIMPLES",D205*E205*TaxaAoDia,FV(TaxaAoDia,E205,,-D205)-D205))</f>
        <v/>
      </c>
      <c r="G205" s="51" t="str">
        <f t="shared" ref="G205:G268" si="6">IF(OR(C205="",D205=""),"",D205+F205)</f>
        <v/>
      </c>
      <c r="H205" s="51" t="str">
        <f t="shared" ref="H205:H268" si="7">IF(C205="","",IF(D205="","",IF(H204="SALDO ATUALIZ.",G205,H204+G205)))</f>
        <v/>
      </c>
    </row>
    <row r="206" spans="5:8" x14ac:dyDescent="0.25">
      <c r="E206" s="50" t="str">
        <f>IF(OR(C206="",D206=""),"",AtualizarAte-C206)</f>
        <v/>
      </c>
      <c r="F206" s="51" t="str">
        <f>IF(OR(C206="",D206=""),"",IF(TipoCalculo="JUROS SIMPLES",D206*E206*TaxaAoDia,FV(TaxaAoDia,E206,,-D206)-D206))</f>
        <v/>
      </c>
      <c r="G206" s="51" t="str">
        <f t="shared" si="6"/>
        <v/>
      </c>
      <c r="H206" s="51" t="str">
        <f t="shared" si="7"/>
        <v/>
      </c>
    </row>
    <row r="207" spans="5:8" x14ac:dyDescent="0.25">
      <c r="E207" s="50" t="str">
        <f>IF(OR(C207="",D207=""),"",AtualizarAte-C207)</f>
        <v/>
      </c>
      <c r="F207" s="51" t="str">
        <f>IF(OR(C207="",D207=""),"",IF(TipoCalculo="JUROS SIMPLES",D207*E207*TaxaAoDia,FV(TaxaAoDia,E207,,-D207)-D207))</f>
        <v/>
      </c>
      <c r="G207" s="51" t="str">
        <f t="shared" si="6"/>
        <v/>
      </c>
      <c r="H207" s="51" t="str">
        <f t="shared" si="7"/>
        <v/>
      </c>
    </row>
    <row r="208" spans="5:8" x14ac:dyDescent="0.25">
      <c r="E208" s="50" t="str">
        <f>IF(OR(C208="",D208=""),"",AtualizarAte-C208)</f>
        <v/>
      </c>
      <c r="F208" s="51" t="str">
        <f>IF(OR(C208="",D208=""),"",IF(TipoCalculo="JUROS SIMPLES",D208*E208*TaxaAoDia,FV(TaxaAoDia,E208,,-D208)-D208))</f>
        <v/>
      </c>
      <c r="G208" s="51" t="str">
        <f t="shared" si="6"/>
        <v/>
      </c>
      <c r="H208" s="51" t="str">
        <f t="shared" si="7"/>
        <v/>
      </c>
    </row>
    <row r="209" spans="5:8" x14ac:dyDescent="0.25">
      <c r="E209" s="50" t="str">
        <f>IF(OR(C209="",D209=""),"",AtualizarAte-C209)</f>
        <v/>
      </c>
      <c r="F209" s="51" t="str">
        <f>IF(OR(C209="",D209=""),"",IF(TipoCalculo="JUROS SIMPLES",D209*E209*TaxaAoDia,FV(TaxaAoDia,E209,,-D209)-D209))</f>
        <v/>
      </c>
      <c r="G209" s="51" t="str">
        <f t="shared" si="6"/>
        <v/>
      </c>
      <c r="H209" s="51" t="str">
        <f t="shared" si="7"/>
        <v/>
      </c>
    </row>
    <row r="210" spans="5:8" x14ac:dyDescent="0.25">
      <c r="E210" s="50" t="str">
        <f>IF(OR(C210="",D210=""),"",AtualizarAte-C210)</f>
        <v/>
      </c>
      <c r="F210" s="51" t="str">
        <f>IF(OR(C210="",D210=""),"",IF(TipoCalculo="JUROS SIMPLES",D210*E210*TaxaAoDia,FV(TaxaAoDia,E210,,-D210)-D210))</f>
        <v/>
      </c>
      <c r="G210" s="51" t="str">
        <f t="shared" si="6"/>
        <v/>
      </c>
      <c r="H210" s="51" t="str">
        <f t="shared" si="7"/>
        <v/>
      </c>
    </row>
    <row r="211" spans="5:8" x14ac:dyDescent="0.25">
      <c r="E211" s="50" t="str">
        <f>IF(OR(C211="",D211=""),"",AtualizarAte-C211)</f>
        <v/>
      </c>
      <c r="F211" s="51" t="str">
        <f>IF(OR(C211="",D211=""),"",IF(TipoCalculo="JUROS SIMPLES",D211*E211*TaxaAoDia,FV(TaxaAoDia,E211,,-D211)-D211))</f>
        <v/>
      </c>
      <c r="G211" s="51" t="str">
        <f t="shared" si="6"/>
        <v/>
      </c>
      <c r="H211" s="51" t="str">
        <f t="shared" si="7"/>
        <v/>
      </c>
    </row>
    <row r="212" spans="5:8" x14ac:dyDescent="0.25">
      <c r="E212" s="50" t="str">
        <f>IF(OR(C212="",D212=""),"",AtualizarAte-C212)</f>
        <v/>
      </c>
      <c r="F212" s="51" t="str">
        <f>IF(OR(C212="",D212=""),"",IF(TipoCalculo="JUROS SIMPLES",D212*E212*TaxaAoDia,FV(TaxaAoDia,E212,,-D212)-D212))</f>
        <v/>
      </c>
      <c r="G212" s="51" t="str">
        <f t="shared" si="6"/>
        <v/>
      </c>
      <c r="H212" s="51" t="str">
        <f t="shared" si="7"/>
        <v/>
      </c>
    </row>
    <row r="213" spans="5:8" x14ac:dyDescent="0.25">
      <c r="E213" s="50" t="str">
        <f>IF(OR(C213="",D213=""),"",AtualizarAte-C213)</f>
        <v/>
      </c>
      <c r="F213" s="51" t="str">
        <f>IF(OR(C213="",D213=""),"",IF(TipoCalculo="JUROS SIMPLES",D213*E213*TaxaAoDia,FV(TaxaAoDia,E213,,-D213)-D213))</f>
        <v/>
      </c>
      <c r="G213" s="51" t="str">
        <f t="shared" si="6"/>
        <v/>
      </c>
      <c r="H213" s="51" t="str">
        <f t="shared" si="7"/>
        <v/>
      </c>
    </row>
    <row r="214" spans="5:8" x14ac:dyDescent="0.25">
      <c r="E214" s="50" t="str">
        <f>IF(OR(C214="",D214=""),"",AtualizarAte-C214)</f>
        <v/>
      </c>
      <c r="F214" s="51" t="str">
        <f>IF(OR(C214="",D214=""),"",IF(TipoCalculo="JUROS SIMPLES",D214*E214*TaxaAoDia,FV(TaxaAoDia,E214,,-D214)-D214))</f>
        <v/>
      </c>
      <c r="G214" s="51" t="str">
        <f t="shared" si="6"/>
        <v/>
      </c>
      <c r="H214" s="51" t="str">
        <f t="shared" si="7"/>
        <v/>
      </c>
    </row>
    <row r="215" spans="5:8" x14ac:dyDescent="0.25">
      <c r="E215" s="50" t="str">
        <f>IF(OR(C215="",D215=""),"",AtualizarAte-C215)</f>
        <v/>
      </c>
      <c r="F215" s="51" t="str">
        <f>IF(OR(C215="",D215=""),"",IF(TipoCalculo="JUROS SIMPLES",D215*E215*TaxaAoDia,FV(TaxaAoDia,E215,,-D215)-D215))</f>
        <v/>
      </c>
      <c r="G215" s="51" t="str">
        <f t="shared" si="6"/>
        <v/>
      </c>
      <c r="H215" s="51" t="str">
        <f t="shared" si="7"/>
        <v/>
      </c>
    </row>
    <row r="216" spans="5:8" x14ac:dyDescent="0.25">
      <c r="E216" s="50" t="str">
        <f>IF(OR(C216="",D216=""),"",AtualizarAte-C216)</f>
        <v/>
      </c>
      <c r="F216" s="51" t="str">
        <f>IF(OR(C216="",D216=""),"",IF(TipoCalculo="JUROS SIMPLES",D216*E216*TaxaAoDia,FV(TaxaAoDia,E216,,-D216)-D216))</f>
        <v/>
      </c>
      <c r="G216" s="51" t="str">
        <f t="shared" si="6"/>
        <v/>
      </c>
      <c r="H216" s="51" t="str">
        <f t="shared" si="7"/>
        <v/>
      </c>
    </row>
    <row r="217" spans="5:8" x14ac:dyDescent="0.25">
      <c r="E217" s="50" t="str">
        <f>IF(OR(C217="",D217=""),"",AtualizarAte-C217)</f>
        <v/>
      </c>
      <c r="F217" s="51" t="str">
        <f>IF(OR(C217="",D217=""),"",IF(TipoCalculo="JUROS SIMPLES",D217*E217*TaxaAoDia,FV(TaxaAoDia,E217,,-D217)-D217))</f>
        <v/>
      </c>
      <c r="G217" s="51" t="str">
        <f t="shared" si="6"/>
        <v/>
      </c>
      <c r="H217" s="51" t="str">
        <f t="shared" si="7"/>
        <v/>
      </c>
    </row>
    <row r="218" spans="5:8" x14ac:dyDescent="0.25">
      <c r="E218" s="50" t="str">
        <f>IF(OR(C218="",D218=""),"",AtualizarAte-C218)</f>
        <v/>
      </c>
      <c r="F218" s="51" t="str">
        <f>IF(OR(C218="",D218=""),"",IF(TipoCalculo="JUROS SIMPLES",D218*E218*TaxaAoDia,FV(TaxaAoDia,E218,,-D218)-D218))</f>
        <v/>
      </c>
      <c r="G218" s="51" t="str">
        <f t="shared" si="6"/>
        <v/>
      </c>
      <c r="H218" s="51" t="str">
        <f t="shared" si="7"/>
        <v/>
      </c>
    </row>
    <row r="219" spans="5:8" x14ac:dyDescent="0.25">
      <c r="E219" s="50" t="str">
        <f>IF(OR(C219="",D219=""),"",AtualizarAte-C219)</f>
        <v/>
      </c>
      <c r="F219" s="51" t="str">
        <f>IF(OR(C219="",D219=""),"",IF(TipoCalculo="JUROS SIMPLES",D219*E219*TaxaAoDia,FV(TaxaAoDia,E219,,-D219)-D219))</f>
        <v/>
      </c>
      <c r="G219" s="51" t="str">
        <f t="shared" si="6"/>
        <v/>
      </c>
      <c r="H219" s="51" t="str">
        <f t="shared" si="7"/>
        <v/>
      </c>
    </row>
    <row r="220" spans="5:8" x14ac:dyDescent="0.25">
      <c r="E220" s="50" t="str">
        <f>IF(OR(C220="",D220=""),"",AtualizarAte-C220)</f>
        <v/>
      </c>
      <c r="F220" s="51" t="str">
        <f>IF(OR(C220="",D220=""),"",IF(TipoCalculo="JUROS SIMPLES",D220*E220*TaxaAoDia,FV(TaxaAoDia,E220,,-D220)-D220))</f>
        <v/>
      </c>
      <c r="G220" s="51" t="str">
        <f t="shared" si="6"/>
        <v/>
      </c>
      <c r="H220" s="51" t="str">
        <f t="shared" si="7"/>
        <v/>
      </c>
    </row>
    <row r="221" spans="5:8" x14ac:dyDescent="0.25">
      <c r="E221" s="50" t="str">
        <f>IF(OR(C221="",D221=""),"",AtualizarAte-C221)</f>
        <v/>
      </c>
      <c r="F221" s="51" t="str">
        <f>IF(OR(C221="",D221=""),"",IF(TipoCalculo="JUROS SIMPLES",D221*E221*TaxaAoDia,FV(TaxaAoDia,E221,,-D221)-D221))</f>
        <v/>
      </c>
      <c r="G221" s="51" t="str">
        <f t="shared" si="6"/>
        <v/>
      </c>
      <c r="H221" s="51" t="str">
        <f t="shared" si="7"/>
        <v/>
      </c>
    </row>
    <row r="222" spans="5:8" x14ac:dyDescent="0.25">
      <c r="E222" s="50" t="str">
        <f>IF(OR(C222="",D222=""),"",AtualizarAte-C222)</f>
        <v/>
      </c>
      <c r="F222" s="51" t="str">
        <f>IF(OR(C222="",D222=""),"",IF(TipoCalculo="JUROS SIMPLES",D222*E222*TaxaAoDia,FV(TaxaAoDia,E222,,-D222)-D222))</f>
        <v/>
      </c>
      <c r="G222" s="51" t="str">
        <f t="shared" si="6"/>
        <v/>
      </c>
      <c r="H222" s="51" t="str">
        <f t="shared" si="7"/>
        <v/>
      </c>
    </row>
    <row r="223" spans="5:8" x14ac:dyDescent="0.25">
      <c r="E223" s="50" t="str">
        <f>IF(OR(C223="",D223=""),"",AtualizarAte-C223)</f>
        <v/>
      </c>
      <c r="F223" s="51" t="str">
        <f>IF(OR(C223="",D223=""),"",IF(TipoCalculo="JUROS SIMPLES",D223*E223*TaxaAoDia,FV(TaxaAoDia,E223,,-D223)-D223))</f>
        <v/>
      </c>
      <c r="G223" s="51" t="str">
        <f t="shared" si="6"/>
        <v/>
      </c>
      <c r="H223" s="51" t="str">
        <f t="shared" si="7"/>
        <v/>
      </c>
    </row>
    <row r="224" spans="5:8" x14ac:dyDescent="0.25">
      <c r="E224" s="50" t="str">
        <f>IF(OR(C224="",D224=""),"",AtualizarAte-C224)</f>
        <v/>
      </c>
      <c r="F224" s="51" t="str">
        <f>IF(OR(C224="",D224=""),"",IF(TipoCalculo="JUROS SIMPLES",D224*E224*TaxaAoDia,FV(TaxaAoDia,E224,,-D224)-D224))</f>
        <v/>
      </c>
      <c r="G224" s="51" t="str">
        <f t="shared" si="6"/>
        <v/>
      </c>
      <c r="H224" s="51" t="str">
        <f t="shared" si="7"/>
        <v/>
      </c>
    </row>
    <row r="225" spans="5:8" x14ac:dyDescent="0.25">
      <c r="E225" s="50" t="str">
        <f>IF(OR(C225="",D225=""),"",AtualizarAte-C225)</f>
        <v/>
      </c>
      <c r="F225" s="51" t="str">
        <f>IF(OR(C225="",D225=""),"",IF(TipoCalculo="JUROS SIMPLES",D225*E225*TaxaAoDia,FV(TaxaAoDia,E225,,-D225)-D225))</f>
        <v/>
      </c>
      <c r="G225" s="51" t="str">
        <f t="shared" si="6"/>
        <v/>
      </c>
      <c r="H225" s="51" t="str">
        <f t="shared" si="7"/>
        <v/>
      </c>
    </row>
    <row r="226" spans="5:8" x14ac:dyDescent="0.25">
      <c r="E226" s="50" t="str">
        <f>IF(OR(C226="",D226=""),"",AtualizarAte-C226)</f>
        <v/>
      </c>
      <c r="F226" s="51" t="str">
        <f>IF(OR(C226="",D226=""),"",IF(TipoCalculo="JUROS SIMPLES",D226*E226*TaxaAoDia,FV(TaxaAoDia,E226,,-D226)-D226))</f>
        <v/>
      </c>
      <c r="G226" s="51" t="str">
        <f t="shared" si="6"/>
        <v/>
      </c>
      <c r="H226" s="51" t="str">
        <f t="shared" si="7"/>
        <v/>
      </c>
    </row>
    <row r="227" spans="5:8" x14ac:dyDescent="0.25">
      <c r="E227" s="50" t="str">
        <f>IF(OR(C227="",D227=""),"",AtualizarAte-C227)</f>
        <v/>
      </c>
      <c r="F227" s="51" t="str">
        <f>IF(OR(C227="",D227=""),"",IF(TipoCalculo="JUROS SIMPLES",D227*E227*TaxaAoDia,FV(TaxaAoDia,E227,,-D227)-D227))</f>
        <v/>
      </c>
      <c r="G227" s="51" t="str">
        <f t="shared" si="6"/>
        <v/>
      </c>
      <c r="H227" s="51" t="str">
        <f t="shared" si="7"/>
        <v/>
      </c>
    </row>
    <row r="228" spans="5:8" x14ac:dyDescent="0.25">
      <c r="E228" s="50" t="str">
        <f>IF(OR(C228="",D228=""),"",AtualizarAte-C228)</f>
        <v/>
      </c>
      <c r="F228" s="51" t="str">
        <f>IF(OR(C228="",D228=""),"",IF(TipoCalculo="JUROS SIMPLES",D228*E228*TaxaAoDia,FV(TaxaAoDia,E228,,-D228)-D228))</f>
        <v/>
      </c>
      <c r="G228" s="51" t="str">
        <f t="shared" si="6"/>
        <v/>
      </c>
      <c r="H228" s="51" t="str">
        <f t="shared" si="7"/>
        <v/>
      </c>
    </row>
    <row r="229" spans="5:8" x14ac:dyDescent="0.25">
      <c r="E229" s="50" t="str">
        <f>IF(OR(C229="",D229=""),"",AtualizarAte-C229)</f>
        <v/>
      </c>
      <c r="F229" s="51" t="str">
        <f>IF(OR(C229="",D229=""),"",IF(TipoCalculo="JUROS SIMPLES",D229*E229*TaxaAoDia,FV(TaxaAoDia,E229,,-D229)-D229))</f>
        <v/>
      </c>
      <c r="G229" s="51" t="str">
        <f t="shared" si="6"/>
        <v/>
      </c>
      <c r="H229" s="51" t="str">
        <f t="shared" si="7"/>
        <v/>
      </c>
    </row>
    <row r="230" spans="5:8" x14ac:dyDescent="0.25">
      <c r="E230" s="50" t="str">
        <f>IF(OR(C230="",D230=""),"",AtualizarAte-C230)</f>
        <v/>
      </c>
      <c r="F230" s="51" t="str">
        <f>IF(OR(C230="",D230=""),"",IF(TipoCalculo="JUROS SIMPLES",D230*E230*TaxaAoDia,FV(TaxaAoDia,E230,,-D230)-D230))</f>
        <v/>
      </c>
      <c r="G230" s="51" t="str">
        <f t="shared" si="6"/>
        <v/>
      </c>
      <c r="H230" s="51" t="str">
        <f t="shared" si="7"/>
        <v/>
      </c>
    </row>
    <row r="231" spans="5:8" x14ac:dyDescent="0.25">
      <c r="E231" s="50" t="str">
        <f>IF(OR(C231="",D231=""),"",AtualizarAte-C231)</f>
        <v/>
      </c>
      <c r="F231" s="51" t="str">
        <f>IF(OR(C231="",D231=""),"",IF(TipoCalculo="JUROS SIMPLES",D231*E231*TaxaAoDia,FV(TaxaAoDia,E231,,-D231)-D231))</f>
        <v/>
      </c>
      <c r="G231" s="51" t="str">
        <f t="shared" si="6"/>
        <v/>
      </c>
      <c r="H231" s="51" t="str">
        <f t="shared" si="7"/>
        <v/>
      </c>
    </row>
    <row r="232" spans="5:8" x14ac:dyDescent="0.25">
      <c r="E232" s="50" t="str">
        <f>IF(OR(C232="",D232=""),"",AtualizarAte-C232)</f>
        <v/>
      </c>
      <c r="F232" s="51" t="str">
        <f>IF(OR(C232="",D232=""),"",IF(TipoCalculo="JUROS SIMPLES",D232*E232*TaxaAoDia,FV(TaxaAoDia,E232,,-D232)-D232))</f>
        <v/>
      </c>
      <c r="G232" s="51" t="str">
        <f t="shared" si="6"/>
        <v/>
      </c>
      <c r="H232" s="51" t="str">
        <f t="shared" si="7"/>
        <v/>
      </c>
    </row>
    <row r="233" spans="5:8" x14ac:dyDescent="0.25">
      <c r="E233" s="50" t="str">
        <f>IF(OR(C233="",D233=""),"",AtualizarAte-C233)</f>
        <v/>
      </c>
      <c r="F233" s="51" t="str">
        <f>IF(OR(C233="",D233=""),"",IF(TipoCalculo="JUROS SIMPLES",D233*E233*TaxaAoDia,FV(TaxaAoDia,E233,,-D233)-D233))</f>
        <v/>
      </c>
      <c r="G233" s="51" t="str">
        <f t="shared" si="6"/>
        <v/>
      </c>
      <c r="H233" s="51" t="str">
        <f t="shared" si="7"/>
        <v/>
      </c>
    </row>
    <row r="234" spans="5:8" x14ac:dyDescent="0.25">
      <c r="E234" s="50" t="str">
        <f>IF(OR(C234="",D234=""),"",AtualizarAte-C234)</f>
        <v/>
      </c>
      <c r="F234" s="51" t="str">
        <f>IF(OR(C234="",D234=""),"",IF(TipoCalculo="JUROS SIMPLES",D234*E234*TaxaAoDia,FV(TaxaAoDia,E234,,-D234)-D234))</f>
        <v/>
      </c>
      <c r="G234" s="51" t="str">
        <f t="shared" si="6"/>
        <v/>
      </c>
      <c r="H234" s="51" t="str">
        <f t="shared" si="7"/>
        <v/>
      </c>
    </row>
    <row r="235" spans="5:8" x14ac:dyDescent="0.25">
      <c r="E235" s="50" t="str">
        <f>IF(OR(C235="",D235=""),"",AtualizarAte-C235)</f>
        <v/>
      </c>
      <c r="F235" s="51" t="str">
        <f>IF(OR(C235="",D235=""),"",IF(TipoCalculo="JUROS SIMPLES",D235*E235*TaxaAoDia,FV(TaxaAoDia,E235,,-D235)-D235))</f>
        <v/>
      </c>
      <c r="G235" s="51" t="str">
        <f t="shared" si="6"/>
        <v/>
      </c>
      <c r="H235" s="51" t="str">
        <f t="shared" si="7"/>
        <v/>
      </c>
    </row>
    <row r="236" spans="5:8" x14ac:dyDescent="0.25">
      <c r="E236" s="50" t="str">
        <f>IF(OR(C236="",D236=""),"",AtualizarAte-C236)</f>
        <v/>
      </c>
      <c r="F236" s="51" t="str">
        <f>IF(OR(C236="",D236=""),"",IF(TipoCalculo="JUROS SIMPLES",D236*E236*TaxaAoDia,FV(TaxaAoDia,E236,,-D236)-D236))</f>
        <v/>
      </c>
      <c r="G236" s="51" t="str">
        <f t="shared" si="6"/>
        <v/>
      </c>
      <c r="H236" s="51" t="str">
        <f t="shared" si="7"/>
        <v/>
      </c>
    </row>
    <row r="237" spans="5:8" x14ac:dyDescent="0.25">
      <c r="E237" s="50" t="str">
        <f>IF(OR(C237="",D237=""),"",AtualizarAte-C237)</f>
        <v/>
      </c>
      <c r="F237" s="51" t="str">
        <f>IF(OR(C237="",D237=""),"",IF(TipoCalculo="JUROS SIMPLES",D237*E237*TaxaAoDia,FV(TaxaAoDia,E237,,-D237)-D237))</f>
        <v/>
      </c>
      <c r="G237" s="51" t="str">
        <f t="shared" si="6"/>
        <v/>
      </c>
      <c r="H237" s="51" t="str">
        <f t="shared" si="7"/>
        <v/>
      </c>
    </row>
    <row r="238" spans="5:8" x14ac:dyDescent="0.25">
      <c r="E238" s="50" t="str">
        <f>IF(OR(C238="",D238=""),"",AtualizarAte-C238)</f>
        <v/>
      </c>
      <c r="F238" s="51" t="str">
        <f>IF(OR(C238="",D238=""),"",IF(TipoCalculo="JUROS SIMPLES",D238*E238*TaxaAoDia,FV(TaxaAoDia,E238,,-D238)-D238))</f>
        <v/>
      </c>
      <c r="G238" s="51" t="str">
        <f t="shared" si="6"/>
        <v/>
      </c>
      <c r="H238" s="51" t="str">
        <f t="shared" si="7"/>
        <v/>
      </c>
    </row>
    <row r="239" spans="5:8" x14ac:dyDescent="0.25">
      <c r="E239" s="50" t="str">
        <f>IF(OR(C239="",D239=""),"",AtualizarAte-C239)</f>
        <v/>
      </c>
      <c r="F239" s="51" t="str">
        <f>IF(OR(C239="",D239=""),"",IF(TipoCalculo="JUROS SIMPLES",D239*E239*TaxaAoDia,FV(TaxaAoDia,E239,,-D239)-D239))</f>
        <v/>
      </c>
      <c r="G239" s="51" t="str">
        <f t="shared" si="6"/>
        <v/>
      </c>
      <c r="H239" s="51" t="str">
        <f t="shared" si="7"/>
        <v/>
      </c>
    </row>
    <row r="240" spans="5:8" x14ac:dyDescent="0.25">
      <c r="E240" s="50" t="str">
        <f>IF(OR(C240="",D240=""),"",AtualizarAte-C240)</f>
        <v/>
      </c>
      <c r="F240" s="51" t="str">
        <f>IF(OR(C240="",D240=""),"",IF(TipoCalculo="JUROS SIMPLES",D240*E240*TaxaAoDia,FV(TaxaAoDia,E240,,-D240)-D240))</f>
        <v/>
      </c>
      <c r="G240" s="51" t="str">
        <f t="shared" si="6"/>
        <v/>
      </c>
      <c r="H240" s="51" t="str">
        <f t="shared" si="7"/>
        <v/>
      </c>
    </row>
    <row r="241" spans="5:8" x14ac:dyDescent="0.25">
      <c r="E241" s="50" t="str">
        <f>IF(OR(C241="",D241=""),"",AtualizarAte-C241)</f>
        <v/>
      </c>
      <c r="F241" s="51" t="str">
        <f>IF(OR(C241="",D241=""),"",IF(TipoCalculo="JUROS SIMPLES",D241*E241*TaxaAoDia,FV(TaxaAoDia,E241,,-D241)-D241))</f>
        <v/>
      </c>
      <c r="G241" s="51" t="str">
        <f t="shared" si="6"/>
        <v/>
      </c>
      <c r="H241" s="51" t="str">
        <f t="shared" si="7"/>
        <v/>
      </c>
    </row>
    <row r="242" spans="5:8" x14ac:dyDescent="0.25">
      <c r="E242" s="50" t="str">
        <f>IF(OR(C242="",D242=""),"",AtualizarAte-C242)</f>
        <v/>
      </c>
      <c r="F242" s="51" t="str">
        <f>IF(OR(C242="",D242=""),"",IF(TipoCalculo="JUROS SIMPLES",D242*E242*TaxaAoDia,FV(TaxaAoDia,E242,,-D242)-D242))</f>
        <v/>
      </c>
      <c r="G242" s="51" t="str">
        <f t="shared" si="6"/>
        <v/>
      </c>
      <c r="H242" s="51" t="str">
        <f t="shared" si="7"/>
        <v/>
      </c>
    </row>
    <row r="243" spans="5:8" x14ac:dyDescent="0.25">
      <c r="E243" s="50" t="str">
        <f>IF(OR(C243="",D243=""),"",AtualizarAte-C243)</f>
        <v/>
      </c>
      <c r="F243" s="51" t="str">
        <f>IF(OR(C243="",D243=""),"",IF(TipoCalculo="JUROS SIMPLES",D243*E243*TaxaAoDia,FV(TaxaAoDia,E243,,-D243)-D243))</f>
        <v/>
      </c>
      <c r="G243" s="51" t="str">
        <f t="shared" si="6"/>
        <v/>
      </c>
      <c r="H243" s="51" t="str">
        <f t="shared" si="7"/>
        <v/>
      </c>
    </row>
    <row r="244" spans="5:8" x14ac:dyDescent="0.25">
      <c r="E244" s="50" t="str">
        <f>IF(OR(C244="",D244=""),"",AtualizarAte-C244)</f>
        <v/>
      </c>
      <c r="F244" s="51" t="str">
        <f>IF(OR(C244="",D244=""),"",IF(TipoCalculo="JUROS SIMPLES",D244*E244*TaxaAoDia,FV(TaxaAoDia,E244,,-D244)-D244))</f>
        <v/>
      </c>
      <c r="G244" s="51" t="str">
        <f t="shared" si="6"/>
        <v/>
      </c>
      <c r="H244" s="51" t="str">
        <f t="shared" si="7"/>
        <v/>
      </c>
    </row>
    <row r="245" spans="5:8" x14ac:dyDescent="0.25">
      <c r="E245" s="50" t="str">
        <f>IF(OR(C245="",D245=""),"",AtualizarAte-C245)</f>
        <v/>
      </c>
      <c r="F245" s="51" t="str">
        <f>IF(OR(C245="",D245=""),"",IF(TipoCalculo="JUROS SIMPLES",D245*E245*TaxaAoDia,FV(TaxaAoDia,E245,,-D245)-D245))</f>
        <v/>
      </c>
      <c r="G245" s="51" t="str">
        <f t="shared" si="6"/>
        <v/>
      </c>
      <c r="H245" s="51" t="str">
        <f t="shared" si="7"/>
        <v/>
      </c>
    </row>
    <row r="246" spans="5:8" x14ac:dyDescent="0.25">
      <c r="E246" s="50" t="str">
        <f>IF(OR(C246="",D246=""),"",AtualizarAte-C246)</f>
        <v/>
      </c>
      <c r="F246" s="51" t="str">
        <f>IF(OR(C246="",D246=""),"",IF(TipoCalculo="JUROS SIMPLES",D246*E246*TaxaAoDia,FV(TaxaAoDia,E246,,-D246)-D246))</f>
        <v/>
      </c>
      <c r="G246" s="51" t="str">
        <f t="shared" si="6"/>
        <v/>
      </c>
      <c r="H246" s="51" t="str">
        <f t="shared" si="7"/>
        <v/>
      </c>
    </row>
    <row r="247" spans="5:8" x14ac:dyDescent="0.25">
      <c r="E247" s="50" t="str">
        <f>IF(OR(C247="",D247=""),"",AtualizarAte-C247)</f>
        <v/>
      </c>
      <c r="F247" s="51" t="str">
        <f>IF(OR(C247="",D247=""),"",IF(TipoCalculo="JUROS SIMPLES",D247*E247*TaxaAoDia,FV(TaxaAoDia,E247,,-D247)-D247))</f>
        <v/>
      </c>
      <c r="G247" s="51" t="str">
        <f t="shared" si="6"/>
        <v/>
      </c>
      <c r="H247" s="51" t="str">
        <f t="shared" si="7"/>
        <v/>
      </c>
    </row>
    <row r="248" spans="5:8" x14ac:dyDescent="0.25">
      <c r="E248" s="50" t="str">
        <f>IF(OR(C248="",D248=""),"",AtualizarAte-C248)</f>
        <v/>
      </c>
      <c r="F248" s="51" t="str">
        <f>IF(OR(C248="",D248=""),"",IF(TipoCalculo="JUROS SIMPLES",D248*E248*TaxaAoDia,FV(TaxaAoDia,E248,,-D248)-D248))</f>
        <v/>
      </c>
      <c r="G248" s="51" t="str">
        <f t="shared" si="6"/>
        <v/>
      </c>
      <c r="H248" s="51" t="str">
        <f t="shared" si="7"/>
        <v/>
      </c>
    </row>
    <row r="249" spans="5:8" x14ac:dyDescent="0.25">
      <c r="E249" s="50" t="str">
        <f>IF(OR(C249="",D249=""),"",AtualizarAte-C249)</f>
        <v/>
      </c>
      <c r="F249" s="51" t="str">
        <f>IF(OR(C249="",D249=""),"",IF(TipoCalculo="JUROS SIMPLES",D249*E249*TaxaAoDia,FV(TaxaAoDia,E249,,-D249)-D249))</f>
        <v/>
      </c>
      <c r="G249" s="51" t="str">
        <f t="shared" si="6"/>
        <v/>
      </c>
      <c r="H249" s="51" t="str">
        <f t="shared" si="7"/>
        <v/>
      </c>
    </row>
    <row r="250" spans="5:8" x14ac:dyDescent="0.25">
      <c r="E250" s="50" t="str">
        <f>IF(OR(C250="",D250=""),"",AtualizarAte-C250)</f>
        <v/>
      </c>
      <c r="F250" s="51" t="str">
        <f>IF(OR(C250="",D250=""),"",IF(TipoCalculo="JUROS SIMPLES",D250*E250*TaxaAoDia,FV(TaxaAoDia,E250,,-D250)-D250))</f>
        <v/>
      </c>
      <c r="G250" s="51" t="str">
        <f t="shared" si="6"/>
        <v/>
      </c>
      <c r="H250" s="51" t="str">
        <f t="shared" si="7"/>
        <v/>
      </c>
    </row>
    <row r="251" spans="5:8" x14ac:dyDescent="0.25">
      <c r="E251" s="50" t="str">
        <f>IF(OR(C251="",D251=""),"",AtualizarAte-C251)</f>
        <v/>
      </c>
      <c r="F251" s="51" t="str">
        <f>IF(OR(C251="",D251=""),"",IF(TipoCalculo="JUROS SIMPLES",D251*E251*TaxaAoDia,FV(TaxaAoDia,E251,,-D251)-D251))</f>
        <v/>
      </c>
      <c r="G251" s="51" t="str">
        <f t="shared" si="6"/>
        <v/>
      </c>
      <c r="H251" s="51" t="str">
        <f t="shared" si="7"/>
        <v/>
      </c>
    </row>
    <row r="252" spans="5:8" x14ac:dyDescent="0.25">
      <c r="E252" s="50" t="str">
        <f>IF(OR(C252="",D252=""),"",AtualizarAte-C252)</f>
        <v/>
      </c>
      <c r="F252" s="51" t="str">
        <f>IF(OR(C252="",D252=""),"",IF(TipoCalculo="JUROS SIMPLES",D252*E252*TaxaAoDia,FV(TaxaAoDia,E252,,-D252)-D252))</f>
        <v/>
      </c>
      <c r="G252" s="51" t="str">
        <f t="shared" si="6"/>
        <v/>
      </c>
      <c r="H252" s="51" t="str">
        <f t="shared" si="7"/>
        <v/>
      </c>
    </row>
    <row r="253" spans="5:8" x14ac:dyDescent="0.25">
      <c r="E253" s="50" t="str">
        <f>IF(OR(C253="",D253=""),"",AtualizarAte-C253)</f>
        <v/>
      </c>
      <c r="F253" s="51" t="str">
        <f>IF(OR(C253="",D253=""),"",IF(TipoCalculo="JUROS SIMPLES",D253*E253*TaxaAoDia,FV(TaxaAoDia,E253,,-D253)-D253))</f>
        <v/>
      </c>
      <c r="G253" s="51" t="str">
        <f t="shared" si="6"/>
        <v/>
      </c>
      <c r="H253" s="51" t="str">
        <f t="shared" si="7"/>
        <v/>
      </c>
    </row>
    <row r="254" spans="5:8" x14ac:dyDescent="0.25">
      <c r="E254" s="50" t="str">
        <f>IF(OR(C254="",D254=""),"",AtualizarAte-C254)</f>
        <v/>
      </c>
      <c r="F254" s="51" t="str">
        <f>IF(OR(C254="",D254=""),"",IF(TipoCalculo="JUROS SIMPLES",D254*E254*TaxaAoDia,FV(TaxaAoDia,E254,,-D254)-D254))</f>
        <v/>
      </c>
      <c r="G254" s="51" t="str">
        <f t="shared" si="6"/>
        <v/>
      </c>
      <c r="H254" s="51" t="str">
        <f t="shared" si="7"/>
        <v/>
      </c>
    </row>
    <row r="255" spans="5:8" x14ac:dyDescent="0.25">
      <c r="E255" s="50" t="str">
        <f>IF(OR(C255="",D255=""),"",AtualizarAte-C255)</f>
        <v/>
      </c>
      <c r="F255" s="51" t="str">
        <f>IF(OR(C255="",D255=""),"",IF(TipoCalculo="JUROS SIMPLES",D255*E255*TaxaAoDia,FV(TaxaAoDia,E255,,-D255)-D255))</f>
        <v/>
      </c>
      <c r="G255" s="51" t="str">
        <f t="shared" si="6"/>
        <v/>
      </c>
      <c r="H255" s="51" t="str">
        <f t="shared" si="7"/>
        <v/>
      </c>
    </row>
    <row r="256" spans="5:8" x14ac:dyDescent="0.25">
      <c r="E256" s="50" t="str">
        <f>IF(OR(C256="",D256=""),"",AtualizarAte-C256)</f>
        <v/>
      </c>
      <c r="F256" s="51" t="str">
        <f>IF(OR(C256="",D256=""),"",IF(TipoCalculo="JUROS SIMPLES",D256*E256*TaxaAoDia,FV(TaxaAoDia,E256,,-D256)-D256))</f>
        <v/>
      </c>
      <c r="G256" s="51" t="str">
        <f t="shared" si="6"/>
        <v/>
      </c>
      <c r="H256" s="51" t="str">
        <f t="shared" si="7"/>
        <v/>
      </c>
    </row>
    <row r="257" spans="5:8" x14ac:dyDescent="0.25">
      <c r="E257" s="50" t="str">
        <f>IF(OR(C257="",D257=""),"",AtualizarAte-C257)</f>
        <v/>
      </c>
      <c r="F257" s="51" t="str">
        <f>IF(OR(C257="",D257=""),"",IF(TipoCalculo="JUROS SIMPLES",D257*E257*TaxaAoDia,FV(TaxaAoDia,E257,,-D257)-D257))</f>
        <v/>
      </c>
      <c r="G257" s="51" t="str">
        <f t="shared" si="6"/>
        <v/>
      </c>
      <c r="H257" s="51" t="str">
        <f t="shared" si="7"/>
        <v/>
      </c>
    </row>
    <row r="258" spans="5:8" x14ac:dyDescent="0.25">
      <c r="E258" s="50" t="str">
        <f>IF(OR(C258="",D258=""),"",AtualizarAte-C258)</f>
        <v/>
      </c>
      <c r="F258" s="51" t="str">
        <f>IF(OR(C258="",D258=""),"",IF(TipoCalculo="JUROS SIMPLES",D258*E258*TaxaAoDia,FV(TaxaAoDia,E258,,-D258)-D258))</f>
        <v/>
      </c>
      <c r="G258" s="51" t="str">
        <f t="shared" si="6"/>
        <v/>
      </c>
      <c r="H258" s="51" t="str">
        <f t="shared" si="7"/>
        <v/>
      </c>
    </row>
    <row r="259" spans="5:8" x14ac:dyDescent="0.25">
      <c r="E259" s="50" t="str">
        <f>IF(OR(C259="",D259=""),"",AtualizarAte-C259)</f>
        <v/>
      </c>
      <c r="F259" s="51" t="str">
        <f>IF(OR(C259="",D259=""),"",IF(TipoCalculo="JUROS SIMPLES",D259*E259*TaxaAoDia,FV(TaxaAoDia,E259,,-D259)-D259))</f>
        <v/>
      </c>
      <c r="G259" s="51" t="str">
        <f t="shared" si="6"/>
        <v/>
      </c>
      <c r="H259" s="51" t="str">
        <f t="shared" si="7"/>
        <v/>
      </c>
    </row>
    <row r="260" spans="5:8" x14ac:dyDescent="0.25">
      <c r="E260" s="50" t="str">
        <f>IF(OR(C260="",D260=""),"",AtualizarAte-C260)</f>
        <v/>
      </c>
      <c r="F260" s="51" t="str">
        <f>IF(OR(C260="",D260=""),"",IF(TipoCalculo="JUROS SIMPLES",D260*E260*TaxaAoDia,FV(TaxaAoDia,E260,,-D260)-D260))</f>
        <v/>
      </c>
      <c r="G260" s="51" t="str">
        <f t="shared" si="6"/>
        <v/>
      </c>
      <c r="H260" s="51" t="str">
        <f t="shared" si="7"/>
        <v/>
      </c>
    </row>
    <row r="261" spans="5:8" x14ac:dyDescent="0.25">
      <c r="E261" s="50" t="str">
        <f>IF(OR(C261="",D261=""),"",AtualizarAte-C261)</f>
        <v/>
      </c>
      <c r="F261" s="51" t="str">
        <f>IF(OR(C261="",D261=""),"",IF(TipoCalculo="JUROS SIMPLES",D261*E261*TaxaAoDia,FV(TaxaAoDia,E261,,-D261)-D261))</f>
        <v/>
      </c>
      <c r="G261" s="51" t="str">
        <f t="shared" si="6"/>
        <v/>
      </c>
      <c r="H261" s="51" t="str">
        <f t="shared" si="7"/>
        <v/>
      </c>
    </row>
    <row r="262" spans="5:8" x14ac:dyDescent="0.25">
      <c r="E262" s="50" t="str">
        <f>IF(OR(C262="",D262=""),"",AtualizarAte-C262)</f>
        <v/>
      </c>
      <c r="F262" s="51" t="str">
        <f>IF(OR(C262="",D262=""),"",IF(TipoCalculo="JUROS SIMPLES",D262*E262*TaxaAoDia,FV(TaxaAoDia,E262,,-D262)-D262))</f>
        <v/>
      </c>
      <c r="G262" s="51" t="str">
        <f t="shared" si="6"/>
        <v/>
      </c>
      <c r="H262" s="51" t="str">
        <f t="shared" si="7"/>
        <v/>
      </c>
    </row>
    <row r="263" spans="5:8" x14ac:dyDescent="0.25">
      <c r="E263" s="50" t="str">
        <f>IF(OR(C263="",D263=""),"",AtualizarAte-C263)</f>
        <v/>
      </c>
      <c r="F263" s="51" t="str">
        <f>IF(OR(C263="",D263=""),"",IF(TipoCalculo="JUROS SIMPLES",D263*E263*TaxaAoDia,FV(TaxaAoDia,E263,,-D263)-D263))</f>
        <v/>
      </c>
      <c r="G263" s="51" t="str">
        <f t="shared" si="6"/>
        <v/>
      </c>
      <c r="H263" s="51" t="str">
        <f t="shared" si="7"/>
        <v/>
      </c>
    </row>
    <row r="264" spans="5:8" x14ac:dyDescent="0.25">
      <c r="E264" s="50" t="str">
        <f>IF(OR(C264="",D264=""),"",AtualizarAte-C264)</f>
        <v/>
      </c>
      <c r="F264" s="51" t="str">
        <f>IF(OR(C264="",D264=""),"",IF(TipoCalculo="JUROS SIMPLES",D264*E264*TaxaAoDia,FV(TaxaAoDia,E264,,-D264)-D264))</f>
        <v/>
      </c>
      <c r="G264" s="51" t="str">
        <f t="shared" si="6"/>
        <v/>
      </c>
      <c r="H264" s="51" t="str">
        <f t="shared" si="7"/>
        <v/>
      </c>
    </row>
    <row r="265" spans="5:8" x14ac:dyDescent="0.25">
      <c r="E265" s="50" t="str">
        <f>IF(OR(C265="",D265=""),"",AtualizarAte-C265)</f>
        <v/>
      </c>
      <c r="F265" s="51" t="str">
        <f>IF(OR(C265="",D265=""),"",IF(TipoCalculo="JUROS SIMPLES",D265*E265*TaxaAoDia,FV(TaxaAoDia,E265,,-D265)-D265))</f>
        <v/>
      </c>
      <c r="G265" s="51" t="str">
        <f t="shared" si="6"/>
        <v/>
      </c>
      <c r="H265" s="51" t="str">
        <f t="shared" si="7"/>
        <v/>
      </c>
    </row>
    <row r="266" spans="5:8" x14ac:dyDescent="0.25">
      <c r="E266" s="50" t="str">
        <f>IF(OR(C266="",D266=""),"",AtualizarAte-C266)</f>
        <v/>
      </c>
      <c r="F266" s="51" t="str">
        <f>IF(OR(C266="",D266=""),"",IF(TipoCalculo="JUROS SIMPLES",D266*E266*TaxaAoDia,FV(TaxaAoDia,E266,,-D266)-D266))</f>
        <v/>
      </c>
      <c r="G266" s="51" t="str">
        <f t="shared" si="6"/>
        <v/>
      </c>
      <c r="H266" s="51" t="str">
        <f t="shared" si="7"/>
        <v/>
      </c>
    </row>
    <row r="267" spans="5:8" x14ac:dyDescent="0.25">
      <c r="E267" s="50" t="str">
        <f>IF(OR(C267="",D267=""),"",AtualizarAte-C267)</f>
        <v/>
      </c>
      <c r="F267" s="51" t="str">
        <f>IF(OR(C267="",D267=""),"",IF(TipoCalculo="JUROS SIMPLES",D267*E267*TaxaAoDia,FV(TaxaAoDia,E267,,-D267)-D267))</f>
        <v/>
      </c>
      <c r="G267" s="51" t="str">
        <f t="shared" si="6"/>
        <v/>
      </c>
      <c r="H267" s="51" t="str">
        <f t="shared" si="7"/>
        <v/>
      </c>
    </row>
    <row r="268" spans="5:8" x14ac:dyDescent="0.25">
      <c r="E268" s="50" t="str">
        <f>IF(OR(C268="",D268=""),"",AtualizarAte-C268)</f>
        <v/>
      </c>
      <c r="F268" s="51" t="str">
        <f>IF(OR(C268="",D268=""),"",IF(TipoCalculo="JUROS SIMPLES",D268*E268*TaxaAoDia,FV(TaxaAoDia,E268,,-D268)-D268))</f>
        <v/>
      </c>
      <c r="G268" s="51" t="str">
        <f t="shared" si="6"/>
        <v/>
      </c>
      <c r="H268" s="51" t="str">
        <f t="shared" si="7"/>
        <v/>
      </c>
    </row>
    <row r="269" spans="5:8" x14ac:dyDescent="0.25">
      <c r="E269" s="50" t="str">
        <f>IF(OR(C269="",D269=""),"",AtualizarAte-C269)</f>
        <v/>
      </c>
      <c r="F269" s="51" t="str">
        <f>IF(OR(C269="",D269=""),"",IF(TipoCalculo="JUROS SIMPLES",D269*E269*TaxaAoDia,FV(TaxaAoDia,E269,,-D269)-D269))</f>
        <v/>
      </c>
      <c r="G269" s="51" t="str">
        <f t="shared" ref="G269:G332" si="8">IF(OR(C269="",D269=""),"",D269+F269)</f>
        <v/>
      </c>
      <c r="H269" s="51" t="str">
        <f t="shared" ref="H269:H332" si="9">IF(C269="","",IF(D269="","",IF(H268="SALDO ATUALIZ.",G269,H268+G269)))</f>
        <v/>
      </c>
    </row>
    <row r="270" spans="5:8" x14ac:dyDescent="0.25">
      <c r="E270" s="50" t="str">
        <f>IF(OR(C270="",D270=""),"",AtualizarAte-C270)</f>
        <v/>
      </c>
      <c r="F270" s="51" t="str">
        <f>IF(OR(C270="",D270=""),"",IF(TipoCalculo="JUROS SIMPLES",D270*E270*TaxaAoDia,FV(TaxaAoDia,E270,,-D270)-D270))</f>
        <v/>
      </c>
      <c r="G270" s="51" t="str">
        <f t="shared" si="8"/>
        <v/>
      </c>
      <c r="H270" s="51" t="str">
        <f t="shared" si="9"/>
        <v/>
      </c>
    </row>
    <row r="271" spans="5:8" x14ac:dyDescent="0.25">
      <c r="E271" s="50" t="str">
        <f>IF(OR(C271="",D271=""),"",AtualizarAte-C271)</f>
        <v/>
      </c>
      <c r="F271" s="51" t="str">
        <f>IF(OR(C271="",D271=""),"",IF(TipoCalculo="JUROS SIMPLES",D271*E271*TaxaAoDia,FV(TaxaAoDia,E271,,-D271)-D271))</f>
        <v/>
      </c>
      <c r="G271" s="51" t="str">
        <f t="shared" si="8"/>
        <v/>
      </c>
      <c r="H271" s="51" t="str">
        <f t="shared" si="9"/>
        <v/>
      </c>
    </row>
    <row r="272" spans="5:8" x14ac:dyDescent="0.25">
      <c r="E272" s="50" t="str">
        <f>IF(OR(C272="",D272=""),"",AtualizarAte-C272)</f>
        <v/>
      </c>
      <c r="F272" s="51" t="str">
        <f>IF(OR(C272="",D272=""),"",IF(TipoCalculo="JUROS SIMPLES",D272*E272*TaxaAoDia,FV(TaxaAoDia,E272,,-D272)-D272))</f>
        <v/>
      </c>
      <c r="G272" s="51" t="str">
        <f t="shared" si="8"/>
        <v/>
      </c>
      <c r="H272" s="51" t="str">
        <f t="shared" si="9"/>
        <v/>
      </c>
    </row>
    <row r="273" spans="5:8" x14ac:dyDescent="0.25">
      <c r="E273" s="50" t="str">
        <f>IF(OR(C273="",D273=""),"",AtualizarAte-C273)</f>
        <v/>
      </c>
      <c r="F273" s="51" t="str">
        <f>IF(OR(C273="",D273=""),"",IF(TipoCalculo="JUROS SIMPLES",D273*E273*TaxaAoDia,FV(TaxaAoDia,E273,,-D273)-D273))</f>
        <v/>
      </c>
      <c r="G273" s="51" t="str">
        <f t="shared" si="8"/>
        <v/>
      </c>
      <c r="H273" s="51" t="str">
        <f t="shared" si="9"/>
        <v/>
      </c>
    </row>
    <row r="274" spans="5:8" x14ac:dyDescent="0.25">
      <c r="E274" s="50" t="str">
        <f>IF(OR(C274="",D274=""),"",AtualizarAte-C274)</f>
        <v/>
      </c>
      <c r="F274" s="51" t="str">
        <f>IF(OR(C274="",D274=""),"",IF(TipoCalculo="JUROS SIMPLES",D274*E274*TaxaAoDia,FV(TaxaAoDia,E274,,-D274)-D274))</f>
        <v/>
      </c>
      <c r="G274" s="51" t="str">
        <f t="shared" si="8"/>
        <v/>
      </c>
      <c r="H274" s="51" t="str">
        <f t="shared" si="9"/>
        <v/>
      </c>
    </row>
    <row r="275" spans="5:8" x14ac:dyDescent="0.25">
      <c r="E275" s="50" t="str">
        <f>IF(OR(C275="",D275=""),"",AtualizarAte-C275)</f>
        <v/>
      </c>
      <c r="F275" s="51" t="str">
        <f>IF(OR(C275="",D275=""),"",IF(TipoCalculo="JUROS SIMPLES",D275*E275*TaxaAoDia,FV(TaxaAoDia,E275,,-D275)-D275))</f>
        <v/>
      </c>
      <c r="G275" s="51" t="str">
        <f t="shared" si="8"/>
        <v/>
      </c>
      <c r="H275" s="51" t="str">
        <f t="shared" si="9"/>
        <v/>
      </c>
    </row>
    <row r="276" spans="5:8" x14ac:dyDescent="0.25">
      <c r="E276" s="50" t="str">
        <f>IF(OR(C276="",D276=""),"",AtualizarAte-C276)</f>
        <v/>
      </c>
      <c r="F276" s="51" t="str">
        <f>IF(OR(C276="",D276=""),"",IF(TipoCalculo="JUROS SIMPLES",D276*E276*TaxaAoDia,FV(TaxaAoDia,E276,,-D276)-D276))</f>
        <v/>
      </c>
      <c r="G276" s="51" t="str">
        <f t="shared" si="8"/>
        <v/>
      </c>
      <c r="H276" s="51" t="str">
        <f t="shared" si="9"/>
        <v/>
      </c>
    </row>
    <row r="277" spans="5:8" x14ac:dyDescent="0.25">
      <c r="E277" s="50" t="str">
        <f>IF(OR(C277="",D277=""),"",AtualizarAte-C277)</f>
        <v/>
      </c>
      <c r="F277" s="51" t="str">
        <f>IF(OR(C277="",D277=""),"",IF(TipoCalculo="JUROS SIMPLES",D277*E277*TaxaAoDia,FV(TaxaAoDia,E277,,-D277)-D277))</f>
        <v/>
      </c>
      <c r="G277" s="51" t="str">
        <f t="shared" si="8"/>
        <v/>
      </c>
      <c r="H277" s="51" t="str">
        <f t="shared" si="9"/>
        <v/>
      </c>
    </row>
    <row r="278" spans="5:8" x14ac:dyDescent="0.25">
      <c r="E278" s="50" t="str">
        <f>IF(OR(C278="",D278=""),"",AtualizarAte-C278)</f>
        <v/>
      </c>
      <c r="F278" s="51" t="str">
        <f>IF(OR(C278="",D278=""),"",IF(TipoCalculo="JUROS SIMPLES",D278*E278*TaxaAoDia,FV(TaxaAoDia,E278,,-D278)-D278))</f>
        <v/>
      </c>
      <c r="G278" s="51" t="str">
        <f t="shared" si="8"/>
        <v/>
      </c>
      <c r="H278" s="51" t="str">
        <f t="shared" si="9"/>
        <v/>
      </c>
    </row>
    <row r="279" spans="5:8" x14ac:dyDescent="0.25">
      <c r="E279" s="50" t="str">
        <f>IF(OR(C279="",D279=""),"",AtualizarAte-C279)</f>
        <v/>
      </c>
      <c r="F279" s="51" t="str">
        <f>IF(OR(C279="",D279=""),"",IF(TipoCalculo="JUROS SIMPLES",D279*E279*TaxaAoDia,FV(TaxaAoDia,E279,,-D279)-D279))</f>
        <v/>
      </c>
      <c r="G279" s="51" t="str">
        <f t="shared" si="8"/>
        <v/>
      </c>
      <c r="H279" s="51" t="str">
        <f t="shared" si="9"/>
        <v/>
      </c>
    </row>
    <row r="280" spans="5:8" x14ac:dyDescent="0.25">
      <c r="E280" s="50" t="str">
        <f>IF(OR(C280="",D280=""),"",AtualizarAte-C280)</f>
        <v/>
      </c>
      <c r="F280" s="51" t="str">
        <f>IF(OR(C280="",D280=""),"",IF(TipoCalculo="JUROS SIMPLES",D280*E280*TaxaAoDia,FV(TaxaAoDia,E280,,-D280)-D280))</f>
        <v/>
      </c>
      <c r="G280" s="51" t="str">
        <f t="shared" si="8"/>
        <v/>
      </c>
      <c r="H280" s="51" t="str">
        <f t="shared" si="9"/>
        <v/>
      </c>
    </row>
    <row r="281" spans="5:8" x14ac:dyDescent="0.25">
      <c r="E281" s="50" t="str">
        <f>IF(OR(C281="",D281=""),"",AtualizarAte-C281)</f>
        <v/>
      </c>
      <c r="F281" s="51" t="str">
        <f>IF(OR(C281="",D281=""),"",IF(TipoCalculo="JUROS SIMPLES",D281*E281*TaxaAoDia,FV(TaxaAoDia,E281,,-D281)-D281))</f>
        <v/>
      </c>
      <c r="G281" s="51" t="str">
        <f t="shared" si="8"/>
        <v/>
      </c>
      <c r="H281" s="51" t="str">
        <f t="shared" si="9"/>
        <v/>
      </c>
    </row>
    <row r="282" spans="5:8" x14ac:dyDescent="0.25">
      <c r="E282" s="50" t="str">
        <f>IF(OR(C282="",D282=""),"",AtualizarAte-C282)</f>
        <v/>
      </c>
      <c r="F282" s="51" t="str">
        <f>IF(OR(C282="",D282=""),"",IF(TipoCalculo="JUROS SIMPLES",D282*E282*TaxaAoDia,FV(TaxaAoDia,E282,,-D282)-D282))</f>
        <v/>
      </c>
      <c r="G282" s="51" t="str">
        <f t="shared" si="8"/>
        <v/>
      </c>
      <c r="H282" s="51" t="str">
        <f t="shared" si="9"/>
        <v/>
      </c>
    </row>
    <row r="283" spans="5:8" x14ac:dyDescent="0.25">
      <c r="E283" s="50" t="str">
        <f>IF(OR(C283="",D283=""),"",AtualizarAte-C283)</f>
        <v/>
      </c>
      <c r="F283" s="51" t="str">
        <f>IF(OR(C283="",D283=""),"",IF(TipoCalculo="JUROS SIMPLES",D283*E283*TaxaAoDia,FV(TaxaAoDia,E283,,-D283)-D283))</f>
        <v/>
      </c>
      <c r="G283" s="51" t="str">
        <f t="shared" si="8"/>
        <v/>
      </c>
      <c r="H283" s="51" t="str">
        <f t="shared" si="9"/>
        <v/>
      </c>
    </row>
    <row r="284" spans="5:8" x14ac:dyDescent="0.25">
      <c r="E284" s="50" t="str">
        <f>IF(OR(C284="",D284=""),"",AtualizarAte-C284)</f>
        <v/>
      </c>
      <c r="F284" s="51" t="str">
        <f>IF(OR(C284="",D284=""),"",IF(TipoCalculo="JUROS SIMPLES",D284*E284*TaxaAoDia,FV(TaxaAoDia,E284,,-D284)-D284))</f>
        <v/>
      </c>
      <c r="G284" s="51" t="str">
        <f t="shared" si="8"/>
        <v/>
      </c>
      <c r="H284" s="51" t="str">
        <f t="shared" si="9"/>
        <v/>
      </c>
    </row>
    <row r="285" spans="5:8" x14ac:dyDescent="0.25">
      <c r="E285" s="50" t="str">
        <f>IF(OR(C285="",D285=""),"",AtualizarAte-C285)</f>
        <v/>
      </c>
      <c r="F285" s="51" t="str">
        <f>IF(OR(C285="",D285=""),"",IF(TipoCalculo="JUROS SIMPLES",D285*E285*TaxaAoDia,FV(TaxaAoDia,E285,,-D285)-D285))</f>
        <v/>
      </c>
      <c r="G285" s="51" t="str">
        <f t="shared" si="8"/>
        <v/>
      </c>
      <c r="H285" s="51" t="str">
        <f t="shared" si="9"/>
        <v/>
      </c>
    </row>
    <row r="286" spans="5:8" x14ac:dyDescent="0.25">
      <c r="E286" s="50" t="str">
        <f>IF(OR(C286="",D286=""),"",AtualizarAte-C286)</f>
        <v/>
      </c>
      <c r="F286" s="51" t="str">
        <f>IF(OR(C286="",D286=""),"",IF(TipoCalculo="JUROS SIMPLES",D286*E286*TaxaAoDia,FV(TaxaAoDia,E286,,-D286)-D286))</f>
        <v/>
      </c>
      <c r="G286" s="51" t="str">
        <f t="shared" si="8"/>
        <v/>
      </c>
      <c r="H286" s="51" t="str">
        <f t="shared" si="9"/>
        <v/>
      </c>
    </row>
    <row r="287" spans="5:8" x14ac:dyDescent="0.25">
      <c r="E287" s="50" t="str">
        <f>IF(OR(C287="",D287=""),"",AtualizarAte-C287)</f>
        <v/>
      </c>
      <c r="F287" s="51" t="str">
        <f>IF(OR(C287="",D287=""),"",IF(TipoCalculo="JUROS SIMPLES",D287*E287*TaxaAoDia,FV(TaxaAoDia,E287,,-D287)-D287))</f>
        <v/>
      </c>
      <c r="G287" s="51" t="str">
        <f t="shared" si="8"/>
        <v/>
      </c>
      <c r="H287" s="51" t="str">
        <f t="shared" si="9"/>
        <v/>
      </c>
    </row>
    <row r="288" spans="5:8" x14ac:dyDescent="0.25">
      <c r="E288" s="50" t="str">
        <f>IF(OR(C288="",D288=""),"",AtualizarAte-C288)</f>
        <v/>
      </c>
      <c r="F288" s="51" t="str">
        <f>IF(OR(C288="",D288=""),"",IF(TipoCalculo="JUROS SIMPLES",D288*E288*TaxaAoDia,FV(TaxaAoDia,E288,,-D288)-D288))</f>
        <v/>
      </c>
      <c r="G288" s="51" t="str">
        <f t="shared" si="8"/>
        <v/>
      </c>
      <c r="H288" s="51" t="str">
        <f t="shared" si="9"/>
        <v/>
      </c>
    </row>
    <row r="289" spans="5:8" x14ac:dyDescent="0.25">
      <c r="E289" s="50" t="str">
        <f>IF(OR(C289="",D289=""),"",AtualizarAte-C289)</f>
        <v/>
      </c>
      <c r="F289" s="51" t="str">
        <f>IF(OR(C289="",D289=""),"",IF(TipoCalculo="JUROS SIMPLES",D289*E289*TaxaAoDia,FV(TaxaAoDia,E289,,-D289)-D289))</f>
        <v/>
      </c>
      <c r="G289" s="51" t="str">
        <f t="shared" si="8"/>
        <v/>
      </c>
      <c r="H289" s="51" t="str">
        <f t="shared" si="9"/>
        <v/>
      </c>
    </row>
    <row r="290" spans="5:8" x14ac:dyDescent="0.25">
      <c r="E290" s="50" t="str">
        <f>IF(OR(C290="",D290=""),"",AtualizarAte-C290)</f>
        <v/>
      </c>
      <c r="F290" s="51" t="str">
        <f>IF(OR(C290="",D290=""),"",IF(TipoCalculo="JUROS SIMPLES",D290*E290*TaxaAoDia,FV(TaxaAoDia,E290,,-D290)-D290))</f>
        <v/>
      </c>
      <c r="G290" s="51" t="str">
        <f t="shared" si="8"/>
        <v/>
      </c>
      <c r="H290" s="51" t="str">
        <f t="shared" si="9"/>
        <v/>
      </c>
    </row>
    <row r="291" spans="5:8" x14ac:dyDescent="0.25">
      <c r="E291" s="50" t="str">
        <f>IF(OR(C291="",D291=""),"",AtualizarAte-C291)</f>
        <v/>
      </c>
      <c r="F291" s="51" t="str">
        <f>IF(OR(C291="",D291=""),"",IF(TipoCalculo="JUROS SIMPLES",D291*E291*TaxaAoDia,FV(TaxaAoDia,E291,,-D291)-D291))</f>
        <v/>
      </c>
      <c r="G291" s="51" t="str">
        <f t="shared" si="8"/>
        <v/>
      </c>
      <c r="H291" s="51" t="str">
        <f t="shared" si="9"/>
        <v/>
      </c>
    </row>
    <row r="292" spans="5:8" x14ac:dyDescent="0.25">
      <c r="E292" s="50" t="str">
        <f>IF(OR(C292="",D292=""),"",AtualizarAte-C292)</f>
        <v/>
      </c>
      <c r="F292" s="51" t="str">
        <f>IF(OR(C292="",D292=""),"",IF(TipoCalculo="JUROS SIMPLES",D292*E292*TaxaAoDia,FV(TaxaAoDia,E292,,-D292)-D292))</f>
        <v/>
      </c>
      <c r="G292" s="51" t="str">
        <f t="shared" si="8"/>
        <v/>
      </c>
      <c r="H292" s="51" t="str">
        <f t="shared" si="9"/>
        <v/>
      </c>
    </row>
    <row r="293" spans="5:8" x14ac:dyDescent="0.25">
      <c r="E293" s="50" t="str">
        <f>IF(OR(C293="",D293=""),"",AtualizarAte-C293)</f>
        <v/>
      </c>
      <c r="F293" s="51" t="str">
        <f>IF(OR(C293="",D293=""),"",IF(TipoCalculo="JUROS SIMPLES",D293*E293*TaxaAoDia,FV(TaxaAoDia,E293,,-D293)-D293))</f>
        <v/>
      </c>
      <c r="G293" s="51" t="str">
        <f t="shared" si="8"/>
        <v/>
      </c>
      <c r="H293" s="51" t="str">
        <f t="shared" si="9"/>
        <v/>
      </c>
    </row>
    <row r="294" spans="5:8" x14ac:dyDescent="0.25">
      <c r="E294" s="50" t="str">
        <f>IF(OR(C294="",D294=""),"",AtualizarAte-C294)</f>
        <v/>
      </c>
      <c r="F294" s="51" t="str">
        <f>IF(OR(C294="",D294=""),"",IF(TipoCalculo="JUROS SIMPLES",D294*E294*TaxaAoDia,FV(TaxaAoDia,E294,,-D294)-D294))</f>
        <v/>
      </c>
      <c r="G294" s="51" t="str">
        <f t="shared" si="8"/>
        <v/>
      </c>
      <c r="H294" s="51" t="str">
        <f t="shared" si="9"/>
        <v/>
      </c>
    </row>
    <row r="295" spans="5:8" x14ac:dyDescent="0.25">
      <c r="E295" s="50" t="str">
        <f>IF(OR(C295="",D295=""),"",AtualizarAte-C295)</f>
        <v/>
      </c>
      <c r="F295" s="51" t="str">
        <f>IF(OR(C295="",D295=""),"",IF(TipoCalculo="JUROS SIMPLES",D295*E295*TaxaAoDia,FV(TaxaAoDia,E295,,-D295)-D295))</f>
        <v/>
      </c>
      <c r="G295" s="51" t="str">
        <f t="shared" si="8"/>
        <v/>
      </c>
      <c r="H295" s="51" t="str">
        <f t="shared" si="9"/>
        <v/>
      </c>
    </row>
    <row r="296" spans="5:8" x14ac:dyDescent="0.25">
      <c r="E296" s="50" t="str">
        <f>IF(OR(C296="",D296=""),"",AtualizarAte-C296)</f>
        <v/>
      </c>
      <c r="F296" s="51" t="str">
        <f>IF(OR(C296="",D296=""),"",IF(TipoCalculo="JUROS SIMPLES",D296*E296*TaxaAoDia,FV(TaxaAoDia,E296,,-D296)-D296))</f>
        <v/>
      </c>
      <c r="G296" s="51" t="str">
        <f t="shared" si="8"/>
        <v/>
      </c>
      <c r="H296" s="51" t="str">
        <f t="shared" si="9"/>
        <v/>
      </c>
    </row>
    <row r="297" spans="5:8" x14ac:dyDescent="0.25">
      <c r="E297" s="50" t="str">
        <f>IF(OR(C297="",D297=""),"",AtualizarAte-C297)</f>
        <v/>
      </c>
      <c r="F297" s="51" t="str">
        <f>IF(OR(C297="",D297=""),"",IF(TipoCalculo="JUROS SIMPLES",D297*E297*TaxaAoDia,FV(TaxaAoDia,E297,,-D297)-D297))</f>
        <v/>
      </c>
      <c r="G297" s="51" t="str">
        <f t="shared" si="8"/>
        <v/>
      </c>
      <c r="H297" s="51" t="str">
        <f t="shared" si="9"/>
        <v/>
      </c>
    </row>
    <row r="298" spans="5:8" x14ac:dyDescent="0.25">
      <c r="E298" s="50" t="str">
        <f>IF(OR(C298="",D298=""),"",AtualizarAte-C298)</f>
        <v/>
      </c>
      <c r="F298" s="51" t="str">
        <f>IF(OR(C298="",D298=""),"",IF(TipoCalculo="JUROS SIMPLES",D298*E298*TaxaAoDia,FV(TaxaAoDia,E298,,-D298)-D298))</f>
        <v/>
      </c>
      <c r="G298" s="51" t="str">
        <f t="shared" si="8"/>
        <v/>
      </c>
      <c r="H298" s="51" t="str">
        <f t="shared" si="9"/>
        <v/>
      </c>
    </row>
    <row r="299" spans="5:8" x14ac:dyDescent="0.25">
      <c r="E299" s="50" t="str">
        <f>IF(OR(C299="",D299=""),"",AtualizarAte-C299)</f>
        <v/>
      </c>
      <c r="F299" s="51" t="str">
        <f>IF(OR(C299="",D299=""),"",IF(TipoCalculo="JUROS SIMPLES",D299*E299*TaxaAoDia,FV(TaxaAoDia,E299,,-D299)-D299))</f>
        <v/>
      </c>
      <c r="G299" s="51" t="str">
        <f t="shared" si="8"/>
        <v/>
      </c>
      <c r="H299" s="51" t="str">
        <f t="shared" si="9"/>
        <v/>
      </c>
    </row>
    <row r="300" spans="5:8" x14ac:dyDescent="0.25">
      <c r="E300" s="50" t="str">
        <f>IF(OR(C300="",D300=""),"",AtualizarAte-C300)</f>
        <v/>
      </c>
      <c r="F300" s="51" t="str">
        <f>IF(OR(C300="",D300=""),"",IF(TipoCalculo="JUROS SIMPLES",D300*E300*TaxaAoDia,FV(TaxaAoDia,E300,,-D300)-D300))</f>
        <v/>
      </c>
      <c r="G300" s="51" t="str">
        <f t="shared" si="8"/>
        <v/>
      </c>
      <c r="H300" s="51" t="str">
        <f t="shared" si="9"/>
        <v/>
      </c>
    </row>
    <row r="301" spans="5:8" x14ac:dyDescent="0.25">
      <c r="E301" s="50" t="str">
        <f>IF(OR(C301="",D301=""),"",AtualizarAte-C301)</f>
        <v/>
      </c>
      <c r="F301" s="51" t="str">
        <f>IF(OR(C301="",D301=""),"",IF(TipoCalculo="JUROS SIMPLES",D301*E301*TaxaAoDia,FV(TaxaAoDia,E301,,-D301)-D301))</f>
        <v/>
      </c>
      <c r="G301" s="51" t="str">
        <f t="shared" si="8"/>
        <v/>
      </c>
      <c r="H301" s="51" t="str">
        <f t="shared" si="9"/>
        <v/>
      </c>
    </row>
    <row r="302" spans="5:8" x14ac:dyDescent="0.25">
      <c r="E302" s="50" t="str">
        <f>IF(OR(C302="",D302=""),"",AtualizarAte-C302)</f>
        <v/>
      </c>
      <c r="F302" s="51" t="str">
        <f>IF(OR(C302="",D302=""),"",IF(TipoCalculo="JUROS SIMPLES",D302*E302*TaxaAoDia,FV(TaxaAoDia,E302,,-D302)-D302))</f>
        <v/>
      </c>
      <c r="G302" s="51" t="str">
        <f t="shared" si="8"/>
        <v/>
      </c>
      <c r="H302" s="51" t="str">
        <f t="shared" si="9"/>
        <v/>
      </c>
    </row>
    <row r="303" spans="5:8" x14ac:dyDescent="0.25">
      <c r="E303" s="50" t="str">
        <f>IF(OR(C303="",D303=""),"",AtualizarAte-C303)</f>
        <v/>
      </c>
      <c r="F303" s="51" t="str">
        <f>IF(OR(C303="",D303=""),"",IF(TipoCalculo="JUROS SIMPLES",D303*E303*TaxaAoDia,FV(TaxaAoDia,E303,,-D303)-D303))</f>
        <v/>
      </c>
      <c r="G303" s="51" t="str">
        <f t="shared" si="8"/>
        <v/>
      </c>
      <c r="H303" s="51" t="str">
        <f t="shared" si="9"/>
        <v/>
      </c>
    </row>
    <row r="304" spans="5:8" x14ac:dyDescent="0.25">
      <c r="E304" s="50" t="str">
        <f>IF(OR(C304="",D304=""),"",AtualizarAte-C304)</f>
        <v/>
      </c>
      <c r="F304" s="51" t="str">
        <f>IF(OR(C304="",D304=""),"",IF(TipoCalculo="JUROS SIMPLES",D304*E304*TaxaAoDia,FV(TaxaAoDia,E304,,-D304)-D304))</f>
        <v/>
      </c>
      <c r="G304" s="51" t="str">
        <f t="shared" si="8"/>
        <v/>
      </c>
      <c r="H304" s="51" t="str">
        <f t="shared" si="9"/>
        <v/>
      </c>
    </row>
    <row r="305" spans="5:8" x14ac:dyDescent="0.25">
      <c r="E305" s="50" t="str">
        <f>IF(OR(C305="",D305=""),"",AtualizarAte-C305)</f>
        <v/>
      </c>
      <c r="F305" s="51" t="str">
        <f>IF(OR(C305="",D305=""),"",IF(TipoCalculo="JUROS SIMPLES",D305*E305*TaxaAoDia,FV(TaxaAoDia,E305,,-D305)-D305))</f>
        <v/>
      </c>
      <c r="G305" s="51" t="str">
        <f t="shared" si="8"/>
        <v/>
      </c>
      <c r="H305" s="51" t="str">
        <f t="shared" si="9"/>
        <v/>
      </c>
    </row>
    <row r="306" spans="5:8" x14ac:dyDescent="0.25">
      <c r="E306" s="50" t="str">
        <f>IF(OR(C306="",D306=""),"",AtualizarAte-C306)</f>
        <v/>
      </c>
      <c r="F306" s="51" t="str">
        <f>IF(OR(C306="",D306=""),"",IF(TipoCalculo="JUROS SIMPLES",D306*E306*TaxaAoDia,FV(TaxaAoDia,E306,,-D306)-D306))</f>
        <v/>
      </c>
      <c r="G306" s="51" t="str">
        <f t="shared" si="8"/>
        <v/>
      </c>
      <c r="H306" s="51" t="str">
        <f t="shared" si="9"/>
        <v/>
      </c>
    </row>
    <row r="307" spans="5:8" x14ac:dyDescent="0.25">
      <c r="E307" s="50" t="str">
        <f>IF(OR(C307="",D307=""),"",AtualizarAte-C307)</f>
        <v/>
      </c>
      <c r="F307" s="51" t="str">
        <f>IF(OR(C307="",D307=""),"",IF(TipoCalculo="JUROS SIMPLES",D307*E307*TaxaAoDia,FV(TaxaAoDia,E307,,-D307)-D307))</f>
        <v/>
      </c>
      <c r="G307" s="51" t="str">
        <f t="shared" si="8"/>
        <v/>
      </c>
      <c r="H307" s="51" t="str">
        <f t="shared" si="9"/>
        <v/>
      </c>
    </row>
    <row r="308" spans="5:8" x14ac:dyDescent="0.25">
      <c r="E308" s="50" t="str">
        <f>IF(OR(C308="",D308=""),"",AtualizarAte-C308)</f>
        <v/>
      </c>
      <c r="F308" s="51" t="str">
        <f>IF(OR(C308="",D308=""),"",IF(TipoCalculo="JUROS SIMPLES",D308*E308*TaxaAoDia,FV(TaxaAoDia,E308,,-D308)-D308))</f>
        <v/>
      </c>
      <c r="G308" s="51" t="str">
        <f t="shared" si="8"/>
        <v/>
      </c>
      <c r="H308" s="51" t="str">
        <f t="shared" si="9"/>
        <v/>
      </c>
    </row>
    <row r="309" spans="5:8" x14ac:dyDescent="0.25">
      <c r="E309" s="50" t="str">
        <f>IF(OR(C309="",D309=""),"",AtualizarAte-C309)</f>
        <v/>
      </c>
      <c r="F309" s="51" t="str">
        <f>IF(OR(C309="",D309=""),"",IF(TipoCalculo="JUROS SIMPLES",D309*E309*TaxaAoDia,FV(TaxaAoDia,E309,,-D309)-D309))</f>
        <v/>
      </c>
      <c r="G309" s="51" t="str">
        <f t="shared" si="8"/>
        <v/>
      </c>
      <c r="H309" s="51" t="str">
        <f t="shared" si="9"/>
        <v/>
      </c>
    </row>
    <row r="310" spans="5:8" x14ac:dyDescent="0.25">
      <c r="E310" s="50" t="str">
        <f>IF(OR(C310="",D310=""),"",AtualizarAte-C310)</f>
        <v/>
      </c>
      <c r="F310" s="51" t="str">
        <f>IF(OR(C310="",D310=""),"",IF(TipoCalculo="JUROS SIMPLES",D310*E310*TaxaAoDia,FV(TaxaAoDia,E310,,-D310)-D310))</f>
        <v/>
      </c>
      <c r="G310" s="51" t="str">
        <f t="shared" si="8"/>
        <v/>
      </c>
      <c r="H310" s="51" t="str">
        <f t="shared" si="9"/>
        <v/>
      </c>
    </row>
    <row r="311" spans="5:8" x14ac:dyDescent="0.25">
      <c r="E311" s="50" t="str">
        <f>IF(OR(C311="",D311=""),"",AtualizarAte-C311)</f>
        <v/>
      </c>
      <c r="F311" s="51" t="str">
        <f>IF(OR(C311="",D311=""),"",IF(TipoCalculo="JUROS SIMPLES",D311*E311*TaxaAoDia,FV(TaxaAoDia,E311,,-D311)-D311))</f>
        <v/>
      </c>
      <c r="G311" s="51" t="str">
        <f t="shared" si="8"/>
        <v/>
      </c>
      <c r="H311" s="51" t="str">
        <f t="shared" si="9"/>
        <v/>
      </c>
    </row>
    <row r="312" spans="5:8" x14ac:dyDescent="0.25">
      <c r="E312" s="50" t="str">
        <f>IF(OR(C312="",D312=""),"",AtualizarAte-C312)</f>
        <v/>
      </c>
      <c r="F312" s="51" t="str">
        <f>IF(OR(C312="",D312=""),"",IF(TipoCalculo="JUROS SIMPLES",D312*E312*TaxaAoDia,FV(TaxaAoDia,E312,,-D312)-D312))</f>
        <v/>
      </c>
      <c r="G312" s="51" t="str">
        <f t="shared" si="8"/>
        <v/>
      </c>
      <c r="H312" s="51" t="str">
        <f t="shared" si="9"/>
        <v/>
      </c>
    </row>
    <row r="313" spans="5:8" x14ac:dyDescent="0.25">
      <c r="E313" s="50" t="str">
        <f>IF(OR(C313="",D313=""),"",AtualizarAte-C313)</f>
        <v/>
      </c>
      <c r="F313" s="51" t="str">
        <f>IF(OR(C313="",D313=""),"",IF(TipoCalculo="JUROS SIMPLES",D313*E313*TaxaAoDia,FV(TaxaAoDia,E313,,-D313)-D313))</f>
        <v/>
      </c>
      <c r="G313" s="51" t="str">
        <f t="shared" si="8"/>
        <v/>
      </c>
      <c r="H313" s="51" t="str">
        <f t="shared" si="9"/>
        <v/>
      </c>
    </row>
    <row r="314" spans="5:8" x14ac:dyDescent="0.25">
      <c r="E314" s="50" t="str">
        <f>IF(OR(C314="",D314=""),"",AtualizarAte-C314)</f>
        <v/>
      </c>
      <c r="F314" s="51" t="str">
        <f>IF(OR(C314="",D314=""),"",IF(TipoCalculo="JUROS SIMPLES",D314*E314*TaxaAoDia,FV(TaxaAoDia,E314,,-D314)-D314))</f>
        <v/>
      </c>
      <c r="G314" s="51" t="str">
        <f t="shared" si="8"/>
        <v/>
      </c>
      <c r="H314" s="51" t="str">
        <f t="shared" si="9"/>
        <v/>
      </c>
    </row>
    <row r="315" spans="5:8" x14ac:dyDescent="0.25">
      <c r="E315" s="50" t="str">
        <f>IF(OR(C315="",D315=""),"",AtualizarAte-C315)</f>
        <v/>
      </c>
      <c r="F315" s="51" t="str">
        <f>IF(OR(C315="",D315=""),"",IF(TipoCalculo="JUROS SIMPLES",D315*E315*TaxaAoDia,FV(TaxaAoDia,E315,,-D315)-D315))</f>
        <v/>
      </c>
      <c r="G315" s="51" t="str">
        <f t="shared" si="8"/>
        <v/>
      </c>
      <c r="H315" s="51" t="str">
        <f t="shared" si="9"/>
        <v/>
      </c>
    </row>
    <row r="316" spans="5:8" x14ac:dyDescent="0.25">
      <c r="E316" s="50" t="str">
        <f>IF(OR(C316="",D316=""),"",AtualizarAte-C316)</f>
        <v/>
      </c>
      <c r="F316" s="51" t="str">
        <f>IF(OR(C316="",D316=""),"",IF(TipoCalculo="JUROS SIMPLES",D316*E316*TaxaAoDia,FV(TaxaAoDia,E316,,-D316)-D316))</f>
        <v/>
      </c>
      <c r="G316" s="51" t="str">
        <f t="shared" si="8"/>
        <v/>
      </c>
      <c r="H316" s="51" t="str">
        <f t="shared" si="9"/>
        <v/>
      </c>
    </row>
    <row r="317" spans="5:8" x14ac:dyDescent="0.25">
      <c r="E317" s="50" t="str">
        <f>IF(OR(C317="",D317=""),"",AtualizarAte-C317)</f>
        <v/>
      </c>
      <c r="F317" s="51" t="str">
        <f>IF(OR(C317="",D317=""),"",IF(TipoCalculo="JUROS SIMPLES",D317*E317*TaxaAoDia,FV(TaxaAoDia,E317,,-D317)-D317))</f>
        <v/>
      </c>
      <c r="G317" s="51" t="str">
        <f t="shared" si="8"/>
        <v/>
      </c>
      <c r="H317" s="51" t="str">
        <f t="shared" si="9"/>
        <v/>
      </c>
    </row>
    <row r="318" spans="5:8" x14ac:dyDescent="0.25">
      <c r="E318" s="50" t="str">
        <f>IF(OR(C318="",D318=""),"",AtualizarAte-C318)</f>
        <v/>
      </c>
      <c r="F318" s="51" t="str">
        <f>IF(OR(C318="",D318=""),"",IF(TipoCalculo="JUROS SIMPLES",D318*E318*TaxaAoDia,FV(TaxaAoDia,E318,,-D318)-D318))</f>
        <v/>
      </c>
      <c r="G318" s="51" t="str">
        <f t="shared" si="8"/>
        <v/>
      </c>
      <c r="H318" s="51" t="str">
        <f t="shared" si="9"/>
        <v/>
      </c>
    </row>
    <row r="319" spans="5:8" x14ac:dyDescent="0.25">
      <c r="E319" s="50" t="str">
        <f>IF(OR(C319="",D319=""),"",AtualizarAte-C319)</f>
        <v/>
      </c>
      <c r="F319" s="51" t="str">
        <f>IF(OR(C319="",D319=""),"",IF(TipoCalculo="JUROS SIMPLES",D319*E319*TaxaAoDia,FV(TaxaAoDia,E319,,-D319)-D319))</f>
        <v/>
      </c>
      <c r="G319" s="51" t="str">
        <f t="shared" si="8"/>
        <v/>
      </c>
      <c r="H319" s="51" t="str">
        <f t="shared" si="9"/>
        <v/>
      </c>
    </row>
    <row r="320" spans="5:8" x14ac:dyDescent="0.25">
      <c r="E320" s="50" t="str">
        <f>IF(OR(C320="",D320=""),"",AtualizarAte-C320)</f>
        <v/>
      </c>
      <c r="F320" s="51" t="str">
        <f>IF(OR(C320="",D320=""),"",IF(TipoCalculo="JUROS SIMPLES",D320*E320*TaxaAoDia,FV(TaxaAoDia,E320,,-D320)-D320))</f>
        <v/>
      </c>
      <c r="G320" s="51" t="str">
        <f t="shared" si="8"/>
        <v/>
      </c>
      <c r="H320" s="51" t="str">
        <f t="shared" si="9"/>
        <v/>
      </c>
    </row>
    <row r="321" spans="5:8" x14ac:dyDescent="0.25">
      <c r="E321" s="50" t="str">
        <f>IF(OR(C321="",D321=""),"",AtualizarAte-C321)</f>
        <v/>
      </c>
      <c r="F321" s="51" t="str">
        <f>IF(OR(C321="",D321=""),"",IF(TipoCalculo="JUROS SIMPLES",D321*E321*TaxaAoDia,FV(TaxaAoDia,E321,,-D321)-D321))</f>
        <v/>
      </c>
      <c r="G321" s="51" t="str">
        <f t="shared" si="8"/>
        <v/>
      </c>
      <c r="H321" s="51" t="str">
        <f t="shared" si="9"/>
        <v/>
      </c>
    </row>
    <row r="322" spans="5:8" x14ac:dyDescent="0.25">
      <c r="E322" s="50" t="str">
        <f>IF(OR(C322="",D322=""),"",AtualizarAte-C322)</f>
        <v/>
      </c>
      <c r="F322" s="51" t="str">
        <f>IF(OR(C322="",D322=""),"",IF(TipoCalculo="JUROS SIMPLES",D322*E322*TaxaAoDia,FV(TaxaAoDia,E322,,-D322)-D322))</f>
        <v/>
      </c>
      <c r="G322" s="51" t="str">
        <f t="shared" si="8"/>
        <v/>
      </c>
      <c r="H322" s="51" t="str">
        <f t="shared" si="9"/>
        <v/>
      </c>
    </row>
    <row r="323" spans="5:8" x14ac:dyDescent="0.25">
      <c r="E323" s="50" t="str">
        <f>IF(OR(C323="",D323=""),"",AtualizarAte-C323)</f>
        <v/>
      </c>
      <c r="F323" s="51" t="str">
        <f>IF(OR(C323="",D323=""),"",IF(TipoCalculo="JUROS SIMPLES",D323*E323*TaxaAoDia,FV(TaxaAoDia,E323,,-D323)-D323))</f>
        <v/>
      </c>
      <c r="G323" s="51" t="str">
        <f t="shared" si="8"/>
        <v/>
      </c>
      <c r="H323" s="51" t="str">
        <f t="shared" si="9"/>
        <v/>
      </c>
    </row>
    <row r="324" spans="5:8" x14ac:dyDescent="0.25">
      <c r="E324" s="50" t="str">
        <f>IF(OR(C324="",D324=""),"",AtualizarAte-C324)</f>
        <v/>
      </c>
      <c r="F324" s="51" t="str">
        <f>IF(OR(C324="",D324=""),"",IF(TipoCalculo="JUROS SIMPLES",D324*E324*TaxaAoDia,FV(TaxaAoDia,E324,,-D324)-D324))</f>
        <v/>
      </c>
      <c r="G324" s="51" t="str">
        <f t="shared" si="8"/>
        <v/>
      </c>
      <c r="H324" s="51" t="str">
        <f t="shared" si="9"/>
        <v/>
      </c>
    </row>
    <row r="325" spans="5:8" x14ac:dyDescent="0.25">
      <c r="E325" s="50" t="str">
        <f>IF(OR(C325="",D325=""),"",AtualizarAte-C325)</f>
        <v/>
      </c>
      <c r="F325" s="51" t="str">
        <f>IF(OR(C325="",D325=""),"",IF(TipoCalculo="JUROS SIMPLES",D325*E325*TaxaAoDia,FV(TaxaAoDia,E325,,-D325)-D325))</f>
        <v/>
      </c>
      <c r="G325" s="51" t="str">
        <f t="shared" si="8"/>
        <v/>
      </c>
      <c r="H325" s="51" t="str">
        <f t="shared" si="9"/>
        <v/>
      </c>
    </row>
    <row r="326" spans="5:8" x14ac:dyDescent="0.25">
      <c r="E326" s="50" t="str">
        <f>IF(OR(C326="",D326=""),"",AtualizarAte-C326)</f>
        <v/>
      </c>
      <c r="F326" s="51" t="str">
        <f>IF(OR(C326="",D326=""),"",IF(TipoCalculo="JUROS SIMPLES",D326*E326*TaxaAoDia,FV(TaxaAoDia,E326,,-D326)-D326))</f>
        <v/>
      </c>
      <c r="G326" s="51" t="str">
        <f t="shared" si="8"/>
        <v/>
      </c>
      <c r="H326" s="51" t="str">
        <f t="shared" si="9"/>
        <v/>
      </c>
    </row>
    <row r="327" spans="5:8" x14ac:dyDescent="0.25">
      <c r="E327" s="50" t="str">
        <f>IF(OR(C327="",D327=""),"",AtualizarAte-C327)</f>
        <v/>
      </c>
      <c r="F327" s="51" t="str">
        <f>IF(OR(C327="",D327=""),"",IF(TipoCalculo="JUROS SIMPLES",D327*E327*TaxaAoDia,FV(TaxaAoDia,E327,,-D327)-D327))</f>
        <v/>
      </c>
      <c r="G327" s="51" t="str">
        <f t="shared" si="8"/>
        <v/>
      </c>
      <c r="H327" s="51" t="str">
        <f t="shared" si="9"/>
        <v/>
      </c>
    </row>
    <row r="328" spans="5:8" x14ac:dyDescent="0.25">
      <c r="E328" s="50" t="str">
        <f>IF(OR(C328="",D328=""),"",AtualizarAte-C328)</f>
        <v/>
      </c>
      <c r="F328" s="51" t="str">
        <f>IF(OR(C328="",D328=""),"",IF(TipoCalculo="JUROS SIMPLES",D328*E328*TaxaAoDia,FV(TaxaAoDia,E328,,-D328)-D328))</f>
        <v/>
      </c>
      <c r="G328" s="51" t="str">
        <f t="shared" si="8"/>
        <v/>
      </c>
      <c r="H328" s="51" t="str">
        <f t="shared" si="9"/>
        <v/>
      </c>
    </row>
    <row r="329" spans="5:8" x14ac:dyDescent="0.25">
      <c r="E329" s="50" t="str">
        <f>IF(OR(C329="",D329=""),"",AtualizarAte-C329)</f>
        <v/>
      </c>
      <c r="F329" s="51" t="str">
        <f>IF(OR(C329="",D329=""),"",IF(TipoCalculo="JUROS SIMPLES",D329*E329*TaxaAoDia,FV(TaxaAoDia,E329,,-D329)-D329))</f>
        <v/>
      </c>
      <c r="G329" s="51" t="str">
        <f t="shared" si="8"/>
        <v/>
      </c>
      <c r="H329" s="51" t="str">
        <f t="shared" si="9"/>
        <v/>
      </c>
    </row>
    <row r="330" spans="5:8" x14ac:dyDescent="0.25">
      <c r="E330" s="50" t="str">
        <f>IF(OR(C330="",D330=""),"",AtualizarAte-C330)</f>
        <v/>
      </c>
      <c r="F330" s="51" t="str">
        <f>IF(OR(C330="",D330=""),"",IF(TipoCalculo="JUROS SIMPLES",D330*E330*TaxaAoDia,FV(TaxaAoDia,E330,,-D330)-D330))</f>
        <v/>
      </c>
      <c r="G330" s="51" t="str">
        <f t="shared" si="8"/>
        <v/>
      </c>
      <c r="H330" s="51" t="str">
        <f t="shared" si="9"/>
        <v/>
      </c>
    </row>
    <row r="331" spans="5:8" x14ac:dyDescent="0.25">
      <c r="E331" s="50" t="str">
        <f>IF(OR(C331="",D331=""),"",AtualizarAte-C331)</f>
        <v/>
      </c>
      <c r="F331" s="51" t="str">
        <f>IF(OR(C331="",D331=""),"",IF(TipoCalculo="JUROS SIMPLES",D331*E331*TaxaAoDia,FV(TaxaAoDia,E331,,-D331)-D331))</f>
        <v/>
      </c>
      <c r="G331" s="51" t="str">
        <f t="shared" si="8"/>
        <v/>
      </c>
      <c r="H331" s="51" t="str">
        <f t="shared" si="9"/>
        <v/>
      </c>
    </row>
    <row r="332" spans="5:8" x14ac:dyDescent="0.25">
      <c r="E332" s="50" t="str">
        <f>IF(OR(C332="",D332=""),"",AtualizarAte-C332)</f>
        <v/>
      </c>
      <c r="F332" s="51" t="str">
        <f>IF(OR(C332="",D332=""),"",IF(TipoCalculo="JUROS SIMPLES",D332*E332*TaxaAoDia,FV(TaxaAoDia,E332,,-D332)-D332))</f>
        <v/>
      </c>
      <c r="G332" s="51" t="str">
        <f t="shared" si="8"/>
        <v/>
      </c>
      <c r="H332" s="51" t="str">
        <f t="shared" si="9"/>
        <v/>
      </c>
    </row>
    <row r="333" spans="5:8" x14ac:dyDescent="0.25">
      <c r="E333" s="50" t="str">
        <f>IF(OR(C333="",D333=""),"",AtualizarAte-C333)</f>
        <v/>
      </c>
      <c r="F333" s="51" t="str">
        <f>IF(OR(C333="",D333=""),"",IF(TipoCalculo="JUROS SIMPLES",D333*E333*TaxaAoDia,FV(TaxaAoDia,E333,,-D333)-D333))</f>
        <v/>
      </c>
      <c r="G333" s="51" t="str">
        <f t="shared" ref="G333:G396" si="10">IF(OR(C333="",D333=""),"",D333+F333)</f>
        <v/>
      </c>
      <c r="H333" s="51" t="str">
        <f t="shared" ref="H333:H396" si="11">IF(C333="","",IF(D333="","",IF(H332="SALDO ATUALIZ.",G333,H332+G333)))</f>
        <v/>
      </c>
    </row>
    <row r="334" spans="5:8" x14ac:dyDescent="0.25">
      <c r="E334" s="50" t="str">
        <f>IF(OR(C334="",D334=""),"",AtualizarAte-C334)</f>
        <v/>
      </c>
      <c r="F334" s="51" t="str">
        <f>IF(OR(C334="",D334=""),"",IF(TipoCalculo="JUROS SIMPLES",D334*E334*TaxaAoDia,FV(TaxaAoDia,E334,,-D334)-D334))</f>
        <v/>
      </c>
      <c r="G334" s="51" t="str">
        <f t="shared" si="10"/>
        <v/>
      </c>
      <c r="H334" s="51" t="str">
        <f t="shared" si="11"/>
        <v/>
      </c>
    </row>
    <row r="335" spans="5:8" x14ac:dyDescent="0.25">
      <c r="E335" s="50" t="str">
        <f>IF(OR(C335="",D335=""),"",AtualizarAte-C335)</f>
        <v/>
      </c>
      <c r="F335" s="51" t="str">
        <f>IF(OR(C335="",D335=""),"",IF(TipoCalculo="JUROS SIMPLES",D335*E335*TaxaAoDia,FV(TaxaAoDia,E335,,-D335)-D335))</f>
        <v/>
      </c>
      <c r="G335" s="51" t="str">
        <f t="shared" si="10"/>
        <v/>
      </c>
      <c r="H335" s="51" t="str">
        <f t="shared" si="11"/>
        <v/>
      </c>
    </row>
    <row r="336" spans="5:8" x14ac:dyDescent="0.25">
      <c r="E336" s="50" t="str">
        <f>IF(OR(C336="",D336=""),"",AtualizarAte-C336)</f>
        <v/>
      </c>
      <c r="F336" s="51" t="str">
        <f>IF(OR(C336="",D336=""),"",IF(TipoCalculo="JUROS SIMPLES",D336*E336*TaxaAoDia,FV(TaxaAoDia,E336,,-D336)-D336))</f>
        <v/>
      </c>
      <c r="G336" s="51" t="str">
        <f t="shared" si="10"/>
        <v/>
      </c>
      <c r="H336" s="51" t="str">
        <f t="shared" si="11"/>
        <v/>
      </c>
    </row>
    <row r="337" spans="5:8" x14ac:dyDescent="0.25">
      <c r="E337" s="50" t="str">
        <f>IF(OR(C337="",D337=""),"",AtualizarAte-C337)</f>
        <v/>
      </c>
      <c r="F337" s="51" t="str">
        <f>IF(OR(C337="",D337=""),"",IF(TipoCalculo="JUROS SIMPLES",D337*E337*TaxaAoDia,FV(TaxaAoDia,E337,,-D337)-D337))</f>
        <v/>
      </c>
      <c r="G337" s="51" t="str">
        <f t="shared" si="10"/>
        <v/>
      </c>
      <c r="H337" s="51" t="str">
        <f t="shared" si="11"/>
        <v/>
      </c>
    </row>
    <row r="338" spans="5:8" x14ac:dyDescent="0.25">
      <c r="E338" s="50" t="str">
        <f>IF(OR(C338="",D338=""),"",AtualizarAte-C338)</f>
        <v/>
      </c>
      <c r="F338" s="51" t="str">
        <f>IF(OR(C338="",D338=""),"",IF(TipoCalculo="JUROS SIMPLES",D338*E338*TaxaAoDia,FV(TaxaAoDia,E338,,-D338)-D338))</f>
        <v/>
      </c>
      <c r="G338" s="51" t="str">
        <f t="shared" si="10"/>
        <v/>
      </c>
      <c r="H338" s="51" t="str">
        <f t="shared" si="11"/>
        <v/>
      </c>
    </row>
    <row r="339" spans="5:8" x14ac:dyDescent="0.25">
      <c r="E339" s="50" t="str">
        <f>IF(OR(C339="",D339=""),"",AtualizarAte-C339)</f>
        <v/>
      </c>
      <c r="F339" s="51" t="str">
        <f>IF(OR(C339="",D339=""),"",IF(TipoCalculo="JUROS SIMPLES",D339*E339*TaxaAoDia,FV(TaxaAoDia,E339,,-D339)-D339))</f>
        <v/>
      </c>
      <c r="G339" s="51" t="str">
        <f t="shared" si="10"/>
        <v/>
      </c>
      <c r="H339" s="51" t="str">
        <f t="shared" si="11"/>
        <v/>
      </c>
    </row>
    <row r="340" spans="5:8" x14ac:dyDescent="0.25">
      <c r="E340" s="50" t="str">
        <f>IF(OR(C340="",D340=""),"",AtualizarAte-C340)</f>
        <v/>
      </c>
      <c r="F340" s="51" t="str">
        <f>IF(OR(C340="",D340=""),"",IF(TipoCalculo="JUROS SIMPLES",D340*E340*TaxaAoDia,FV(TaxaAoDia,E340,,-D340)-D340))</f>
        <v/>
      </c>
      <c r="G340" s="51" t="str">
        <f t="shared" si="10"/>
        <v/>
      </c>
      <c r="H340" s="51" t="str">
        <f t="shared" si="11"/>
        <v/>
      </c>
    </row>
    <row r="341" spans="5:8" x14ac:dyDescent="0.25">
      <c r="E341" s="50" t="str">
        <f>IF(OR(C341="",D341=""),"",AtualizarAte-C341)</f>
        <v/>
      </c>
      <c r="F341" s="51" t="str">
        <f>IF(OR(C341="",D341=""),"",IF(TipoCalculo="JUROS SIMPLES",D341*E341*TaxaAoDia,FV(TaxaAoDia,E341,,-D341)-D341))</f>
        <v/>
      </c>
      <c r="G341" s="51" t="str">
        <f t="shared" si="10"/>
        <v/>
      </c>
      <c r="H341" s="51" t="str">
        <f t="shared" si="11"/>
        <v/>
      </c>
    </row>
    <row r="342" spans="5:8" x14ac:dyDescent="0.25">
      <c r="E342" s="50" t="str">
        <f>IF(OR(C342="",D342=""),"",AtualizarAte-C342)</f>
        <v/>
      </c>
      <c r="F342" s="51" t="str">
        <f>IF(OR(C342="",D342=""),"",IF(TipoCalculo="JUROS SIMPLES",D342*E342*TaxaAoDia,FV(TaxaAoDia,E342,,-D342)-D342))</f>
        <v/>
      </c>
      <c r="G342" s="51" t="str">
        <f t="shared" si="10"/>
        <v/>
      </c>
      <c r="H342" s="51" t="str">
        <f t="shared" si="11"/>
        <v/>
      </c>
    </row>
    <row r="343" spans="5:8" x14ac:dyDescent="0.25">
      <c r="E343" s="50" t="str">
        <f>IF(OR(C343="",D343=""),"",AtualizarAte-C343)</f>
        <v/>
      </c>
      <c r="F343" s="51" t="str">
        <f>IF(OR(C343="",D343=""),"",IF(TipoCalculo="JUROS SIMPLES",D343*E343*TaxaAoDia,FV(TaxaAoDia,E343,,-D343)-D343))</f>
        <v/>
      </c>
      <c r="G343" s="51" t="str">
        <f t="shared" si="10"/>
        <v/>
      </c>
      <c r="H343" s="51" t="str">
        <f t="shared" si="11"/>
        <v/>
      </c>
    </row>
    <row r="344" spans="5:8" x14ac:dyDescent="0.25">
      <c r="E344" s="50" t="str">
        <f>IF(OR(C344="",D344=""),"",AtualizarAte-C344)</f>
        <v/>
      </c>
      <c r="F344" s="51" t="str">
        <f>IF(OR(C344="",D344=""),"",IF(TipoCalculo="JUROS SIMPLES",D344*E344*TaxaAoDia,FV(TaxaAoDia,E344,,-D344)-D344))</f>
        <v/>
      </c>
      <c r="G344" s="51" t="str">
        <f t="shared" si="10"/>
        <v/>
      </c>
      <c r="H344" s="51" t="str">
        <f t="shared" si="11"/>
        <v/>
      </c>
    </row>
    <row r="345" spans="5:8" x14ac:dyDescent="0.25">
      <c r="E345" s="50" t="str">
        <f>IF(OR(C345="",D345=""),"",AtualizarAte-C345)</f>
        <v/>
      </c>
      <c r="F345" s="51" t="str">
        <f>IF(OR(C345="",D345=""),"",IF(TipoCalculo="JUROS SIMPLES",D345*E345*TaxaAoDia,FV(TaxaAoDia,E345,,-D345)-D345))</f>
        <v/>
      </c>
      <c r="G345" s="51" t="str">
        <f t="shared" si="10"/>
        <v/>
      </c>
      <c r="H345" s="51" t="str">
        <f t="shared" si="11"/>
        <v/>
      </c>
    </row>
    <row r="346" spans="5:8" x14ac:dyDescent="0.25">
      <c r="E346" s="50" t="str">
        <f>IF(OR(C346="",D346=""),"",AtualizarAte-C346)</f>
        <v/>
      </c>
      <c r="F346" s="51" t="str">
        <f>IF(OR(C346="",D346=""),"",IF(TipoCalculo="JUROS SIMPLES",D346*E346*TaxaAoDia,FV(TaxaAoDia,E346,,-D346)-D346))</f>
        <v/>
      </c>
      <c r="G346" s="51" t="str">
        <f t="shared" si="10"/>
        <v/>
      </c>
      <c r="H346" s="51" t="str">
        <f t="shared" si="11"/>
        <v/>
      </c>
    </row>
    <row r="347" spans="5:8" x14ac:dyDescent="0.25">
      <c r="E347" s="50" t="str">
        <f>IF(OR(C347="",D347=""),"",AtualizarAte-C347)</f>
        <v/>
      </c>
      <c r="F347" s="51" t="str">
        <f>IF(OR(C347="",D347=""),"",IF(TipoCalculo="JUROS SIMPLES",D347*E347*TaxaAoDia,FV(TaxaAoDia,E347,,-D347)-D347))</f>
        <v/>
      </c>
      <c r="G347" s="51" t="str">
        <f t="shared" si="10"/>
        <v/>
      </c>
      <c r="H347" s="51" t="str">
        <f t="shared" si="11"/>
        <v/>
      </c>
    </row>
    <row r="348" spans="5:8" x14ac:dyDescent="0.25">
      <c r="E348" s="50" t="str">
        <f>IF(OR(C348="",D348=""),"",AtualizarAte-C348)</f>
        <v/>
      </c>
      <c r="F348" s="51" t="str">
        <f>IF(OR(C348="",D348=""),"",IF(TipoCalculo="JUROS SIMPLES",D348*E348*TaxaAoDia,FV(TaxaAoDia,E348,,-D348)-D348))</f>
        <v/>
      </c>
      <c r="G348" s="51" t="str">
        <f t="shared" si="10"/>
        <v/>
      </c>
      <c r="H348" s="51" t="str">
        <f t="shared" si="11"/>
        <v/>
      </c>
    </row>
    <row r="349" spans="5:8" x14ac:dyDescent="0.25">
      <c r="E349" s="50" t="str">
        <f>IF(OR(C349="",D349=""),"",AtualizarAte-C349)</f>
        <v/>
      </c>
      <c r="F349" s="51" t="str">
        <f>IF(OR(C349="",D349=""),"",IF(TipoCalculo="JUROS SIMPLES",D349*E349*TaxaAoDia,FV(TaxaAoDia,E349,,-D349)-D349))</f>
        <v/>
      </c>
      <c r="G349" s="51" t="str">
        <f t="shared" si="10"/>
        <v/>
      </c>
      <c r="H349" s="51" t="str">
        <f t="shared" si="11"/>
        <v/>
      </c>
    </row>
    <row r="350" spans="5:8" x14ac:dyDescent="0.25">
      <c r="E350" s="50" t="str">
        <f>IF(OR(C350="",D350=""),"",AtualizarAte-C350)</f>
        <v/>
      </c>
      <c r="F350" s="51" t="str">
        <f>IF(OR(C350="",D350=""),"",IF(TipoCalculo="JUROS SIMPLES",D350*E350*TaxaAoDia,FV(TaxaAoDia,E350,,-D350)-D350))</f>
        <v/>
      </c>
      <c r="G350" s="51" t="str">
        <f t="shared" si="10"/>
        <v/>
      </c>
      <c r="H350" s="51" t="str">
        <f t="shared" si="11"/>
        <v/>
      </c>
    </row>
    <row r="351" spans="5:8" x14ac:dyDescent="0.25">
      <c r="E351" s="50" t="str">
        <f>IF(OR(C351="",D351=""),"",AtualizarAte-C351)</f>
        <v/>
      </c>
      <c r="F351" s="51" t="str">
        <f>IF(OR(C351="",D351=""),"",IF(TipoCalculo="JUROS SIMPLES",D351*E351*TaxaAoDia,FV(TaxaAoDia,E351,,-D351)-D351))</f>
        <v/>
      </c>
      <c r="G351" s="51" t="str">
        <f t="shared" si="10"/>
        <v/>
      </c>
      <c r="H351" s="51" t="str">
        <f t="shared" si="11"/>
        <v/>
      </c>
    </row>
    <row r="352" spans="5:8" x14ac:dyDescent="0.25">
      <c r="E352" s="50" t="str">
        <f>IF(OR(C352="",D352=""),"",AtualizarAte-C352)</f>
        <v/>
      </c>
      <c r="F352" s="51" t="str">
        <f>IF(OR(C352="",D352=""),"",IF(TipoCalculo="JUROS SIMPLES",D352*E352*TaxaAoDia,FV(TaxaAoDia,E352,,-D352)-D352))</f>
        <v/>
      </c>
      <c r="G352" s="51" t="str">
        <f t="shared" si="10"/>
        <v/>
      </c>
      <c r="H352" s="51" t="str">
        <f t="shared" si="11"/>
        <v/>
      </c>
    </row>
    <row r="353" spans="5:8" x14ac:dyDescent="0.25">
      <c r="E353" s="50" t="str">
        <f>IF(OR(C353="",D353=""),"",AtualizarAte-C353)</f>
        <v/>
      </c>
      <c r="F353" s="51" t="str">
        <f>IF(OR(C353="",D353=""),"",IF(TipoCalculo="JUROS SIMPLES",D353*E353*TaxaAoDia,FV(TaxaAoDia,E353,,-D353)-D353))</f>
        <v/>
      </c>
      <c r="G353" s="51" t="str">
        <f t="shared" si="10"/>
        <v/>
      </c>
      <c r="H353" s="51" t="str">
        <f t="shared" si="11"/>
        <v/>
      </c>
    </row>
    <row r="354" spans="5:8" x14ac:dyDescent="0.25">
      <c r="E354" s="50" t="str">
        <f>IF(OR(C354="",D354=""),"",AtualizarAte-C354)</f>
        <v/>
      </c>
      <c r="F354" s="51" t="str">
        <f>IF(OR(C354="",D354=""),"",IF(TipoCalculo="JUROS SIMPLES",D354*E354*TaxaAoDia,FV(TaxaAoDia,E354,,-D354)-D354))</f>
        <v/>
      </c>
      <c r="G354" s="51" t="str">
        <f t="shared" si="10"/>
        <v/>
      </c>
      <c r="H354" s="51" t="str">
        <f t="shared" si="11"/>
        <v/>
      </c>
    </row>
    <row r="355" spans="5:8" x14ac:dyDescent="0.25">
      <c r="E355" s="50" t="str">
        <f>IF(OR(C355="",D355=""),"",AtualizarAte-C355)</f>
        <v/>
      </c>
      <c r="F355" s="51" t="str">
        <f>IF(OR(C355="",D355=""),"",IF(TipoCalculo="JUROS SIMPLES",D355*E355*TaxaAoDia,FV(TaxaAoDia,E355,,-D355)-D355))</f>
        <v/>
      </c>
      <c r="G355" s="51" t="str">
        <f t="shared" si="10"/>
        <v/>
      </c>
      <c r="H355" s="51" t="str">
        <f t="shared" si="11"/>
        <v/>
      </c>
    </row>
    <row r="356" spans="5:8" x14ac:dyDescent="0.25">
      <c r="E356" s="50" t="str">
        <f>IF(OR(C356="",D356=""),"",AtualizarAte-C356)</f>
        <v/>
      </c>
      <c r="F356" s="51" t="str">
        <f>IF(OR(C356="",D356=""),"",IF(TipoCalculo="JUROS SIMPLES",D356*E356*TaxaAoDia,FV(TaxaAoDia,E356,,-D356)-D356))</f>
        <v/>
      </c>
      <c r="G356" s="51" t="str">
        <f t="shared" si="10"/>
        <v/>
      </c>
      <c r="H356" s="51" t="str">
        <f t="shared" si="11"/>
        <v/>
      </c>
    </row>
    <row r="357" spans="5:8" x14ac:dyDescent="0.25">
      <c r="E357" s="50" t="str">
        <f>IF(OR(C357="",D357=""),"",AtualizarAte-C357)</f>
        <v/>
      </c>
      <c r="F357" s="51" t="str">
        <f>IF(OR(C357="",D357=""),"",IF(TipoCalculo="JUROS SIMPLES",D357*E357*TaxaAoDia,FV(TaxaAoDia,E357,,-D357)-D357))</f>
        <v/>
      </c>
      <c r="G357" s="51" t="str">
        <f t="shared" si="10"/>
        <v/>
      </c>
      <c r="H357" s="51" t="str">
        <f t="shared" si="11"/>
        <v/>
      </c>
    </row>
    <row r="358" spans="5:8" x14ac:dyDescent="0.25">
      <c r="E358" s="50" t="str">
        <f>IF(OR(C358="",D358=""),"",AtualizarAte-C358)</f>
        <v/>
      </c>
      <c r="F358" s="51" t="str">
        <f>IF(OR(C358="",D358=""),"",IF(TipoCalculo="JUROS SIMPLES",D358*E358*TaxaAoDia,FV(TaxaAoDia,E358,,-D358)-D358))</f>
        <v/>
      </c>
      <c r="G358" s="51" t="str">
        <f t="shared" si="10"/>
        <v/>
      </c>
      <c r="H358" s="51" t="str">
        <f t="shared" si="11"/>
        <v/>
      </c>
    </row>
    <row r="359" spans="5:8" x14ac:dyDescent="0.25">
      <c r="E359" s="50" t="str">
        <f>IF(OR(C359="",D359=""),"",AtualizarAte-C359)</f>
        <v/>
      </c>
      <c r="F359" s="51" t="str">
        <f>IF(OR(C359="",D359=""),"",IF(TipoCalculo="JUROS SIMPLES",D359*E359*TaxaAoDia,FV(TaxaAoDia,E359,,-D359)-D359))</f>
        <v/>
      </c>
      <c r="G359" s="51" t="str">
        <f t="shared" si="10"/>
        <v/>
      </c>
      <c r="H359" s="51" t="str">
        <f t="shared" si="11"/>
        <v/>
      </c>
    </row>
    <row r="360" spans="5:8" x14ac:dyDescent="0.25">
      <c r="E360" s="50" t="str">
        <f>IF(OR(C360="",D360=""),"",AtualizarAte-C360)</f>
        <v/>
      </c>
      <c r="F360" s="51" t="str">
        <f>IF(OR(C360="",D360=""),"",IF(TipoCalculo="JUROS SIMPLES",D360*E360*TaxaAoDia,FV(TaxaAoDia,E360,,-D360)-D360))</f>
        <v/>
      </c>
      <c r="G360" s="51" t="str">
        <f t="shared" si="10"/>
        <v/>
      </c>
      <c r="H360" s="51" t="str">
        <f t="shared" si="11"/>
        <v/>
      </c>
    </row>
    <row r="361" spans="5:8" x14ac:dyDescent="0.25">
      <c r="E361" s="50" t="str">
        <f>IF(OR(C361="",D361=""),"",AtualizarAte-C361)</f>
        <v/>
      </c>
      <c r="F361" s="51" t="str">
        <f>IF(OR(C361="",D361=""),"",IF(TipoCalculo="JUROS SIMPLES",D361*E361*TaxaAoDia,FV(TaxaAoDia,E361,,-D361)-D361))</f>
        <v/>
      </c>
      <c r="G361" s="51" t="str">
        <f t="shared" si="10"/>
        <v/>
      </c>
      <c r="H361" s="51" t="str">
        <f t="shared" si="11"/>
        <v/>
      </c>
    </row>
    <row r="362" spans="5:8" x14ac:dyDescent="0.25">
      <c r="E362" s="50" t="str">
        <f>IF(OR(C362="",D362=""),"",AtualizarAte-C362)</f>
        <v/>
      </c>
      <c r="F362" s="51" t="str">
        <f>IF(OR(C362="",D362=""),"",IF(TipoCalculo="JUROS SIMPLES",D362*E362*TaxaAoDia,FV(TaxaAoDia,E362,,-D362)-D362))</f>
        <v/>
      </c>
      <c r="G362" s="51" t="str">
        <f t="shared" si="10"/>
        <v/>
      </c>
      <c r="H362" s="51" t="str">
        <f t="shared" si="11"/>
        <v/>
      </c>
    </row>
    <row r="363" spans="5:8" x14ac:dyDescent="0.25">
      <c r="E363" s="50" t="str">
        <f>IF(OR(C363="",D363=""),"",AtualizarAte-C363)</f>
        <v/>
      </c>
      <c r="F363" s="51" t="str">
        <f>IF(OR(C363="",D363=""),"",IF(TipoCalculo="JUROS SIMPLES",D363*E363*TaxaAoDia,FV(TaxaAoDia,E363,,-D363)-D363))</f>
        <v/>
      </c>
      <c r="G363" s="51" t="str">
        <f t="shared" si="10"/>
        <v/>
      </c>
      <c r="H363" s="51" t="str">
        <f t="shared" si="11"/>
        <v/>
      </c>
    </row>
    <row r="364" spans="5:8" x14ac:dyDescent="0.25">
      <c r="E364" s="50" t="str">
        <f>IF(OR(C364="",D364=""),"",AtualizarAte-C364)</f>
        <v/>
      </c>
      <c r="F364" s="51" t="str">
        <f>IF(OR(C364="",D364=""),"",IF(TipoCalculo="JUROS SIMPLES",D364*E364*TaxaAoDia,FV(TaxaAoDia,E364,,-D364)-D364))</f>
        <v/>
      </c>
      <c r="G364" s="51" t="str">
        <f t="shared" si="10"/>
        <v/>
      </c>
      <c r="H364" s="51" t="str">
        <f t="shared" si="11"/>
        <v/>
      </c>
    </row>
    <row r="365" spans="5:8" x14ac:dyDescent="0.25">
      <c r="E365" s="50" t="str">
        <f>IF(OR(C365="",D365=""),"",AtualizarAte-C365)</f>
        <v/>
      </c>
      <c r="F365" s="51" t="str">
        <f>IF(OR(C365="",D365=""),"",IF(TipoCalculo="JUROS SIMPLES",D365*E365*TaxaAoDia,FV(TaxaAoDia,E365,,-D365)-D365))</f>
        <v/>
      </c>
      <c r="G365" s="51" t="str">
        <f t="shared" si="10"/>
        <v/>
      </c>
      <c r="H365" s="51" t="str">
        <f t="shared" si="11"/>
        <v/>
      </c>
    </row>
    <row r="366" spans="5:8" x14ac:dyDescent="0.25">
      <c r="E366" s="50" t="str">
        <f>IF(OR(C366="",D366=""),"",AtualizarAte-C366)</f>
        <v/>
      </c>
      <c r="F366" s="51" t="str">
        <f>IF(OR(C366="",D366=""),"",IF(TipoCalculo="JUROS SIMPLES",D366*E366*TaxaAoDia,FV(TaxaAoDia,E366,,-D366)-D366))</f>
        <v/>
      </c>
      <c r="G366" s="51" t="str">
        <f t="shared" si="10"/>
        <v/>
      </c>
      <c r="H366" s="51" t="str">
        <f t="shared" si="11"/>
        <v/>
      </c>
    </row>
    <row r="367" spans="5:8" x14ac:dyDescent="0.25">
      <c r="E367" s="50" t="str">
        <f>IF(OR(C367="",D367=""),"",AtualizarAte-C367)</f>
        <v/>
      </c>
      <c r="F367" s="51" t="str">
        <f>IF(OR(C367="",D367=""),"",IF(TipoCalculo="JUROS SIMPLES",D367*E367*TaxaAoDia,FV(TaxaAoDia,E367,,-D367)-D367))</f>
        <v/>
      </c>
      <c r="G367" s="51" t="str">
        <f t="shared" si="10"/>
        <v/>
      </c>
      <c r="H367" s="51" t="str">
        <f t="shared" si="11"/>
        <v/>
      </c>
    </row>
    <row r="368" spans="5:8" x14ac:dyDescent="0.25">
      <c r="E368" s="50" t="str">
        <f>IF(OR(C368="",D368=""),"",AtualizarAte-C368)</f>
        <v/>
      </c>
      <c r="F368" s="51" t="str">
        <f>IF(OR(C368="",D368=""),"",IF(TipoCalculo="JUROS SIMPLES",D368*E368*TaxaAoDia,FV(TaxaAoDia,E368,,-D368)-D368))</f>
        <v/>
      </c>
      <c r="G368" s="51" t="str">
        <f t="shared" si="10"/>
        <v/>
      </c>
      <c r="H368" s="51" t="str">
        <f t="shared" si="11"/>
        <v/>
      </c>
    </row>
    <row r="369" spans="5:8" x14ac:dyDescent="0.25">
      <c r="E369" s="50" t="str">
        <f>IF(OR(C369="",D369=""),"",AtualizarAte-C369)</f>
        <v/>
      </c>
      <c r="F369" s="51" t="str">
        <f>IF(OR(C369="",D369=""),"",IF(TipoCalculo="JUROS SIMPLES",D369*E369*TaxaAoDia,FV(TaxaAoDia,E369,,-D369)-D369))</f>
        <v/>
      </c>
      <c r="G369" s="51" t="str">
        <f t="shared" si="10"/>
        <v/>
      </c>
      <c r="H369" s="51" t="str">
        <f t="shared" si="11"/>
        <v/>
      </c>
    </row>
    <row r="370" spans="5:8" x14ac:dyDescent="0.25">
      <c r="E370" s="50" t="str">
        <f>IF(OR(C370="",D370=""),"",AtualizarAte-C370)</f>
        <v/>
      </c>
      <c r="F370" s="51" t="str">
        <f>IF(OR(C370="",D370=""),"",IF(TipoCalculo="JUROS SIMPLES",D370*E370*TaxaAoDia,FV(TaxaAoDia,E370,,-D370)-D370))</f>
        <v/>
      </c>
      <c r="G370" s="51" t="str">
        <f t="shared" si="10"/>
        <v/>
      </c>
      <c r="H370" s="51" t="str">
        <f t="shared" si="11"/>
        <v/>
      </c>
    </row>
    <row r="371" spans="5:8" x14ac:dyDescent="0.25">
      <c r="E371" s="50" t="str">
        <f>IF(OR(C371="",D371=""),"",AtualizarAte-C371)</f>
        <v/>
      </c>
      <c r="F371" s="51" t="str">
        <f>IF(OR(C371="",D371=""),"",IF(TipoCalculo="JUROS SIMPLES",D371*E371*TaxaAoDia,FV(TaxaAoDia,E371,,-D371)-D371))</f>
        <v/>
      </c>
      <c r="G371" s="51" t="str">
        <f t="shared" si="10"/>
        <v/>
      </c>
      <c r="H371" s="51" t="str">
        <f t="shared" si="11"/>
        <v/>
      </c>
    </row>
    <row r="372" spans="5:8" x14ac:dyDescent="0.25">
      <c r="E372" s="50" t="str">
        <f>IF(OR(C372="",D372=""),"",AtualizarAte-C372)</f>
        <v/>
      </c>
      <c r="F372" s="51" t="str">
        <f>IF(OR(C372="",D372=""),"",IF(TipoCalculo="JUROS SIMPLES",D372*E372*TaxaAoDia,FV(TaxaAoDia,E372,,-D372)-D372))</f>
        <v/>
      </c>
      <c r="G372" s="51" t="str">
        <f t="shared" si="10"/>
        <v/>
      </c>
      <c r="H372" s="51" t="str">
        <f t="shared" si="11"/>
        <v/>
      </c>
    </row>
    <row r="373" spans="5:8" x14ac:dyDescent="0.25">
      <c r="E373" s="50" t="str">
        <f>IF(OR(C373="",D373=""),"",AtualizarAte-C373)</f>
        <v/>
      </c>
      <c r="F373" s="51" t="str">
        <f>IF(OR(C373="",D373=""),"",IF(TipoCalculo="JUROS SIMPLES",D373*E373*TaxaAoDia,FV(TaxaAoDia,E373,,-D373)-D373))</f>
        <v/>
      </c>
      <c r="G373" s="51" t="str">
        <f t="shared" si="10"/>
        <v/>
      </c>
      <c r="H373" s="51" t="str">
        <f t="shared" si="11"/>
        <v/>
      </c>
    </row>
    <row r="374" spans="5:8" x14ac:dyDescent="0.25">
      <c r="E374" s="50" t="str">
        <f>IF(OR(C374="",D374=""),"",AtualizarAte-C374)</f>
        <v/>
      </c>
      <c r="F374" s="51" t="str">
        <f>IF(OR(C374="",D374=""),"",IF(TipoCalculo="JUROS SIMPLES",D374*E374*TaxaAoDia,FV(TaxaAoDia,E374,,-D374)-D374))</f>
        <v/>
      </c>
      <c r="G374" s="51" t="str">
        <f t="shared" si="10"/>
        <v/>
      </c>
      <c r="H374" s="51" t="str">
        <f t="shared" si="11"/>
        <v/>
      </c>
    </row>
    <row r="375" spans="5:8" x14ac:dyDescent="0.25">
      <c r="E375" s="50" t="str">
        <f>IF(OR(C375="",D375=""),"",AtualizarAte-C375)</f>
        <v/>
      </c>
      <c r="F375" s="51" t="str">
        <f>IF(OR(C375="",D375=""),"",IF(TipoCalculo="JUROS SIMPLES",D375*E375*TaxaAoDia,FV(TaxaAoDia,E375,,-D375)-D375))</f>
        <v/>
      </c>
      <c r="G375" s="51" t="str">
        <f t="shared" si="10"/>
        <v/>
      </c>
      <c r="H375" s="51" t="str">
        <f t="shared" si="11"/>
        <v/>
      </c>
    </row>
    <row r="376" spans="5:8" x14ac:dyDescent="0.25">
      <c r="E376" s="50" t="str">
        <f>IF(OR(C376="",D376=""),"",AtualizarAte-C376)</f>
        <v/>
      </c>
      <c r="F376" s="51" t="str">
        <f>IF(OR(C376="",D376=""),"",IF(TipoCalculo="JUROS SIMPLES",D376*E376*TaxaAoDia,FV(TaxaAoDia,E376,,-D376)-D376))</f>
        <v/>
      </c>
      <c r="G376" s="51" t="str">
        <f t="shared" si="10"/>
        <v/>
      </c>
      <c r="H376" s="51" t="str">
        <f t="shared" si="11"/>
        <v/>
      </c>
    </row>
    <row r="377" spans="5:8" x14ac:dyDescent="0.25">
      <c r="E377" s="50" t="str">
        <f>IF(OR(C377="",D377=""),"",AtualizarAte-C377)</f>
        <v/>
      </c>
      <c r="F377" s="51" t="str">
        <f>IF(OR(C377="",D377=""),"",IF(TipoCalculo="JUROS SIMPLES",D377*E377*TaxaAoDia,FV(TaxaAoDia,E377,,-D377)-D377))</f>
        <v/>
      </c>
      <c r="G377" s="51" t="str">
        <f t="shared" si="10"/>
        <v/>
      </c>
      <c r="H377" s="51" t="str">
        <f t="shared" si="11"/>
        <v/>
      </c>
    </row>
    <row r="378" spans="5:8" x14ac:dyDescent="0.25">
      <c r="E378" s="50" t="str">
        <f>IF(OR(C378="",D378=""),"",AtualizarAte-C378)</f>
        <v/>
      </c>
      <c r="F378" s="51" t="str">
        <f>IF(OR(C378="",D378=""),"",IF(TipoCalculo="JUROS SIMPLES",D378*E378*TaxaAoDia,FV(TaxaAoDia,E378,,-D378)-D378))</f>
        <v/>
      </c>
      <c r="G378" s="51" t="str">
        <f t="shared" si="10"/>
        <v/>
      </c>
      <c r="H378" s="51" t="str">
        <f t="shared" si="11"/>
        <v/>
      </c>
    </row>
    <row r="379" spans="5:8" x14ac:dyDescent="0.25">
      <c r="E379" s="50" t="str">
        <f>IF(OR(C379="",D379=""),"",AtualizarAte-C379)</f>
        <v/>
      </c>
      <c r="F379" s="51" t="str">
        <f>IF(OR(C379="",D379=""),"",IF(TipoCalculo="JUROS SIMPLES",D379*E379*TaxaAoDia,FV(TaxaAoDia,E379,,-D379)-D379))</f>
        <v/>
      </c>
      <c r="G379" s="51" t="str">
        <f t="shared" si="10"/>
        <v/>
      </c>
      <c r="H379" s="51" t="str">
        <f t="shared" si="11"/>
        <v/>
      </c>
    </row>
    <row r="380" spans="5:8" x14ac:dyDescent="0.25">
      <c r="E380" s="50" t="str">
        <f>IF(OR(C380="",D380=""),"",AtualizarAte-C380)</f>
        <v/>
      </c>
      <c r="F380" s="51" t="str">
        <f>IF(OR(C380="",D380=""),"",IF(TipoCalculo="JUROS SIMPLES",D380*E380*TaxaAoDia,FV(TaxaAoDia,E380,,-D380)-D380))</f>
        <v/>
      </c>
      <c r="G380" s="51" t="str">
        <f t="shared" si="10"/>
        <v/>
      </c>
      <c r="H380" s="51" t="str">
        <f t="shared" si="11"/>
        <v/>
      </c>
    </row>
    <row r="381" spans="5:8" x14ac:dyDescent="0.25">
      <c r="E381" s="50" t="str">
        <f>IF(OR(C381="",D381=""),"",AtualizarAte-C381)</f>
        <v/>
      </c>
      <c r="F381" s="51" t="str">
        <f>IF(OR(C381="",D381=""),"",IF(TipoCalculo="JUROS SIMPLES",D381*E381*TaxaAoDia,FV(TaxaAoDia,E381,,-D381)-D381))</f>
        <v/>
      </c>
      <c r="G381" s="51" t="str">
        <f t="shared" si="10"/>
        <v/>
      </c>
      <c r="H381" s="51" t="str">
        <f t="shared" si="11"/>
        <v/>
      </c>
    </row>
    <row r="382" spans="5:8" x14ac:dyDescent="0.25">
      <c r="E382" s="50" t="str">
        <f>IF(OR(C382="",D382=""),"",AtualizarAte-C382)</f>
        <v/>
      </c>
      <c r="F382" s="51" t="str">
        <f>IF(OR(C382="",D382=""),"",IF(TipoCalculo="JUROS SIMPLES",D382*E382*TaxaAoDia,FV(TaxaAoDia,E382,,-D382)-D382))</f>
        <v/>
      </c>
      <c r="G382" s="51" t="str">
        <f t="shared" si="10"/>
        <v/>
      </c>
      <c r="H382" s="51" t="str">
        <f t="shared" si="11"/>
        <v/>
      </c>
    </row>
    <row r="383" spans="5:8" x14ac:dyDescent="0.25">
      <c r="E383" s="50" t="str">
        <f>IF(OR(C383="",D383=""),"",AtualizarAte-C383)</f>
        <v/>
      </c>
      <c r="F383" s="51" t="str">
        <f>IF(OR(C383="",D383=""),"",IF(TipoCalculo="JUROS SIMPLES",D383*E383*TaxaAoDia,FV(TaxaAoDia,E383,,-D383)-D383))</f>
        <v/>
      </c>
      <c r="G383" s="51" t="str">
        <f t="shared" si="10"/>
        <v/>
      </c>
      <c r="H383" s="51" t="str">
        <f t="shared" si="11"/>
        <v/>
      </c>
    </row>
    <row r="384" spans="5:8" x14ac:dyDescent="0.25">
      <c r="E384" s="50" t="str">
        <f>IF(OR(C384="",D384=""),"",AtualizarAte-C384)</f>
        <v/>
      </c>
      <c r="F384" s="51" t="str">
        <f>IF(OR(C384="",D384=""),"",IF(TipoCalculo="JUROS SIMPLES",D384*E384*TaxaAoDia,FV(TaxaAoDia,E384,,-D384)-D384))</f>
        <v/>
      </c>
      <c r="G384" s="51" t="str">
        <f t="shared" si="10"/>
        <v/>
      </c>
      <c r="H384" s="51" t="str">
        <f t="shared" si="11"/>
        <v/>
      </c>
    </row>
    <row r="385" spans="5:8" x14ac:dyDescent="0.25">
      <c r="E385" s="50" t="str">
        <f>IF(OR(C385="",D385=""),"",AtualizarAte-C385)</f>
        <v/>
      </c>
      <c r="F385" s="51" t="str">
        <f>IF(OR(C385="",D385=""),"",IF(TipoCalculo="JUROS SIMPLES",D385*E385*TaxaAoDia,FV(TaxaAoDia,E385,,-D385)-D385))</f>
        <v/>
      </c>
      <c r="G385" s="51" t="str">
        <f t="shared" si="10"/>
        <v/>
      </c>
      <c r="H385" s="51" t="str">
        <f t="shared" si="11"/>
        <v/>
      </c>
    </row>
    <row r="386" spans="5:8" x14ac:dyDescent="0.25">
      <c r="E386" s="50" t="str">
        <f>IF(OR(C386="",D386=""),"",AtualizarAte-C386)</f>
        <v/>
      </c>
      <c r="F386" s="51" t="str">
        <f>IF(OR(C386="",D386=""),"",IF(TipoCalculo="JUROS SIMPLES",D386*E386*TaxaAoDia,FV(TaxaAoDia,E386,,-D386)-D386))</f>
        <v/>
      </c>
      <c r="G386" s="51" t="str">
        <f t="shared" si="10"/>
        <v/>
      </c>
      <c r="H386" s="51" t="str">
        <f t="shared" si="11"/>
        <v/>
      </c>
    </row>
    <row r="387" spans="5:8" x14ac:dyDescent="0.25">
      <c r="E387" s="50" t="str">
        <f>IF(OR(C387="",D387=""),"",AtualizarAte-C387)</f>
        <v/>
      </c>
      <c r="F387" s="51" t="str">
        <f>IF(OR(C387="",D387=""),"",IF(TipoCalculo="JUROS SIMPLES",D387*E387*TaxaAoDia,FV(TaxaAoDia,E387,,-D387)-D387))</f>
        <v/>
      </c>
      <c r="G387" s="51" t="str">
        <f t="shared" si="10"/>
        <v/>
      </c>
      <c r="H387" s="51" t="str">
        <f t="shared" si="11"/>
        <v/>
      </c>
    </row>
    <row r="388" spans="5:8" x14ac:dyDescent="0.25">
      <c r="E388" s="50" t="str">
        <f>IF(OR(C388="",D388=""),"",AtualizarAte-C388)</f>
        <v/>
      </c>
      <c r="F388" s="51" t="str">
        <f>IF(OR(C388="",D388=""),"",IF(TipoCalculo="JUROS SIMPLES",D388*E388*TaxaAoDia,FV(TaxaAoDia,E388,,-D388)-D388))</f>
        <v/>
      </c>
      <c r="G388" s="51" t="str">
        <f t="shared" si="10"/>
        <v/>
      </c>
      <c r="H388" s="51" t="str">
        <f t="shared" si="11"/>
        <v/>
      </c>
    </row>
    <row r="389" spans="5:8" x14ac:dyDescent="0.25">
      <c r="E389" s="50" t="str">
        <f>IF(OR(C389="",D389=""),"",AtualizarAte-C389)</f>
        <v/>
      </c>
      <c r="F389" s="51" t="str">
        <f>IF(OR(C389="",D389=""),"",IF(TipoCalculo="JUROS SIMPLES",D389*E389*TaxaAoDia,FV(TaxaAoDia,E389,,-D389)-D389))</f>
        <v/>
      </c>
      <c r="G389" s="51" t="str">
        <f t="shared" si="10"/>
        <v/>
      </c>
      <c r="H389" s="51" t="str">
        <f t="shared" si="11"/>
        <v/>
      </c>
    </row>
    <row r="390" spans="5:8" x14ac:dyDescent="0.25">
      <c r="E390" s="50" t="str">
        <f>IF(OR(C390="",D390=""),"",AtualizarAte-C390)</f>
        <v/>
      </c>
      <c r="F390" s="51" t="str">
        <f>IF(OR(C390="",D390=""),"",IF(TipoCalculo="JUROS SIMPLES",D390*E390*TaxaAoDia,FV(TaxaAoDia,E390,,-D390)-D390))</f>
        <v/>
      </c>
      <c r="G390" s="51" t="str">
        <f t="shared" si="10"/>
        <v/>
      </c>
      <c r="H390" s="51" t="str">
        <f t="shared" si="11"/>
        <v/>
      </c>
    </row>
    <row r="391" spans="5:8" x14ac:dyDescent="0.25">
      <c r="E391" s="50" t="str">
        <f>IF(OR(C391="",D391=""),"",AtualizarAte-C391)</f>
        <v/>
      </c>
      <c r="F391" s="51" t="str">
        <f>IF(OR(C391="",D391=""),"",IF(TipoCalculo="JUROS SIMPLES",D391*E391*TaxaAoDia,FV(TaxaAoDia,E391,,-D391)-D391))</f>
        <v/>
      </c>
      <c r="G391" s="51" t="str">
        <f t="shared" si="10"/>
        <v/>
      </c>
      <c r="H391" s="51" t="str">
        <f t="shared" si="11"/>
        <v/>
      </c>
    </row>
    <row r="392" spans="5:8" x14ac:dyDescent="0.25">
      <c r="E392" s="50" t="str">
        <f>IF(OR(C392="",D392=""),"",AtualizarAte-C392)</f>
        <v/>
      </c>
      <c r="F392" s="51" t="str">
        <f>IF(OR(C392="",D392=""),"",IF(TipoCalculo="JUROS SIMPLES",D392*E392*TaxaAoDia,FV(TaxaAoDia,E392,,-D392)-D392))</f>
        <v/>
      </c>
      <c r="G392" s="51" t="str">
        <f t="shared" si="10"/>
        <v/>
      </c>
      <c r="H392" s="51" t="str">
        <f t="shared" si="11"/>
        <v/>
      </c>
    </row>
    <row r="393" spans="5:8" x14ac:dyDescent="0.25">
      <c r="E393" s="50" t="str">
        <f>IF(OR(C393="",D393=""),"",AtualizarAte-C393)</f>
        <v/>
      </c>
      <c r="F393" s="51" t="str">
        <f>IF(OR(C393="",D393=""),"",IF(TipoCalculo="JUROS SIMPLES",D393*E393*TaxaAoDia,FV(TaxaAoDia,E393,,-D393)-D393))</f>
        <v/>
      </c>
      <c r="G393" s="51" t="str">
        <f t="shared" si="10"/>
        <v/>
      </c>
      <c r="H393" s="51" t="str">
        <f t="shared" si="11"/>
        <v/>
      </c>
    </row>
    <row r="394" spans="5:8" x14ac:dyDescent="0.25">
      <c r="E394" s="50" t="str">
        <f>IF(OR(C394="",D394=""),"",AtualizarAte-C394)</f>
        <v/>
      </c>
      <c r="F394" s="51" t="str">
        <f>IF(OR(C394="",D394=""),"",IF(TipoCalculo="JUROS SIMPLES",D394*E394*TaxaAoDia,FV(TaxaAoDia,E394,,-D394)-D394))</f>
        <v/>
      </c>
      <c r="G394" s="51" t="str">
        <f t="shared" si="10"/>
        <v/>
      </c>
      <c r="H394" s="51" t="str">
        <f t="shared" si="11"/>
        <v/>
      </c>
    </row>
    <row r="395" spans="5:8" x14ac:dyDescent="0.25">
      <c r="E395" s="50" t="str">
        <f>IF(OR(C395="",D395=""),"",AtualizarAte-C395)</f>
        <v/>
      </c>
      <c r="F395" s="51" t="str">
        <f>IF(OR(C395="",D395=""),"",IF(TipoCalculo="JUROS SIMPLES",D395*E395*TaxaAoDia,FV(TaxaAoDia,E395,,-D395)-D395))</f>
        <v/>
      </c>
      <c r="G395" s="51" t="str">
        <f t="shared" si="10"/>
        <v/>
      </c>
      <c r="H395" s="51" t="str">
        <f t="shared" si="11"/>
        <v/>
      </c>
    </row>
    <row r="396" spans="5:8" x14ac:dyDescent="0.25">
      <c r="E396" s="50" t="str">
        <f>IF(OR(C396="",D396=""),"",AtualizarAte-C396)</f>
        <v/>
      </c>
      <c r="F396" s="51" t="str">
        <f>IF(OR(C396="",D396=""),"",IF(TipoCalculo="JUROS SIMPLES",D396*E396*TaxaAoDia,FV(TaxaAoDia,E396,,-D396)-D396))</f>
        <v/>
      </c>
      <c r="G396" s="51" t="str">
        <f t="shared" si="10"/>
        <v/>
      </c>
      <c r="H396" s="51" t="str">
        <f t="shared" si="11"/>
        <v/>
      </c>
    </row>
    <row r="397" spans="5:8" x14ac:dyDescent="0.25">
      <c r="E397" s="50" t="str">
        <f>IF(OR(C397="",D397=""),"",AtualizarAte-C397)</f>
        <v/>
      </c>
      <c r="F397" s="51" t="str">
        <f>IF(OR(C397="",D397=""),"",IF(TipoCalculo="JUROS SIMPLES",D397*E397*TaxaAoDia,FV(TaxaAoDia,E397,,-D397)-D397))</f>
        <v/>
      </c>
      <c r="G397" s="51" t="str">
        <f t="shared" ref="G397:G460" si="12">IF(OR(C397="",D397=""),"",D397+F397)</f>
        <v/>
      </c>
      <c r="H397" s="51" t="str">
        <f t="shared" ref="H397:H460" si="13">IF(C397="","",IF(D397="","",IF(H396="SALDO ATUALIZ.",G397,H396+G397)))</f>
        <v/>
      </c>
    </row>
    <row r="398" spans="5:8" x14ac:dyDescent="0.25">
      <c r="E398" s="50" t="str">
        <f>IF(OR(C398="",D398=""),"",AtualizarAte-C398)</f>
        <v/>
      </c>
      <c r="F398" s="51" t="str">
        <f>IF(OR(C398="",D398=""),"",IF(TipoCalculo="JUROS SIMPLES",D398*E398*TaxaAoDia,FV(TaxaAoDia,E398,,-D398)-D398))</f>
        <v/>
      </c>
      <c r="G398" s="51" t="str">
        <f t="shared" si="12"/>
        <v/>
      </c>
      <c r="H398" s="51" t="str">
        <f t="shared" si="13"/>
        <v/>
      </c>
    </row>
    <row r="399" spans="5:8" x14ac:dyDescent="0.25">
      <c r="E399" s="50" t="str">
        <f>IF(OR(C399="",D399=""),"",AtualizarAte-C399)</f>
        <v/>
      </c>
      <c r="F399" s="51" t="str">
        <f>IF(OR(C399="",D399=""),"",IF(TipoCalculo="JUROS SIMPLES",D399*E399*TaxaAoDia,FV(TaxaAoDia,E399,,-D399)-D399))</f>
        <v/>
      </c>
      <c r="G399" s="51" t="str">
        <f t="shared" si="12"/>
        <v/>
      </c>
      <c r="H399" s="51" t="str">
        <f t="shared" si="13"/>
        <v/>
      </c>
    </row>
    <row r="400" spans="5:8" x14ac:dyDescent="0.25">
      <c r="E400" s="50" t="str">
        <f>IF(OR(C400="",D400=""),"",AtualizarAte-C400)</f>
        <v/>
      </c>
      <c r="F400" s="51" t="str">
        <f>IF(OR(C400="",D400=""),"",IF(TipoCalculo="JUROS SIMPLES",D400*E400*TaxaAoDia,FV(TaxaAoDia,E400,,-D400)-D400))</f>
        <v/>
      </c>
      <c r="G400" s="51" t="str">
        <f t="shared" si="12"/>
        <v/>
      </c>
      <c r="H400" s="51" t="str">
        <f t="shared" si="13"/>
        <v/>
      </c>
    </row>
    <row r="401" spans="5:8" x14ac:dyDescent="0.25">
      <c r="E401" s="50" t="str">
        <f>IF(OR(C401="",D401=""),"",AtualizarAte-C401)</f>
        <v/>
      </c>
      <c r="F401" s="51" t="str">
        <f>IF(OR(C401="",D401=""),"",IF(TipoCalculo="JUROS SIMPLES",D401*E401*TaxaAoDia,FV(TaxaAoDia,E401,,-D401)-D401))</f>
        <v/>
      </c>
      <c r="G401" s="51" t="str">
        <f t="shared" si="12"/>
        <v/>
      </c>
      <c r="H401" s="51" t="str">
        <f t="shared" si="13"/>
        <v/>
      </c>
    </row>
    <row r="402" spans="5:8" x14ac:dyDescent="0.25">
      <c r="E402" s="50" t="str">
        <f>IF(OR(C402="",D402=""),"",AtualizarAte-C402)</f>
        <v/>
      </c>
      <c r="F402" s="51" t="str">
        <f>IF(OR(C402="",D402=""),"",IF(TipoCalculo="JUROS SIMPLES",D402*E402*TaxaAoDia,FV(TaxaAoDia,E402,,-D402)-D402))</f>
        <v/>
      </c>
      <c r="G402" s="51" t="str">
        <f t="shared" si="12"/>
        <v/>
      </c>
      <c r="H402" s="51" t="str">
        <f t="shared" si="13"/>
        <v/>
      </c>
    </row>
    <row r="403" spans="5:8" x14ac:dyDescent="0.25">
      <c r="E403" s="50" t="str">
        <f>IF(OR(C403="",D403=""),"",AtualizarAte-C403)</f>
        <v/>
      </c>
      <c r="F403" s="51" t="str">
        <f>IF(OR(C403="",D403=""),"",IF(TipoCalculo="JUROS SIMPLES",D403*E403*TaxaAoDia,FV(TaxaAoDia,E403,,-D403)-D403))</f>
        <v/>
      </c>
      <c r="G403" s="51" t="str">
        <f t="shared" si="12"/>
        <v/>
      </c>
      <c r="H403" s="51" t="str">
        <f t="shared" si="13"/>
        <v/>
      </c>
    </row>
    <row r="404" spans="5:8" x14ac:dyDescent="0.25">
      <c r="E404" s="50" t="str">
        <f>IF(OR(C404="",D404=""),"",AtualizarAte-C404)</f>
        <v/>
      </c>
      <c r="F404" s="51" t="str">
        <f>IF(OR(C404="",D404=""),"",IF(TipoCalculo="JUROS SIMPLES",D404*E404*TaxaAoDia,FV(TaxaAoDia,E404,,-D404)-D404))</f>
        <v/>
      </c>
      <c r="G404" s="51" t="str">
        <f t="shared" si="12"/>
        <v/>
      </c>
      <c r="H404" s="51" t="str">
        <f t="shared" si="13"/>
        <v/>
      </c>
    </row>
    <row r="405" spans="5:8" x14ac:dyDescent="0.25">
      <c r="E405" s="50" t="str">
        <f>IF(OR(C405="",D405=""),"",AtualizarAte-C405)</f>
        <v/>
      </c>
      <c r="F405" s="51" t="str">
        <f>IF(OR(C405="",D405=""),"",IF(TipoCalculo="JUROS SIMPLES",D405*E405*TaxaAoDia,FV(TaxaAoDia,E405,,-D405)-D405))</f>
        <v/>
      </c>
      <c r="G405" s="51" t="str">
        <f t="shared" si="12"/>
        <v/>
      </c>
      <c r="H405" s="51" t="str">
        <f t="shared" si="13"/>
        <v/>
      </c>
    </row>
    <row r="406" spans="5:8" x14ac:dyDescent="0.25">
      <c r="E406" s="50" t="str">
        <f>IF(OR(C406="",D406=""),"",AtualizarAte-C406)</f>
        <v/>
      </c>
      <c r="F406" s="51" t="str">
        <f>IF(OR(C406="",D406=""),"",IF(TipoCalculo="JUROS SIMPLES",D406*E406*TaxaAoDia,FV(TaxaAoDia,E406,,-D406)-D406))</f>
        <v/>
      </c>
      <c r="G406" s="51" t="str">
        <f t="shared" si="12"/>
        <v/>
      </c>
      <c r="H406" s="51" t="str">
        <f t="shared" si="13"/>
        <v/>
      </c>
    </row>
    <row r="407" spans="5:8" x14ac:dyDescent="0.25">
      <c r="E407" s="50" t="str">
        <f>IF(OR(C407="",D407=""),"",AtualizarAte-C407)</f>
        <v/>
      </c>
      <c r="F407" s="51" t="str">
        <f>IF(OR(C407="",D407=""),"",IF(TipoCalculo="JUROS SIMPLES",D407*E407*TaxaAoDia,FV(TaxaAoDia,E407,,-D407)-D407))</f>
        <v/>
      </c>
      <c r="G407" s="51" t="str">
        <f t="shared" si="12"/>
        <v/>
      </c>
      <c r="H407" s="51" t="str">
        <f t="shared" si="13"/>
        <v/>
      </c>
    </row>
    <row r="408" spans="5:8" x14ac:dyDescent="0.25">
      <c r="E408" s="50" t="str">
        <f>IF(OR(C408="",D408=""),"",AtualizarAte-C408)</f>
        <v/>
      </c>
      <c r="F408" s="51" t="str">
        <f>IF(OR(C408="",D408=""),"",IF(TipoCalculo="JUROS SIMPLES",D408*E408*TaxaAoDia,FV(TaxaAoDia,E408,,-D408)-D408))</f>
        <v/>
      </c>
      <c r="G408" s="51" t="str">
        <f t="shared" si="12"/>
        <v/>
      </c>
      <c r="H408" s="51" t="str">
        <f t="shared" si="13"/>
        <v/>
      </c>
    </row>
    <row r="409" spans="5:8" x14ac:dyDescent="0.25">
      <c r="E409" s="50" t="str">
        <f>IF(OR(C409="",D409=""),"",AtualizarAte-C409)</f>
        <v/>
      </c>
      <c r="F409" s="51" t="str">
        <f>IF(OR(C409="",D409=""),"",IF(TipoCalculo="JUROS SIMPLES",D409*E409*TaxaAoDia,FV(TaxaAoDia,E409,,-D409)-D409))</f>
        <v/>
      </c>
      <c r="G409" s="51" t="str">
        <f t="shared" si="12"/>
        <v/>
      </c>
      <c r="H409" s="51" t="str">
        <f t="shared" si="13"/>
        <v/>
      </c>
    </row>
    <row r="410" spans="5:8" x14ac:dyDescent="0.25">
      <c r="E410" s="50" t="str">
        <f>IF(OR(C410="",D410=""),"",AtualizarAte-C410)</f>
        <v/>
      </c>
      <c r="F410" s="51" t="str">
        <f>IF(OR(C410="",D410=""),"",IF(TipoCalculo="JUROS SIMPLES",D410*E410*TaxaAoDia,FV(TaxaAoDia,E410,,-D410)-D410))</f>
        <v/>
      </c>
      <c r="G410" s="51" t="str">
        <f t="shared" si="12"/>
        <v/>
      </c>
      <c r="H410" s="51" t="str">
        <f t="shared" si="13"/>
        <v/>
      </c>
    </row>
    <row r="411" spans="5:8" x14ac:dyDescent="0.25">
      <c r="E411" s="50" t="str">
        <f>IF(OR(C411="",D411=""),"",AtualizarAte-C411)</f>
        <v/>
      </c>
      <c r="F411" s="51" t="str">
        <f>IF(OR(C411="",D411=""),"",IF(TipoCalculo="JUROS SIMPLES",D411*E411*TaxaAoDia,FV(TaxaAoDia,E411,,-D411)-D411))</f>
        <v/>
      </c>
      <c r="G411" s="51" t="str">
        <f t="shared" si="12"/>
        <v/>
      </c>
      <c r="H411" s="51" t="str">
        <f t="shared" si="13"/>
        <v/>
      </c>
    </row>
    <row r="412" spans="5:8" x14ac:dyDescent="0.25">
      <c r="E412" s="50" t="str">
        <f>IF(OR(C412="",D412=""),"",AtualizarAte-C412)</f>
        <v/>
      </c>
      <c r="F412" s="51" t="str">
        <f>IF(OR(C412="",D412=""),"",IF(TipoCalculo="JUROS SIMPLES",D412*E412*TaxaAoDia,FV(TaxaAoDia,E412,,-D412)-D412))</f>
        <v/>
      </c>
      <c r="G412" s="51" t="str">
        <f t="shared" si="12"/>
        <v/>
      </c>
      <c r="H412" s="51" t="str">
        <f t="shared" si="13"/>
        <v/>
      </c>
    </row>
    <row r="413" spans="5:8" x14ac:dyDescent="0.25">
      <c r="E413" s="50" t="str">
        <f>IF(OR(C413="",D413=""),"",AtualizarAte-C413)</f>
        <v/>
      </c>
      <c r="F413" s="51" t="str">
        <f>IF(OR(C413="",D413=""),"",IF(TipoCalculo="JUROS SIMPLES",D413*E413*TaxaAoDia,FV(TaxaAoDia,E413,,-D413)-D413))</f>
        <v/>
      </c>
      <c r="G413" s="51" t="str">
        <f t="shared" si="12"/>
        <v/>
      </c>
      <c r="H413" s="51" t="str">
        <f t="shared" si="13"/>
        <v/>
      </c>
    </row>
    <row r="414" spans="5:8" x14ac:dyDescent="0.25">
      <c r="E414" s="50" t="str">
        <f>IF(OR(C414="",D414=""),"",AtualizarAte-C414)</f>
        <v/>
      </c>
      <c r="F414" s="51" t="str">
        <f>IF(OR(C414="",D414=""),"",IF(TipoCalculo="JUROS SIMPLES",D414*E414*TaxaAoDia,FV(TaxaAoDia,E414,,-D414)-D414))</f>
        <v/>
      </c>
      <c r="G414" s="51" t="str">
        <f t="shared" si="12"/>
        <v/>
      </c>
      <c r="H414" s="51" t="str">
        <f t="shared" si="13"/>
        <v/>
      </c>
    </row>
    <row r="415" spans="5:8" x14ac:dyDescent="0.25">
      <c r="E415" s="50" t="str">
        <f>IF(OR(C415="",D415=""),"",AtualizarAte-C415)</f>
        <v/>
      </c>
      <c r="F415" s="51" t="str">
        <f>IF(OR(C415="",D415=""),"",IF(TipoCalculo="JUROS SIMPLES",D415*E415*TaxaAoDia,FV(TaxaAoDia,E415,,-D415)-D415))</f>
        <v/>
      </c>
      <c r="G415" s="51" t="str">
        <f t="shared" si="12"/>
        <v/>
      </c>
      <c r="H415" s="51" t="str">
        <f t="shared" si="13"/>
        <v/>
      </c>
    </row>
    <row r="416" spans="5:8" x14ac:dyDescent="0.25">
      <c r="E416" s="50" t="str">
        <f>IF(OR(C416="",D416=""),"",AtualizarAte-C416)</f>
        <v/>
      </c>
      <c r="F416" s="51" t="str">
        <f>IF(OR(C416="",D416=""),"",IF(TipoCalculo="JUROS SIMPLES",D416*E416*TaxaAoDia,FV(TaxaAoDia,E416,,-D416)-D416))</f>
        <v/>
      </c>
      <c r="G416" s="51" t="str">
        <f t="shared" si="12"/>
        <v/>
      </c>
      <c r="H416" s="51" t="str">
        <f t="shared" si="13"/>
        <v/>
      </c>
    </row>
    <row r="417" spans="5:8" x14ac:dyDescent="0.25">
      <c r="E417" s="50" t="str">
        <f>IF(OR(C417="",D417=""),"",AtualizarAte-C417)</f>
        <v/>
      </c>
      <c r="F417" s="51" t="str">
        <f>IF(OR(C417="",D417=""),"",IF(TipoCalculo="JUROS SIMPLES",D417*E417*TaxaAoDia,FV(TaxaAoDia,E417,,-D417)-D417))</f>
        <v/>
      </c>
      <c r="G417" s="51" t="str">
        <f t="shared" si="12"/>
        <v/>
      </c>
      <c r="H417" s="51" t="str">
        <f t="shared" si="13"/>
        <v/>
      </c>
    </row>
    <row r="418" spans="5:8" x14ac:dyDescent="0.25">
      <c r="E418" s="50" t="str">
        <f>IF(OR(C418="",D418=""),"",AtualizarAte-C418)</f>
        <v/>
      </c>
      <c r="F418" s="51" t="str">
        <f>IF(OR(C418="",D418=""),"",IF(TipoCalculo="JUROS SIMPLES",D418*E418*TaxaAoDia,FV(TaxaAoDia,E418,,-D418)-D418))</f>
        <v/>
      </c>
      <c r="G418" s="51" t="str">
        <f t="shared" si="12"/>
        <v/>
      </c>
      <c r="H418" s="51" t="str">
        <f t="shared" si="13"/>
        <v/>
      </c>
    </row>
    <row r="419" spans="5:8" x14ac:dyDescent="0.25">
      <c r="E419" s="50" t="str">
        <f>IF(OR(C419="",D419=""),"",AtualizarAte-C419)</f>
        <v/>
      </c>
      <c r="F419" s="51" t="str">
        <f>IF(OR(C419="",D419=""),"",IF(TipoCalculo="JUROS SIMPLES",D419*E419*TaxaAoDia,FV(TaxaAoDia,E419,,-D419)-D419))</f>
        <v/>
      </c>
      <c r="G419" s="51" t="str">
        <f t="shared" si="12"/>
        <v/>
      </c>
      <c r="H419" s="51" t="str">
        <f t="shared" si="13"/>
        <v/>
      </c>
    </row>
    <row r="420" spans="5:8" x14ac:dyDescent="0.25">
      <c r="E420" s="50" t="str">
        <f>IF(OR(C420="",D420=""),"",AtualizarAte-C420)</f>
        <v/>
      </c>
      <c r="F420" s="51" t="str">
        <f>IF(OR(C420="",D420=""),"",IF(TipoCalculo="JUROS SIMPLES",D420*E420*TaxaAoDia,FV(TaxaAoDia,E420,,-D420)-D420))</f>
        <v/>
      </c>
      <c r="G420" s="51" t="str">
        <f t="shared" si="12"/>
        <v/>
      </c>
      <c r="H420" s="51" t="str">
        <f t="shared" si="13"/>
        <v/>
      </c>
    </row>
    <row r="421" spans="5:8" x14ac:dyDescent="0.25">
      <c r="E421" s="50" t="str">
        <f>IF(OR(C421="",D421=""),"",AtualizarAte-C421)</f>
        <v/>
      </c>
      <c r="F421" s="51" t="str">
        <f>IF(OR(C421="",D421=""),"",IF(TipoCalculo="JUROS SIMPLES",D421*E421*TaxaAoDia,FV(TaxaAoDia,E421,,-D421)-D421))</f>
        <v/>
      </c>
      <c r="G421" s="51" t="str">
        <f t="shared" si="12"/>
        <v/>
      </c>
      <c r="H421" s="51" t="str">
        <f t="shared" si="13"/>
        <v/>
      </c>
    </row>
    <row r="422" spans="5:8" x14ac:dyDescent="0.25">
      <c r="E422" s="50" t="str">
        <f>IF(OR(C422="",D422=""),"",AtualizarAte-C422)</f>
        <v/>
      </c>
      <c r="F422" s="51" t="str">
        <f>IF(OR(C422="",D422=""),"",IF(TipoCalculo="JUROS SIMPLES",D422*E422*TaxaAoDia,FV(TaxaAoDia,E422,,-D422)-D422))</f>
        <v/>
      </c>
      <c r="G422" s="51" t="str">
        <f t="shared" si="12"/>
        <v/>
      </c>
      <c r="H422" s="51" t="str">
        <f t="shared" si="13"/>
        <v/>
      </c>
    </row>
    <row r="423" spans="5:8" x14ac:dyDescent="0.25">
      <c r="E423" s="50" t="str">
        <f>IF(OR(C423="",D423=""),"",AtualizarAte-C423)</f>
        <v/>
      </c>
      <c r="F423" s="51" t="str">
        <f>IF(OR(C423="",D423=""),"",IF(TipoCalculo="JUROS SIMPLES",D423*E423*TaxaAoDia,FV(TaxaAoDia,E423,,-D423)-D423))</f>
        <v/>
      </c>
      <c r="G423" s="51" t="str">
        <f t="shared" si="12"/>
        <v/>
      </c>
      <c r="H423" s="51" t="str">
        <f t="shared" si="13"/>
        <v/>
      </c>
    </row>
    <row r="424" spans="5:8" x14ac:dyDescent="0.25">
      <c r="E424" s="50" t="str">
        <f>IF(OR(C424="",D424=""),"",AtualizarAte-C424)</f>
        <v/>
      </c>
      <c r="F424" s="51" t="str">
        <f>IF(OR(C424="",D424=""),"",IF(TipoCalculo="JUROS SIMPLES",D424*E424*TaxaAoDia,FV(TaxaAoDia,E424,,-D424)-D424))</f>
        <v/>
      </c>
      <c r="G424" s="51" t="str">
        <f t="shared" si="12"/>
        <v/>
      </c>
      <c r="H424" s="51" t="str">
        <f t="shared" si="13"/>
        <v/>
      </c>
    </row>
    <row r="425" spans="5:8" x14ac:dyDescent="0.25">
      <c r="E425" s="50" t="str">
        <f>IF(OR(C425="",D425=""),"",AtualizarAte-C425)</f>
        <v/>
      </c>
      <c r="F425" s="51" t="str">
        <f>IF(OR(C425="",D425=""),"",IF(TipoCalculo="JUROS SIMPLES",D425*E425*TaxaAoDia,FV(TaxaAoDia,E425,,-D425)-D425))</f>
        <v/>
      </c>
      <c r="G425" s="51" t="str">
        <f t="shared" si="12"/>
        <v/>
      </c>
      <c r="H425" s="51" t="str">
        <f t="shared" si="13"/>
        <v/>
      </c>
    </row>
    <row r="426" spans="5:8" x14ac:dyDescent="0.25">
      <c r="E426" s="50" t="str">
        <f>IF(OR(C426="",D426=""),"",AtualizarAte-C426)</f>
        <v/>
      </c>
      <c r="F426" s="51" t="str">
        <f>IF(OR(C426="",D426=""),"",IF(TipoCalculo="JUROS SIMPLES",D426*E426*TaxaAoDia,FV(TaxaAoDia,E426,,-D426)-D426))</f>
        <v/>
      </c>
      <c r="G426" s="51" t="str">
        <f t="shared" si="12"/>
        <v/>
      </c>
      <c r="H426" s="51" t="str">
        <f t="shared" si="13"/>
        <v/>
      </c>
    </row>
    <row r="427" spans="5:8" x14ac:dyDescent="0.25">
      <c r="E427" s="50" t="str">
        <f>IF(OR(C427="",D427=""),"",AtualizarAte-C427)</f>
        <v/>
      </c>
      <c r="F427" s="51" t="str">
        <f>IF(OR(C427="",D427=""),"",IF(TipoCalculo="JUROS SIMPLES",D427*E427*TaxaAoDia,FV(TaxaAoDia,E427,,-D427)-D427))</f>
        <v/>
      </c>
      <c r="G427" s="51" t="str">
        <f t="shared" si="12"/>
        <v/>
      </c>
      <c r="H427" s="51" t="str">
        <f t="shared" si="13"/>
        <v/>
      </c>
    </row>
    <row r="428" spans="5:8" x14ac:dyDescent="0.25">
      <c r="E428" s="50" t="str">
        <f>IF(OR(C428="",D428=""),"",AtualizarAte-C428)</f>
        <v/>
      </c>
      <c r="F428" s="51" t="str">
        <f>IF(OR(C428="",D428=""),"",IF(TipoCalculo="JUROS SIMPLES",D428*E428*TaxaAoDia,FV(TaxaAoDia,E428,,-D428)-D428))</f>
        <v/>
      </c>
      <c r="G428" s="51" t="str">
        <f t="shared" si="12"/>
        <v/>
      </c>
      <c r="H428" s="51" t="str">
        <f t="shared" si="13"/>
        <v/>
      </c>
    </row>
    <row r="429" spans="5:8" x14ac:dyDescent="0.25">
      <c r="E429" s="50" t="str">
        <f>IF(OR(C429="",D429=""),"",AtualizarAte-C429)</f>
        <v/>
      </c>
      <c r="F429" s="51" t="str">
        <f>IF(OR(C429="",D429=""),"",IF(TipoCalculo="JUROS SIMPLES",D429*E429*TaxaAoDia,FV(TaxaAoDia,E429,,-D429)-D429))</f>
        <v/>
      </c>
      <c r="G429" s="51" t="str">
        <f t="shared" si="12"/>
        <v/>
      </c>
      <c r="H429" s="51" t="str">
        <f t="shared" si="13"/>
        <v/>
      </c>
    </row>
    <row r="430" spans="5:8" x14ac:dyDescent="0.25">
      <c r="E430" s="50" t="str">
        <f>IF(OR(C430="",D430=""),"",AtualizarAte-C430)</f>
        <v/>
      </c>
      <c r="F430" s="51" t="str">
        <f>IF(OR(C430="",D430=""),"",IF(TipoCalculo="JUROS SIMPLES",D430*E430*TaxaAoDia,FV(TaxaAoDia,E430,,-D430)-D430))</f>
        <v/>
      </c>
      <c r="G430" s="51" t="str">
        <f t="shared" si="12"/>
        <v/>
      </c>
      <c r="H430" s="51" t="str">
        <f t="shared" si="13"/>
        <v/>
      </c>
    </row>
    <row r="431" spans="5:8" x14ac:dyDescent="0.25">
      <c r="E431" s="50" t="str">
        <f>IF(OR(C431="",D431=""),"",AtualizarAte-C431)</f>
        <v/>
      </c>
      <c r="F431" s="51" t="str">
        <f>IF(OR(C431="",D431=""),"",IF(TipoCalculo="JUROS SIMPLES",D431*E431*TaxaAoDia,FV(TaxaAoDia,E431,,-D431)-D431))</f>
        <v/>
      </c>
      <c r="G431" s="51" t="str">
        <f t="shared" si="12"/>
        <v/>
      </c>
      <c r="H431" s="51" t="str">
        <f t="shared" si="13"/>
        <v/>
      </c>
    </row>
    <row r="432" spans="5:8" x14ac:dyDescent="0.25">
      <c r="E432" s="50" t="str">
        <f>IF(OR(C432="",D432=""),"",AtualizarAte-C432)</f>
        <v/>
      </c>
      <c r="F432" s="51" t="str">
        <f>IF(OR(C432="",D432=""),"",IF(TipoCalculo="JUROS SIMPLES",D432*E432*TaxaAoDia,FV(TaxaAoDia,E432,,-D432)-D432))</f>
        <v/>
      </c>
      <c r="G432" s="51" t="str">
        <f t="shared" si="12"/>
        <v/>
      </c>
      <c r="H432" s="51" t="str">
        <f t="shared" si="13"/>
        <v/>
      </c>
    </row>
    <row r="433" spans="5:8" x14ac:dyDescent="0.25">
      <c r="E433" s="50" t="str">
        <f>IF(OR(C433="",D433=""),"",AtualizarAte-C433)</f>
        <v/>
      </c>
      <c r="F433" s="51" t="str">
        <f>IF(OR(C433="",D433=""),"",IF(TipoCalculo="JUROS SIMPLES",D433*E433*TaxaAoDia,FV(TaxaAoDia,E433,,-D433)-D433))</f>
        <v/>
      </c>
      <c r="G433" s="51" t="str">
        <f t="shared" si="12"/>
        <v/>
      </c>
      <c r="H433" s="51" t="str">
        <f t="shared" si="13"/>
        <v/>
      </c>
    </row>
    <row r="434" spans="5:8" x14ac:dyDescent="0.25">
      <c r="E434" s="50" t="str">
        <f>IF(OR(C434="",D434=""),"",AtualizarAte-C434)</f>
        <v/>
      </c>
      <c r="F434" s="51" t="str">
        <f>IF(OR(C434="",D434=""),"",IF(TipoCalculo="JUROS SIMPLES",D434*E434*TaxaAoDia,FV(TaxaAoDia,E434,,-D434)-D434))</f>
        <v/>
      </c>
      <c r="G434" s="51" t="str">
        <f t="shared" si="12"/>
        <v/>
      </c>
      <c r="H434" s="51" t="str">
        <f t="shared" si="13"/>
        <v/>
      </c>
    </row>
    <row r="435" spans="5:8" x14ac:dyDescent="0.25">
      <c r="E435" s="50" t="str">
        <f>IF(OR(C435="",D435=""),"",AtualizarAte-C435)</f>
        <v/>
      </c>
      <c r="F435" s="51" t="str">
        <f>IF(OR(C435="",D435=""),"",IF(TipoCalculo="JUROS SIMPLES",D435*E435*TaxaAoDia,FV(TaxaAoDia,E435,,-D435)-D435))</f>
        <v/>
      </c>
      <c r="G435" s="51" t="str">
        <f t="shared" si="12"/>
        <v/>
      </c>
      <c r="H435" s="51" t="str">
        <f t="shared" si="13"/>
        <v/>
      </c>
    </row>
    <row r="436" spans="5:8" x14ac:dyDescent="0.25">
      <c r="E436" s="50" t="str">
        <f>IF(OR(C436="",D436=""),"",AtualizarAte-C436)</f>
        <v/>
      </c>
      <c r="F436" s="51" t="str">
        <f>IF(OR(C436="",D436=""),"",IF(TipoCalculo="JUROS SIMPLES",D436*E436*TaxaAoDia,FV(TaxaAoDia,E436,,-D436)-D436))</f>
        <v/>
      </c>
      <c r="G436" s="51" t="str">
        <f t="shared" si="12"/>
        <v/>
      </c>
      <c r="H436" s="51" t="str">
        <f t="shared" si="13"/>
        <v/>
      </c>
    </row>
    <row r="437" spans="5:8" x14ac:dyDescent="0.25">
      <c r="E437" s="50" t="str">
        <f>IF(OR(C437="",D437=""),"",AtualizarAte-C437)</f>
        <v/>
      </c>
      <c r="F437" s="51" t="str">
        <f>IF(OR(C437="",D437=""),"",IF(TipoCalculo="JUROS SIMPLES",D437*E437*TaxaAoDia,FV(TaxaAoDia,E437,,-D437)-D437))</f>
        <v/>
      </c>
      <c r="G437" s="51" t="str">
        <f t="shared" si="12"/>
        <v/>
      </c>
      <c r="H437" s="51" t="str">
        <f t="shared" si="13"/>
        <v/>
      </c>
    </row>
    <row r="438" spans="5:8" x14ac:dyDescent="0.25">
      <c r="E438" s="50" t="str">
        <f>IF(OR(C438="",D438=""),"",AtualizarAte-C438)</f>
        <v/>
      </c>
      <c r="F438" s="51" t="str">
        <f>IF(OR(C438="",D438=""),"",IF(TipoCalculo="JUROS SIMPLES",D438*E438*TaxaAoDia,FV(TaxaAoDia,E438,,-D438)-D438))</f>
        <v/>
      </c>
      <c r="G438" s="51" t="str">
        <f t="shared" si="12"/>
        <v/>
      </c>
      <c r="H438" s="51" t="str">
        <f t="shared" si="13"/>
        <v/>
      </c>
    </row>
    <row r="439" spans="5:8" x14ac:dyDescent="0.25">
      <c r="E439" s="50" t="str">
        <f>IF(OR(C439="",D439=""),"",AtualizarAte-C439)</f>
        <v/>
      </c>
      <c r="F439" s="51" t="str">
        <f>IF(OR(C439="",D439=""),"",IF(TipoCalculo="JUROS SIMPLES",D439*E439*TaxaAoDia,FV(TaxaAoDia,E439,,-D439)-D439))</f>
        <v/>
      </c>
      <c r="G439" s="51" t="str">
        <f t="shared" si="12"/>
        <v/>
      </c>
      <c r="H439" s="51" t="str">
        <f t="shared" si="13"/>
        <v/>
      </c>
    </row>
    <row r="440" spans="5:8" x14ac:dyDescent="0.25">
      <c r="E440" s="50" t="str">
        <f>IF(OR(C440="",D440=""),"",AtualizarAte-C440)</f>
        <v/>
      </c>
      <c r="F440" s="51" t="str">
        <f>IF(OR(C440="",D440=""),"",IF(TipoCalculo="JUROS SIMPLES",D440*E440*TaxaAoDia,FV(TaxaAoDia,E440,,-D440)-D440))</f>
        <v/>
      </c>
      <c r="G440" s="51" t="str">
        <f t="shared" si="12"/>
        <v/>
      </c>
      <c r="H440" s="51" t="str">
        <f t="shared" si="13"/>
        <v/>
      </c>
    </row>
    <row r="441" spans="5:8" x14ac:dyDescent="0.25">
      <c r="E441" s="50" t="str">
        <f>IF(OR(C441="",D441=""),"",AtualizarAte-C441)</f>
        <v/>
      </c>
      <c r="F441" s="51" t="str">
        <f>IF(OR(C441="",D441=""),"",IF(TipoCalculo="JUROS SIMPLES",D441*E441*TaxaAoDia,FV(TaxaAoDia,E441,,-D441)-D441))</f>
        <v/>
      </c>
      <c r="G441" s="51" t="str">
        <f t="shared" si="12"/>
        <v/>
      </c>
      <c r="H441" s="51" t="str">
        <f t="shared" si="13"/>
        <v/>
      </c>
    </row>
    <row r="442" spans="5:8" x14ac:dyDescent="0.25">
      <c r="E442" s="50" t="str">
        <f>IF(OR(C442="",D442=""),"",AtualizarAte-C442)</f>
        <v/>
      </c>
      <c r="F442" s="51" t="str">
        <f>IF(OR(C442="",D442=""),"",IF(TipoCalculo="JUROS SIMPLES",D442*E442*TaxaAoDia,FV(TaxaAoDia,E442,,-D442)-D442))</f>
        <v/>
      </c>
      <c r="G442" s="51" t="str">
        <f t="shared" si="12"/>
        <v/>
      </c>
      <c r="H442" s="51" t="str">
        <f t="shared" si="13"/>
        <v/>
      </c>
    </row>
    <row r="443" spans="5:8" x14ac:dyDescent="0.25">
      <c r="E443" s="50" t="str">
        <f>IF(OR(C443="",D443=""),"",AtualizarAte-C443)</f>
        <v/>
      </c>
      <c r="F443" s="51" t="str">
        <f>IF(OR(C443="",D443=""),"",IF(TipoCalculo="JUROS SIMPLES",D443*E443*TaxaAoDia,FV(TaxaAoDia,E443,,-D443)-D443))</f>
        <v/>
      </c>
      <c r="G443" s="51" t="str">
        <f t="shared" si="12"/>
        <v/>
      </c>
      <c r="H443" s="51" t="str">
        <f t="shared" si="13"/>
        <v/>
      </c>
    </row>
    <row r="444" spans="5:8" x14ac:dyDescent="0.25">
      <c r="E444" s="50" t="str">
        <f>IF(OR(C444="",D444=""),"",AtualizarAte-C444)</f>
        <v/>
      </c>
      <c r="F444" s="51" t="str">
        <f>IF(OR(C444="",D444=""),"",IF(TipoCalculo="JUROS SIMPLES",D444*E444*TaxaAoDia,FV(TaxaAoDia,E444,,-D444)-D444))</f>
        <v/>
      </c>
      <c r="G444" s="51" t="str">
        <f t="shared" si="12"/>
        <v/>
      </c>
      <c r="H444" s="51" t="str">
        <f t="shared" si="13"/>
        <v/>
      </c>
    </row>
    <row r="445" spans="5:8" x14ac:dyDescent="0.25">
      <c r="E445" s="50" t="str">
        <f>IF(OR(C445="",D445=""),"",AtualizarAte-C445)</f>
        <v/>
      </c>
      <c r="F445" s="51" t="str">
        <f>IF(OR(C445="",D445=""),"",IF(TipoCalculo="JUROS SIMPLES",D445*E445*TaxaAoDia,FV(TaxaAoDia,E445,,-D445)-D445))</f>
        <v/>
      </c>
      <c r="G445" s="51" t="str">
        <f t="shared" si="12"/>
        <v/>
      </c>
      <c r="H445" s="51" t="str">
        <f t="shared" si="13"/>
        <v/>
      </c>
    </row>
    <row r="446" spans="5:8" x14ac:dyDescent="0.25">
      <c r="E446" s="50" t="str">
        <f>IF(OR(C446="",D446=""),"",AtualizarAte-C446)</f>
        <v/>
      </c>
      <c r="F446" s="51" t="str">
        <f>IF(OR(C446="",D446=""),"",IF(TipoCalculo="JUROS SIMPLES",D446*E446*TaxaAoDia,FV(TaxaAoDia,E446,,-D446)-D446))</f>
        <v/>
      </c>
      <c r="G446" s="51" t="str">
        <f t="shared" si="12"/>
        <v/>
      </c>
      <c r="H446" s="51" t="str">
        <f t="shared" si="13"/>
        <v/>
      </c>
    </row>
    <row r="447" spans="5:8" x14ac:dyDescent="0.25">
      <c r="E447" s="50" t="str">
        <f>IF(OR(C447="",D447=""),"",AtualizarAte-C447)</f>
        <v/>
      </c>
      <c r="F447" s="51" t="str">
        <f>IF(OR(C447="",D447=""),"",IF(TipoCalculo="JUROS SIMPLES",D447*E447*TaxaAoDia,FV(TaxaAoDia,E447,,-D447)-D447))</f>
        <v/>
      </c>
      <c r="G447" s="51" t="str">
        <f t="shared" si="12"/>
        <v/>
      </c>
      <c r="H447" s="51" t="str">
        <f t="shared" si="13"/>
        <v/>
      </c>
    </row>
    <row r="448" spans="5:8" x14ac:dyDescent="0.25">
      <c r="E448" s="50" t="str">
        <f>IF(OR(C448="",D448=""),"",AtualizarAte-C448)</f>
        <v/>
      </c>
      <c r="F448" s="51" t="str">
        <f>IF(OR(C448="",D448=""),"",IF(TipoCalculo="JUROS SIMPLES",D448*E448*TaxaAoDia,FV(TaxaAoDia,E448,,-D448)-D448))</f>
        <v/>
      </c>
      <c r="G448" s="51" t="str">
        <f t="shared" si="12"/>
        <v/>
      </c>
      <c r="H448" s="51" t="str">
        <f t="shared" si="13"/>
        <v/>
      </c>
    </row>
    <row r="449" spans="5:8" x14ac:dyDescent="0.25">
      <c r="E449" s="50" t="str">
        <f>IF(OR(C449="",D449=""),"",AtualizarAte-C449)</f>
        <v/>
      </c>
      <c r="F449" s="51" t="str">
        <f>IF(OR(C449="",D449=""),"",IF(TipoCalculo="JUROS SIMPLES",D449*E449*TaxaAoDia,FV(TaxaAoDia,E449,,-D449)-D449))</f>
        <v/>
      </c>
      <c r="G449" s="51" t="str">
        <f t="shared" si="12"/>
        <v/>
      </c>
      <c r="H449" s="51" t="str">
        <f t="shared" si="13"/>
        <v/>
      </c>
    </row>
    <row r="450" spans="5:8" x14ac:dyDescent="0.25">
      <c r="E450" s="50" t="str">
        <f>IF(OR(C450="",D450=""),"",AtualizarAte-C450)</f>
        <v/>
      </c>
      <c r="F450" s="51" t="str">
        <f>IF(OR(C450="",D450=""),"",IF(TipoCalculo="JUROS SIMPLES",D450*E450*TaxaAoDia,FV(TaxaAoDia,E450,,-D450)-D450))</f>
        <v/>
      </c>
      <c r="G450" s="51" t="str">
        <f t="shared" si="12"/>
        <v/>
      </c>
      <c r="H450" s="51" t="str">
        <f t="shared" si="13"/>
        <v/>
      </c>
    </row>
    <row r="451" spans="5:8" x14ac:dyDescent="0.25">
      <c r="E451" s="50" t="str">
        <f>IF(OR(C451="",D451=""),"",AtualizarAte-C451)</f>
        <v/>
      </c>
      <c r="F451" s="51" t="str">
        <f>IF(OR(C451="",D451=""),"",IF(TipoCalculo="JUROS SIMPLES",D451*E451*TaxaAoDia,FV(TaxaAoDia,E451,,-D451)-D451))</f>
        <v/>
      </c>
      <c r="G451" s="51" t="str">
        <f t="shared" si="12"/>
        <v/>
      </c>
      <c r="H451" s="51" t="str">
        <f t="shared" si="13"/>
        <v/>
      </c>
    </row>
    <row r="452" spans="5:8" x14ac:dyDescent="0.25">
      <c r="E452" s="50" t="str">
        <f>IF(OR(C452="",D452=""),"",AtualizarAte-C452)</f>
        <v/>
      </c>
      <c r="F452" s="51" t="str">
        <f>IF(OR(C452="",D452=""),"",IF(TipoCalculo="JUROS SIMPLES",D452*E452*TaxaAoDia,FV(TaxaAoDia,E452,,-D452)-D452))</f>
        <v/>
      </c>
      <c r="G452" s="51" t="str">
        <f t="shared" si="12"/>
        <v/>
      </c>
      <c r="H452" s="51" t="str">
        <f t="shared" si="13"/>
        <v/>
      </c>
    </row>
    <row r="453" spans="5:8" x14ac:dyDescent="0.25">
      <c r="E453" s="50" t="str">
        <f>IF(OR(C453="",D453=""),"",AtualizarAte-C453)</f>
        <v/>
      </c>
      <c r="F453" s="51" t="str">
        <f>IF(OR(C453="",D453=""),"",IF(TipoCalculo="JUROS SIMPLES",D453*E453*TaxaAoDia,FV(TaxaAoDia,E453,,-D453)-D453))</f>
        <v/>
      </c>
      <c r="G453" s="51" t="str">
        <f t="shared" si="12"/>
        <v/>
      </c>
      <c r="H453" s="51" t="str">
        <f t="shared" si="13"/>
        <v/>
      </c>
    </row>
    <row r="454" spans="5:8" x14ac:dyDescent="0.25">
      <c r="E454" s="50" t="str">
        <f>IF(OR(C454="",D454=""),"",AtualizarAte-C454)</f>
        <v/>
      </c>
      <c r="F454" s="51" t="str">
        <f>IF(OR(C454="",D454=""),"",IF(TipoCalculo="JUROS SIMPLES",D454*E454*TaxaAoDia,FV(TaxaAoDia,E454,,-D454)-D454))</f>
        <v/>
      </c>
      <c r="G454" s="51" t="str">
        <f t="shared" si="12"/>
        <v/>
      </c>
      <c r="H454" s="51" t="str">
        <f t="shared" si="13"/>
        <v/>
      </c>
    </row>
    <row r="455" spans="5:8" x14ac:dyDescent="0.25">
      <c r="E455" s="50" t="str">
        <f>IF(OR(C455="",D455=""),"",AtualizarAte-C455)</f>
        <v/>
      </c>
      <c r="F455" s="51" t="str">
        <f>IF(OR(C455="",D455=""),"",IF(TipoCalculo="JUROS SIMPLES",D455*E455*TaxaAoDia,FV(TaxaAoDia,E455,,-D455)-D455))</f>
        <v/>
      </c>
      <c r="G455" s="51" t="str">
        <f t="shared" si="12"/>
        <v/>
      </c>
      <c r="H455" s="51" t="str">
        <f t="shared" si="13"/>
        <v/>
      </c>
    </row>
    <row r="456" spans="5:8" x14ac:dyDescent="0.25">
      <c r="E456" s="50" t="str">
        <f>IF(OR(C456="",D456=""),"",AtualizarAte-C456)</f>
        <v/>
      </c>
      <c r="F456" s="51" t="str">
        <f>IF(OR(C456="",D456=""),"",IF(TipoCalculo="JUROS SIMPLES",D456*E456*TaxaAoDia,FV(TaxaAoDia,E456,,-D456)-D456))</f>
        <v/>
      </c>
      <c r="G456" s="51" t="str">
        <f t="shared" si="12"/>
        <v/>
      </c>
      <c r="H456" s="51" t="str">
        <f t="shared" si="13"/>
        <v/>
      </c>
    </row>
    <row r="457" spans="5:8" x14ac:dyDescent="0.25">
      <c r="E457" s="50" t="str">
        <f>IF(OR(C457="",D457=""),"",AtualizarAte-C457)</f>
        <v/>
      </c>
      <c r="F457" s="51" t="str">
        <f>IF(OR(C457="",D457=""),"",IF(TipoCalculo="JUROS SIMPLES",D457*E457*TaxaAoDia,FV(TaxaAoDia,E457,,-D457)-D457))</f>
        <v/>
      </c>
      <c r="G457" s="51" t="str">
        <f t="shared" si="12"/>
        <v/>
      </c>
      <c r="H457" s="51" t="str">
        <f t="shared" si="13"/>
        <v/>
      </c>
    </row>
    <row r="458" spans="5:8" x14ac:dyDescent="0.25">
      <c r="E458" s="50" t="str">
        <f>IF(OR(C458="",D458=""),"",AtualizarAte-C458)</f>
        <v/>
      </c>
      <c r="F458" s="51" t="str">
        <f>IF(OR(C458="",D458=""),"",IF(TipoCalculo="JUROS SIMPLES",D458*E458*TaxaAoDia,FV(TaxaAoDia,E458,,-D458)-D458))</f>
        <v/>
      </c>
      <c r="G458" s="51" t="str">
        <f t="shared" si="12"/>
        <v/>
      </c>
      <c r="H458" s="51" t="str">
        <f t="shared" si="13"/>
        <v/>
      </c>
    </row>
    <row r="459" spans="5:8" x14ac:dyDescent="0.25">
      <c r="E459" s="50" t="str">
        <f>IF(OR(C459="",D459=""),"",AtualizarAte-C459)</f>
        <v/>
      </c>
      <c r="F459" s="51" t="str">
        <f>IF(OR(C459="",D459=""),"",IF(TipoCalculo="JUROS SIMPLES",D459*E459*TaxaAoDia,FV(TaxaAoDia,E459,,-D459)-D459))</f>
        <v/>
      </c>
      <c r="G459" s="51" t="str">
        <f t="shared" si="12"/>
        <v/>
      </c>
      <c r="H459" s="51" t="str">
        <f t="shared" si="13"/>
        <v/>
      </c>
    </row>
    <row r="460" spans="5:8" x14ac:dyDescent="0.25">
      <c r="E460" s="50" t="str">
        <f>IF(OR(C460="",D460=""),"",AtualizarAte-C460)</f>
        <v/>
      </c>
      <c r="F460" s="51" t="str">
        <f>IF(OR(C460="",D460=""),"",IF(TipoCalculo="JUROS SIMPLES",D460*E460*TaxaAoDia,FV(TaxaAoDia,E460,,-D460)-D460))</f>
        <v/>
      </c>
      <c r="G460" s="51" t="str">
        <f t="shared" si="12"/>
        <v/>
      </c>
      <c r="H460" s="51" t="str">
        <f t="shared" si="13"/>
        <v/>
      </c>
    </row>
    <row r="461" spans="5:8" x14ac:dyDescent="0.25">
      <c r="E461" s="50" t="str">
        <f>IF(OR(C461="",D461=""),"",AtualizarAte-C461)</f>
        <v/>
      </c>
      <c r="F461" s="51" t="str">
        <f>IF(OR(C461="",D461=""),"",IF(TipoCalculo="JUROS SIMPLES",D461*E461*TaxaAoDia,FV(TaxaAoDia,E461,,-D461)-D461))</f>
        <v/>
      </c>
      <c r="G461" s="51" t="str">
        <f t="shared" ref="G461:G524" si="14">IF(OR(C461="",D461=""),"",D461+F461)</f>
        <v/>
      </c>
      <c r="H461" s="51" t="str">
        <f t="shared" ref="H461:H524" si="15">IF(C461="","",IF(D461="","",IF(H460="SALDO ATUALIZ.",G461,H460+G461)))</f>
        <v/>
      </c>
    </row>
    <row r="462" spans="5:8" x14ac:dyDescent="0.25">
      <c r="E462" s="50" t="str">
        <f>IF(OR(C462="",D462=""),"",AtualizarAte-C462)</f>
        <v/>
      </c>
      <c r="F462" s="51" t="str">
        <f>IF(OR(C462="",D462=""),"",IF(TipoCalculo="JUROS SIMPLES",D462*E462*TaxaAoDia,FV(TaxaAoDia,E462,,-D462)-D462))</f>
        <v/>
      </c>
      <c r="G462" s="51" t="str">
        <f t="shared" si="14"/>
        <v/>
      </c>
      <c r="H462" s="51" t="str">
        <f t="shared" si="15"/>
        <v/>
      </c>
    </row>
    <row r="463" spans="5:8" x14ac:dyDescent="0.25">
      <c r="E463" s="50" t="str">
        <f>IF(OR(C463="",D463=""),"",AtualizarAte-C463)</f>
        <v/>
      </c>
      <c r="F463" s="51" t="str">
        <f>IF(OR(C463="",D463=""),"",IF(TipoCalculo="JUROS SIMPLES",D463*E463*TaxaAoDia,FV(TaxaAoDia,E463,,-D463)-D463))</f>
        <v/>
      </c>
      <c r="G463" s="51" t="str">
        <f t="shared" si="14"/>
        <v/>
      </c>
      <c r="H463" s="51" t="str">
        <f t="shared" si="15"/>
        <v/>
      </c>
    </row>
    <row r="464" spans="5:8" x14ac:dyDescent="0.25">
      <c r="E464" s="50" t="str">
        <f>IF(OR(C464="",D464=""),"",AtualizarAte-C464)</f>
        <v/>
      </c>
      <c r="F464" s="51" t="str">
        <f>IF(OR(C464="",D464=""),"",IF(TipoCalculo="JUROS SIMPLES",D464*E464*TaxaAoDia,FV(TaxaAoDia,E464,,-D464)-D464))</f>
        <v/>
      </c>
      <c r="G464" s="51" t="str">
        <f t="shared" si="14"/>
        <v/>
      </c>
      <c r="H464" s="51" t="str">
        <f t="shared" si="15"/>
        <v/>
      </c>
    </row>
    <row r="465" spans="5:8" x14ac:dyDescent="0.25">
      <c r="E465" s="50" t="str">
        <f>IF(OR(C465="",D465=""),"",AtualizarAte-C465)</f>
        <v/>
      </c>
      <c r="F465" s="51" t="str">
        <f>IF(OR(C465="",D465=""),"",IF(TipoCalculo="JUROS SIMPLES",D465*E465*TaxaAoDia,FV(TaxaAoDia,E465,,-D465)-D465))</f>
        <v/>
      </c>
      <c r="G465" s="51" t="str">
        <f t="shared" si="14"/>
        <v/>
      </c>
      <c r="H465" s="51" t="str">
        <f t="shared" si="15"/>
        <v/>
      </c>
    </row>
    <row r="466" spans="5:8" x14ac:dyDescent="0.25">
      <c r="E466" s="50" t="str">
        <f>IF(OR(C466="",D466=""),"",AtualizarAte-C466)</f>
        <v/>
      </c>
      <c r="F466" s="51" t="str">
        <f>IF(OR(C466="",D466=""),"",IF(TipoCalculo="JUROS SIMPLES",D466*E466*TaxaAoDia,FV(TaxaAoDia,E466,,-D466)-D466))</f>
        <v/>
      </c>
      <c r="G466" s="51" t="str">
        <f t="shared" si="14"/>
        <v/>
      </c>
      <c r="H466" s="51" t="str">
        <f t="shared" si="15"/>
        <v/>
      </c>
    </row>
    <row r="467" spans="5:8" x14ac:dyDescent="0.25">
      <c r="E467" s="50" t="str">
        <f>IF(OR(C467="",D467=""),"",AtualizarAte-C467)</f>
        <v/>
      </c>
      <c r="F467" s="51" t="str">
        <f>IF(OR(C467="",D467=""),"",IF(TipoCalculo="JUROS SIMPLES",D467*E467*TaxaAoDia,FV(TaxaAoDia,E467,,-D467)-D467))</f>
        <v/>
      </c>
      <c r="G467" s="51" t="str">
        <f t="shared" si="14"/>
        <v/>
      </c>
      <c r="H467" s="51" t="str">
        <f t="shared" si="15"/>
        <v/>
      </c>
    </row>
    <row r="468" spans="5:8" x14ac:dyDescent="0.25">
      <c r="E468" s="50" t="str">
        <f>IF(OR(C468="",D468=""),"",AtualizarAte-C468)</f>
        <v/>
      </c>
      <c r="F468" s="51" t="str">
        <f>IF(OR(C468="",D468=""),"",IF(TipoCalculo="JUROS SIMPLES",D468*E468*TaxaAoDia,FV(TaxaAoDia,E468,,-D468)-D468))</f>
        <v/>
      </c>
      <c r="G468" s="51" t="str">
        <f t="shared" si="14"/>
        <v/>
      </c>
      <c r="H468" s="51" t="str">
        <f t="shared" si="15"/>
        <v/>
      </c>
    </row>
    <row r="469" spans="5:8" x14ac:dyDescent="0.25">
      <c r="E469" s="50" t="str">
        <f>IF(OR(C469="",D469=""),"",AtualizarAte-C469)</f>
        <v/>
      </c>
      <c r="F469" s="51" t="str">
        <f>IF(OR(C469="",D469=""),"",IF(TipoCalculo="JUROS SIMPLES",D469*E469*TaxaAoDia,FV(TaxaAoDia,E469,,-D469)-D469))</f>
        <v/>
      </c>
      <c r="G469" s="51" t="str">
        <f t="shared" si="14"/>
        <v/>
      </c>
      <c r="H469" s="51" t="str">
        <f t="shared" si="15"/>
        <v/>
      </c>
    </row>
    <row r="470" spans="5:8" x14ac:dyDescent="0.25">
      <c r="E470" s="50" t="str">
        <f>IF(OR(C470="",D470=""),"",AtualizarAte-C470)</f>
        <v/>
      </c>
      <c r="F470" s="51" t="str">
        <f>IF(OR(C470="",D470=""),"",IF(TipoCalculo="JUROS SIMPLES",D470*E470*TaxaAoDia,FV(TaxaAoDia,E470,,-D470)-D470))</f>
        <v/>
      </c>
      <c r="G470" s="51" t="str">
        <f t="shared" si="14"/>
        <v/>
      </c>
      <c r="H470" s="51" t="str">
        <f t="shared" si="15"/>
        <v/>
      </c>
    </row>
    <row r="471" spans="5:8" x14ac:dyDescent="0.25">
      <c r="E471" s="50" t="str">
        <f>IF(OR(C471="",D471=""),"",AtualizarAte-C471)</f>
        <v/>
      </c>
      <c r="F471" s="51" t="str">
        <f>IF(OR(C471="",D471=""),"",IF(TipoCalculo="JUROS SIMPLES",D471*E471*TaxaAoDia,FV(TaxaAoDia,E471,,-D471)-D471))</f>
        <v/>
      </c>
      <c r="G471" s="51" t="str">
        <f t="shared" si="14"/>
        <v/>
      </c>
      <c r="H471" s="51" t="str">
        <f t="shared" si="15"/>
        <v/>
      </c>
    </row>
    <row r="472" spans="5:8" x14ac:dyDescent="0.25">
      <c r="E472" s="50" t="str">
        <f>IF(OR(C472="",D472=""),"",AtualizarAte-C472)</f>
        <v/>
      </c>
      <c r="F472" s="51" t="str">
        <f>IF(OR(C472="",D472=""),"",IF(TipoCalculo="JUROS SIMPLES",D472*E472*TaxaAoDia,FV(TaxaAoDia,E472,,-D472)-D472))</f>
        <v/>
      </c>
      <c r="G472" s="51" t="str">
        <f t="shared" si="14"/>
        <v/>
      </c>
      <c r="H472" s="51" t="str">
        <f t="shared" si="15"/>
        <v/>
      </c>
    </row>
    <row r="473" spans="5:8" x14ac:dyDescent="0.25">
      <c r="E473" s="50" t="str">
        <f>IF(OR(C473="",D473=""),"",AtualizarAte-C473)</f>
        <v/>
      </c>
      <c r="F473" s="51" t="str">
        <f>IF(OR(C473="",D473=""),"",IF(TipoCalculo="JUROS SIMPLES",D473*E473*TaxaAoDia,FV(TaxaAoDia,E473,,-D473)-D473))</f>
        <v/>
      </c>
      <c r="G473" s="51" t="str">
        <f t="shared" si="14"/>
        <v/>
      </c>
      <c r="H473" s="51" t="str">
        <f t="shared" si="15"/>
        <v/>
      </c>
    </row>
    <row r="474" spans="5:8" x14ac:dyDescent="0.25">
      <c r="E474" s="50" t="str">
        <f>IF(OR(C474="",D474=""),"",AtualizarAte-C474)</f>
        <v/>
      </c>
      <c r="F474" s="51" t="str">
        <f>IF(OR(C474="",D474=""),"",IF(TipoCalculo="JUROS SIMPLES",D474*E474*TaxaAoDia,FV(TaxaAoDia,E474,,-D474)-D474))</f>
        <v/>
      </c>
      <c r="G474" s="51" t="str">
        <f t="shared" si="14"/>
        <v/>
      </c>
      <c r="H474" s="51" t="str">
        <f t="shared" si="15"/>
        <v/>
      </c>
    </row>
    <row r="475" spans="5:8" x14ac:dyDescent="0.25">
      <c r="E475" s="50" t="str">
        <f>IF(OR(C475="",D475=""),"",AtualizarAte-C475)</f>
        <v/>
      </c>
      <c r="F475" s="51" t="str">
        <f>IF(OR(C475="",D475=""),"",IF(TipoCalculo="JUROS SIMPLES",D475*E475*TaxaAoDia,FV(TaxaAoDia,E475,,-D475)-D475))</f>
        <v/>
      </c>
      <c r="G475" s="51" t="str">
        <f t="shared" si="14"/>
        <v/>
      </c>
      <c r="H475" s="51" t="str">
        <f t="shared" si="15"/>
        <v/>
      </c>
    </row>
    <row r="476" spans="5:8" x14ac:dyDescent="0.25">
      <c r="E476" s="50" t="str">
        <f>IF(OR(C476="",D476=""),"",AtualizarAte-C476)</f>
        <v/>
      </c>
      <c r="F476" s="51" t="str">
        <f>IF(OR(C476="",D476=""),"",IF(TipoCalculo="JUROS SIMPLES",D476*E476*TaxaAoDia,FV(TaxaAoDia,E476,,-D476)-D476))</f>
        <v/>
      </c>
      <c r="G476" s="51" t="str">
        <f t="shared" si="14"/>
        <v/>
      </c>
      <c r="H476" s="51" t="str">
        <f t="shared" si="15"/>
        <v/>
      </c>
    </row>
    <row r="477" spans="5:8" x14ac:dyDescent="0.25">
      <c r="E477" s="50" t="str">
        <f>IF(OR(C477="",D477=""),"",AtualizarAte-C477)</f>
        <v/>
      </c>
      <c r="F477" s="51" t="str">
        <f>IF(OR(C477="",D477=""),"",IF(TipoCalculo="JUROS SIMPLES",D477*E477*TaxaAoDia,FV(TaxaAoDia,E477,,-D477)-D477))</f>
        <v/>
      </c>
      <c r="G477" s="51" t="str">
        <f t="shared" si="14"/>
        <v/>
      </c>
      <c r="H477" s="51" t="str">
        <f t="shared" si="15"/>
        <v/>
      </c>
    </row>
    <row r="478" spans="5:8" x14ac:dyDescent="0.25">
      <c r="E478" s="50" t="str">
        <f>IF(OR(C478="",D478=""),"",AtualizarAte-C478)</f>
        <v/>
      </c>
      <c r="F478" s="51" t="str">
        <f>IF(OR(C478="",D478=""),"",IF(TipoCalculo="JUROS SIMPLES",D478*E478*TaxaAoDia,FV(TaxaAoDia,E478,,-D478)-D478))</f>
        <v/>
      </c>
      <c r="G478" s="51" t="str">
        <f t="shared" si="14"/>
        <v/>
      </c>
      <c r="H478" s="51" t="str">
        <f t="shared" si="15"/>
        <v/>
      </c>
    </row>
    <row r="479" spans="5:8" x14ac:dyDescent="0.25">
      <c r="E479" s="50" t="str">
        <f>IF(OR(C479="",D479=""),"",AtualizarAte-C479)</f>
        <v/>
      </c>
      <c r="F479" s="51" t="str">
        <f>IF(OR(C479="",D479=""),"",IF(TipoCalculo="JUROS SIMPLES",D479*E479*TaxaAoDia,FV(TaxaAoDia,E479,,-D479)-D479))</f>
        <v/>
      </c>
      <c r="G479" s="51" t="str">
        <f t="shared" si="14"/>
        <v/>
      </c>
      <c r="H479" s="51" t="str">
        <f t="shared" si="15"/>
        <v/>
      </c>
    </row>
    <row r="480" spans="5:8" x14ac:dyDescent="0.25">
      <c r="E480" s="50" t="str">
        <f>IF(OR(C480="",D480=""),"",AtualizarAte-C480)</f>
        <v/>
      </c>
      <c r="F480" s="51" t="str">
        <f>IF(OR(C480="",D480=""),"",IF(TipoCalculo="JUROS SIMPLES",D480*E480*TaxaAoDia,FV(TaxaAoDia,E480,,-D480)-D480))</f>
        <v/>
      </c>
      <c r="G480" s="51" t="str">
        <f t="shared" si="14"/>
        <v/>
      </c>
      <c r="H480" s="51" t="str">
        <f t="shared" si="15"/>
        <v/>
      </c>
    </row>
    <row r="481" spans="5:8" x14ac:dyDescent="0.25">
      <c r="E481" s="50" t="str">
        <f>IF(OR(C481="",D481=""),"",AtualizarAte-C481)</f>
        <v/>
      </c>
      <c r="F481" s="51" t="str">
        <f>IF(OR(C481="",D481=""),"",IF(TipoCalculo="JUROS SIMPLES",D481*E481*TaxaAoDia,FV(TaxaAoDia,E481,,-D481)-D481))</f>
        <v/>
      </c>
      <c r="G481" s="51" t="str">
        <f t="shared" si="14"/>
        <v/>
      </c>
      <c r="H481" s="51" t="str">
        <f t="shared" si="15"/>
        <v/>
      </c>
    </row>
    <row r="482" spans="5:8" x14ac:dyDescent="0.25">
      <c r="E482" s="50" t="str">
        <f>IF(OR(C482="",D482=""),"",AtualizarAte-C482)</f>
        <v/>
      </c>
      <c r="F482" s="51" t="str">
        <f>IF(OR(C482="",D482=""),"",IF(TipoCalculo="JUROS SIMPLES",D482*E482*TaxaAoDia,FV(TaxaAoDia,E482,,-D482)-D482))</f>
        <v/>
      </c>
      <c r="G482" s="51" t="str">
        <f t="shared" si="14"/>
        <v/>
      </c>
      <c r="H482" s="51" t="str">
        <f t="shared" si="15"/>
        <v/>
      </c>
    </row>
    <row r="483" spans="5:8" x14ac:dyDescent="0.25">
      <c r="E483" s="50" t="str">
        <f>IF(OR(C483="",D483=""),"",AtualizarAte-C483)</f>
        <v/>
      </c>
      <c r="F483" s="51" t="str">
        <f>IF(OR(C483="",D483=""),"",IF(TipoCalculo="JUROS SIMPLES",D483*E483*TaxaAoDia,FV(TaxaAoDia,E483,,-D483)-D483))</f>
        <v/>
      </c>
      <c r="G483" s="51" t="str">
        <f t="shared" si="14"/>
        <v/>
      </c>
      <c r="H483" s="51" t="str">
        <f t="shared" si="15"/>
        <v/>
      </c>
    </row>
    <row r="484" spans="5:8" x14ac:dyDescent="0.25">
      <c r="E484" s="50" t="str">
        <f>IF(OR(C484="",D484=""),"",AtualizarAte-C484)</f>
        <v/>
      </c>
      <c r="F484" s="51" t="str">
        <f>IF(OR(C484="",D484=""),"",IF(TipoCalculo="JUROS SIMPLES",D484*E484*TaxaAoDia,FV(TaxaAoDia,E484,,-D484)-D484))</f>
        <v/>
      </c>
      <c r="G484" s="51" t="str">
        <f t="shared" si="14"/>
        <v/>
      </c>
      <c r="H484" s="51" t="str">
        <f t="shared" si="15"/>
        <v/>
      </c>
    </row>
    <row r="485" spans="5:8" x14ac:dyDescent="0.25">
      <c r="E485" s="50" t="str">
        <f>IF(OR(C485="",D485=""),"",AtualizarAte-C485)</f>
        <v/>
      </c>
      <c r="F485" s="51" t="str">
        <f>IF(OR(C485="",D485=""),"",IF(TipoCalculo="JUROS SIMPLES",D485*E485*TaxaAoDia,FV(TaxaAoDia,E485,,-D485)-D485))</f>
        <v/>
      </c>
      <c r="G485" s="51" t="str">
        <f t="shared" si="14"/>
        <v/>
      </c>
      <c r="H485" s="51" t="str">
        <f t="shared" si="15"/>
        <v/>
      </c>
    </row>
    <row r="486" spans="5:8" x14ac:dyDescent="0.25">
      <c r="E486" s="50" t="str">
        <f>IF(OR(C486="",D486=""),"",AtualizarAte-C486)</f>
        <v/>
      </c>
      <c r="F486" s="51" t="str">
        <f>IF(OR(C486="",D486=""),"",IF(TipoCalculo="JUROS SIMPLES",D486*E486*TaxaAoDia,FV(TaxaAoDia,E486,,-D486)-D486))</f>
        <v/>
      </c>
      <c r="G486" s="51" t="str">
        <f t="shared" si="14"/>
        <v/>
      </c>
      <c r="H486" s="51" t="str">
        <f t="shared" si="15"/>
        <v/>
      </c>
    </row>
    <row r="487" spans="5:8" x14ac:dyDescent="0.25">
      <c r="E487" s="50" t="str">
        <f>IF(OR(C487="",D487=""),"",AtualizarAte-C487)</f>
        <v/>
      </c>
      <c r="F487" s="51" t="str">
        <f>IF(OR(C487="",D487=""),"",IF(TipoCalculo="JUROS SIMPLES",D487*E487*TaxaAoDia,FV(TaxaAoDia,E487,,-D487)-D487))</f>
        <v/>
      </c>
      <c r="G487" s="51" t="str">
        <f t="shared" si="14"/>
        <v/>
      </c>
      <c r="H487" s="51" t="str">
        <f t="shared" si="15"/>
        <v/>
      </c>
    </row>
    <row r="488" spans="5:8" x14ac:dyDescent="0.25">
      <c r="E488" s="50" t="str">
        <f>IF(OR(C488="",D488=""),"",AtualizarAte-C488)</f>
        <v/>
      </c>
      <c r="F488" s="51" t="str">
        <f>IF(OR(C488="",D488=""),"",IF(TipoCalculo="JUROS SIMPLES",D488*E488*TaxaAoDia,FV(TaxaAoDia,E488,,-D488)-D488))</f>
        <v/>
      </c>
      <c r="G488" s="51" t="str">
        <f t="shared" si="14"/>
        <v/>
      </c>
      <c r="H488" s="51" t="str">
        <f t="shared" si="15"/>
        <v/>
      </c>
    </row>
    <row r="489" spans="5:8" x14ac:dyDescent="0.25">
      <c r="E489" s="50" t="str">
        <f>IF(OR(C489="",D489=""),"",AtualizarAte-C489)</f>
        <v/>
      </c>
      <c r="F489" s="51" t="str">
        <f>IF(OR(C489="",D489=""),"",IF(TipoCalculo="JUROS SIMPLES",D489*E489*TaxaAoDia,FV(TaxaAoDia,E489,,-D489)-D489))</f>
        <v/>
      </c>
      <c r="G489" s="51" t="str">
        <f t="shared" si="14"/>
        <v/>
      </c>
      <c r="H489" s="51" t="str">
        <f t="shared" si="15"/>
        <v/>
      </c>
    </row>
    <row r="490" spans="5:8" x14ac:dyDescent="0.25">
      <c r="E490" s="50" t="str">
        <f>IF(OR(C490="",D490=""),"",AtualizarAte-C490)</f>
        <v/>
      </c>
      <c r="F490" s="51" t="str">
        <f>IF(OR(C490="",D490=""),"",IF(TipoCalculo="JUROS SIMPLES",D490*E490*TaxaAoDia,FV(TaxaAoDia,E490,,-D490)-D490))</f>
        <v/>
      </c>
      <c r="G490" s="51" t="str">
        <f t="shared" si="14"/>
        <v/>
      </c>
      <c r="H490" s="51" t="str">
        <f t="shared" si="15"/>
        <v/>
      </c>
    </row>
    <row r="491" spans="5:8" x14ac:dyDescent="0.25">
      <c r="E491" s="50" t="str">
        <f>IF(OR(C491="",D491=""),"",AtualizarAte-C491)</f>
        <v/>
      </c>
      <c r="F491" s="51" t="str">
        <f>IF(OR(C491="",D491=""),"",IF(TipoCalculo="JUROS SIMPLES",D491*E491*TaxaAoDia,FV(TaxaAoDia,E491,,-D491)-D491))</f>
        <v/>
      </c>
      <c r="G491" s="51" t="str">
        <f t="shared" si="14"/>
        <v/>
      </c>
      <c r="H491" s="51" t="str">
        <f t="shared" si="15"/>
        <v/>
      </c>
    </row>
    <row r="492" spans="5:8" x14ac:dyDescent="0.25">
      <c r="E492" s="50" t="str">
        <f>IF(OR(C492="",D492=""),"",AtualizarAte-C492)</f>
        <v/>
      </c>
      <c r="F492" s="51" t="str">
        <f>IF(OR(C492="",D492=""),"",IF(TipoCalculo="JUROS SIMPLES",D492*E492*TaxaAoDia,FV(TaxaAoDia,E492,,-D492)-D492))</f>
        <v/>
      </c>
      <c r="G492" s="51" t="str">
        <f t="shared" si="14"/>
        <v/>
      </c>
      <c r="H492" s="51" t="str">
        <f t="shared" si="15"/>
        <v/>
      </c>
    </row>
    <row r="493" spans="5:8" x14ac:dyDescent="0.25">
      <c r="E493" s="50" t="str">
        <f>IF(OR(C493="",D493=""),"",AtualizarAte-C493)</f>
        <v/>
      </c>
      <c r="F493" s="51" t="str">
        <f>IF(OR(C493="",D493=""),"",IF(TipoCalculo="JUROS SIMPLES",D493*E493*TaxaAoDia,FV(TaxaAoDia,E493,,-D493)-D493))</f>
        <v/>
      </c>
      <c r="G493" s="51" t="str">
        <f t="shared" si="14"/>
        <v/>
      </c>
      <c r="H493" s="51" t="str">
        <f t="shared" si="15"/>
        <v/>
      </c>
    </row>
    <row r="494" spans="5:8" x14ac:dyDescent="0.25">
      <c r="E494" s="50" t="str">
        <f>IF(OR(C494="",D494=""),"",AtualizarAte-C494)</f>
        <v/>
      </c>
      <c r="F494" s="51" t="str">
        <f>IF(OR(C494="",D494=""),"",IF(TipoCalculo="JUROS SIMPLES",D494*E494*TaxaAoDia,FV(TaxaAoDia,E494,,-D494)-D494))</f>
        <v/>
      </c>
      <c r="G494" s="51" t="str">
        <f t="shared" si="14"/>
        <v/>
      </c>
      <c r="H494" s="51" t="str">
        <f t="shared" si="15"/>
        <v/>
      </c>
    </row>
    <row r="495" spans="5:8" x14ac:dyDescent="0.25">
      <c r="E495" s="50" t="str">
        <f>IF(OR(C495="",D495=""),"",AtualizarAte-C495)</f>
        <v/>
      </c>
      <c r="F495" s="51" t="str">
        <f>IF(OR(C495="",D495=""),"",IF(TipoCalculo="JUROS SIMPLES",D495*E495*TaxaAoDia,FV(TaxaAoDia,E495,,-D495)-D495))</f>
        <v/>
      </c>
      <c r="G495" s="51" t="str">
        <f t="shared" si="14"/>
        <v/>
      </c>
      <c r="H495" s="51" t="str">
        <f t="shared" si="15"/>
        <v/>
      </c>
    </row>
    <row r="496" spans="5:8" x14ac:dyDescent="0.25">
      <c r="E496" s="50" t="str">
        <f>IF(OR(C496="",D496=""),"",AtualizarAte-C496)</f>
        <v/>
      </c>
      <c r="F496" s="51" t="str">
        <f>IF(OR(C496="",D496=""),"",IF(TipoCalculo="JUROS SIMPLES",D496*E496*TaxaAoDia,FV(TaxaAoDia,E496,,-D496)-D496))</f>
        <v/>
      </c>
      <c r="G496" s="51" t="str">
        <f t="shared" si="14"/>
        <v/>
      </c>
      <c r="H496" s="51" t="str">
        <f t="shared" si="15"/>
        <v/>
      </c>
    </row>
    <row r="497" spans="5:8" x14ac:dyDescent="0.25">
      <c r="E497" s="50" t="str">
        <f>IF(OR(C497="",D497=""),"",AtualizarAte-C497)</f>
        <v/>
      </c>
      <c r="F497" s="51" t="str">
        <f>IF(OR(C497="",D497=""),"",IF(TipoCalculo="JUROS SIMPLES",D497*E497*TaxaAoDia,FV(TaxaAoDia,E497,,-D497)-D497))</f>
        <v/>
      </c>
      <c r="G497" s="51" t="str">
        <f t="shared" si="14"/>
        <v/>
      </c>
      <c r="H497" s="51" t="str">
        <f t="shared" si="15"/>
        <v/>
      </c>
    </row>
    <row r="498" spans="5:8" x14ac:dyDescent="0.25">
      <c r="E498" s="50" t="str">
        <f>IF(OR(C498="",D498=""),"",AtualizarAte-C498)</f>
        <v/>
      </c>
      <c r="F498" s="51" t="str">
        <f>IF(OR(C498="",D498=""),"",IF(TipoCalculo="JUROS SIMPLES",D498*E498*TaxaAoDia,FV(TaxaAoDia,E498,,-D498)-D498))</f>
        <v/>
      </c>
      <c r="G498" s="51" t="str">
        <f t="shared" si="14"/>
        <v/>
      </c>
      <c r="H498" s="51" t="str">
        <f t="shared" si="15"/>
        <v/>
      </c>
    </row>
    <row r="499" spans="5:8" x14ac:dyDescent="0.25">
      <c r="E499" s="50" t="str">
        <f>IF(OR(C499="",D499=""),"",AtualizarAte-C499)</f>
        <v/>
      </c>
      <c r="F499" s="51" t="str">
        <f>IF(OR(C499="",D499=""),"",IF(TipoCalculo="JUROS SIMPLES",D499*E499*TaxaAoDia,FV(TaxaAoDia,E499,,-D499)-D499))</f>
        <v/>
      </c>
      <c r="G499" s="51" t="str">
        <f t="shared" si="14"/>
        <v/>
      </c>
      <c r="H499" s="51" t="str">
        <f t="shared" si="15"/>
        <v/>
      </c>
    </row>
    <row r="500" spans="5:8" x14ac:dyDescent="0.25">
      <c r="E500" s="50" t="str">
        <f>IF(OR(C500="",D500=""),"",AtualizarAte-C500)</f>
        <v/>
      </c>
      <c r="F500" s="51" t="str">
        <f>IF(OR(C500="",D500=""),"",IF(TipoCalculo="JUROS SIMPLES",D500*E500*TaxaAoDia,FV(TaxaAoDia,E500,,-D500)-D500))</f>
        <v/>
      </c>
      <c r="G500" s="51" t="str">
        <f t="shared" si="14"/>
        <v/>
      </c>
      <c r="H500" s="51" t="str">
        <f t="shared" si="15"/>
        <v/>
      </c>
    </row>
    <row r="501" spans="5:8" x14ac:dyDescent="0.25">
      <c r="E501" s="50" t="str">
        <f>IF(OR(C501="",D501=""),"",AtualizarAte-C501)</f>
        <v/>
      </c>
      <c r="F501" s="51" t="str">
        <f>IF(OR(C501="",D501=""),"",IF(TipoCalculo="JUROS SIMPLES",D501*E501*TaxaAoDia,FV(TaxaAoDia,E501,,-D501)-D501))</f>
        <v/>
      </c>
      <c r="G501" s="51" t="str">
        <f t="shared" si="14"/>
        <v/>
      </c>
      <c r="H501" s="51" t="str">
        <f t="shared" si="15"/>
        <v/>
      </c>
    </row>
    <row r="502" spans="5:8" x14ac:dyDescent="0.25">
      <c r="E502" s="50" t="str">
        <f>IF(OR(C502="",D502=""),"",AtualizarAte-C502)</f>
        <v/>
      </c>
      <c r="F502" s="51" t="str">
        <f>IF(OR(C502="",D502=""),"",IF(TipoCalculo="JUROS SIMPLES",D502*E502*TaxaAoDia,FV(TaxaAoDia,E502,,-D502)-D502))</f>
        <v/>
      </c>
      <c r="G502" s="51" t="str">
        <f t="shared" si="14"/>
        <v/>
      </c>
      <c r="H502" s="51" t="str">
        <f t="shared" si="15"/>
        <v/>
      </c>
    </row>
    <row r="503" spans="5:8" x14ac:dyDescent="0.25">
      <c r="E503" s="50" t="str">
        <f>IF(OR(C503="",D503=""),"",AtualizarAte-C503)</f>
        <v/>
      </c>
      <c r="F503" s="51" t="str">
        <f>IF(OR(C503="",D503=""),"",IF(TipoCalculo="JUROS SIMPLES",D503*E503*TaxaAoDia,FV(TaxaAoDia,E503,,-D503)-D503))</f>
        <v/>
      </c>
      <c r="G503" s="51" t="str">
        <f t="shared" si="14"/>
        <v/>
      </c>
      <c r="H503" s="51" t="str">
        <f t="shared" si="15"/>
        <v/>
      </c>
    </row>
    <row r="504" spans="5:8" x14ac:dyDescent="0.25">
      <c r="E504" s="50" t="str">
        <f>IF(OR(C504="",D504=""),"",AtualizarAte-C504)</f>
        <v/>
      </c>
      <c r="F504" s="51" t="str">
        <f>IF(OR(C504="",D504=""),"",IF(TipoCalculo="JUROS SIMPLES",D504*E504*TaxaAoDia,FV(TaxaAoDia,E504,,-D504)-D504))</f>
        <v/>
      </c>
      <c r="G504" s="51" t="str">
        <f t="shared" si="14"/>
        <v/>
      </c>
      <c r="H504" s="51" t="str">
        <f t="shared" si="15"/>
        <v/>
      </c>
    </row>
    <row r="505" spans="5:8" x14ac:dyDescent="0.25">
      <c r="E505" s="50" t="str">
        <f>IF(OR(C505="",D505=""),"",AtualizarAte-C505)</f>
        <v/>
      </c>
      <c r="F505" s="51" t="str">
        <f>IF(OR(C505="",D505=""),"",IF(TipoCalculo="JUROS SIMPLES",D505*E505*TaxaAoDia,FV(TaxaAoDia,E505,,-D505)-D505))</f>
        <v/>
      </c>
      <c r="G505" s="51" t="str">
        <f t="shared" si="14"/>
        <v/>
      </c>
      <c r="H505" s="51" t="str">
        <f t="shared" si="15"/>
        <v/>
      </c>
    </row>
    <row r="506" spans="5:8" x14ac:dyDescent="0.25">
      <c r="E506" s="50" t="str">
        <f>IF(OR(C506="",D506=""),"",AtualizarAte-C506)</f>
        <v/>
      </c>
      <c r="F506" s="51" t="str">
        <f>IF(OR(C506="",D506=""),"",IF(TipoCalculo="JUROS SIMPLES",D506*E506*TaxaAoDia,FV(TaxaAoDia,E506,,-D506)-D506))</f>
        <v/>
      </c>
      <c r="G506" s="51" t="str">
        <f t="shared" si="14"/>
        <v/>
      </c>
      <c r="H506" s="51" t="str">
        <f t="shared" si="15"/>
        <v/>
      </c>
    </row>
    <row r="507" spans="5:8" x14ac:dyDescent="0.25">
      <c r="E507" s="50" t="str">
        <f>IF(OR(C507="",D507=""),"",AtualizarAte-C507)</f>
        <v/>
      </c>
      <c r="F507" s="51" t="str">
        <f>IF(OR(C507="",D507=""),"",IF(TipoCalculo="JUROS SIMPLES",D507*E507*TaxaAoDia,FV(TaxaAoDia,E507,,-D507)-D507))</f>
        <v/>
      </c>
      <c r="G507" s="51" t="str">
        <f t="shared" si="14"/>
        <v/>
      </c>
      <c r="H507" s="51" t="str">
        <f t="shared" si="15"/>
        <v/>
      </c>
    </row>
    <row r="508" spans="5:8" x14ac:dyDescent="0.25">
      <c r="E508" s="50" t="str">
        <f>IF(OR(C508="",D508=""),"",AtualizarAte-C508)</f>
        <v/>
      </c>
      <c r="F508" s="51" t="str">
        <f>IF(OR(C508="",D508=""),"",IF(TipoCalculo="JUROS SIMPLES",D508*E508*TaxaAoDia,FV(TaxaAoDia,E508,,-D508)-D508))</f>
        <v/>
      </c>
      <c r="G508" s="51" t="str">
        <f t="shared" si="14"/>
        <v/>
      </c>
      <c r="H508" s="51" t="str">
        <f t="shared" si="15"/>
        <v/>
      </c>
    </row>
    <row r="509" spans="5:8" x14ac:dyDescent="0.25">
      <c r="E509" s="50" t="str">
        <f>IF(OR(C509="",D509=""),"",AtualizarAte-C509)</f>
        <v/>
      </c>
      <c r="F509" s="51" t="str">
        <f>IF(OR(C509="",D509=""),"",IF(TipoCalculo="JUROS SIMPLES",D509*E509*TaxaAoDia,FV(TaxaAoDia,E509,,-D509)-D509))</f>
        <v/>
      </c>
      <c r="G509" s="51" t="str">
        <f t="shared" si="14"/>
        <v/>
      </c>
      <c r="H509" s="51" t="str">
        <f t="shared" si="15"/>
        <v/>
      </c>
    </row>
    <row r="510" spans="5:8" x14ac:dyDescent="0.25">
      <c r="E510" s="50" t="str">
        <f>IF(OR(C510="",D510=""),"",AtualizarAte-C510)</f>
        <v/>
      </c>
      <c r="F510" s="51" t="str">
        <f>IF(OR(C510="",D510=""),"",IF(TipoCalculo="JUROS SIMPLES",D510*E510*TaxaAoDia,FV(TaxaAoDia,E510,,-D510)-D510))</f>
        <v/>
      </c>
      <c r="G510" s="51" t="str">
        <f t="shared" si="14"/>
        <v/>
      </c>
      <c r="H510" s="51" t="str">
        <f t="shared" si="15"/>
        <v/>
      </c>
    </row>
    <row r="511" spans="5:8" x14ac:dyDescent="0.25">
      <c r="E511" s="50" t="str">
        <f>IF(OR(C511="",D511=""),"",AtualizarAte-C511)</f>
        <v/>
      </c>
      <c r="F511" s="51" t="str">
        <f>IF(OR(C511="",D511=""),"",IF(TipoCalculo="JUROS SIMPLES",D511*E511*TaxaAoDia,FV(TaxaAoDia,E511,,-D511)-D511))</f>
        <v/>
      </c>
      <c r="G511" s="51" t="str">
        <f t="shared" si="14"/>
        <v/>
      </c>
      <c r="H511" s="51" t="str">
        <f t="shared" si="15"/>
        <v/>
      </c>
    </row>
    <row r="512" spans="5:8" x14ac:dyDescent="0.25">
      <c r="E512" s="50" t="str">
        <f>IF(OR(C512="",D512=""),"",AtualizarAte-C512)</f>
        <v/>
      </c>
      <c r="F512" s="51" t="str">
        <f>IF(OR(C512="",D512=""),"",IF(TipoCalculo="JUROS SIMPLES",D512*E512*TaxaAoDia,FV(TaxaAoDia,E512,,-D512)-D512))</f>
        <v/>
      </c>
      <c r="G512" s="51" t="str">
        <f t="shared" si="14"/>
        <v/>
      </c>
      <c r="H512" s="51" t="str">
        <f t="shared" si="15"/>
        <v/>
      </c>
    </row>
    <row r="513" spans="5:8" x14ac:dyDescent="0.25">
      <c r="E513" s="50" t="str">
        <f>IF(OR(C513="",D513=""),"",AtualizarAte-C513)</f>
        <v/>
      </c>
      <c r="F513" s="51" t="str">
        <f>IF(OR(C513="",D513=""),"",IF(TipoCalculo="JUROS SIMPLES",D513*E513*TaxaAoDia,FV(TaxaAoDia,E513,,-D513)-D513))</f>
        <v/>
      </c>
      <c r="G513" s="51" t="str">
        <f t="shared" si="14"/>
        <v/>
      </c>
      <c r="H513" s="51" t="str">
        <f t="shared" si="15"/>
        <v/>
      </c>
    </row>
    <row r="514" spans="5:8" x14ac:dyDescent="0.25">
      <c r="E514" s="50" t="str">
        <f>IF(OR(C514="",D514=""),"",AtualizarAte-C514)</f>
        <v/>
      </c>
      <c r="F514" s="51" t="str">
        <f>IF(OR(C514="",D514=""),"",IF(TipoCalculo="JUROS SIMPLES",D514*E514*TaxaAoDia,FV(TaxaAoDia,E514,,-D514)-D514))</f>
        <v/>
      </c>
      <c r="G514" s="51" t="str">
        <f t="shared" si="14"/>
        <v/>
      </c>
      <c r="H514" s="51" t="str">
        <f t="shared" si="15"/>
        <v/>
      </c>
    </row>
    <row r="515" spans="5:8" x14ac:dyDescent="0.25">
      <c r="E515" s="50" t="str">
        <f>IF(OR(C515="",D515=""),"",AtualizarAte-C515)</f>
        <v/>
      </c>
      <c r="F515" s="51" t="str">
        <f>IF(OR(C515="",D515=""),"",IF(TipoCalculo="JUROS SIMPLES",D515*E515*TaxaAoDia,FV(TaxaAoDia,E515,,-D515)-D515))</f>
        <v/>
      </c>
      <c r="G515" s="51" t="str">
        <f t="shared" si="14"/>
        <v/>
      </c>
      <c r="H515" s="51" t="str">
        <f t="shared" si="15"/>
        <v/>
      </c>
    </row>
    <row r="516" spans="5:8" x14ac:dyDescent="0.25">
      <c r="E516" s="50" t="str">
        <f>IF(OR(C516="",D516=""),"",AtualizarAte-C516)</f>
        <v/>
      </c>
      <c r="F516" s="51" t="str">
        <f>IF(OR(C516="",D516=""),"",IF(TipoCalculo="JUROS SIMPLES",D516*E516*TaxaAoDia,FV(TaxaAoDia,E516,,-D516)-D516))</f>
        <v/>
      </c>
      <c r="G516" s="51" t="str">
        <f t="shared" si="14"/>
        <v/>
      </c>
      <c r="H516" s="51" t="str">
        <f t="shared" si="15"/>
        <v/>
      </c>
    </row>
    <row r="517" spans="5:8" x14ac:dyDescent="0.25">
      <c r="E517" s="50" t="str">
        <f>IF(OR(C517="",D517=""),"",AtualizarAte-C517)</f>
        <v/>
      </c>
      <c r="F517" s="51" t="str">
        <f>IF(OR(C517="",D517=""),"",IF(TipoCalculo="JUROS SIMPLES",D517*E517*TaxaAoDia,FV(TaxaAoDia,E517,,-D517)-D517))</f>
        <v/>
      </c>
      <c r="G517" s="51" t="str">
        <f t="shared" si="14"/>
        <v/>
      </c>
      <c r="H517" s="51" t="str">
        <f t="shared" si="15"/>
        <v/>
      </c>
    </row>
    <row r="518" spans="5:8" x14ac:dyDescent="0.25">
      <c r="E518" s="50" t="str">
        <f>IF(OR(C518="",D518=""),"",AtualizarAte-C518)</f>
        <v/>
      </c>
      <c r="F518" s="51" t="str">
        <f>IF(OR(C518="",D518=""),"",IF(TipoCalculo="JUROS SIMPLES",D518*E518*TaxaAoDia,FV(TaxaAoDia,E518,,-D518)-D518))</f>
        <v/>
      </c>
      <c r="G518" s="51" t="str">
        <f t="shared" si="14"/>
        <v/>
      </c>
      <c r="H518" s="51" t="str">
        <f t="shared" si="15"/>
        <v/>
      </c>
    </row>
    <row r="519" spans="5:8" x14ac:dyDescent="0.25">
      <c r="E519" s="50" t="str">
        <f>IF(OR(C519="",D519=""),"",AtualizarAte-C519)</f>
        <v/>
      </c>
      <c r="F519" s="51" t="str">
        <f>IF(OR(C519="",D519=""),"",IF(TipoCalculo="JUROS SIMPLES",D519*E519*TaxaAoDia,FV(TaxaAoDia,E519,,-D519)-D519))</f>
        <v/>
      </c>
      <c r="G519" s="51" t="str">
        <f t="shared" si="14"/>
        <v/>
      </c>
      <c r="H519" s="51" t="str">
        <f t="shared" si="15"/>
        <v/>
      </c>
    </row>
    <row r="520" spans="5:8" x14ac:dyDescent="0.25">
      <c r="E520" s="50" t="str">
        <f>IF(OR(C520="",D520=""),"",AtualizarAte-C520)</f>
        <v/>
      </c>
      <c r="F520" s="51" t="str">
        <f>IF(OR(C520="",D520=""),"",IF(TipoCalculo="JUROS SIMPLES",D520*E520*TaxaAoDia,FV(TaxaAoDia,E520,,-D520)-D520))</f>
        <v/>
      </c>
      <c r="G520" s="51" t="str">
        <f t="shared" si="14"/>
        <v/>
      </c>
      <c r="H520" s="51" t="str">
        <f t="shared" si="15"/>
        <v/>
      </c>
    </row>
    <row r="521" spans="5:8" x14ac:dyDescent="0.25">
      <c r="E521" s="50" t="str">
        <f>IF(OR(C521="",D521=""),"",AtualizarAte-C521)</f>
        <v/>
      </c>
      <c r="F521" s="51" t="str">
        <f>IF(OR(C521="",D521=""),"",IF(TipoCalculo="JUROS SIMPLES",D521*E521*TaxaAoDia,FV(TaxaAoDia,E521,,-D521)-D521))</f>
        <v/>
      </c>
      <c r="G521" s="51" t="str">
        <f t="shared" si="14"/>
        <v/>
      </c>
      <c r="H521" s="51" t="str">
        <f t="shared" si="15"/>
        <v/>
      </c>
    </row>
    <row r="522" spans="5:8" x14ac:dyDescent="0.25">
      <c r="E522" s="50" t="str">
        <f>IF(OR(C522="",D522=""),"",AtualizarAte-C522)</f>
        <v/>
      </c>
      <c r="F522" s="51" t="str">
        <f>IF(OR(C522="",D522=""),"",IF(TipoCalculo="JUROS SIMPLES",D522*E522*TaxaAoDia,FV(TaxaAoDia,E522,,-D522)-D522))</f>
        <v/>
      </c>
      <c r="G522" s="51" t="str">
        <f t="shared" si="14"/>
        <v/>
      </c>
      <c r="H522" s="51" t="str">
        <f t="shared" si="15"/>
        <v/>
      </c>
    </row>
    <row r="523" spans="5:8" x14ac:dyDescent="0.25">
      <c r="E523" s="50" t="str">
        <f>IF(OR(C523="",D523=""),"",AtualizarAte-C523)</f>
        <v/>
      </c>
      <c r="F523" s="51" t="str">
        <f>IF(OR(C523="",D523=""),"",IF(TipoCalculo="JUROS SIMPLES",D523*E523*TaxaAoDia,FV(TaxaAoDia,E523,,-D523)-D523))</f>
        <v/>
      </c>
      <c r="G523" s="51" t="str">
        <f t="shared" si="14"/>
        <v/>
      </c>
      <c r="H523" s="51" t="str">
        <f t="shared" si="15"/>
        <v/>
      </c>
    </row>
    <row r="524" spans="5:8" x14ac:dyDescent="0.25">
      <c r="E524" s="50" t="str">
        <f>IF(OR(C524="",D524=""),"",AtualizarAte-C524)</f>
        <v/>
      </c>
      <c r="F524" s="51" t="str">
        <f>IF(OR(C524="",D524=""),"",IF(TipoCalculo="JUROS SIMPLES",D524*E524*TaxaAoDia,FV(TaxaAoDia,E524,,-D524)-D524))</f>
        <v/>
      </c>
      <c r="G524" s="51" t="str">
        <f t="shared" si="14"/>
        <v/>
      </c>
      <c r="H524" s="51" t="str">
        <f t="shared" si="15"/>
        <v/>
      </c>
    </row>
    <row r="525" spans="5:8" x14ac:dyDescent="0.25">
      <c r="E525" s="50" t="str">
        <f>IF(OR(C525="",D525=""),"",AtualizarAte-C525)</f>
        <v/>
      </c>
      <c r="F525" s="51" t="str">
        <f>IF(OR(C525="",D525=""),"",IF(TipoCalculo="JUROS SIMPLES",D525*E525*TaxaAoDia,FV(TaxaAoDia,E525,,-D525)-D525))</f>
        <v/>
      </c>
      <c r="G525" s="51" t="str">
        <f t="shared" ref="G525:G588" si="16">IF(OR(C525="",D525=""),"",D525+F525)</f>
        <v/>
      </c>
      <c r="H525" s="51" t="str">
        <f t="shared" ref="H525:H588" si="17">IF(C525="","",IF(D525="","",IF(H524="SALDO ATUALIZ.",G525,H524+G525)))</f>
        <v/>
      </c>
    </row>
    <row r="526" spans="5:8" x14ac:dyDescent="0.25">
      <c r="E526" s="50" t="str">
        <f>IF(OR(C526="",D526=""),"",AtualizarAte-C526)</f>
        <v/>
      </c>
      <c r="F526" s="51" t="str">
        <f>IF(OR(C526="",D526=""),"",IF(TipoCalculo="JUROS SIMPLES",D526*E526*TaxaAoDia,FV(TaxaAoDia,E526,,-D526)-D526))</f>
        <v/>
      </c>
      <c r="G526" s="51" t="str">
        <f t="shared" si="16"/>
        <v/>
      </c>
      <c r="H526" s="51" t="str">
        <f t="shared" si="17"/>
        <v/>
      </c>
    </row>
    <row r="527" spans="5:8" x14ac:dyDescent="0.25">
      <c r="E527" s="50" t="str">
        <f>IF(OR(C527="",D527=""),"",AtualizarAte-C527)</f>
        <v/>
      </c>
      <c r="F527" s="51" t="str">
        <f>IF(OR(C527="",D527=""),"",IF(TipoCalculo="JUROS SIMPLES",D527*E527*TaxaAoDia,FV(TaxaAoDia,E527,,-D527)-D527))</f>
        <v/>
      </c>
      <c r="G527" s="51" t="str">
        <f t="shared" si="16"/>
        <v/>
      </c>
      <c r="H527" s="51" t="str">
        <f t="shared" si="17"/>
        <v/>
      </c>
    </row>
    <row r="528" spans="5:8" x14ac:dyDescent="0.25">
      <c r="E528" s="50" t="str">
        <f>IF(OR(C528="",D528=""),"",AtualizarAte-C528)</f>
        <v/>
      </c>
      <c r="F528" s="51" t="str">
        <f>IF(OR(C528="",D528=""),"",IF(TipoCalculo="JUROS SIMPLES",D528*E528*TaxaAoDia,FV(TaxaAoDia,E528,,-D528)-D528))</f>
        <v/>
      </c>
      <c r="G528" s="51" t="str">
        <f t="shared" si="16"/>
        <v/>
      </c>
      <c r="H528" s="51" t="str">
        <f t="shared" si="17"/>
        <v/>
      </c>
    </row>
    <row r="529" spans="5:8" x14ac:dyDescent="0.25">
      <c r="E529" s="50" t="str">
        <f>IF(OR(C529="",D529=""),"",AtualizarAte-C529)</f>
        <v/>
      </c>
      <c r="F529" s="51" t="str">
        <f>IF(OR(C529="",D529=""),"",IF(TipoCalculo="JUROS SIMPLES",D529*E529*TaxaAoDia,FV(TaxaAoDia,E529,,-D529)-D529))</f>
        <v/>
      </c>
      <c r="G529" s="51" t="str">
        <f t="shared" si="16"/>
        <v/>
      </c>
      <c r="H529" s="51" t="str">
        <f t="shared" si="17"/>
        <v/>
      </c>
    </row>
    <row r="530" spans="5:8" x14ac:dyDescent="0.25">
      <c r="E530" s="50" t="str">
        <f>IF(OR(C530="",D530=""),"",AtualizarAte-C530)</f>
        <v/>
      </c>
      <c r="F530" s="51" t="str">
        <f>IF(OR(C530="",D530=""),"",IF(TipoCalculo="JUROS SIMPLES",D530*E530*TaxaAoDia,FV(TaxaAoDia,E530,,-D530)-D530))</f>
        <v/>
      </c>
      <c r="G530" s="51" t="str">
        <f t="shared" si="16"/>
        <v/>
      </c>
      <c r="H530" s="51" t="str">
        <f t="shared" si="17"/>
        <v/>
      </c>
    </row>
    <row r="531" spans="5:8" x14ac:dyDescent="0.25">
      <c r="E531" s="50" t="str">
        <f>IF(OR(C531="",D531=""),"",AtualizarAte-C531)</f>
        <v/>
      </c>
      <c r="F531" s="51" t="str">
        <f>IF(OR(C531="",D531=""),"",IF(TipoCalculo="JUROS SIMPLES",D531*E531*TaxaAoDia,FV(TaxaAoDia,E531,,-D531)-D531))</f>
        <v/>
      </c>
      <c r="G531" s="51" t="str">
        <f t="shared" si="16"/>
        <v/>
      </c>
      <c r="H531" s="51" t="str">
        <f t="shared" si="17"/>
        <v/>
      </c>
    </row>
    <row r="532" spans="5:8" x14ac:dyDescent="0.25">
      <c r="E532" s="50" t="str">
        <f>IF(OR(C532="",D532=""),"",AtualizarAte-C532)</f>
        <v/>
      </c>
      <c r="F532" s="51" t="str">
        <f>IF(OR(C532="",D532=""),"",IF(TipoCalculo="JUROS SIMPLES",D532*E532*TaxaAoDia,FV(TaxaAoDia,E532,,-D532)-D532))</f>
        <v/>
      </c>
      <c r="G532" s="51" t="str">
        <f t="shared" si="16"/>
        <v/>
      </c>
      <c r="H532" s="51" t="str">
        <f t="shared" si="17"/>
        <v/>
      </c>
    </row>
    <row r="533" spans="5:8" x14ac:dyDescent="0.25">
      <c r="E533" s="50" t="str">
        <f>IF(OR(C533="",D533=""),"",AtualizarAte-C533)</f>
        <v/>
      </c>
      <c r="F533" s="51" t="str">
        <f>IF(OR(C533="",D533=""),"",IF(TipoCalculo="JUROS SIMPLES",D533*E533*TaxaAoDia,FV(TaxaAoDia,E533,,-D533)-D533))</f>
        <v/>
      </c>
      <c r="G533" s="51" t="str">
        <f t="shared" si="16"/>
        <v/>
      </c>
      <c r="H533" s="51" t="str">
        <f t="shared" si="17"/>
        <v/>
      </c>
    </row>
    <row r="534" spans="5:8" x14ac:dyDescent="0.25">
      <c r="E534" s="50" t="str">
        <f>IF(OR(C534="",D534=""),"",AtualizarAte-C534)</f>
        <v/>
      </c>
      <c r="F534" s="51" t="str">
        <f>IF(OR(C534="",D534=""),"",IF(TipoCalculo="JUROS SIMPLES",D534*E534*TaxaAoDia,FV(TaxaAoDia,E534,,-D534)-D534))</f>
        <v/>
      </c>
      <c r="G534" s="51" t="str">
        <f t="shared" si="16"/>
        <v/>
      </c>
      <c r="H534" s="51" t="str">
        <f t="shared" si="17"/>
        <v/>
      </c>
    </row>
    <row r="535" spans="5:8" x14ac:dyDescent="0.25">
      <c r="E535" s="50" t="str">
        <f>IF(OR(C535="",D535=""),"",AtualizarAte-C535)</f>
        <v/>
      </c>
      <c r="F535" s="51" t="str">
        <f>IF(OR(C535="",D535=""),"",IF(TipoCalculo="JUROS SIMPLES",D535*E535*TaxaAoDia,FV(TaxaAoDia,E535,,-D535)-D535))</f>
        <v/>
      </c>
      <c r="G535" s="51" t="str">
        <f t="shared" si="16"/>
        <v/>
      </c>
      <c r="H535" s="51" t="str">
        <f t="shared" si="17"/>
        <v/>
      </c>
    </row>
    <row r="536" spans="5:8" x14ac:dyDescent="0.25">
      <c r="E536" s="50" t="str">
        <f>IF(OR(C536="",D536=""),"",AtualizarAte-C536)</f>
        <v/>
      </c>
      <c r="F536" s="51" t="str">
        <f>IF(OR(C536="",D536=""),"",IF(TipoCalculo="JUROS SIMPLES",D536*E536*TaxaAoDia,FV(TaxaAoDia,E536,,-D536)-D536))</f>
        <v/>
      </c>
      <c r="G536" s="51" t="str">
        <f t="shared" si="16"/>
        <v/>
      </c>
      <c r="H536" s="51" t="str">
        <f t="shared" si="17"/>
        <v/>
      </c>
    </row>
    <row r="537" spans="5:8" x14ac:dyDescent="0.25">
      <c r="E537" s="50" t="str">
        <f>IF(OR(C537="",D537=""),"",AtualizarAte-C537)</f>
        <v/>
      </c>
      <c r="F537" s="51" t="str">
        <f>IF(OR(C537="",D537=""),"",IF(TipoCalculo="JUROS SIMPLES",D537*E537*TaxaAoDia,FV(TaxaAoDia,E537,,-D537)-D537))</f>
        <v/>
      </c>
      <c r="G537" s="51" t="str">
        <f t="shared" si="16"/>
        <v/>
      </c>
      <c r="H537" s="51" t="str">
        <f t="shared" si="17"/>
        <v/>
      </c>
    </row>
    <row r="538" spans="5:8" x14ac:dyDescent="0.25">
      <c r="E538" s="50" t="str">
        <f>IF(OR(C538="",D538=""),"",AtualizarAte-C538)</f>
        <v/>
      </c>
      <c r="F538" s="51" t="str">
        <f>IF(OR(C538="",D538=""),"",IF(TipoCalculo="JUROS SIMPLES",D538*E538*TaxaAoDia,FV(TaxaAoDia,E538,,-D538)-D538))</f>
        <v/>
      </c>
      <c r="G538" s="51" t="str">
        <f t="shared" si="16"/>
        <v/>
      </c>
      <c r="H538" s="51" t="str">
        <f t="shared" si="17"/>
        <v/>
      </c>
    </row>
    <row r="539" spans="5:8" x14ac:dyDescent="0.25">
      <c r="E539" s="50" t="str">
        <f>IF(OR(C539="",D539=""),"",AtualizarAte-C539)</f>
        <v/>
      </c>
      <c r="F539" s="51" t="str">
        <f>IF(OR(C539="",D539=""),"",IF(TipoCalculo="JUROS SIMPLES",D539*E539*TaxaAoDia,FV(TaxaAoDia,E539,,-D539)-D539))</f>
        <v/>
      </c>
      <c r="G539" s="51" t="str">
        <f t="shared" si="16"/>
        <v/>
      </c>
      <c r="H539" s="51" t="str">
        <f t="shared" si="17"/>
        <v/>
      </c>
    </row>
    <row r="540" spans="5:8" x14ac:dyDescent="0.25">
      <c r="E540" s="50" t="str">
        <f>IF(OR(C540="",D540=""),"",AtualizarAte-C540)</f>
        <v/>
      </c>
      <c r="F540" s="51" t="str">
        <f>IF(OR(C540="",D540=""),"",IF(TipoCalculo="JUROS SIMPLES",D540*E540*TaxaAoDia,FV(TaxaAoDia,E540,,-D540)-D540))</f>
        <v/>
      </c>
      <c r="G540" s="51" t="str">
        <f t="shared" si="16"/>
        <v/>
      </c>
      <c r="H540" s="51" t="str">
        <f t="shared" si="17"/>
        <v/>
      </c>
    </row>
    <row r="541" spans="5:8" x14ac:dyDescent="0.25">
      <c r="E541" s="50" t="str">
        <f>IF(OR(C541="",D541=""),"",AtualizarAte-C541)</f>
        <v/>
      </c>
      <c r="F541" s="51" t="str">
        <f>IF(OR(C541="",D541=""),"",IF(TipoCalculo="JUROS SIMPLES",D541*E541*TaxaAoDia,FV(TaxaAoDia,E541,,-D541)-D541))</f>
        <v/>
      </c>
      <c r="G541" s="51" t="str">
        <f t="shared" si="16"/>
        <v/>
      </c>
      <c r="H541" s="51" t="str">
        <f t="shared" si="17"/>
        <v/>
      </c>
    </row>
    <row r="542" spans="5:8" x14ac:dyDescent="0.25">
      <c r="E542" s="50" t="str">
        <f>IF(OR(C542="",D542=""),"",AtualizarAte-C542)</f>
        <v/>
      </c>
      <c r="F542" s="51" t="str">
        <f>IF(OR(C542="",D542=""),"",IF(TipoCalculo="JUROS SIMPLES",D542*E542*TaxaAoDia,FV(TaxaAoDia,E542,,-D542)-D542))</f>
        <v/>
      </c>
      <c r="G542" s="51" t="str">
        <f t="shared" si="16"/>
        <v/>
      </c>
      <c r="H542" s="51" t="str">
        <f t="shared" si="17"/>
        <v/>
      </c>
    </row>
    <row r="543" spans="5:8" x14ac:dyDescent="0.25">
      <c r="E543" s="50" t="str">
        <f>IF(OR(C543="",D543=""),"",AtualizarAte-C543)</f>
        <v/>
      </c>
      <c r="F543" s="51" t="str">
        <f>IF(OR(C543="",D543=""),"",IF(TipoCalculo="JUROS SIMPLES",D543*E543*TaxaAoDia,FV(TaxaAoDia,E543,,-D543)-D543))</f>
        <v/>
      </c>
      <c r="G543" s="51" t="str">
        <f t="shared" si="16"/>
        <v/>
      </c>
      <c r="H543" s="51" t="str">
        <f t="shared" si="17"/>
        <v/>
      </c>
    </row>
    <row r="544" spans="5:8" x14ac:dyDescent="0.25">
      <c r="E544" s="50" t="str">
        <f>IF(OR(C544="",D544=""),"",AtualizarAte-C544)</f>
        <v/>
      </c>
      <c r="F544" s="51" t="str">
        <f>IF(OR(C544="",D544=""),"",IF(TipoCalculo="JUROS SIMPLES",D544*E544*TaxaAoDia,FV(TaxaAoDia,E544,,-D544)-D544))</f>
        <v/>
      </c>
      <c r="G544" s="51" t="str">
        <f t="shared" si="16"/>
        <v/>
      </c>
      <c r="H544" s="51" t="str">
        <f t="shared" si="17"/>
        <v/>
      </c>
    </row>
    <row r="545" spans="5:8" x14ac:dyDescent="0.25">
      <c r="E545" s="50" t="str">
        <f>IF(OR(C545="",D545=""),"",AtualizarAte-C545)</f>
        <v/>
      </c>
      <c r="F545" s="51" t="str">
        <f>IF(OR(C545="",D545=""),"",IF(TipoCalculo="JUROS SIMPLES",D545*E545*TaxaAoDia,FV(TaxaAoDia,E545,,-D545)-D545))</f>
        <v/>
      </c>
      <c r="G545" s="51" t="str">
        <f t="shared" si="16"/>
        <v/>
      </c>
      <c r="H545" s="51" t="str">
        <f t="shared" si="17"/>
        <v/>
      </c>
    </row>
    <row r="546" spans="5:8" x14ac:dyDescent="0.25">
      <c r="E546" s="50" t="str">
        <f>IF(OR(C546="",D546=""),"",AtualizarAte-C546)</f>
        <v/>
      </c>
      <c r="F546" s="51" t="str">
        <f>IF(OR(C546="",D546=""),"",IF(TipoCalculo="JUROS SIMPLES",D546*E546*TaxaAoDia,FV(TaxaAoDia,E546,,-D546)-D546))</f>
        <v/>
      </c>
      <c r="G546" s="51" t="str">
        <f t="shared" si="16"/>
        <v/>
      </c>
      <c r="H546" s="51" t="str">
        <f t="shared" si="17"/>
        <v/>
      </c>
    </row>
    <row r="547" spans="5:8" x14ac:dyDescent="0.25">
      <c r="E547" s="50" t="str">
        <f>IF(OR(C547="",D547=""),"",AtualizarAte-C547)</f>
        <v/>
      </c>
      <c r="F547" s="51" t="str">
        <f>IF(OR(C547="",D547=""),"",IF(TipoCalculo="JUROS SIMPLES",D547*E547*TaxaAoDia,FV(TaxaAoDia,E547,,-D547)-D547))</f>
        <v/>
      </c>
      <c r="G547" s="51" t="str">
        <f t="shared" si="16"/>
        <v/>
      </c>
      <c r="H547" s="51" t="str">
        <f t="shared" si="17"/>
        <v/>
      </c>
    </row>
    <row r="548" spans="5:8" x14ac:dyDescent="0.25">
      <c r="E548" s="50" t="str">
        <f>IF(OR(C548="",D548=""),"",AtualizarAte-C548)</f>
        <v/>
      </c>
      <c r="F548" s="51" t="str">
        <f>IF(OR(C548="",D548=""),"",IF(TipoCalculo="JUROS SIMPLES",D548*E548*TaxaAoDia,FV(TaxaAoDia,E548,,-D548)-D548))</f>
        <v/>
      </c>
      <c r="G548" s="51" t="str">
        <f t="shared" si="16"/>
        <v/>
      </c>
      <c r="H548" s="51" t="str">
        <f t="shared" si="17"/>
        <v/>
      </c>
    </row>
    <row r="549" spans="5:8" x14ac:dyDescent="0.25">
      <c r="E549" s="50" t="str">
        <f>IF(OR(C549="",D549=""),"",AtualizarAte-C549)</f>
        <v/>
      </c>
      <c r="F549" s="51" t="str">
        <f>IF(OR(C549="",D549=""),"",IF(TipoCalculo="JUROS SIMPLES",D549*E549*TaxaAoDia,FV(TaxaAoDia,E549,,-D549)-D549))</f>
        <v/>
      </c>
      <c r="G549" s="51" t="str">
        <f t="shared" si="16"/>
        <v/>
      </c>
      <c r="H549" s="51" t="str">
        <f t="shared" si="17"/>
        <v/>
      </c>
    </row>
    <row r="550" spans="5:8" x14ac:dyDescent="0.25">
      <c r="E550" s="50" t="str">
        <f>IF(OR(C550="",D550=""),"",AtualizarAte-C550)</f>
        <v/>
      </c>
      <c r="F550" s="51" t="str">
        <f>IF(OR(C550="",D550=""),"",IF(TipoCalculo="JUROS SIMPLES",D550*E550*TaxaAoDia,FV(TaxaAoDia,E550,,-D550)-D550))</f>
        <v/>
      </c>
      <c r="G550" s="51" t="str">
        <f t="shared" si="16"/>
        <v/>
      </c>
      <c r="H550" s="51" t="str">
        <f t="shared" si="17"/>
        <v/>
      </c>
    </row>
    <row r="551" spans="5:8" x14ac:dyDescent="0.25">
      <c r="E551" s="50" t="str">
        <f>IF(OR(C551="",D551=""),"",AtualizarAte-C551)</f>
        <v/>
      </c>
      <c r="F551" s="51" t="str">
        <f>IF(OR(C551="",D551=""),"",IF(TipoCalculo="JUROS SIMPLES",D551*E551*TaxaAoDia,FV(TaxaAoDia,E551,,-D551)-D551))</f>
        <v/>
      </c>
      <c r="G551" s="51" t="str">
        <f t="shared" si="16"/>
        <v/>
      </c>
      <c r="H551" s="51" t="str">
        <f t="shared" si="17"/>
        <v/>
      </c>
    </row>
    <row r="552" spans="5:8" x14ac:dyDescent="0.25">
      <c r="E552" s="50" t="str">
        <f>IF(OR(C552="",D552=""),"",AtualizarAte-C552)</f>
        <v/>
      </c>
      <c r="F552" s="51" t="str">
        <f>IF(OR(C552="",D552=""),"",IF(TipoCalculo="JUROS SIMPLES",D552*E552*TaxaAoDia,FV(TaxaAoDia,E552,,-D552)-D552))</f>
        <v/>
      </c>
      <c r="G552" s="51" t="str">
        <f t="shared" si="16"/>
        <v/>
      </c>
      <c r="H552" s="51" t="str">
        <f t="shared" si="17"/>
        <v/>
      </c>
    </row>
    <row r="553" spans="5:8" x14ac:dyDescent="0.25">
      <c r="E553" s="50" t="str">
        <f>IF(OR(C553="",D553=""),"",AtualizarAte-C553)</f>
        <v/>
      </c>
      <c r="F553" s="51" t="str">
        <f>IF(OR(C553="",D553=""),"",IF(TipoCalculo="JUROS SIMPLES",D553*E553*TaxaAoDia,FV(TaxaAoDia,E553,,-D553)-D553))</f>
        <v/>
      </c>
      <c r="G553" s="51" t="str">
        <f t="shared" si="16"/>
        <v/>
      </c>
      <c r="H553" s="51" t="str">
        <f t="shared" si="17"/>
        <v/>
      </c>
    </row>
    <row r="554" spans="5:8" x14ac:dyDescent="0.25">
      <c r="E554" s="50" t="str">
        <f>IF(OR(C554="",D554=""),"",AtualizarAte-C554)</f>
        <v/>
      </c>
      <c r="F554" s="51" t="str">
        <f>IF(OR(C554="",D554=""),"",IF(TipoCalculo="JUROS SIMPLES",D554*E554*TaxaAoDia,FV(TaxaAoDia,E554,,-D554)-D554))</f>
        <v/>
      </c>
      <c r="G554" s="51" t="str">
        <f t="shared" si="16"/>
        <v/>
      </c>
      <c r="H554" s="51" t="str">
        <f t="shared" si="17"/>
        <v/>
      </c>
    </row>
    <row r="555" spans="5:8" x14ac:dyDescent="0.25">
      <c r="E555" s="50" t="str">
        <f>IF(OR(C555="",D555=""),"",AtualizarAte-C555)</f>
        <v/>
      </c>
      <c r="F555" s="51" t="str">
        <f>IF(OR(C555="",D555=""),"",IF(TipoCalculo="JUROS SIMPLES",D555*E555*TaxaAoDia,FV(TaxaAoDia,E555,,-D555)-D555))</f>
        <v/>
      </c>
      <c r="G555" s="51" t="str">
        <f t="shared" si="16"/>
        <v/>
      </c>
      <c r="H555" s="51" t="str">
        <f t="shared" si="17"/>
        <v/>
      </c>
    </row>
    <row r="556" spans="5:8" x14ac:dyDescent="0.25">
      <c r="E556" s="50" t="str">
        <f>IF(OR(C556="",D556=""),"",AtualizarAte-C556)</f>
        <v/>
      </c>
      <c r="F556" s="51" t="str">
        <f>IF(OR(C556="",D556=""),"",IF(TipoCalculo="JUROS SIMPLES",D556*E556*TaxaAoDia,FV(TaxaAoDia,E556,,-D556)-D556))</f>
        <v/>
      </c>
      <c r="G556" s="51" t="str">
        <f t="shared" si="16"/>
        <v/>
      </c>
      <c r="H556" s="51" t="str">
        <f t="shared" si="17"/>
        <v/>
      </c>
    </row>
    <row r="557" spans="5:8" x14ac:dyDescent="0.25">
      <c r="E557" s="50" t="str">
        <f>IF(OR(C557="",D557=""),"",AtualizarAte-C557)</f>
        <v/>
      </c>
      <c r="F557" s="51" t="str">
        <f>IF(OR(C557="",D557=""),"",IF(TipoCalculo="JUROS SIMPLES",D557*E557*TaxaAoDia,FV(TaxaAoDia,E557,,-D557)-D557))</f>
        <v/>
      </c>
      <c r="G557" s="51" t="str">
        <f t="shared" si="16"/>
        <v/>
      </c>
      <c r="H557" s="51" t="str">
        <f t="shared" si="17"/>
        <v/>
      </c>
    </row>
    <row r="558" spans="5:8" x14ac:dyDescent="0.25">
      <c r="E558" s="50" t="str">
        <f>IF(OR(C558="",D558=""),"",AtualizarAte-C558)</f>
        <v/>
      </c>
      <c r="F558" s="51" t="str">
        <f>IF(OR(C558="",D558=""),"",IF(TipoCalculo="JUROS SIMPLES",D558*E558*TaxaAoDia,FV(TaxaAoDia,E558,,-D558)-D558))</f>
        <v/>
      </c>
      <c r="G558" s="51" t="str">
        <f t="shared" si="16"/>
        <v/>
      </c>
      <c r="H558" s="51" t="str">
        <f t="shared" si="17"/>
        <v/>
      </c>
    </row>
    <row r="559" spans="5:8" x14ac:dyDescent="0.25">
      <c r="E559" s="50" t="str">
        <f>IF(OR(C559="",D559=""),"",AtualizarAte-C559)</f>
        <v/>
      </c>
      <c r="F559" s="51" t="str">
        <f>IF(OR(C559="",D559=""),"",IF(TipoCalculo="JUROS SIMPLES",D559*E559*TaxaAoDia,FV(TaxaAoDia,E559,,-D559)-D559))</f>
        <v/>
      </c>
      <c r="G559" s="51" t="str">
        <f t="shared" si="16"/>
        <v/>
      </c>
      <c r="H559" s="51" t="str">
        <f t="shared" si="17"/>
        <v/>
      </c>
    </row>
    <row r="560" spans="5:8" x14ac:dyDescent="0.25">
      <c r="E560" s="50" t="str">
        <f>IF(OR(C560="",D560=""),"",AtualizarAte-C560)</f>
        <v/>
      </c>
      <c r="F560" s="51" t="str">
        <f>IF(OR(C560="",D560=""),"",IF(TipoCalculo="JUROS SIMPLES",D560*E560*TaxaAoDia,FV(TaxaAoDia,E560,,-D560)-D560))</f>
        <v/>
      </c>
      <c r="G560" s="51" t="str">
        <f t="shared" si="16"/>
        <v/>
      </c>
      <c r="H560" s="51" t="str">
        <f t="shared" si="17"/>
        <v/>
      </c>
    </row>
    <row r="561" spans="5:8" x14ac:dyDescent="0.25">
      <c r="E561" s="50" t="str">
        <f>IF(OR(C561="",D561=""),"",AtualizarAte-C561)</f>
        <v/>
      </c>
      <c r="F561" s="51" t="str">
        <f>IF(OR(C561="",D561=""),"",IF(TipoCalculo="JUROS SIMPLES",D561*E561*TaxaAoDia,FV(TaxaAoDia,E561,,-D561)-D561))</f>
        <v/>
      </c>
      <c r="G561" s="51" t="str">
        <f t="shared" si="16"/>
        <v/>
      </c>
      <c r="H561" s="51" t="str">
        <f t="shared" si="17"/>
        <v/>
      </c>
    </row>
    <row r="562" spans="5:8" x14ac:dyDescent="0.25">
      <c r="E562" s="50" t="str">
        <f>IF(OR(C562="",D562=""),"",AtualizarAte-C562)</f>
        <v/>
      </c>
      <c r="F562" s="51" t="str">
        <f>IF(OR(C562="",D562=""),"",IF(TipoCalculo="JUROS SIMPLES",D562*E562*TaxaAoDia,FV(TaxaAoDia,E562,,-D562)-D562))</f>
        <v/>
      </c>
      <c r="G562" s="51" t="str">
        <f t="shared" si="16"/>
        <v/>
      </c>
      <c r="H562" s="51" t="str">
        <f t="shared" si="17"/>
        <v/>
      </c>
    </row>
    <row r="563" spans="5:8" x14ac:dyDescent="0.25">
      <c r="E563" s="50" t="str">
        <f>IF(OR(C563="",D563=""),"",AtualizarAte-C563)</f>
        <v/>
      </c>
      <c r="F563" s="51" t="str">
        <f>IF(OR(C563="",D563=""),"",IF(TipoCalculo="JUROS SIMPLES",D563*E563*TaxaAoDia,FV(TaxaAoDia,E563,,-D563)-D563))</f>
        <v/>
      </c>
      <c r="G563" s="51" t="str">
        <f t="shared" si="16"/>
        <v/>
      </c>
      <c r="H563" s="51" t="str">
        <f t="shared" si="17"/>
        <v/>
      </c>
    </row>
    <row r="564" spans="5:8" x14ac:dyDescent="0.25">
      <c r="E564" s="50" t="str">
        <f>IF(OR(C564="",D564=""),"",AtualizarAte-C564)</f>
        <v/>
      </c>
      <c r="F564" s="51" t="str">
        <f>IF(OR(C564="",D564=""),"",IF(TipoCalculo="JUROS SIMPLES",D564*E564*TaxaAoDia,FV(TaxaAoDia,E564,,-D564)-D564))</f>
        <v/>
      </c>
      <c r="G564" s="51" t="str">
        <f t="shared" si="16"/>
        <v/>
      </c>
      <c r="H564" s="51" t="str">
        <f t="shared" si="17"/>
        <v/>
      </c>
    </row>
    <row r="565" spans="5:8" x14ac:dyDescent="0.25">
      <c r="E565" s="50" t="str">
        <f>IF(OR(C565="",D565=""),"",AtualizarAte-C565)</f>
        <v/>
      </c>
      <c r="F565" s="51" t="str">
        <f>IF(OR(C565="",D565=""),"",IF(TipoCalculo="JUROS SIMPLES",D565*E565*TaxaAoDia,FV(TaxaAoDia,E565,,-D565)-D565))</f>
        <v/>
      </c>
      <c r="G565" s="51" t="str">
        <f t="shared" si="16"/>
        <v/>
      </c>
      <c r="H565" s="51" t="str">
        <f t="shared" si="17"/>
        <v/>
      </c>
    </row>
    <row r="566" spans="5:8" x14ac:dyDescent="0.25">
      <c r="E566" s="50" t="str">
        <f>IF(OR(C566="",D566=""),"",AtualizarAte-C566)</f>
        <v/>
      </c>
      <c r="F566" s="51" t="str">
        <f>IF(OR(C566="",D566=""),"",IF(TipoCalculo="JUROS SIMPLES",D566*E566*TaxaAoDia,FV(TaxaAoDia,E566,,-D566)-D566))</f>
        <v/>
      </c>
      <c r="G566" s="51" t="str">
        <f t="shared" si="16"/>
        <v/>
      </c>
      <c r="H566" s="51" t="str">
        <f t="shared" si="17"/>
        <v/>
      </c>
    </row>
    <row r="567" spans="5:8" x14ac:dyDescent="0.25">
      <c r="E567" s="50" t="str">
        <f>IF(OR(C567="",D567=""),"",AtualizarAte-C567)</f>
        <v/>
      </c>
      <c r="F567" s="51" t="str">
        <f>IF(OR(C567="",D567=""),"",IF(TipoCalculo="JUROS SIMPLES",D567*E567*TaxaAoDia,FV(TaxaAoDia,E567,,-D567)-D567))</f>
        <v/>
      </c>
      <c r="G567" s="51" t="str">
        <f t="shared" si="16"/>
        <v/>
      </c>
      <c r="H567" s="51" t="str">
        <f t="shared" si="17"/>
        <v/>
      </c>
    </row>
    <row r="568" spans="5:8" x14ac:dyDescent="0.25">
      <c r="E568" s="50" t="str">
        <f>IF(OR(C568="",D568=""),"",AtualizarAte-C568)</f>
        <v/>
      </c>
      <c r="F568" s="51" t="str">
        <f>IF(OR(C568="",D568=""),"",IF(TipoCalculo="JUROS SIMPLES",D568*E568*TaxaAoDia,FV(TaxaAoDia,E568,,-D568)-D568))</f>
        <v/>
      </c>
      <c r="G568" s="51" t="str">
        <f t="shared" si="16"/>
        <v/>
      </c>
      <c r="H568" s="51" t="str">
        <f t="shared" si="17"/>
        <v/>
      </c>
    </row>
    <row r="569" spans="5:8" x14ac:dyDescent="0.25">
      <c r="E569" s="50" t="str">
        <f>IF(OR(C569="",D569=""),"",AtualizarAte-C569)</f>
        <v/>
      </c>
      <c r="F569" s="51" t="str">
        <f>IF(OR(C569="",D569=""),"",IF(TipoCalculo="JUROS SIMPLES",D569*E569*TaxaAoDia,FV(TaxaAoDia,E569,,-D569)-D569))</f>
        <v/>
      </c>
      <c r="G569" s="51" t="str">
        <f t="shared" si="16"/>
        <v/>
      </c>
      <c r="H569" s="51" t="str">
        <f t="shared" si="17"/>
        <v/>
      </c>
    </row>
    <row r="570" spans="5:8" x14ac:dyDescent="0.25">
      <c r="E570" s="50" t="str">
        <f>IF(OR(C570="",D570=""),"",AtualizarAte-C570)</f>
        <v/>
      </c>
      <c r="F570" s="51" t="str">
        <f>IF(OR(C570="",D570=""),"",IF(TipoCalculo="JUROS SIMPLES",D570*E570*TaxaAoDia,FV(TaxaAoDia,E570,,-D570)-D570))</f>
        <v/>
      </c>
      <c r="G570" s="51" t="str">
        <f t="shared" si="16"/>
        <v/>
      </c>
      <c r="H570" s="51" t="str">
        <f t="shared" si="17"/>
        <v/>
      </c>
    </row>
    <row r="571" spans="5:8" x14ac:dyDescent="0.25">
      <c r="E571" s="50" t="str">
        <f>IF(OR(C571="",D571=""),"",AtualizarAte-C571)</f>
        <v/>
      </c>
      <c r="F571" s="51" t="str">
        <f>IF(OR(C571="",D571=""),"",IF(TipoCalculo="JUROS SIMPLES",D571*E571*TaxaAoDia,FV(TaxaAoDia,E571,,-D571)-D571))</f>
        <v/>
      </c>
      <c r="G571" s="51" t="str">
        <f t="shared" si="16"/>
        <v/>
      </c>
      <c r="H571" s="51" t="str">
        <f t="shared" si="17"/>
        <v/>
      </c>
    </row>
    <row r="572" spans="5:8" x14ac:dyDescent="0.25">
      <c r="E572" s="50" t="str">
        <f>IF(OR(C572="",D572=""),"",AtualizarAte-C572)</f>
        <v/>
      </c>
      <c r="F572" s="51" t="str">
        <f>IF(OR(C572="",D572=""),"",IF(TipoCalculo="JUROS SIMPLES",D572*E572*TaxaAoDia,FV(TaxaAoDia,E572,,-D572)-D572))</f>
        <v/>
      </c>
      <c r="G572" s="51" t="str">
        <f t="shared" si="16"/>
        <v/>
      </c>
      <c r="H572" s="51" t="str">
        <f t="shared" si="17"/>
        <v/>
      </c>
    </row>
    <row r="573" spans="5:8" x14ac:dyDescent="0.25">
      <c r="E573" s="50" t="str">
        <f>IF(OR(C573="",D573=""),"",AtualizarAte-C573)</f>
        <v/>
      </c>
      <c r="F573" s="51" t="str">
        <f>IF(OR(C573="",D573=""),"",IF(TipoCalculo="JUROS SIMPLES",D573*E573*TaxaAoDia,FV(TaxaAoDia,E573,,-D573)-D573))</f>
        <v/>
      </c>
      <c r="G573" s="51" t="str">
        <f t="shared" si="16"/>
        <v/>
      </c>
      <c r="H573" s="51" t="str">
        <f t="shared" si="17"/>
        <v/>
      </c>
    </row>
    <row r="574" spans="5:8" x14ac:dyDescent="0.25">
      <c r="E574" s="50" t="str">
        <f>IF(OR(C574="",D574=""),"",AtualizarAte-C574)</f>
        <v/>
      </c>
      <c r="F574" s="51" t="str">
        <f>IF(OR(C574="",D574=""),"",IF(TipoCalculo="JUROS SIMPLES",D574*E574*TaxaAoDia,FV(TaxaAoDia,E574,,-D574)-D574))</f>
        <v/>
      </c>
      <c r="G574" s="51" t="str">
        <f t="shared" si="16"/>
        <v/>
      </c>
      <c r="H574" s="51" t="str">
        <f t="shared" si="17"/>
        <v/>
      </c>
    </row>
    <row r="575" spans="5:8" x14ac:dyDescent="0.25">
      <c r="E575" s="50" t="str">
        <f>IF(OR(C575="",D575=""),"",AtualizarAte-C575)</f>
        <v/>
      </c>
      <c r="F575" s="51" t="str">
        <f>IF(OR(C575="",D575=""),"",IF(TipoCalculo="JUROS SIMPLES",D575*E575*TaxaAoDia,FV(TaxaAoDia,E575,,-D575)-D575))</f>
        <v/>
      </c>
      <c r="G575" s="51" t="str">
        <f t="shared" si="16"/>
        <v/>
      </c>
      <c r="H575" s="51" t="str">
        <f t="shared" si="17"/>
        <v/>
      </c>
    </row>
    <row r="576" spans="5:8" x14ac:dyDescent="0.25">
      <c r="E576" s="50" t="str">
        <f>IF(OR(C576="",D576=""),"",AtualizarAte-C576)</f>
        <v/>
      </c>
      <c r="F576" s="51" t="str">
        <f>IF(OR(C576="",D576=""),"",IF(TipoCalculo="JUROS SIMPLES",D576*E576*TaxaAoDia,FV(TaxaAoDia,E576,,-D576)-D576))</f>
        <v/>
      </c>
      <c r="G576" s="51" t="str">
        <f t="shared" si="16"/>
        <v/>
      </c>
      <c r="H576" s="51" t="str">
        <f t="shared" si="17"/>
        <v/>
      </c>
    </row>
    <row r="577" spans="5:8" x14ac:dyDescent="0.25">
      <c r="E577" s="50" t="str">
        <f>IF(OR(C577="",D577=""),"",AtualizarAte-C577)</f>
        <v/>
      </c>
      <c r="F577" s="51" t="str">
        <f>IF(OR(C577="",D577=""),"",IF(TipoCalculo="JUROS SIMPLES",D577*E577*TaxaAoDia,FV(TaxaAoDia,E577,,-D577)-D577))</f>
        <v/>
      </c>
      <c r="G577" s="51" t="str">
        <f t="shared" si="16"/>
        <v/>
      </c>
      <c r="H577" s="51" t="str">
        <f t="shared" si="17"/>
        <v/>
      </c>
    </row>
    <row r="578" spans="5:8" x14ac:dyDescent="0.25">
      <c r="E578" s="50" t="str">
        <f>IF(OR(C578="",D578=""),"",AtualizarAte-C578)</f>
        <v/>
      </c>
      <c r="F578" s="51" t="str">
        <f>IF(OR(C578="",D578=""),"",IF(TipoCalculo="JUROS SIMPLES",D578*E578*TaxaAoDia,FV(TaxaAoDia,E578,,-D578)-D578))</f>
        <v/>
      </c>
      <c r="G578" s="51" t="str">
        <f t="shared" si="16"/>
        <v/>
      </c>
      <c r="H578" s="51" t="str">
        <f t="shared" si="17"/>
        <v/>
      </c>
    </row>
    <row r="579" spans="5:8" x14ac:dyDescent="0.25">
      <c r="E579" s="50" t="str">
        <f>IF(OR(C579="",D579=""),"",AtualizarAte-C579)</f>
        <v/>
      </c>
      <c r="F579" s="51" t="str">
        <f>IF(OR(C579="",D579=""),"",IF(TipoCalculo="JUROS SIMPLES",D579*E579*TaxaAoDia,FV(TaxaAoDia,E579,,-D579)-D579))</f>
        <v/>
      </c>
      <c r="G579" s="51" t="str">
        <f t="shared" si="16"/>
        <v/>
      </c>
      <c r="H579" s="51" t="str">
        <f t="shared" si="17"/>
        <v/>
      </c>
    </row>
    <row r="580" spans="5:8" x14ac:dyDescent="0.25">
      <c r="E580" s="50" t="str">
        <f>IF(OR(C580="",D580=""),"",AtualizarAte-C580)</f>
        <v/>
      </c>
      <c r="F580" s="51" t="str">
        <f>IF(OR(C580="",D580=""),"",IF(TipoCalculo="JUROS SIMPLES",D580*E580*TaxaAoDia,FV(TaxaAoDia,E580,,-D580)-D580))</f>
        <v/>
      </c>
      <c r="G580" s="51" t="str">
        <f t="shared" si="16"/>
        <v/>
      </c>
      <c r="H580" s="51" t="str">
        <f t="shared" si="17"/>
        <v/>
      </c>
    </row>
    <row r="581" spans="5:8" x14ac:dyDescent="0.25">
      <c r="E581" s="50" t="str">
        <f>IF(OR(C581="",D581=""),"",AtualizarAte-C581)</f>
        <v/>
      </c>
      <c r="F581" s="51" t="str">
        <f>IF(OR(C581="",D581=""),"",IF(TipoCalculo="JUROS SIMPLES",D581*E581*TaxaAoDia,FV(TaxaAoDia,E581,,-D581)-D581))</f>
        <v/>
      </c>
      <c r="G581" s="51" t="str">
        <f t="shared" si="16"/>
        <v/>
      </c>
      <c r="H581" s="51" t="str">
        <f t="shared" si="17"/>
        <v/>
      </c>
    </row>
    <row r="582" spans="5:8" x14ac:dyDescent="0.25">
      <c r="E582" s="50" t="str">
        <f>IF(OR(C582="",D582=""),"",AtualizarAte-C582)</f>
        <v/>
      </c>
      <c r="F582" s="51" t="str">
        <f>IF(OR(C582="",D582=""),"",IF(TipoCalculo="JUROS SIMPLES",D582*E582*TaxaAoDia,FV(TaxaAoDia,E582,,-D582)-D582))</f>
        <v/>
      </c>
      <c r="G582" s="51" t="str">
        <f t="shared" si="16"/>
        <v/>
      </c>
      <c r="H582" s="51" t="str">
        <f t="shared" si="17"/>
        <v/>
      </c>
    </row>
    <row r="583" spans="5:8" x14ac:dyDescent="0.25">
      <c r="E583" s="50" t="str">
        <f>IF(OR(C583="",D583=""),"",AtualizarAte-C583)</f>
        <v/>
      </c>
      <c r="F583" s="51" t="str">
        <f>IF(OR(C583="",D583=""),"",IF(TipoCalculo="JUROS SIMPLES",D583*E583*TaxaAoDia,FV(TaxaAoDia,E583,,-D583)-D583))</f>
        <v/>
      </c>
      <c r="G583" s="51" t="str">
        <f t="shared" si="16"/>
        <v/>
      </c>
      <c r="H583" s="51" t="str">
        <f t="shared" si="17"/>
        <v/>
      </c>
    </row>
    <row r="584" spans="5:8" x14ac:dyDescent="0.25">
      <c r="E584" s="50" t="str">
        <f>IF(OR(C584="",D584=""),"",AtualizarAte-C584)</f>
        <v/>
      </c>
      <c r="F584" s="51" t="str">
        <f>IF(OR(C584="",D584=""),"",IF(TipoCalculo="JUROS SIMPLES",D584*E584*TaxaAoDia,FV(TaxaAoDia,E584,,-D584)-D584))</f>
        <v/>
      </c>
      <c r="G584" s="51" t="str">
        <f t="shared" si="16"/>
        <v/>
      </c>
      <c r="H584" s="51" t="str">
        <f t="shared" si="17"/>
        <v/>
      </c>
    </row>
    <row r="585" spans="5:8" x14ac:dyDescent="0.25">
      <c r="E585" s="50" t="str">
        <f>IF(OR(C585="",D585=""),"",AtualizarAte-C585)</f>
        <v/>
      </c>
      <c r="F585" s="51" t="str">
        <f>IF(OR(C585="",D585=""),"",IF(TipoCalculo="JUROS SIMPLES",D585*E585*TaxaAoDia,FV(TaxaAoDia,E585,,-D585)-D585))</f>
        <v/>
      </c>
      <c r="G585" s="51" t="str">
        <f t="shared" si="16"/>
        <v/>
      </c>
      <c r="H585" s="51" t="str">
        <f t="shared" si="17"/>
        <v/>
      </c>
    </row>
    <row r="586" spans="5:8" x14ac:dyDescent="0.25">
      <c r="E586" s="50" t="str">
        <f>IF(OR(C586="",D586=""),"",AtualizarAte-C586)</f>
        <v/>
      </c>
      <c r="F586" s="51" t="str">
        <f>IF(OR(C586="",D586=""),"",IF(TipoCalculo="JUROS SIMPLES",D586*E586*TaxaAoDia,FV(TaxaAoDia,E586,,-D586)-D586))</f>
        <v/>
      </c>
      <c r="G586" s="51" t="str">
        <f t="shared" si="16"/>
        <v/>
      </c>
      <c r="H586" s="51" t="str">
        <f t="shared" si="17"/>
        <v/>
      </c>
    </row>
    <row r="587" spans="5:8" x14ac:dyDescent="0.25">
      <c r="E587" s="50" t="str">
        <f>IF(OR(C587="",D587=""),"",AtualizarAte-C587)</f>
        <v/>
      </c>
      <c r="F587" s="51" t="str">
        <f>IF(OR(C587="",D587=""),"",IF(TipoCalculo="JUROS SIMPLES",D587*E587*TaxaAoDia,FV(TaxaAoDia,E587,,-D587)-D587))</f>
        <v/>
      </c>
      <c r="G587" s="51" t="str">
        <f t="shared" si="16"/>
        <v/>
      </c>
      <c r="H587" s="51" t="str">
        <f t="shared" si="17"/>
        <v/>
      </c>
    </row>
    <row r="588" spans="5:8" x14ac:dyDescent="0.25">
      <c r="E588" s="50" t="str">
        <f>IF(OR(C588="",D588=""),"",AtualizarAte-C588)</f>
        <v/>
      </c>
      <c r="F588" s="51" t="str">
        <f>IF(OR(C588="",D588=""),"",IF(TipoCalculo="JUROS SIMPLES",D588*E588*TaxaAoDia,FV(TaxaAoDia,E588,,-D588)-D588))</f>
        <v/>
      </c>
      <c r="G588" s="51" t="str">
        <f t="shared" si="16"/>
        <v/>
      </c>
      <c r="H588" s="51" t="str">
        <f t="shared" si="17"/>
        <v/>
      </c>
    </row>
    <row r="589" spans="5:8" x14ac:dyDescent="0.25">
      <c r="E589" s="50" t="str">
        <f>IF(OR(C589="",D589=""),"",AtualizarAte-C589)</f>
        <v/>
      </c>
      <c r="F589" s="51" t="str">
        <f>IF(OR(C589="",D589=""),"",IF(TipoCalculo="JUROS SIMPLES",D589*E589*TaxaAoDia,FV(TaxaAoDia,E589,,-D589)-D589))</f>
        <v/>
      </c>
      <c r="G589" s="51" t="str">
        <f t="shared" ref="G589:G652" si="18">IF(OR(C589="",D589=""),"",D589+F589)</f>
        <v/>
      </c>
      <c r="H589" s="51" t="str">
        <f t="shared" ref="H589:H652" si="19">IF(C589="","",IF(D589="","",IF(H588="SALDO ATUALIZ.",G589,H588+G589)))</f>
        <v/>
      </c>
    </row>
    <row r="590" spans="5:8" x14ac:dyDescent="0.25">
      <c r="E590" s="50" t="str">
        <f>IF(OR(C590="",D590=""),"",AtualizarAte-C590)</f>
        <v/>
      </c>
      <c r="F590" s="51" t="str">
        <f>IF(OR(C590="",D590=""),"",IF(TipoCalculo="JUROS SIMPLES",D590*E590*TaxaAoDia,FV(TaxaAoDia,E590,,-D590)-D590))</f>
        <v/>
      </c>
      <c r="G590" s="51" t="str">
        <f t="shared" si="18"/>
        <v/>
      </c>
      <c r="H590" s="51" t="str">
        <f t="shared" si="19"/>
        <v/>
      </c>
    </row>
    <row r="591" spans="5:8" x14ac:dyDescent="0.25">
      <c r="E591" s="50" t="str">
        <f>IF(OR(C591="",D591=""),"",AtualizarAte-C591)</f>
        <v/>
      </c>
      <c r="F591" s="51" t="str">
        <f>IF(OR(C591="",D591=""),"",IF(TipoCalculo="JUROS SIMPLES",D591*E591*TaxaAoDia,FV(TaxaAoDia,E591,,-D591)-D591))</f>
        <v/>
      </c>
      <c r="G591" s="51" t="str">
        <f t="shared" si="18"/>
        <v/>
      </c>
      <c r="H591" s="51" t="str">
        <f t="shared" si="19"/>
        <v/>
      </c>
    </row>
    <row r="592" spans="5:8" x14ac:dyDescent="0.25">
      <c r="E592" s="50" t="str">
        <f>IF(OR(C592="",D592=""),"",AtualizarAte-C592)</f>
        <v/>
      </c>
      <c r="F592" s="51" t="str">
        <f>IF(OR(C592="",D592=""),"",IF(TipoCalculo="JUROS SIMPLES",D592*E592*TaxaAoDia,FV(TaxaAoDia,E592,,-D592)-D592))</f>
        <v/>
      </c>
      <c r="G592" s="51" t="str">
        <f t="shared" si="18"/>
        <v/>
      </c>
      <c r="H592" s="51" t="str">
        <f t="shared" si="19"/>
        <v/>
      </c>
    </row>
    <row r="593" spans="5:8" x14ac:dyDescent="0.25">
      <c r="E593" s="50" t="str">
        <f>IF(OR(C593="",D593=""),"",AtualizarAte-C593)</f>
        <v/>
      </c>
      <c r="F593" s="51" t="str">
        <f>IF(OR(C593="",D593=""),"",IF(TipoCalculo="JUROS SIMPLES",D593*E593*TaxaAoDia,FV(TaxaAoDia,E593,,-D593)-D593))</f>
        <v/>
      </c>
      <c r="G593" s="51" t="str">
        <f t="shared" si="18"/>
        <v/>
      </c>
      <c r="H593" s="51" t="str">
        <f t="shared" si="19"/>
        <v/>
      </c>
    </row>
    <row r="594" spans="5:8" x14ac:dyDescent="0.25">
      <c r="E594" s="50" t="str">
        <f>IF(OR(C594="",D594=""),"",AtualizarAte-C594)</f>
        <v/>
      </c>
      <c r="F594" s="51" t="str">
        <f>IF(OR(C594="",D594=""),"",IF(TipoCalculo="JUROS SIMPLES",D594*E594*TaxaAoDia,FV(TaxaAoDia,E594,,-D594)-D594))</f>
        <v/>
      </c>
      <c r="G594" s="51" t="str">
        <f t="shared" si="18"/>
        <v/>
      </c>
      <c r="H594" s="51" t="str">
        <f t="shared" si="19"/>
        <v/>
      </c>
    </row>
    <row r="595" spans="5:8" x14ac:dyDescent="0.25">
      <c r="E595" s="50" t="str">
        <f>IF(OR(C595="",D595=""),"",AtualizarAte-C595)</f>
        <v/>
      </c>
      <c r="F595" s="51" t="str">
        <f>IF(OR(C595="",D595=""),"",IF(TipoCalculo="JUROS SIMPLES",D595*E595*TaxaAoDia,FV(TaxaAoDia,E595,,-D595)-D595))</f>
        <v/>
      </c>
      <c r="G595" s="51" t="str">
        <f t="shared" si="18"/>
        <v/>
      </c>
      <c r="H595" s="51" t="str">
        <f t="shared" si="19"/>
        <v/>
      </c>
    </row>
    <row r="596" spans="5:8" x14ac:dyDescent="0.25">
      <c r="E596" s="50" t="str">
        <f>IF(OR(C596="",D596=""),"",AtualizarAte-C596)</f>
        <v/>
      </c>
      <c r="F596" s="51" t="str">
        <f>IF(OR(C596="",D596=""),"",IF(TipoCalculo="JUROS SIMPLES",D596*E596*TaxaAoDia,FV(TaxaAoDia,E596,,-D596)-D596))</f>
        <v/>
      </c>
      <c r="G596" s="51" t="str">
        <f t="shared" si="18"/>
        <v/>
      </c>
      <c r="H596" s="51" t="str">
        <f t="shared" si="19"/>
        <v/>
      </c>
    </row>
    <row r="597" spans="5:8" x14ac:dyDescent="0.25">
      <c r="E597" s="50" t="str">
        <f>IF(OR(C597="",D597=""),"",AtualizarAte-C597)</f>
        <v/>
      </c>
      <c r="F597" s="51" t="str">
        <f>IF(OR(C597="",D597=""),"",IF(TipoCalculo="JUROS SIMPLES",D597*E597*TaxaAoDia,FV(TaxaAoDia,E597,,-D597)-D597))</f>
        <v/>
      </c>
      <c r="G597" s="51" t="str">
        <f t="shared" si="18"/>
        <v/>
      </c>
      <c r="H597" s="51" t="str">
        <f t="shared" si="19"/>
        <v/>
      </c>
    </row>
    <row r="598" spans="5:8" x14ac:dyDescent="0.25">
      <c r="E598" s="50" t="str">
        <f>IF(OR(C598="",D598=""),"",AtualizarAte-C598)</f>
        <v/>
      </c>
      <c r="F598" s="51" t="str">
        <f>IF(OR(C598="",D598=""),"",IF(TipoCalculo="JUROS SIMPLES",D598*E598*TaxaAoDia,FV(TaxaAoDia,E598,,-D598)-D598))</f>
        <v/>
      </c>
      <c r="G598" s="51" t="str">
        <f t="shared" si="18"/>
        <v/>
      </c>
      <c r="H598" s="51" t="str">
        <f t="shared" si="19"/>
        <v/>
      </c>
    </row>
    <row r="599" spans="5:8" x14ac:dyDescent="0.25">
      <c r="E599" s="50" t="str">
        <f>IF(OR(C599="",D599=""),"",AtualizarAte-C599)</f>
        <v/>
      </c>
      <c r="F599" s="51" t="str">
        <f>IF(OR(C599="",D599=""),"",IF(TipoCalculo="JUROS SIMPLES",D599*E599*TaxaAoDia,FV(TaxaAoDia,E599,,-D599)-D599))</f>
        <v/>
      </c>
      <c r="G599" s="51" t="str">
        <f t="shared" si="18"/>
        <v/>
      </c>
      <c r="H599" s="51" t="str">
        <f t="shared" si="19"/>
        <v/>
      </c>
    </row>
    <row r="600" spans="5:8" x14ac:dyDescent="0.25">
      <c r="E600" s="50" t="str">
        <f>IF(OR(C600="",D600=""),"",AtualizarAte-C600)</f>
        <v/>
      </c>
      <c r="F600" s="51" t="str">
        <f>IF(OR(C600="",D600=""),"",IF(TipoCalculo="JUROS SIMPLES",D600*E600*TaxaAoDia,FV(TaxaAoDia,E600,,-D600)-D600))</f>
        <v/>
      </c>
      <c r="G600" s="51" t="str">
        <f t="shared" si="18"/>
        <v/>
      </c>
      <c r="H600" s="51" t="str">
        <f t="shared" si="19"/>
        <v/>
      </c>
    </row>
    <row r="601" spans="5:8" x14ac:dyDescent="0.25">
      <c r="E601" s="50" t="str">
        <f>IF(OR(C601="",D601=""),"",AtualizarAte-C601)</f>
        <v/>
      </c>
      <c r="F601" s="51" t="str">
        <f>IF(OR(C601="",D601=""),"",IF(TipoCalculo="JUROS SIMPLES",D601*E601*TaxaAoDia,FV(TaxaAoDia,E601,,-D601)-D601))</f>
        <v/>
      </c>
      <c r="G601" s="51" t="str">
        <f t="shared" si="18"/>
        <v/>
      </c>
      <c r="H601" s="51" t="str">
        <f t="shared" si="19"/>
        <v/>
      </c>
    </row>
    <row r="602" spans="5:8" x14ac:dyDescent="0.25">
      <c r="E602" s="50" t="str">
        <f>IF(OR(C602="",D602=""),"",AtualizarAte-C602)</f>
        <v/>
      </c>
      <c r="F602" s="51" t="str">
        <f>IF(OR(C602="",D602=""),"",IF(TipoCalculo="JUROS SIMPLES",D602*E602*TaxaAoDia,FV(TaxaAoDia,E602,,-D602)-D602))</f>
        <v/>
      </c>
      <c r="G602" s="51" t="str">
        <f t="shared" si="18"/>
        <v/>
      </c>
      <c r="H602" s="51" t="str">
        <f t="shared" si="19"/>
        <v/>
      </c>
    </row>
    <row r="603" spans="5:8" x14ac:dyDescent="0.25">
      <c r="E603" s="50" t="str">
        <f>IF(OR(C603="",D603=""),"",AtualizarAte-C603)</f>
        <v/>
      </c>
      <c r="F603" s="51" t="str">
        <f>IF(OR(C603="",D603=""),"",IF(TipoCalculo="JUROS SIMPLES",D603*E603*TaxaAoDia,FV(TaxaAoDia,E603,,-D603)-D603))</f>
        <v/>
      </c>
      <c r="G603" s="51" t="str">
        <f t="shared" si="18"/>
        <v/>
      </c>
      <c r="H603" s="51" t="str">
        <f t="shared" si="19"/>
        <v/>
      </c>
    </row>
    <row r="604" spans="5:8" x14ac:dyDescent="0.25">
      <c r="E604" s="50" t="str">
        <f>IF(OR(C604="",D604=""),"",AtualizarAte-C604)</f>
        <v/>
      </c>
      <c r="F604" s="51" t="str">
        <f>IF(OR(C604="",D604=""),"",IF(TipoCalculo="JUROS SIMPLES",D604*E604*TaxaAoDia,FV(TaxaAoDia,E604,,-D604)-D604))</f>
        <v/>
      </c>
      <c r="G604" s="51" t="str">
        <f t="shared" si="18"/>
        <v/>
      </c>
      <c r="H604" s="51" t="str">
        <f t="shared" si="19"/>
        <v/>
      </c>
    </row>
    <row r="605" spans="5:8" x14ac:dyDescent="0.25">
      <c r="E605" s="50" t="str">
        <f>IF(OR(C605="",D605=""),"",AtualizarAte-C605)</f>
        <v/>
      </c>
      <c r="F605" s="51" t="str">
        <f>IF(OR(C605="",D605=""),"",IF(TipoCalculo="JUROS SIMPLES",D605*E605*TaxaAoDia,FV(TaxaAoDia,E605,,-D605)-D605))</f>
        <v/>
      </c>
      <c r="G605" s="51" t="str">
        <f t="shared" si="18"/>
        <v/>
      </c>
      <c r="H605" s="51" t="str">
        <f t="shared" si="19"/>
        <v/>
      </c>
    </row>
    <row r="606" spans="5:8" x14ac:dyDescent="0.25">
      <c r="E606" s="50" t="str">
        <f>IF(OR(C606="",D606=""),"",AtualizarAte-C606)</f>
        <v/>
      </c>
      <c r="F606" s="51" t="str">
        <f>IF(OR(C606="",D606=""),"",IF(TipoCalculo="JUROS SIMPLES",D606*E606*TaxaAoDia,FV(TaxaAoDia,E606,,-D606)-D606))</f>
        <v/>
      </c>
      <c r="G606" s="51" t="str">
        <f t="shared" si="18"/>
        <v/>
      </c>
      <c r="H606" s="51" t="str">
        <f t="shared" si="19"/>
        <v/>
      </c>
    </row>
    <row r="607" spans="5:8" x14ac:dyDescent="0.25">
      <c r="E607" s="50" t="str">
        <f>IF(OR(C607="",D607=""),"",AtualizarAte-C607)</f>
        <v/>
      </c>
      <c r="F607" s="51" t="str">
        <f>IF(OR(C607="",D607=""),"",IF(TipoCalculo="JUROS SIMPLES",D607*E607*TaxaAoDia,FV(TaxaAoDia,E607,,-D607)-D607))</f>
        <v/>
      </c>
      <c r="G607" s="51" t="str">
        <f t="shared" si="18"/>
        <v/>
      </c>
      <c r="H607" s="51" t="str">
        <f t="shared" si="19"/>
        <v/>
      </c>
    </row>
    <row r="608" spans="5:8" x14ac:dyDescent="0.25">
      <c r="E608" s="50" t="str">
        <f>IF(OR(C608="",D608=""),"",AtualizarAte-C608)</f>
        <v/>
      </c>
      <c r="F608" s="51" t="str">
        <f>IF(OR(C608="",D608=""),"",IF(TipoCalculo="JUROS SIMPLES",D608*E608*TaxaAoDia,FV(TaxaAoDia,E608,,-D608)-D608))</f>
        <v/>
      </c>
      <c r="G608" s="51" t="str">
        <f t="shared" si="18"/>
        <v/>
      </c>
      <c r="H608" s="51" t="str">
        <f t="shared" si="19"/>
        <v/>
      </c>
    </row>
    <row r="609" spans="5:8" x14ac:dyDescent="0.25">
      <c r="E609" s="50" t="str">
        <f>IF(OR(C609="",D609=""),"",AtualizarAte-C609)</f>
        <v/>
      </c>
      <c r="F609" s="51" t="str">
        <f>IF(OR(C609="",D609=""),"",IF(TipoCalculo="JUROS SIMPLES",D609*E609*TaxaAoDia,FV(TaxaAoDia,E609,,-D609)-D609))</f>
        <v/>
      </c>
      <c r="G609" s="51" t="str">
        <f t="shared" si="18"/>
        <v/>
      </c>
      <c r="H609" s="51" t="str">
        <f t="shared" si="19"/>
        <v/>
      </c>
    </row>
    <row r="610" spans="5:8" x14ac:dyDescent="0.25">
      <c r="E610" s="50" t="str">
        <f>IF(OR(C610="",D610=""),"",AtualizarAte-C610)</f>
        <v/>
      </c>
      <c r="F610" s="51" t="str">
        <f>IF(OR(C610="",D610=""),"",IF(TipoCalculo="JUROS SIMPLES",D610*E610*TaxaAoDia,FV(TaxaAoDia,E610,,-D610)-D610))</f>
        <v/>
      </c>
      <c r="G610" s="51" t="str">
        <f t="shared" si="18"/>
        <v/>
      </c>
      <c r="H610" s="51" t="str">
        <f t="shared" si="19"/>
        <v/>
      </c>
    </row>
    <row r="611" spans="5:8" x14ac:dyDescent="0.25">
      <c r="E611" s="50" t="str">
        <f>IF(OR(C611="",D611=""),"",AtualizarAte-C611)</f>
        <v/>
      </c>
      <c r="F611" s="51" t="str">
        <f>IF(OR(C611="",D611=""),"",IF(TipoCalculo="JUROS SIMPLES",D611*E611*TaxaAoDia,FV(TaxaAoDia,E611,,-D611)-D611))</f>
        <v/>
      </c>
      <c r="G611" s="51" t="str">
        <f t="shared" si="18"/>
        <v/>
      </c>
      <c r="H611" s="51" t="str">
        <f t="shared" si="19"/>
        <v/>
      </c>
    </row>
    <row r="612" spans="5:8" x14ac:dyDescent="0.25">
      <c r="E612" s="50" t="str">
        <f>IF(OR(C612="",D612=""),"",AtualizarAte-C612)</f>
        <v/>
      </c>
      <c r="F612" s="51" t="str">
        <f>IF(OR(C612="",D612=""),"",IF(TipoCalculo="JUROS SIMPLES",D612*E612*TaxaAoDia,FV(TaxaAoDia,E612,,-D612)-D612))</f>
        <v/>
      </c>
      <c r="G612" s="51" t="str">
        <f t="shared" si="18"/>
        <v/>
      </c>
      <c r="H612" s="51" t="str">
        <f t="shared" si="19"/>
        <v/>
      </c>
    </row>
    <row r="613" spans="5:8" x14ac:dyDescent="0.25">
      <c r="E613" s="50" t="str">
        <f>IF(OR(C613="",D613=""),"",AtualizarAte-C613)</f>
        <v/>
      </c>
      <c r="F613" s="51" t="str">
        <f>IF(OR(C613="",D613=""),"",IF(TipoCalculo="JUROS SIMPLES",D613*E613*TaxaAoDia,FV(TaxaAoDia,E613,,-D613)-D613))</f>
        <v/>
      </c>
      <c r="G613" s="51" t="str">
        <f t="shared" si="18"/>
        <v/>
      </c>
      <c r="H613" s="51" t="str">
        <f t="shared" si="19"/>
        <v/>
      </c>
    </row>
    <row r="614" spans="5:8" x14ac:dyDescent="0.25">
      <c r="E614" s="50" t="str">
        <f>IF(OR(C614="",D614=""),"",AtualizarAte-C614)</f>
        <v/>
      </c>
      <c r="F614" s="51" t="str">
        <f>IF(OR(C614="",D614=""),"",IF(TipoCalculo="JUROS SIMPLES",D614*E614*TaxaAoDia,FV(TaxaAoDia,E614,,-D614)-D614))</f>
        <v/>
      </c>
      <c r="G614" s="51" t="str">
        <f t="shared" si="18"/>
        <v/>
      </c>
      <c r="H614" s="51" t="str">
        <f t="shared" si="19"/>
        <v/>
      </c>
    </row>
    <row r="615" spans="5:8" x14ac:dyDescent="0.25">
      <c r="E615" s="50" t="str">
        <f>IF(OR(C615="",D615=""),"",AtualizarAte-C615)</f>
        <v/>
      </c>
      <c r="F615" s="51" t="str">
        <f>IF(OR(C615="",D615=""),"",IF(TipoCalculo="JUROS SIMPLES",D615*E615*TaxaAoDia,FV(TaxaAoDia,E615,,-D615)-D615))</f>
        <v/>
      </c>
      <c r="G615" s="51" t="str">
        <f t="shared" si="18"/>
        <v/>
      </c>
      <c r="H615" s="51" t="str">
        <f t="shared" si="19"/>
        <v/>
      </c>
    </row>
    <row r="616" spans="5:8" x14ac:dyDescent="0.25">
      <c r="E616" s="50" t="str">
        <f>IF(OR(C616="",D616=""),"",AtualizarAte-C616)</f>
        <v/>
      </c>
      <c r="F616" s="51" t="str">
        <f>IF(OR(C616="",D616=""),"",IF(TipoCalculo="JUROS SIMPLES",D616*E616*TaxaAoDia,FV(TaxaAoDia,E616,,-D616)-D616))</f>
        <v/>
      </c>
      <c r="G616" s="51" t="str">
        <f t="shared" si="18"/>
        <v/>
      </c>
      <c r="H616" s="51" t="str">
        <f t="shared" si="19"/>
        <v/>
      </c>
    </row>
    <row r="617" spans="5:8" x14ac:dyDescent="0.25">
      <c r="E617" s="50" t="str">
        <f>IF(OR(C617="",D617=""),"",AtualizarAte-C617)</f>
        <v/>
      </c>
      <c r="F617" s="51" t="str">
        <f>IF(OR(C617="",D617=""),"",IF(TipoCalculo="JUROS SIMPLES",D617*E617*TaxaAoDia,FV(TaxaAoDia,E617,,-D617)-D617))</f>
        <v/>
      </c>
      <c r="G617" s="51" t="str">
        <f t="shared" si="18"/>
        <v/>
      </c>
      <c r="H617" s="51" t="str">
        <f t="shared" si="19"/>
        <v/>
      </c>
    </row>
    <row r="618" spans="5:8" x14ac:dyDescent="0.25">
      <c r="E618" s="50" t="str">
        <f>IF(OR(C618="",D618=""),"",AtualizarAte-C618)</f>
        <v/>
      </c>
      <c r="F618" s="51" t="str">
        <f>IF(OR(C618="",D618=""),"",IF(TipoCalculo="JUROS SIMPLES",D618*E618*TaxaAoDia,FV(TaxaAoDia,E618,,-D618)-D618))</f>
        <v/>
      </c>
      <c r="G618" s="51" t="str">
        <f t="shared" si="18"/>
        <v/>
      </c>
      <c r="H618" s="51" t="str">
        <f t="shared" si="19"/>
        <v/>
      </c>
    </row>
    <row r="619" spans="5:8" x14ac:dyDescent="0.25">
      <c r="E619" s="50" t="str">
        <f>IF(OR(C619="",D619=""),"",AtualizarAte-C619)</f>
        <v/>
      </c>
      <c r="F619" s="51" t="str">
        <f>IF(OR(C619="",D619=""),"",IF(TipoCalculo="JUROS SIMPLES",D619*E619*TaxaAoDia,FV(TaxaAoDia,E619,,-D619)-D619))</f>
        <v/>
      </c>
      <c r="G619" s="51" t="str">
        <f t="shared" si="18"/>
        <v/>
      </c>
      <c r="H619" s="51" t="str">
        <f t="shared" si="19"/>
        <v/>
      </c>
    </row>
    <row r="620" spans="5:8" x14ac:dyDescent="0.25">
      <c r="E620" s="50" t="str">
        <f>IF(OR(C620="",D620=""),"",AtualizarAte-C620)</f>
        <v/>
      </c>
      <c r="F620" s="51" t="str">
        <f>IF(OR(C620="",D620=""),"",IF(TipoCalculo="JUROS SIMPLES",D620*E620*TaxaAoDia,FV(TaxaAoDia,E620,,-D620)-D620))</f>
        <v/>
      </c>
      <c r="G620" s="51" t="str">
        <f t="shared" si="18"/>
        <v/>
      </c>
      <c r="H620" s="51" t="str">
        <f t="shared" si="19"/>
        <v/>
      </c>
    </row>
    <row r="621" spans="5:8" x14ac:dyDescent="0.25">
      <c r="E621" s="50" t="str">
        <f>IF(OR(C621="",D621=""),"",AtualizarAte-C621)</f>
        <v/>
      </c>
      <c r="F621" s="51" t="str">
        <f>IF(OR(C621="",D621=""),"",IF(TipoCalculo="JUROS SIMPLES",D621*E621*TaxaAoDia,FV(TaxaAoDia,E621,,-D621)-D621))</f>
        <v/>
      </c>
      <c r="G621" s="51" t="str">
        <f t="shared" si="18"/>
        <v/>
      </c>
      <c r="H621" s="51" t="str">
        <f t="shared" si="19"/>
        <v/>
      </c>
    </row>
    <row r="622" spans="5:8" x14ac:dyDescent="0.25">
      <c r="E622" s="50" t="str">
        <f>IF(OR(C622="",D622=""),"",AtualizarAte-C622)</f>
        <v/>
      </c>
      <c r="F622" s="51" t="str">
        <f>IF(OR(C622="",D622=""),"",IF(TipoCalculo="JUROS SIMPLES",D622*E622*TaxaAoDia,FV(TaxaAoDia,E622,,-D622)-D622))</f>
        <v/>
      </c>
      <c r="G622" s="51" t="str">
        <f t="shared" si="18"/>
        <v/>
      </c>
      <c r="H622" s="51" t="str">
        <f t="shared" si="19"/>
        <v/>
      </c>
    </row>
    <row r="623" spans="5:8" x14ac:dyDescent="0.25">
      <c r="E623" s="50" t="str">
        <f>IF(OR(C623="",D623=""),"",AtualizarAte-C623)</f>
        <v/>
      </c>
      <c r="F623" s="51" t="str">
        <f>IF(OR(C623="",D623=""),"",IF(TipoCalculo="JUROS SIMPLES",D623*E623*TaxaAoDia,FV(TaxaAoDia,E623,,-D623)-D623))</f>
        <v/>
      </c>
      <c r="G623" s="51" t="str">
        <f t="shared" si="18"/>
        <v/>
      </c>
      <c r="H623" s="51" t="str">
        <f t="shared" si="19"/>
        <v/>
      </c>
    </row>
    <row r="624" spans="5:8" x14ac:dyDescent="0.25">
      <c r="E624" s="50" t="str">
        <f>IF(OR(C624="",D624=""),"",AtualizarAte-C624)</f>
        <v/>
      </c>
      <c r="F624" s="51" t="str">
        <f>IF(OR(C624="",D624=""),"",IF(TipoCalculo="JUROS SIMPLES",D624*E624*TaxaAoDia,FV(TaxaAoDia,E624,,-D624)-D624))</f>
        <v/>
      </c>
      <c r="G624" s="51" t="str">
        <f t="shared" si="18"/>
        <v/>
      </c>
      <c r="H624" s="51" t="str">
        <f t="shared" si="19"/>
        <v/>
      </c>
    </row>
    <row r="625" spans="5:8" x14ac:dyDescent="0.25">
      <c r="E625" s="50" t="str">
        <f>IF(OR(C625="",D625=""),"",AtualizarAte-C625)</f>
        <v/>
      </c>
      <c r="F625" s="51" t="str">
        <f>IF(OR(C625="",D625=""),"",IF(TipoCalculo="JUROS SIMPLES",D625*E625*TaxaAoDia,FV(TaxaAoDia,E625,,-D625)-D625))</f>
        <v/>
      </c>
      <c r="G625" s="51" t="str">
        <f t="shared" si="18"/>
        <v/>
      </c>
      <c r="H625" s="51" t="str">
        <f t="shared" si="19"/>
        <v/>
      </c>
    </row>
    <row r="626" spans="5:8" x14ac:dyDescent="0.25">
      <c r="E626" s="50" t="str">
        <f>IF(OR(C626="",D626=""),"",AtualizarAte-C626)</f>
        <v/>
      </c>
      <c r="F626" s="51" t="str">
        <f>IF(OR(C626="",D626=""),"",IF(TipoCalculo="JUROS SIMPLES",D626*E626*TaxaAoDia,FV(TaxaAoDia,E626,,-D626)-D626))</f>
        <v/>
      </c>
      <c r="G626" s="51" t="str">
        <f t="shared" si="18"/>
        <v/>
      </c>
      <c r="H626" s="51" t="str">
        <f t="shared" si="19"/>
        <v/>
      </c>
    </row>
    <row r="627" spans="5:8" x14ac:dyDescent="0.25">
      <c r="E627" s="50" t="str">
        <f>IF(OR(C627="",D627=""),"",AtualizarAte-C627)</f>
        <v/>
      </c>
      <c r="F627" s="51" t="str">
        <f>IF(OR(C627="",D627=""),"",IF(TipoCalculo="JUROS SIMPLES",D627*E627*TaxaAoDia,FV(TaxaAoDia,E627,,-D627)-D627))</f>
        <v/>
      </c>
      <c r="G627" s="51" t="str">
        <f t="shared" si="18"/>
        <v/>
      </c>
      <c r="H627" s="51" t="str">
        <f t="shared" si="19"/>
        <v/>
      </c>
    </row>
    <row r="628" spans="5:8" x14ac:dyDescent="0.25">
      <c r="E628" s="50" t="str">
        <f>IF(OR(C628="",D628=""),"",AtualizarAte-C628)</f>
        <v/>
      </c>
      <c r="F628" s="51" t="str">
        <f>IF(OR(C628="",D628=""),"",IF(TipoCalculo="JUROS SIMPLES",D628*E628*TaxaAoDia,FV(TaxaAoDia,E628,,-D628)-D628))</f>
        <v/>
      </c>
      <c r="G628" s="51" t="str">
        <f t="shared" si="18"/>
        <v/>
      </c>
      <c r="H628" s="51" t="str">
        <f t="shared" si="19"/>
        <v/>
      </c>
    </row>
    <row r="629" spans="5:8" x14ac:dyDescent="0.25">
      <c r="E629" s="50" t="str">
        <f>IF(OR(C629="",D629=""),"",AtualizarAte-C629)</f>
        <v/>
      </c>
      <c r="F629" s="51" t="str">
        <f>IF(OR(C629="",D629=""),"",IF(TipoCalculo="JUROS SIMPLES",D629*E629*TaxaAoDia,FV(TaxaAoDia,E629,,-D629)-D629))</f>
        <v/>
      </c>
      <c r="G629" s="51" t="str">
        <f t="shared" si="18"/>
        <v/>
      </c>
      <c r="H629" s="51" t="str">
        <f t="shared" si="19"/>
        <v/>
      </c>
    </row>
    <row r="630" spans="5:8" x14ac:dyDescent="0.25">
      <c r="E630" s="50" t="str">
        <f>IF(OR(C630="",D630=""),"",AtualizarAte-C630)</f>
        <v/>
      </c>
      <c r="F630" s="51" t="str">
        <f>IF(OR(C630="",D630=""),"",IF(TipoCalculo="JUROS SIMPLES",D630*E630*TaxaAoDia,FV(TaxaAoDia,E630,,-D630)-D630))</f>
        <v/>
      </c>
      <c r="G630" s="51" t="str">
        <f t="shared" si="18"/>
        <v/>
      </c>
      <c r="H630" s="51" t="str">
        <f t="shared" si="19"/>
        <v/>
      </c>
    </row>
    <row r="631" spans="5:8" x14ac:dyDescent="0.25">
      <c r="E631" s="50" t="str">
        <f>IF(OR(C631="",D631=""),"",AtualizarAte-C631)</f>
        <v/>
      </c>
      <c r="F631" s="51" t="str">
        <f>IF(OR(C631="",D631=""),"",IF(TipoCalculo="JUROS SIMPLES",D631*E631*TaxaAoDia,FV(TaxaAoDia,E631,,-D631)-D631))</f>
        <v/>
      </c>
      <c r="G631" s="51" t="str">
        <f t="shared" si="18"/>
        <v/>
      </c>
      <c r="H631" s="51" t="str">
        <f t="shared" si="19"/>
        <v/>
      </c>
    </row>
    <row r="632" spans="5:8" x14ac:dyDescent="0.25">
      <c r="E632" s="50" t="str">
        <f>IF(OR(C632="",D632=""),"",AtualizarAte-C632)</f>
        <v/>
      </c>
      <c r="F632" s="51" t="str">
        <f>IF(OR(C632="",D632=""),"",IF(TipoCalculo="JUROS SIMPLES",D632*E632*TaxaAoDia,FV(TaxaAoDia,E632,,-D632)-D632))</f>
        <v/>
      </c>
      <c r="G632" s="51" t="str">
        <f t="shared" si="18"/>
        <v/>
      </c>
      <c r="H632" s="51" t="str">
        <f t="shared" si="19"/>
        <v/>
      </c>
    </row>
    <row r="633" spans="5:8" x14ac:dyDescent="0.25">
      <c r="E633" s="50" t="str">
        <f>IF(OR(C633="",D633=""),"",AtualizarAte-C633)</f>
        <v/>
      </c>
      <c r="F633" s="51" t="str">
        <f>IF(OR(C633="",D633=""),"",IF(TipoCalculo="JUROS SIMPLES",D633*E633*TaxaAoDia,FV(TaxaAoDia,E633,,-D633)-D633))</f>
        <v/>
      </c>
      <c r="G633" s="51" t="str">
        <f t="shared" si="18"/>
        <v/>
      </c>
      <c r="H633" s="51" t="str">
        <f t="shared" si="19"/>
        <v/>
      </c>
    </row>
    <row r="634" spans="5:8" x14ac:dyDescent="0.25">
      <c r="E634" s="50" t="str">
        <f>IF(OR(C634="",D634=""),"",AtualizarAte-C634)</f>
        <v/>
      </c>
      <c r="F634" s="51" t="str">
        <f>IF(OR(C634="",D634=""),"",IF(TipoCalculo="JUROS SIMPLES",D634*E634*TaxaAoDia,FV(TaxaAoDia,E634,,-D634)-D634))</f>
        <v/>
      </c>
      <c r="G634" s="51" t="str">
        <f t="shared" si="18"/>
        <v/>
      </c>
      <c r="H634" s="51" t="str">
        <f t="shared" si="19"/>
        <v/>
      </c>
    </row>
    <row r="635" spans="5:8" x14ac:dyDescent="0.25">
      <c r="E635" s="50" t="str">
        <f>IF(OR(C635="",D635=""),"",AtualizarAte-C635)</f>
        <v/>
      </c>
      <c r="F635" s="51" t="str">
        <f>IF(OR(C635="",D635=""),"",IF(TipoCalculo="JUROS SIMPLES",D635*E635*TaxaAoDia,FV(TaxaAoDia,E635,,-D635)-D635))</f>
        <v/>
      </c>
      <c r="G635" s="51" t="str">
        <f t="shared" si="18"/>
        <v/>
      </c>
      <c r="H635" s="51" t="str">
        <f t="shared" si="19"/>
        <v/>
      </c>
    </row>
    <row r="636" spans="5:8" x14ac:dyDescent="0.25">
      <c r="E636" s="50" t="str">
        <f>IF(OR(C636="",D636=""),"",AtualizarAte-C636)</f>
        <v/>
      </c>
      <c r="F636" s="51" t="str">
        <f>IF(OR(C636="",D636=""),"",IF(TipoCalculo="JUROS SIMPLES",D636*E636*TaxaAoDia,FV(TaxaAoDia,E636,,-D636)-D636))</f>
        <v/>
      </c>
      <c r="G636" s="51" t="str">
        <f t="shared" si="18"/>
        <v/>
      </c>
      <c r="H636" s="51" t="str">
        <f t="shared" si="19"/>
        <v/>
      </c>
    </row>
    <row r="637" spans="5:8" x14ac:dyDescent="0.25">
      <c r="E637" s="50" t="str">
        <f>IF(OR(C637="",D637=""),"",AtualizarAte-C637)</f>
        <v/>
      </c>
      <c r="F637" s="51" t="str">
        <f>IF(OR(C637="",D637=""),"",IF(TipoCalculo="JUROS SIMPLES",D637*E637*TaxaAoDia,FV(TaxaAoDia,E637,,-D637)-D637))</f>
        <v/>
      </c>
      <c r="G637" s="51" t="str">
        <f t="shared" si="18"/>
        <v/>
      </c>
      <c r="H637" s="51" t="str">
        <f t="shared" si="19"/>
        <v/>
      </c>
    </row>
    <row r="638" spans="5:8" x14ac:dyDescent="0.25">
      <c r="E638" s="50" t="str">
        <f>IF(OR(C638="",D638=""),"",AtualizarAte-C638)</f>
        <v/>
      </c>
      <c r="F638" s="51" t="str">
        <f>IF(OR(C638="",D638=""),"",IF(TipoCalculo="JUROS SIMPLES",D638*E638*TaxaAoDia,FV(TaxaAoDia,E638,,-D638)-D638))</f>
        <v/>
      </c>
      <c r="G638" s="51" t="str">
        <f t="shared" si="18"/>
        <v/>
      </c>
      <c r="H638" s="51" t="str">
        <f t="shared" si="19"/>
        <v/>
      </c>
    </row>
    <row r="639" spans="5:8" x14ac:dyDescent="0.25">
      <c r="E639" s="50" t="str">
        <f>IF(OR(C639="",D639=""),"",AtualizarAte-C639)</f>
        <v/>
      </c>
      <c r="F639" s="51" t="str">
        <f>IF(OR(C639="",D639=""),"",IF(TipoCalculo="JUROS SIMPLES",D639*E639*TaxaAoDia,FV(TaxaAoDia,E639,,-D639)-D639))</f>
        <v/>
      </c>
      <c r="G639" s="51" t="str">
        <f t="shared" si="18"/>
        <v/>
      </c>
      <c r="H639" s="51" t="str">
        <f t="shared" si="19"/>
        <v/>
      </c>
    </row>
    <row r="640" spans="5:8" x14ac:dyDescent="0.25">
      <c r="E640" s="50" t="str">
        <f>IF(OR(C640="",D640=""),"",AtualizarAte-C640)</f>
        <v/>
      </c>
      <c r="F640" s="51" t="str">
        <f>IF(OR(C640="",D640=""),"",IF(TipoCalculo="JUROS SIMPLES",D640*E640*TaxaAoDia,FV(TaxaAoDia,E640,,-D640)-D640))</f>
        <v/>
      </c>
      <c r="G640" s="51" t="str">
        <f t="shared" si="18"/>
        <v/>
      </c>
      <c r="H640" s="51" t="str">
        <f t="shared" si="19"/>
        <v/>
      </c>
    </row>
    <row r="641" spans="5:8" x14ac:dyDescent="0.25">
      <c r="E641" s="50" t="str">
        <f>IF(OR(C641="",D641=""),"",AtualizarAte-C641)</f>
        <v/>
      </c>
      <c r="F641" s="51" t="str">
        <f>IF(OR(C641="",D641=""),"",IF(TipoCalculo="JUROS SIMPLES",D641*E641*TaxaAoDia,FV(TaxaAoDia,E641,,-D641)-D641))</f>
        <v/>
      </c>
      <c r="G641" s="51" t="str">
        <f t="shared" si="18"/>
        <v/>
      </c>
      <c r="H641" s="51" t="str">
        <f t="shared" si="19"/>
        <v/>
      </c>
    </row>
    <row r="642" spans="5:8" x14ac:dyDescent="0.25">
      <c r="E642" s="50" t="str">
        <f>IF(OR(C642="",D642=""),"",AtualizarAte-C642)</f>
        <v/>
      </c>
      <c r="F642" s="51" t="str">
        <f>IF(OR(C642="",D642=""),"",IF(TipoCalculo="JUROS SIMPLES",D642*E642*TaxaAoDia,FV(TaxaAoDia,E642,,-D642)-D642))</f>
        <v/>
      </c>
      <c r="G642" s="51" t="str">
        <f t="shared" si="18"/>
        <v/>
      </c>
      <c r="H642" s="51" t="str">
        <f t="shared" si="19"/>
        <v/>
      </c>
    </row>
    <row r="643" spans="5:8" x14ac:dyDescent="0.25">
      <c r="E643" s="50" t="str">
        <f>IF(OR(C643="",D643=""),"",AtualizarAte-C643)</f>
        <v/>
      </c>
      <c r="F643" s="51" t="str">
        <f>IF(OR(C643="",D643=""),"",IF(TipoCalculo="JUROS SIMPLES",D643*E643*TaxaAoDia,FV(TaxaAoDia,E643,,-D643)-D643))</f>
        <v/>
      </c>
      <c r="G643" s="51" t="str">
        <f t="shared" si="18"/>
        <v/>
      </c>
      <c r="H643" s="51" t="str">
        <f t="shared" si="19"/>
        <v/>
      </c>
    </row>
    <row r="644" spans="5:8" x14ac:dyDescent="0.25">
      <c r="E644" s="50" t="str">
        <f>IF(OR(C644="",D644=""),"",AtualizarAte-C644)</f>
        <v/>
      </c>
      <c r="F644" s="51" t="str">
        <f>IF(OR(C644="",D644=""),"",IF(TipoCalculo="JUROS SIMPLES",D644*E644*TaxaAoDia,FV(TaxaAoDia,E644,,-D644)-D644))</f>
        <v/>
      </c>
      <c r="G644" s="51" t="str">
        <f t="shared" si="18"/>
        <v/>
      </c>
      <c r="H644" s="51" t="str">
        <f t="shared" si="19"/>
        <v/>
      </c>
    </row>
    <row r="645" spans="5:8" x14ac:dyDescent="0.25">
      <c r="E645" s="50" t="str">
        <f>IF(OR(C645="",D645=""),"",AtualizarAte-C645)</f>
        <v/>
      </c>
      <c r="F645" s="51" t="str">
        <f>IF(OR(C645="",D645=""),"",IF(TipoCalculo="JUROS SIMPLES",D645*E645*TaxaAoDia,FV(TaxaAoDia,E645,,-D645)-D645))</f>
        <v/>
      </c>
      <c r="G645" s="51" t="str">
        <f t="shared" si="18"/>
        <v/>
      </c>
      <c r="H645" s="51" t="str">
        <f t="shared" si="19"/>
        <v/>
      </c>
    </row>
    <row r="646" spans="5:8" x14ac:dyDescent="0.25">
      <c r="E646" s="50" t="str">
        <f>IF(OR(C646="",D646=""),"",AtualizarAte-C646)</f>
        <v/>
      </c>
      <c r="F646" s="51" t="str">
        <f>IF(OR(C646="",D646=""),"",IF(TipoCalculo="JUROS SIMPLES",D646*E646*TaxaAoDia,FV(TaxaAoDia,E646,,-D646)-D646))</f>
        <v/>
      </c>
      <c r="G646" s="51" t="str">
        <f t="shared" si="18"/>
        <v/>
      </c>
      <c r="H646" s="51" t="str">
        <f t="shared" si="19"/>
        <v/>
      </c>
    </row>
    <row r="647" spans="5:8" x14ac:dyDescent="0.25">
      <c r="E647" s="50" t="str">
        <f>IF(OR(C647="",D647=""),"",AtualizarAte-C647)</f>
        <v/>
      </c>
      <c r="F647" s="51" t="str">
        <f>IF(OR(C647="",D647=""),"",IF(TipoCalculo="JUROS SIMPLES",D647*E647*TaxaAoDia,FV(TaxaAoDia,E647,,-D647)-D647))</f>
        <v/>
      </c>
      <c r="G647" s="51" t="str">
        <f t="shared" si="18"/>
        <v/>
      </c>
      <c r="H647" s="51" t="str">
        <f t="shared" si="19"/>
        <v/>
      </c>
    </row>
    <row r="648" spans="5:8" x14ac:dyDescent="0.25">
      <c r="E648" s="50" t="str">
        <f>IF(OR(C648="",D648=""),"",AtualizarAte-C648)</f>
        <v/>
      </c>
      <c r="F648" s="51" t="str">
        <f>IF(OR(C648="",D648=""),"",IF(TipoCalculo="JUROS SIMPLES",D648*E648*TaxaAoDia,FV(TaxaAoDia,E648,,-D648)-D648))</f>
        <v/>
      </c>
      <c r="G648" s="51" t="str">
        <f t="shared" si="18"/>
        <v/>
      </c>
      <c r="H648" s="51" t="str">
        <f t="shared" si="19"/>
        <v/>
      </c>
    </row>
    <row r="649" spans="5:8" x14ac:dyDescent="0.25">
      <c r="E649" s="50" t="str">
        <f>IF(OR(C649="",D649=""),"",AtualizarAte-C649)</f>
        <v/>
      </c>
      <c r="F649" s="51" t="str">
        <f>IF(OR(C649="",D649=""),"",IF(TipoCalculo="JUROS SIMPLES",D649*E649*TaxaAoDia,FV(TaxaAoDia,E649,,-D649)-D649))</f>
        <v/>
      </c>
      <c r="G649" s="51" t="str">
        <f t="shared" si="18"/>
        <v/>
      </c>
      <c r="H649" s="51" t="str">
        <f t="shared" si="19"/>
        <v/>
      </c>
    </row>
    <row r="650" spans="5:8" x14ac:dyDescent="0.25">
      <c r="E650" s="50" t="str">
        <f>IF(OR(C650="",D650=""),"",AtualizarAte-C650)</f>
        <v/>
      </c>
      <c r="F650" s="51" t="str">
        <f>IF(OR(C650="",D650=""),"",IF(TipoCalculo="JUROS SIMPLES",D650*E650*TaxaAoDia,FV(TaxaAoDia,E650,,-D650)-D650))</f>
        <v/>
      </c>
      <c r="G650" s="51" t="str">
        <f t="shared" si="18"/>
        <v/>
      </c>
      <c r="H650" s="51" t="str">
        <f t="shared" si="19"/>
        <v/>
      </c>
    </row>
    <row r="651" spans="5:8" x14ac:dyDescent="0.25">
      <c r="E651" s="50" t="str">
        <f>IF(OR(C651="",D651=""),"",AtualizarAte-C651)</f>
        <v/>
      </c>
      <c r="F651" s="51" t="str">
        <f>IF(OR(C651="",D651=""),"",IF(TipoCalculo="JUROS SIMPLES",D651*E651*TaxaAoDia,FV(TaxaAoDia,E651,,-D651)-D651))</f>
        <v/>
      </c>
      <c r="G651" s="51" t="str">
        <f t="shared" si="18"/>
        <v/>
      </c>
      <c r="H651" s="51" t="str">
        <f t="shared" si="19"/>
        <v/>
      </c>
    </row>
    <row r="652" spans="5:8" x14ac:dyDescent="0.25">
      <c r="E652" s="50" t="str">
        <f>IF(OR(C652="",D652=""),"",AtualizarAte-C652)</f>
        <v/>
      </c>
      <c r="F652" s="51" t="str">
        <f>IF(OR(C652="",D652=""),"",IF(TipoCalculo="JUROS SIMPLES",D652*E652*TaxaAoDia,FV(TaxaAoDia,E652,,-D652)-D652))</f>
        <v/>
      </c>
      <c r="G652" s="51" t="str">
        <f t="shared" si="18"/>
        <v/>
      </c>
      <c r="H652" s="51" t="str">
        <f t="shared" si="19"/>
        <v/>
      </c>
    </row>
    <row r="653" spans="5:8" x14ac:dyDescent="0.25">
      <c r="E653" s="50" t="str">
        <f>IF(OR(C653="",D653=""),"",AtualizarAte-C653)</f>
        <v/>
      </c>
      <c r="F653" s="51" t="str">
        <f>IF(OR(C653="",D653=""),"",IF(TipoCalculo="JUROS SIMPLES",D653*E653*TaxaAoDia,FV(TaxaAoDia,E653,,-D653)-D653))</f>
        <v/>
      </c>
      <c r="G653" s="51" t="str">
        <f t="shared" ref="G653:G716" si="20">IF(OR(C653="",D653=""),"",D653+F653)</f>
        <v/>
      </c>
      <c r="H653" s="51" t="str">
        <f t="shared" ref="H653:H716" si="21">IF(C653="","",IF(D653="","",IF(H652="SALDO ATUALIZ.",G653,H652+G653)))</f>
        <v/>
      </c>
    </row>
    <row r="654" spans="5:8" x14ac:dyDescent="0.25">
      <c r="E654" s="50" t="str">
        <f>IF(OR(C654="",D654=""),"",AtualizarAte-C654)</f>
        <v/>
      </c>
      <c r="F654" s="51" t="str">
        <f>IF(OR(C654="",D654=""),"",IF(TipoCalculo="JUROS SIMPLES",D654*E654*TaxaAoDia,FV(TaxaAoDia,E654,,-D654)-D654))</f>
        <v/>
      </c>
      <c r="G654" s="51" t="str">
        <f t="shared" si="20"/>
        <v/>
      </c>
      <c r="H654" s="51" t="str">
        <f t="shared" si="21"/>
        <v/>
      </c>
    </row>
    <row r="655" spans="5:8" x14ac:dyDescent="0.25">
      <c r="E655" s="50" t="str">
        <f>IF(OR(C655="",D655=""),"",AtualizarAte-C655)</f>
        <v/>
      </c>
      <c r="F655" s="51" t="str">
        <f>IF(OR(C655="",D655=""),"",IF(TipoCalculo="JUROS SIMPLES",D655*E655*TaxaAoDia,FV(TaxaAoDia,E655,,-D655)-D655))</f>
        <v/>
      </c>
      <c r="G655" s="51" t="str">
        <f t="shared" si="20"/>
        <v/>
      </c>
      <c r="H655" s="51" t="str">
        <f t="shared" si="21"/>
        <v/>
      </c>
    </row>
    <row r="656" spans="5:8" x14ac:dyDescent="0.25">
      <c r="E656" s="50" t="str">
        <f>IF(OR(C656="",D656=""),"",AtualizarAte-C656)</f>
        <v/>
      </c>
      <c r="F656" s="51" t="str">
        <f>IF(OR(C656="",D656=""),"",IF(TipoCalculo="JUROS SIMPLES",D656*E656*TaxaAoDia,FV(TaxaAoDia,E656,,-D656)-D656))</f>
        <v/>
      </c>
      <c r="G656" s="51" t="str">
        <f t="shared" si="20"/>
        <v/>
      </c>
      <c r="H656" s="51" t="str">
        <f t="shared" si="21"/>
        <v/>
      </c>
    </row>
    <row r="657" spans="5:8" x14ac:dyDescent="0.25">
      <c r="E657" s="50" t="str">
        <f>IF(OR(C657="",D657=""),"",AtualizarAte-C657)</f>
        <v/>
      </c>
      <c r="F657" s="51" t="str">
        <f>IF(OR(C657="",D657=""),"",IF(TipoCalculo="JUROS SIMPLES",D657*E657*TaxaAoDia,FV(TaxaAoDia,E657,,-D657)-D657))</f>
        <v/>
      </c>
      <c r="G657" s="51" t="str">
        <f t="shared" si="20"/>
        <v/>
      </c>
      <c r="H657" s="51" t="str">
        <f t="shared" si="21"/>
        <v/>
      </c>
    </row>
    <row r="658" spans="5:8" x14ac:dyDescent="0.25">
      <c r="E658" s="50" t="str">
        <f>IF(OR(C658="",D658=""),"",AtualizarAte-C658)</f>
        <v/>
      </c>
      <c r="F658" s="51" t="str">
        <f>IF(OR(C658="",D658=""),"",IF(TipoCalculo="JUROS SIMPLES",D658*E658*TaxaAoDia,FV(TaxaAoDia,E658,,-D658)-D658))</f>
        <v/>
      </c>
      <c r="G658" s="51" t="str">
        <f t="shared" si="20"/>
        <v/>
      </c>
      <c r="H658" s="51" t="str">
        <f t="shared" si="21"/>
        <v/>
      </c>
    </row>
    <row r="659" spans="5:8" x14ac:dyDescent="0.25">
      <c r="E659" s="50" t="str">
        <f>IF(OR(C659="",D659=""),"",AtualizarAte-C659)</f>
        <v/>
      </c>
      <c r="F659" s="51" t="str">
        <f>IF(OR(C659="",D659=""),"",IF(TipoCalculo="JUROS SIMPLES",D659*E659*TaxaAoDia,FV(TaxaAoDia,E659,,-D659)-D659))</f>
        <v/>
      </c>
      <c r="G659" s="51" t="str">
        <f t="shared" si="20"/>
        <v/>
      </c>
      <c r="H659" s="51" t="str">
        <f t="shared" si="21"/>
        <v/>
      </c>
    </row>
    <row r="660" spans="5:8" x14ac:dyDescent="0.25">
      <c r="E660" s="50" t="str">
        <f>IF(OR(C660="",D660=""),"",AtualizarAte-C660)</f>
        <v/>
      </c>
      <c r="F660" s="51" t="str">
        <f>IF(OR(C660="",D660=""),"",IF(TipoCalculo="JUROS SIMPLES",D660*E660*TaxaAoDia,FV(TaxaAoDia,E660,,-D660)-D660))</f>
        <v/>
      </c>
      <c r="G660" s="51" t="str">
        <f t="shared" si="20"/>
        <v/>
      </c>
      <c r="H660" s="51" t="str">
        <f t="shared" si="21"/>
        <v/>
      </c>
    </row>
    <row r="661" spans="5:8" x14ac:dyDescent="0.25">
      <c r="E661" s="50" t="str">
        <f>IF(OR(C661="",D661=""),"",AtualizarAte-C661)</f>
        <v/>
      </c>
      <c r="F661" s="51" t="str">
        <f>IF(OR(C661="",D661=""),"",IF(TipoCalculo="JUROS SIMPLES",D661*E661*TaxaAoDia,FV(TaxaAoDia,E661,,-D661)-D661))</f>
        <v/>
      </c>
      <c r="G661" s="51" t="str">
        <f t="shared" si="20"/>
        <v/>
      </c>
      <c r="H661" s="51" t="str">
        <f t="shared" si="21"/>
        <v/>
      </c>
    </row>
    <row r="662" spans="5:8" x14ac:dyDescent="0.25">
      <c r="E662" s="50" t="str">
        <f>IF(OR(C662="",D662=""),"",AtualizarAte-C662)</f>
        <v/>
      </c>
      <c r="F662" s="51" t="str">
        <f>IF(OR(C662="",D662=""),"",IF(TipoCalculo="JUROS SIMPLES",D662*E662*TaxaAoDia,FV(TaxaAoDia,E662,,-D662)-D662))</f>
        <v/>
      </c>
      <c r="G662" s="51" t="str">
        <f t="shared" si="20"/>
        <v/>
      </c>
      <c r="H662" s="51" t="str">
        <f t="shared" si="21"/>
        <v/>
      </c>
    </row>
    <row r="663" spans="5:8" x14ac:dyDescent="0.25">
      <c r="E663" s="50" t="str">
        <f>IF(OR(C663="",D663=""),"",AtualizarAte-C663)</f>
        <v/>
      </c>
      <c r="F663" s="51" t="str">
        <f>IF(OR(C663="",D663=""),"",IF(TipoCalculo="JUROS SIMPLES",D663*E663*TaxaAoDia,FV(TaxaAoDia,E663,,-D663)-D663))</f>
        <v/>
      </c>
      <c r="G663" s="51" t="str">
        <f t="shared" si="20"/>
        <v/>
      </c>
      <c r="H663" s="51" t="str">
        <f t="shared" si="21"/>
        <v/>
      </c>
    </row>
    <row r="664" spans="5:8" x14ac:dyDescent="0.25">
      <c r="E664" s="50" t="str">
        <f>IF(OR(C664="",D664=""),"",AtualizarAte-C664)</f>
        <v/>
      </c>
      <c r="F664" s="51" t="str">
        <f>IF(OR(C664="",D664=""),"",IF(TipoCalculo="JUROS SIMPLES",D664*E664*TaxaAoDia,FV(TaxaAoDia,E664,,-D664)-D664))</f>
        <v/>
      </c>
      <c r="G664" s="51" t="str">
        <f t="shared" si="20"/>
        <v/>
      </c>
      <c r="H664" s="51" t="str">
        <f t="shared" si="21"/>
        <v/>
      </c>
    </row>
    <row r="665" spans="5:8" x14ac:dyDescent="0.25">
      <c r="E665" s="50" t="str">
        <f>IF(OR(C665="",D665=""),"",AtualizarAte-C665)</f>
        <v/>
      </c>
      <c r="F665" s="51" t="str">
        <f>IF(OR(C665="",D665=""),"",IF(TipoCalculo="JUROS SIMPLES",D665*E665*TaxaAoDia,FV(TaxaAoDia,E665,,-D665)-D665))</f>
        <v/>
      </c>
      <c r="G665" s="51" t="str">
        <f t="shared" si="20"/>
        <v/>
      </c>
      <c r="H665" s="51" t="str">
        <f t="shared" si="21"/>
        <v/>
      </c>
    </row>
    <row r="666" spans="5:8" x14ac:dyDescent="0.25">
      <c r="E666" s="50" t="str">
        <f>IF(OR(C666="",D666=""),"",AtualizarAte-C666)</f>
        <v/>
      </c>
      <c r="F666" s="51" t="str">
        <f>IF(OR(C666="",D666=""),"",IF(TipoCalculo="JUROS SIMPLES",D666*E666*TaxaAoDia,FV(TaxaAoDia,E666,,-D666)-D666))</f>
        <v/>
      </c>
      <c r="G666" s="51" t="str">
        <f t="shared" si="20"/>
        <v/>
      </c>
      <c r="H666" s="51" t="str">
        <f t="shared" si="21"/>
        <v/>
      </c>
    </row>
    <row r="667" spans="5:8" x14ac:dyDescent="0.25">
      <c r="E667" s="50" t="str">
        <f>IF(OR(C667="",D667=""),"",AtualizarAte-C667)</f>
        <v/>
      </c>
      <c r="F667" s="51" t="str">
        <f>IF(OR(C667="",D667=""),"",IF(TipoCalculo="JUROS SIMPLES",D667*E667*TaxaAoDia,FV(TaxaAoDia,E667,,-D667)-D667))</f>
        <v/>
      </c>
      <c r="G667" s="51" t="str">
        <f t="shared" si="20"/>
        <v/>
      </c>
      <c r="H667" s="51" t="str">
        <f t="shared" si="21"/>
        <v/>
      </c>
    </row>
    <row r="668" spans="5:8" x14ac:dyDescent="0.25">
      <c r="E668" s="50" t="str">
        <f>IF(OR(C668="",D668=""),"",AtualizarAte-C668)</f>
        <v/>
      </c>
      <c r="F668" s="51" t="str">
        <f>IF(OR(C668="",D668=""),"",IF(TipoCalculo="JUROS SIMPLES",D668*E668*TaxaAoDia,FV(TaxaAoDia,E668,,-D668)-D668))</f>
        <v/>
      </c>
      <c r="G668" s="51" t="str">
        <f t="shared" si="20"/>
        <v/>
      </c>
      <c r="H668" s="51" t="str">
        <f t="shared" si="21"/>
        <v/>
      </c>
    </row>
    <row r="669" spans="5:8" x14ac:dyDescent="0.25">
      <c r="E669" s="50" t="str">
        <f>IF(OR(C669="",D669=""),"",AtualizarAte-C669)</f>
        <v/>
      </c>
      <c r="F669" s="51" t="str">
        <f>IF(OR(C669="",D669=""),"",IF(TipoCalculo="JUROS SIMPLES",D669*E669*TaxaAoDia,FV(TaxaAoDia,E669,,-D669)-D669))</f>
        <v/>
      </c>
      <c r="G669" s="51" t="str">
        <f t="shared" si="20"/>
        <v/>
      </c>
      <c r="H669" s="51" t="str">
        <f t="shared" si="21"/>
        <v/>
      </c>
    </row>
    <row r="670" spans="5:8" x14ac:dyDescent="0.25">
      <c r="E670" s="50" t="str">
        <f>IF(OR(C670="",D670=""),"",AtualizarAte-C670)</f>
        <v/>
      </c>
      <c r="F670" s="51" t="str">
        <f>IF(OR(C670="",D670=""),"",IF(TipoCalculo="JUROS SIMPLES",D670*E670*TaxaAoDia,FV(TaxaAoDia,E670,,-D670)-D670))</f>
        <v/>
      </c>
      <c r="G670" s="51" t="str">
        <f t="shared" si="20"/>
        <v/>
      </c>
      <c r="H670" s="51" t="str">
        <f t="shared" si="21"/>
        <v/>
      </c>
    </row>
    <row r="671" spans="5:8" x14ac:dyDescent="0.25">
      <c r="E671" s="50" t="str">
        <f>IF(OR(C671="",D671=""),"",AtualizarAte-C671)</f>
        <v/>
      </c>
      <c r="F671" s="51" t="str">
        <f>IF(OR(C671="",D671=""),"",IF(TipoCalculo="JUROS SIMPLES",D671*E671*TaxaAoDia,FV(TaxaAoDia,E671,,-D671)-D671))</f>
        <v/>
      </c>
      <c r="G671" s="51" t="str">
        <f t="shared" si="20"/>
        <v/>
      </c>
      <c r="H671" s="51" t="str">
        <f t="shared" si="21"/>
        <v/>
      </c>
    </row>
    <row r="672" spans="5:8" x14ac:dyDescent="0.25">
      <c r="E672" s="50" t="str">
        <f>IF(OR(C672="",D672=""),"",AtualizarAte-C672)</f>
        <v/>
      </c>
      <c r="F672" s="51" t="str">
        <f>IF(OR(C672="",D672=""),"",IF(TipoCalculo="JUROS SIMPLES",D672*E672*TaxaAoDia,FV(TaxaAoDia,E672,,-D672)-D672))</f>
        <v/>
      </c>
      <c r="G672" s="51" t="str">
        <f t="shared" si="20"/>
        <v/>
      </c>
      <c r="H672" s="51" t="str">
        <f t="shared" si="21"/>
        <v/>
      </c>
    </row>
    <row r="673" spans="5:8" x14ac:dyDescent="0.25">
      <c r="E673" s="50" t="str">
        <f>IF(OR(C673="",D673=""),"",AtualizarAte-C673)</f>
        <v/>
      </c>
      <c r="F673" s="51" t="str">
        <f>IF(OR(C673="",D673=""),"",IF(TipoCalculo="JUROS SIMPLES",D673*E673*TaxaAoDia,FV(TaxaAoDia,E673,,-D673)-D673))</f>
        <v/>
      </c>
      <c r="G673" s="51" t="str">
        <f t="shared" si="20"/>
        <v/>
      </c>
      <c r="H673" s="51" t="str">
        <f t="shared" si="21"/>
        <v/>
      </c>
    </row>
    <row r="674" spans="5:8" x14ac:dyDescent="0.25">
      <c r="E674" s="50" t="str">
        <f>IF(OR(C674="",D674=""),"",AtualizarAte-C674)</f>
        <v/>
      </c>
      <c r="F674" s="51" t="str">
        <f>IF(OR(C674="",D674=""),"",IF(TipoCalculo="JUROS SIMPLES",D674*E674*TaxaAoDia,FV(TaxaAoDia,E674,,-D674)-D674))</f>
        <v/>
      </c>
      <c r="G674" s="51" t="str">
        <f t="shared" si="20"/>
        <v/>
      </c>
      <c r="H674" s="51" t="str">
        <f t="shared" si="21"/>
        <v/>
      </c>
    </row>
    <row r="675" spans="5:8" x14ac:dyDescent="0.25">
      <c r="E675" s="50" t="str">
        <f>IF(OR(C675="",D675=""),"",AtualizarAte-C675)</f>
        <v/>
      </c>
      <c r="F675" s="51" t="str">
        <f>IF(OR(C675="",D675=""),"",IF(TipoCalculo="JUROS SIMPLES",D675*E675*TaxaAoDia,FV(TaxaAoDia,E675,,-D675)-D675))</f>
        <v/>
      </c>
      <c r="G675" s="51" t="str">
        <f t="shared" si="20"/>
        <v/>
      </c>
      <c r="H675" s="51" t="str">
        <f t="shared" si="21"/>
        <v/>
      </c>
    </row>
    <row r="676" spans="5:8" x14ac:dyDescent="0.25">
      <c r="E676" s="50" t="str">
        <f>IF(OR(C676="",D676=""),"",AtualizarAte-C676)</f>
        <v/>
      </c>
      <c r="F676" s="51" t="str">
        <f>IF(OR(C676="",D676=""),"",IF(TipoCalculo="JUROS SIMPLES",D676*E676*TaxaAoDia,FV(TaxaAoDia,E676,,-D676)-D676))</f>
        <v/>
      </c>
      <c r="G676" s="51" t="str">
        <f t="shared" si="20"/>
        <v/>
      </c>
      <c r="H676" s="51" t="str">
        <f t="shared" si="21"/>
        <v/>
      </c>
    </row>
    <row r="677" spans="5:8" x14ac:dyDescent="0.25">
      <c r="E677" s="50" t="str">
        <f>IF(OR(C677="",D677=""),"",AtualizarAte-C677)</f>
        <v/>
      </c>
      <c r="F677" s="51" t="str">
        <f>IF(OR(C677="",D677=""),"",IF(TipoCalculo="JUROS SIMPLES",D677*E677*TaxaAoDia,FV(TaxaAoDia,E677,,-D677)-D677))</f>
        <v/>
      </c>
      <c r="G677" s="51" t="str">
        <f t="shared" si="20"/>
        <v/>
      </c>
      <c r="H677" s="51" t="str">
        <f t="shared" si="21"/>
        <v/>
      </c>
    </row>
    <row r="678" spans="5:8" x14ac:dyDescent="0.25">
      <c r="E678" s="50" t="str">
        <f>IF(OR(C678="",D678=""),"",AtualizarAte-C678)</f>
        <v/>
      </c>
      <c r="F678" s="51" t="str">
        <f>IF(OR(C678="",D678=""),"",IF(TipoCalculo="JUROS SIMPLES",D678*E678*TaxaAoDia,FV(TaxaAoDia,E678,,-D678)-D678))</f>
        <v/>
      </c>
      <c r="G678" s="51" t="str">
        <f t="shared" si="20"/>
        <v/>
      </c>
      <c r="H678" s="51" t="str">
        <f t="shared" si="21"/>
        <v/>
      </c>
    </row>
    <row r="679" spans="5:8" x14ac:dyDescent="0.25">
      <c r="E679" s="50" t="str">
        <f>IF(OR(C679="",D679=""),"",AtualizarAte-C679)</f>
        <v/>
      </c>
      <c r="F679" s="51" t="str">
        <f>IF(OR(C679="",D679=""),"",IF(TipoCalculo="JUROS SIMPLES",D679*E679*TaxaAoDia,FV(TaxaAoDia,E679,,-D679)-D679))</f>
        <v/>
      </c>
      <c r="G679" s="51" t="str">
        <f t="shared" si="20"/>
        <v/>
      </c>
      <c r="H679" s="51" t="str">
        <f t="shared" si="21"/>
        <v/>
      </c>
    </row>
    <row r="680" spans="5:8" x14ac:dyDescent="0.25">
      <c r="E680" s="50" t="str">
        <f>IF(OR(C680="",D680=""),"",AtualizarAte-C680)</f>
        <v/>
      </c>
      <c r="F680" s="51" t="str">
        <f>IF(OR(C680="",D680=""),"",IF(TipoCalculo="JUROS SIMPLES",D680*E680*TaxaAoDia,FV(TaxaAoDia,E680,,-D680)-D680))</f>
        <v/>
      </c>
      <c r="G680" s="51" t="str">
        <f t="shared" si="20"/>
        <v/>
      </c>
      <c r="H680" s="51" t="str">
        <f t="shared" si="21"/>
        <v/>
      </c>
    </row>
    <row r="681" spans="5:8" x14ac:dyDescent="0.25">
      <c r="E681" s="50" t="str">
        <f>IF(OR(C681="",D681=""),"",AtualizarAte-C681)</f>
        <v/>
      </c>
      <c r="F681" s="51" t="str">
        <f>IF(OR(C681="",D681=""),"",IF(TipoCalculo="JUROS SIMPLES",D681*E681*TaxaAoDia,FV(TaxaAoDia,E681,,-D681)-D681))</f>
        <v/>
      </c>
      <c r="G681" s="51" t="str">
        <f t="shared" si="20"/>
        <v/>
      </c>
      <c r="H681" s="51" t="str">
        <f t="shared" si="21"/>
        <v/>
      </c>
    </row>
    <row r="682" spans="5:8" x14ac:dyDescent="0.25">
      <c r="E682" s="50" t="str">
        <f>IF(OR(C682="",D682=""),"",AtualizarAte-C682)</f>
        <v/>
      </c>
      <c r="F682" s="51" t="str">
        <f>IF(OR(C682="",D682=""),"",IF(TipoCalculo="JUROS SIMPLES",D682*E682*TaxaAoDia,FV(TaxaAoDia,E682,,-D682)-D682))</f>
        <v/>
      </c>
      <c r="G682" s="51" t="str">
        <f t="shared" si="20"/>
        <v/>
      </c>
      <c r="H682" s="51" t="str">
        <f t="shared" si="21"/>
        <v/>
      </c>
    </row>
    <row r="683" spans="5:8" x14ac:dyDescent="0.25">
      <c r="E683" s="50" t="str">
        <f>IF(OR(C683="",D683=""),"",AtualizarAte-C683)</f>
        <v/>
      </c>
      <c r="F683" s="51" t="str">
        <f>IF(OR(C683="",D683=""),"",IF(TipoCalculo="JUROS SIMPLES",D683*E683*TaxaAoDia,FV(TaxaAoDia,E683,,-D683)-D683))</f>
        <v/>
      </c>
      <c r="G683" s="51" t="str">
        <f t="shared" si="20"/>
        <v/>
      </c>
      <c r="H683" s="51" t="str">
        <f t="shared" si="21"/>
        <v/>
      </c>
    </row>
    <row r="684" spans="5:8" x14ac:dyDescent="0.25">
      <c r="E684" s="50" t="str">
        <f>IF(OR(C684="",D684=""),"",AtualizarAte-C684)</f>
        <v/>
      </c>
      <c r="F684" s="51" t="str">
        <f>IF(OR(C684="",D684=""),"",IF(TipoCalculo="JUROS SIMPLES",D684*E684*TaxaAoDia,FV(TaxaAoDia,E684,,-D684)-D684))</f>
        <v/>
      </c>
      <c r="G684" s="51" t="str">
        <f t="shared" si="20"/>
        <v/>
      </c>
      <c r="H684" s="51" t="str">
        <f t="shared" si="21"/>
        <v/>
      </c>
    </row>
    <row r="685" spans="5:8" x14ac:dyDescent="0.25">
      <c r="E685" s="50" t="str">
        <f>IF(OR(C685="",D685=""),"",AtualizarAte-C685)</f>
        <v/>
      </c>
      <c r="F685" s="51" t="str">
        <f>IF(OR(C685="",D685=""),"",IF(TipoCalculo="JUROS SIMPLES",D685*E685*TaxaAoDia,FV(TaxaAoDia,E685,,-D685)-D685))</f>
        <v/>
      </c>
      <c r="G685" s="51" t="str">
        <f t="shared" si="20"/>
        <v/>
      </c>
      <c r="H685" s="51" t="str">
        <f t="shared" si="21"/>
        <v/>
      </c>
    </row>
    <row r="686" spans="5:8" x14ac:dyDescent="0.25">
      <c r="E686" s="50" t="str">
        <f>IF(OR(C686="",D686=""),"",AtualizarAte-C686)</f>
        <v/>
      </c>
      <c r="F686" s="51" t="str">
        <f>IF(OR(C686="",D686=""),"",IF(TipoCalculo="JUROS SIMPLES",D686*E686*TaxaAoDia,FV(TaxaAoDia,E686,,-D686)-D686))</f>
        <v/>
      </c>
      <c r="G686" s="51" t="str">
        <f t="shared" si="20"/>
        <v/>
      </c>
      <c r="H686" s="51" t="str">
        <f t="shared" si="21"/>
        <v/>
      </c>
    </row>
    <row r="687" spans="5:8" x14ac:dyDescent="0.25">
      <c r="E687" s="50" t="str">
        <f>IF(OR(C687="",D687=""),"",AtualizarAte-C687)</f>
        <v/>
      </c>
      <c r="F687" s="51" t="str">
        <f>IF(OR(C687="",D687=""),"",IF(TipoCalculo="JUROS SIMPLES",D687*E687*TaxaAoDia,FV(TaxaAoDia,E687,,-D687)-D687))</f>
        <v/>
      </c>
      <c r="G687" s="51" t="str">
        <f t="shared" si="20"/>
        <v/>
      </c>
      <c r="H687" s="51" t="str">
        <f t="shared" si="21"/>
        <v/>
      </c>
    </row>
    <row r="688" spans="5:8" x14ac:dyDescent="0.25">
      <c r="E688" s="50" t="str">
        <f>IF(OR(C688="",D688=""),"",AtualizarAte-C688)</f>
        <v/>
      </c>
      <c r="F688" s="51" t="str">
        <f>IF(OR(C688="",D688=""),"",IF(TipoCalculo="JUROS SIMPLES",D688*E688*TaxaAoDia,FV(TaxaAoDia,E688,,-D688)-D688))</f>
        <v/>
      </c>
      <c r="G688" s="51" t="str">
        <f t="shared" si="20"/>
        <v/>
      </c>
      <c r="H688" s="51" t="str">
        <f t="shared" si="21"/>
        <v/>
      </c>
    </row>
    <row r="689" spans="5:8" x14ac:dyDescent="0.25">
      <c r="E689" s="50" t="str">
        <f>IF(OR(C689="",D689=""),"",AtualizarAte-C689)</f>
        <v/>
      </c>
      <c r="F689" s="51" t="str">
        <f>IF(OR(C689="",D689=""),"",IF(TipoCalculo="JUROS SIMPLES",D689*E689*TaxaAoDia,FV(TaxaAoDia,E689,,-D689)-D689))</f>
        <v/>
      </c>
      <c r="G689" s="51" t="str">
        <f t="shared" si="20"/>
        <v/>
      </c>
      <c r="H689" s="51" t="str">
        <f t="shared" si="21"/>
        <v/>
      </c>
    </row>
    <row r="690" spans="5:8" x14ac:dyDescent="0.25">
      <c r="E690" s="50" t="str">
        <f>IF(OR(C690="",D690=""),"",AtualizarAte-C690)</f>
        <v/>
      </c>
      <c r="F690" s="51" t="str">
        <f>IF(OR(C690="",D690=""),"",IF(TipoCalculo="JUROS SIMPLES",D690*E690*TaxaAoDia,FV(TaxaAoDia,E690,,-D690)-D690))</f>
        <v/>
      </c>
      <c r="G690" s="51" t="str">
        <f t="shared" si="20"/>
        <v/>
      </c>
      <c r="H690" s="51" t="str">
        <f t="shared" si="21"/>
        <v/>
      </c>
    </row>
    <row r="691" spans="5:8" x14ac:dyDescent="0.25">
      <c r="E691" s="50" t="str">
        <f>IF(OR(C691="",D691=""),"",AtualizarAte-C691)</f>
        <v/>
      </c>
      <c r="F691" s="51" t="str">
        <f>IF(OR(C691="",D691=""),"",IF(TipoCalculo="JUROS SIMPLES",D691*E691*TaxaAoDia,FV(TaxaAoDia,E691,,-D691)-D691))</f>
        <v/>
      </c>
      <c r="G691" s="51" t="str">
        <f t="shared" si="20"/>
        <v/>
      </c>
      <c r="H691" s="51" t="str">
        <f t="shared" si="21"/>
        <v/>
      </c>
    </row>
    <row r="692" spans="5:8" x14ac:dyDescent="0.25">
      <c r="E692" s="50" t="str">
        <f>IF(OR(C692="",D692=""),"",AtualizarAte-C692)</f>
        <v/>
      </c>
      <c r="F692" s="51" t="str">
        <f>IF(OR(C692="",D692=""),"",IF(TipoCalculo="JUROS SIMPLES",D692*E692*TaxaAoDia,FV(TaxaAoDia,E692,,-D692)-D692))</f>
        <v/>
      </c>
      <c r="G692" s="51" t="str">
        <f t="shared" si="20"/>
        <v/>
      </c>
      <c r="H692" s="51" t="str">
        <f t="shared" si="21"/>
        <v/>
      </c>
    </row>
    <row r="693" spans="5:8" x14ac:dyDescent="0.25">
      <c r="E693" s="50" t="str">
        <f>IF(OR(C693="",D693=""),"",AtualizarAte-C693)</f>
        <v/>
      </c>
      <c r="F693" s="51" t="str">
        <f>IF(OR(C693="",D693=""),"",IF(TipoCalculo="JUROS SIMPLES",D693*E693*TaxaAoDia,FV(TaxaAoDia,E693,,-D693)-D693))</f>
        <v/>
      </c>
      <c r="G693" s="51" t="str">
        <f t="shared" si="20"/>
        <v/>
      </c>
      <c r="H693" s="51" t="str">
        <f t="shared" si="21"/>
        <v/>
      </c>
    </row>
    <row r="694" spans="5:8" x14ac:dyDescent="0.25">
      <c r="E694" s="50" t="str">
        <f>IF(OR(C694="",D694=""),"",AtualizarAte-C694)</f>
        <v/>
      </c>
      <c r="F694" s="51" t="str">
        <f>IF(OR(C694="",D694=""),"",IF(TipoCalculo="JUROS SIMPLES",D694*E694*TaxaAoDia,FV(TaxaAoDia,E694,,-D694)-D694))</f>
        <v/>
      </c>
      <c r="G694" s="51" t="str">
        <f t="shared" si="20"/>
        <v/>
      </c>
      <c r="H694" s="51" t="str">
        <f t="shared" si="21"/>
        <v/>
      </c>
    </row>
    <row r="695" spans="5:8" x14ac:dyDescent="0.25">
      <c r="E695" s="50" t="str">
        <f>IF(OR(C695="",D695=""),"",AtualizarAte-C695)</f>
        <v/>
      </c>
      <c r="F695" s="51" t="str">
        <f>IF(OR(C695="",D695=""),"",IF(TipoCalculo="JUROS SIMPLES",D695*E695*TaxaAoDia,FV(TaxaAoDia,E695,,-D695)-D695))</f>
        <v/>
      </c>
      <c r="G695" s="51" t="str">
        <f t="shared" si="20"/>
        <v/>
      </c>
      <c r="H695" s="51" t="str">
        <f t="shared" si="21"/>
        <v/>
      </c>
    </row>
    <row r="696" spans="5:8" x14ac:dyDescent="0.25">
      <c r="E696" s="50" t="str">
        <f>IF(OR(C696="",D696=""),"",AtualizarAte-C696)</f>
        <v/>
      </c>
      <c r="F696" s="51" t="str">
        <f>IF(OR(C696="",D696=""),"",IF(TipoCalculo="JUROS SIMPLES",D696*E696*TaxaAoDia,FV(TaxaAoDia,E696,,-D696)-D696))</f>
        <v/>
      </c>
      <c r="G696" s="51" t="str">
        <f t="shared" si="20"/>
        <v/>
      </c>
      <c r="H696" s="51" t="str">
        <f t="shared" si="21"/>
        <v/>
      </c>
    </row>
    <row r="697" spans="5:8" x14ac:dyDescent="0.25">
      <c r="E697" s="50" t="str">
        <f>IF(OR(C697="",D697=""),"",AtualizarAte-C697)</f>
        <v/>
      </c>
      <c r="F697" s="51" t="str">
        <f>IF(OR(C697="",D697=""),"",IF(TipoCalculo="JUROS SIMPLES",D697*E697*TaxaAoDia,FV(TaxaAoDia,E697,,-D697)-D697))</f>
        <v/>
      </c>
      <c r="G697" s="51" t="str">
        <f t="shared" si="20"/>
        <v/>
      </c>
      <c r="H697" s="51" t="str">
        <f t="shared" si="21"/>
        <v/>
      </c>
    </row>
    <row r="698" spans="5:8" x14ac:dyDescent="0.25">
      <c r="E698" s="50" t="str">
        <f>IF(OR(C698="",D698=""),"",AtualizarAte-C698)</f>
        <v/>
      </c>
      <c r="F698" s="51" t="str">
        <f>IF(OR(C698="",D698=""),"",IF(TipoCalculo="JUROS SIMPLES",D698*E698*TaxaAoDia,FV(TaxaAoDia,E698,,-D698)-D698))</f>
        <v/>
      </c>
      <c r="G698" s="51" t="str">
        <f t="shared" si="20"/>
        <v/>
      </c>
      <c r="H698" s="51" t="str">
        <f t="shared" si="21"/>
        <v/>
      </c>
    </row>
    <row r="699" spans="5:8" x14ac:dyDescent="0.25">
      <c r="E699" s="50" t="str">
        <f>IF(OR(C699="",D699=""),"",AtualizarAte-C699)</f>
        <v/>
      </c>
      <c r="F699" s="51" t="str">
        <f>IF(OR(C699="",D699=""),"",IF(TipoCalculo="JUROS SIMPLES",D699*E699*TaxaAoDia,FV(TaxaAoDia,E699,,-D699)-D699))</f>
        <v/>
      </c>
      <c r="G699" s="51" t="str">
        <f t="shared" si="20"/>
        <v/>
      </c>
      <c r="H699" s="51" t="str">
        <f t="shared" si="21"/>
        <v/>
      </c>
    </row>
    <row r="700" spans="5:8" x14ac:dyDescent="0.25">
      <c r="E700" s="50" t="str">
        <f>IF(OR(C700="",D700=""),"",AtualizarAte-C700)</f>
        <v/>
      </c>
      <c r="F700" s="51" t="str">
        <f>IF(OR(C700="",D700=""),"",IF(TipoCalculo="JUROS SIMPLES",D700*E700*TaxaAoDia,FV(TaxaAoDia,E700,,-D700)-D700))</f>
        <v/>
      </c>
      <c r="G700" s="51" t="str">
        <f t="shared" si="20"/>
        <v/>
      </c>
      <c r="H700" s="51" t="str">
        <f t="shared" si="21"/>
        <v/>
      </c>
    </row>
    <row r="701" spans="5:8" x14ac:dyDescent="0.25">
      <c r="E701" s="50" t="str">
        <f>IF(OR(C701="",D701=""),"",AtualizarAte-C701)</f>
        <v/>
      </c>
      <c r="F701" s="51" t="str">
        <f>IF(OR(C701="",D701=""),"",IF(TipoCalculo="JUROS SIMPLES",D701*E701*TaxaAoDia,FV(TaxaAoDia,E701,,-D701)-D701))</f>
        <v/>
      </c>
      <c r="G701" s="51" t="str">
        <f t="shared" si="20"/>
        <v/>
      </c>
      <c r="H701" s="51" t="str">
        <f t="shared" si="21"/>
        <v/>
      </c>
    </row>
    <row r="702" spans="5:8" x14ac:dyDescent="0.25">
      <c r="E702" s="50" t="str">
        <f>IF(OR(C702="",D702=""),"",AtualizarAte-C702)</f>
        <v/>
      </c>
      <c r="F702" s="51" t="str">
        <f>IF(OR(C702="",D702=""),"",IF(TipoCalculo="JUROS SIMPLES",D702*E702*TaxaAoDia,FV(TaxaAoDia,E702,,-D702)-D702))</f>
        <v/>
      </c>
      <c r="G702" s="51" t="str">
        <f t="shared" si="20"/>
        <v/>
      </c>
      <c r="H702" s="51" t="str">
        <f t="shared" si="21"/>
        <v/>
      </c>
    </row>
    <row r="703" spans="5:8" x14ac:dyDescent="0.25">
      <c r="E703" s="50" t="str">
        <f>IF(OR(C703="",D703=""),"",AtualizarAte-C703)</f>
        <v/>
      </c>
      <c r="F703" s="51" t="str">
        <f>IF(OR(C703="",D703=""),"",IF(TipoCalculo="JUROS SIMPLES",D703*E703*TaxaAoDia,FV(TaxaAoDia,E703,,-D703)-D703))</f>
        <v/>
      </c>
      <c r="G703" s="51" t="str">
        <f t="shared" si="20"/>
        <v/>
      </c>
      <c r="H703" s="51" t="str">
        <f t="shared" si="21"/>
        <v/>
      </c>
    </row>
    <row r="704" spans="5:8" x14ac:dyDescent="0.25">
      <c r="E704" s="50" t="str">
        <f>IF(OR(C704="",D704=""),"",AtualizarAte-C704)</f>
        <v/>
      </c>
      <c r="F704" s="51" t="str">
        <f>IF(OR(C704="",D704=""),"",IF(TipoCalculo="JUROS SIMPLES",D704*E704*TaxaAoDia,FV(TaxaAoDia,E704,,-D704)-D704))</f>
        <v/>
      </c>
      <c r="G704" s="51" t="str">
        <f t="shared" si="20"/>
        <v/>
      </c>
      <c r="H704" s="51" t="str">
        <f t="shared" si="21"/>
        <v/>
      </c>
    </row>
    <row r="705" spans="5:8" x14ac:dyDescent="0.25">
      <c r="E705" s="50" t="str">
        <f>IF(OR(C705="",D705=""),"",AtualizarAte-C705)</f>
        <v/>
      </c>
      <c r="F705" s="51" t="str">
        <f>IF(OR(C705="",D705=""),"",IF(TipoCalculo="JUROS SIMPLES",D705*E705*TaxaAoDia,FV(TaxaAoDia,E705,,-D705)-D705))</f>
        <v/>
      </c>
      <c r="G705" s="51" t="str">
        <f t="shared" si="20"/>
        <v/>
      </c>
      <c r="H705" s="51" t="str">
        <f t="shared" si="21"/>
        <v/>
      </c>
    </row>
    <row r="706" spans="5:8" x14ac:dyDescent="0.25">
      <c r="E706" s="50" t="str">
        <f>IF(OR(C706="",D706=""),"",AtualizarAte-C706)</f>
        <v/>
      </c>
      <c r="F706" s="51" t="str">
        <f>IF(OR(C706="",D706=""),"",IF(TipoCalculo="JUROS SIMPLES",D706*E706*TaxaAoDia,FV(TaxaAoDia,E706,,-D706)-D706))</f>
        <v/>
      </c>
      <c r="G706" s="51" t="str">
        <f t="shared" si="20"/>
        <v/>
      </c>
      <c r="H706" s="51" t="str">
        <f t="shared" si="21"/>
        <v/>
      </c>
    </row>
    <row r="707" spans="5:8" x14ac:dyDescent="0.25">
      <c r="E707" s="50" t="str">
        <f>IF(OR(C707="",D707=""),"",AtualizarAte-C707)</f>
        <v/>
      </c>
      <c r="F707" s="51" t="str">
        <f>IF(OR(C707="",D707=""),"",IF(TipoCalculo="JUROS SIMPLES",D707*E707*TaxaAoDia,FV(TaxaAoDia,E707,,-D707)-D707))</f>
        <v/>
      </c>
      <c r="G707" s="51" t="str">
        <f t="shared" si="20"/>
        <v/>
      </c>
      <c r="H707" s="51" t="str">
        <f t="shared" si="21"/>
        <v/>
      </c>
    </row>
    <row r="708" spans="5:8" x14ac:dyDescent="0.25">
      <c r="E708" s="50" t="str">
        <f>IF(OR(C708="",D708=""),"",AtualizarAte-C708)</f>
        <v/>
      </c>
      <c r="F708" s="51" t="str">
        <f>IF(OR(C708="",D708=""),"",IF(TipoCalculo="JUROS SIMPLES",D708*E708*TaxaAoDia,FV(TaxaAoDia,E708,,-D708)-D708))</f>
        <v/>
      </c>
      <c r="G708" s="51" t="str">
        <f t="shared" si="20"/>
        <v/>
      </c>
      <c r="H708" s="51" t="str">
        <f t="shared" si="21"/>
        <v/>
      </c>
    </row>
    <row r="709" spans="5:8" x14ac:dyDescent="0.25">
      <c r="E709" s="50" t="str">
        <f>IF(OR(C709="",D709=""),"",AtualizarAte-C709)</f>
        <v/>
      </c>
      <c r="F709" s="51" t="str">
        <f>IF(OR(C709="",D709=""),"",IF(TipoCalculo="JUROS SIMPLES",D709*E709*TaxaAoDia,FV(TaxaAoDia,E709,,-D709)-D709))</f>
        <v/>
      </c>
      <c r="G709" s="51" t="str">
        <f t="shared" si="20"/>
        <v/>
      </c>
      <c r="H709" s="51" t="str">
        <f t="shared" si="21"/>
        <v/>
      </c>
    </row>
    <row r="710" spans="5:8" x14ac:dyDescent="0.25">
      <c r="E710" s="50" t="str">
        <f>IF(OR(C710="",D710=""),"",AtualizarAte-C710)</f>
        <v/>
      </c>
      <c r="F710" s="51" t="str">
        <f>IF(OR(C710="",D710=""),"",IF(TipoCalculo="JUROS SIMPLES",D710*E710*TaxaAoDia,FV(TaxaAoDia,E710,,-D710)-D710))</f>
        <v/>
      </c>
      <c r="G710" s="51" t="str">
        <f t="shared" si="20"/>
        <v/>
      </c>
      <c r="H710" s="51" t="str">
        <f t="shared" si="21"/>
        <v/>
      </c>
    </row>
    <row r="711" spans="5:8" x14ac:dyDescent="0.25">
      <c r="E711" s="50" t="str">
        <f>IF(OR(C711="",D711=""),"",AtualizarAte-C711)</f>
        <v/>
      </c>
      <c r="F711" s="51" t="str">
        <f>IF(OR(C711="",D711=""),"",IF(TipoCalculo="JUROS SIMPLES",D711*E711*TaxaAoDia,FV(TaxaAoDia,E711,,-D711)-D711))</f>
        <v/>
      </c>
      <c r="G711" s="51" t="str">
        <f t="shared" si="20"/>
        <v/>
      </c>
      <c r="H711" s="51" t="str">
        <f t="shared" si="21"/>
        <v/>
      </c>
    </row>
    <row r="712" spans="5:8" x14ac:dyDescent="0.25">
      <c r="E712" s="50" t="str">
        <f>IF(OR(C712="",D712=""),"",AtualizarAte-C712)</f>
        <v/>
      </c>
      <c r="F712" s="51" t="str">
        <f>IF(OR(C712="",D712=""),"",IF(TipoCalculo="JUROS SIMPLES",D712*E712*TaxaAoDia,FV(TaxaAoDia,E712,,-D712)-D712))</f>
        <v/>
      </c>
      <c r="G712" s="51" t="str">
        <f t="shared" si="20"/>
        <v/>
      </c>
      <c r="H712" s="51" t="str">
        <f t="shared" si="21"/>
        <v/>
      </c>
    </row>
    <row r="713" spans="5:8" x14ac:dyDescent="0.25">
      <c r="E713" s="50" t="str">
        <f>IF(OR(C713="",D713=""),"",AtualizarAte-C713)</f>
        <v/>
      </c>
      <c r="F713" s="51" t="str">
        <f>IF(OR(C713="",D713=""),"",IF(TipoCalculo="JUROS SIMPLES",D713*E713*TaxaAoDia,FV(TaxaAoDia,E713,,-D713)-D713))</f>
        <v/>
      </c>
      <c r="G713" s="51" t="str">
        <f t="shared" si="20"/>
        <v/>
      </c>
      <c r="H713" s="51" t="str">
        <f t="shared" si="21"/>
        <v/>
      </c>
    </row>
    <row r="714" spans="5:8" x14ac:dyDescent="0.25">
      <c r="E714" s="50" t="str">
        <f>IF(OR(C714="",D714=""),"",AtualizarAte-C714)</f>
        <v/>
      </c>
      <c r="F714" s="51" t="str">
        <f>IF(OR(C714="",D714=""),"",IF(TipoCalculo="JUROS SIMPLES",D714*E714*TaxaAoDia,FV(TaxaAoDia,E714,,-D714)-D714))</f>
        <v/>
      </c>
      <c r="G714" s="51" t="str">
        <f t="shared" si="20"/>
        <v/>
      </c>
      <c r="H714" s="51" t="str">
        <f t="shared" si="21"/>
        <v/>
      </c>
    </row>
    <row r="715" spans="5:8" x14ac:dyDescent="0.25">
      <c r="E715" s="50" t="str">
        <f>IF(OR(C715="",D715=""),"",AtualizarAte-C715)</f>
        <v/>
      </c>
      <c r="F715" s="51" t="str">
        <f>IF(OR(C715="",D715=""),"",IF(TipoCalculo="JUROS SIMPLES",D715*E715*TaxaAoDia,FV(TaxaAoDia,E715,,-D715)-D715))</f>
        <v/>
      </c>
      <c r="G715" s="51" t="str">
        <f t="shared" si="20"/>
        <v/>
      </c>
      <c r="H715" s="51" t="str">
        <f t="shared" si="21"/>
        <v/>
      </c>
    </row>
    <row r="716" spans="5:8" x14ac:dyDescent="0.25">
      <c r="E716" s="50" t="str">
        <f>IF(OR(C716="",D716=""),"",AtualizarAte-C716)</f>
        <v/>
      </c>
      <c r="F716" s="51" t="str">
        <f>IF(OR(C716="",D716=""),"",IF(TipoCalculo="JUROS SIMPLES",D716*E716*TaxaAoDia,FV(TaxaAoDia,E716,,-D716)-D716))</f>
        <v/>
      </c>
      <c r="G716" s="51" t="str">
        <f t="shared" si="20"/>
        <v/>
      </c>
      <c r="H716" s="51" t="str">
        <f t="shared" si="21"/>
        <v/>
      </c>
    </row>
    <row r="717" spans="5:8" x14ac:dyDescent="0.25">
      <c r="E717" s="50" t="str">
        <f>IF(OR(C717="",D717=""),"",AtualizarAte-C717)</f>
        <v/>
      </c>
      <c r="F717" s="51" t="str">
        <f>IF(OR(C717="",D717=""),"",IF(TipoCalculo="JUROS SIMPLES",D717*E717*TaxaAoDia,FV(TaxaAoDia,E717,,-D717)-D717))</f>
        <v/>
      </c>
      <c r="G717" s="51" t="str">
        <f t="shared" ref="G717:G780" si="22">IF(OR(C717="",D717=""),"",D717+F717)</f>
        <v/>
      </c>
      <c r="H717" s="51" t="str">
        <f t="shared" ref="H717:H780" si="23">IF(C717="","",IF(D717="","",IF(H716="SALDO ATUALIZ.",G717,H716+G717)))</f>
        <v/>
      </c>
    </row>
    <row r="718" spans="5:8" x14ac:dyDescent="0.25">
      <c r="E718" s="50" t="str">
        <f>IF(OR(C718="",D718=""),"",AtualizarAte-C718)</f>
        <v/>
      </c>
      <c r="F718" s="51" t="str">
        <f>IF(OR(C718="",D718=""),"",IF(TipoCalculo="JUROS SIMPLES",D718*E718*TaxaAoDia,FV(TaxaAoDia,E718,,-D718)-D718))</f>
        <v/>
      </c>
      <c r="G718" s="51" t="str">
        <f t="shared" si="22"/>
        <v/>
      </c>
      <c r="H718" s="51" t="str">
        <f t="shared" si="23"/>
        <v/>
      </c>
    </row>
    <row r="719" spans="5:8" x14ac:dyDescent="0.25">
      <c r="E719" s="50" t="str">
        <f>IF(OR(C719="",D719=""),"",AtualizarAte-C719)</f>
        <v/>
      </c>
      <c r="F719" s="51" t="str">
        <f>IF(OR(C719="",D719=""),"",IF(TipoCalculo="JUROS SIMPLES",D719*E719*TaxaAoDia,FV(TaxaAoDia,E719,,-D719)-D719))</f>
        <v/>
      </c>
      <c r="G719" s="51" t="str">
        <f t="shared" si="22"/>
        <v/>
      </c>
      <c r="H719" s="51" t="str">
        <f t="shared" si="23"/>
        <v/>
      </c>
    </row>
    <row r="720" spans="5:8" x14ac:dyDescent="0.25">
      <c r="E720" s="50" t="str">
        <f>IF(OR(C720="",D720=""),"",AtualizarAte-C720)</f>
        <v/>
      </c>
      <c r="F720" s="51" t="str">
        <f>IF(OR(C720="",D720=""),"",IF(TipoCalculo="JUROS SIMPLES",D720*E720*TaxaAoDia,FV(TaxaAoDia,E720,,-D720)-D720))</f>
        <v/>
      </c>
      <c r="G720" s="51" t="str">
        <f t="shared" si="22"/>
        <v/>
      </c>
      <c r="H720" s="51" t="str">
        <f t="shared" si="23"/>
        <v/>
      </c>
    </row>
    <row r="721" spans="5:8" x14ac:dyDescent="0.25">
      <c r="E721" s="50" t="str">
        <f>IF(OR(C721="",D721=""),"",AtualizarAte-C721)</f>
        <v/>
      </c>
      <c r="F721" s="51" t="str">
        <f>IF(OR(C721="",D721=""),"",IF(TipoCalculo="JUROS SIMPLES",D721*E721*TaxaAoDia,FV(TaxaAoDia,E721,,-D721)-D721))</f>
        <v/>
      </c>
      <c r="G721" s="51" t="str">
        <f t="shared" si="22"/>
        <v/>
      </c>
      <c r="H721" s="51" t="str">
        <f t="shared" si="23"/>
        <v/>
      </c>
    </row>
    <row r="722" spans="5:8" x14ac:dyDescent="0.25">
      <c r="E722" s="50" t="str">
        <f>IF(OR(C722="",D722=""),"",AtualizarAte-C722)</f>
        <v/>
      </c>
      <c r="F722" s="51" t="str">
        <f>IF(OR(C722="",D722=""),"",IF(TipoCalculo="JUROS SIMPLES",D722*E722*TaxaAoDia,FV(TaxaAoDia,E722,,-D722)-D722))</f>
        <v/>
      </c>
      <c r="G722" s="51" t="str">
        <f t="shared" si="22"/>
        <v/>
      </c>
      <c r="H722" s="51" t="str">
        <f t="shared" si="23"/>
        <v/>
      </c>
    </row>
    <row r="723" spans="5:8" x14ac:dyDescent="0.25">
      <c r="E723" s="50" t="str">
        <f>IF(OR(C723="",D723=""),"",AtualizarAte-C723)</f>
        <v/>
      </c>
      <c r="F723" s="51" t="str">
        <f>IF(OR(C723="",D723=""),"",IF(TipoCalculo="JUROS SIMPLES",D723*E723*TaxaAoDia,FV(TaxaAoDia,E723,,-D723)-D723))</f>
        <v/>
      </c>
      <c r="G723" s="51" t="str">
        <f t="shared" si="22"/>
        <v/>
      </c>
      <c r="H723" s="51" t="str">
        <f t="shared" si="23"/>
        <v/>
      </c>
    </row>
    <row r="724" spans="5:8" x14ac:dyDescent="0.25">
      <c r="E724" s="50" t="str">
        <f>IF(OR(C724="",D724=""),"",AtualizarAte-C724)</f>
        <v/>
      </c>
      <c r="F724" s="51" t="str">
        <f>IF(OR(C724="",D724=""),"",IF(TipoCalculo="JUROS SIMPLES",D724*E724*TaxaAoDia,FV(TaxaAoDia,E724,,-D724)-D724))</f>
        <v/>
      </c>
      <c r="G724" s="51" t="str">
        <f t="shared" si="22"/>
        <v/>
      </c>
      <c r="H724" s="51" t="str">
        <f t="shared" si="23"/>
        <v/>
      </c>
    </row>
    <row r="725" spans="5:8" x14ac:dyDescent="0.25">
      <c r="E725" s="50" t="str">
        <f>IF(OR(C725="",D725=""),"",AtualizarAte-C725)</f>
        <v/>
      </c>
      <c r="F725" s="51" t="str">
        <f>IF(OR(C725="",D725=""),"",IF(TipoCalculo="JUROS SIMPLES",D725*E725*TaxaAoDia,FV(TaxaAoDia,E725,,-D725)-D725))</f>
        <v/>
      </c>
      <c r="G725" s="51" t="str">
        <f t="shared" si="22"/>
        <v/>
      </c>
      <c r="H725" s="51" t="str">
        <f t="shared" si="23"/>
        <v/>
      </c>
    </row>
    <row r="726" spans="5:8" x14ac:dyDescent="0.25">
      <c r="E726" s="50" t="str">
        <f>IF(OR(C726="",D726=""),"",AtualizarAte-C726)</f>
        <v/>
      </c>
      <c r="F726" s="51" t="str">
        <f>IF(OR(C726="",D726=""),"",IF(TipoCalculo="JUROS SIMPLES",D726*E726*TaxaAoDia,FV(TaxaAoDia,E726,,-D726)-D726))</f>
        <v/>
      </c>
      <c r="G726" s="51" t="str">
        <f t="shared" si="22"/>
        <v/>
      </c>
      <c r="H726" s="51" t="str">
        <f t="shared" si="23"/>
        <v/>
      </c>
    </row>
    <row r="727" spans="5:8" x14ac:dyDescent="0.25">
      <c r="E727" s="50" t="str">
        <f>IF(OR(C727="",D727=""),"",AtualizarAte-C727)</f>
        <v/>
      </c>
      <c r="F727" s="51" t="str">
        <f>IF(OR(C727="",D727=""),"",IF(TipoCalculo="JUROS SIMPLES",D727*E727*TaxaAoDia,FV(TaxaAoDia,E727,,-D727)-D727))</f>
        <v/>
      </c>
      <c r="G727" s="51" t="str">
        <f t="shared" si="22"/>
        <v/>
      </c>
      <c r="H727" s="51" t="str">
        <f t="shared" si="23"/>
        <v/>
      </c>
    </row>
    <row r="728" spans="5:8" x14ac:dyDescent="0.25">
      <c r="E728" s="50" t="str">
        <f>IF(OR(C728="",D728=""),"",AtualizarAte-C728)</f>
        <v/>
      </c>
      <c r="F728" s="51" t="str">
        <f>IF(OR(C728="",D728=""),"",IF(TipoCalculo="JUROS SIMPLES",D728*E728*TaxaAoDia,FV(TaxaAoDia,E728,,-D728)-D728))</f>
        <v/>
      </c>
      <c r="G728" s="51" t="str">
        <f t="shared" si="22"/>
        <v/>
      </c>
      <c r="H728" s="51" t="str">
        <f t="shared" si="23"/>
        <v/>
      </c>
    </row>
    <row r="729" spans="5:8" x14ac:dyDescent="0.25">
      <c r="E729" s="50" t="str">
        <f>IF(OR(C729="",D729=""),"",AtualizarAte-C729)</f>
        <v/>
      </c>
      <c r="F729" s="51" t="str">
        <f>IF(OR(C729="",D729=""),"",IF(TipoCalculo="JUROS SIMPLES",D729*E729*TaxaAoDia,FV(TaxaAoDia,E729,,-D729)-D729))</f>
        <v/>
      </c>
      <c r="G729" s="51" t="str">
        <f t="shared" si="22"/>
        <v/>
      </c>
      <c r="H729" s="51" t="str">
        <f t="shared" si="23"/>
        <v/>
      </c>
    </row>
    <row r="730" spans="5:8" x14ac:dyDescent="0.25">
      <c r="E730" s="50" t="str">
        <f>IF(OR(C730="",D730=""),"",AtualizarAte-C730)</f>
        <v/>
      </c>
      <c r="F730" s="51" t="str">
        <f>IF(OR(C730="",D730=""),"",IF(TipoCalculo="JUROS SIMPLES",D730*E730*TaxaAoDia,FV(TaxaAoDia,E730,,-D730)-D730))</f>
        <v/>
      </c>
      <c r="G730" s="51" t="str">
        <f t="shared" si="22"/>
        <v/>
      </c>
      <c r="H730" s="51" t="str">
        <f t="shared" si="23"/>
        <v/>
      </c>
    </row>
    <row r="731" spans="5:8" x14ac:dyDescent="0.25">
      <c r="E731" s="50" t="str">
        <f>IF(OR(C731="",D731=""),"",AtualizarAte-C731)</f>
        <v/>
      </c>
      <c r="F731" s="51" t="str">
        <f>IF(OR(C731="",D731=""),"",IF(TipoCalculo="JUROS SIMPLES",D731*E731*TaxaAoDia,FV(TaxaAoDia,E731,,-D731)-D731))</f>
        <v/>
      </c>
      <c r="G731" s="51" t="str">
        <f t="shared" si="22"/>
        <v/>
      </c>
      <c r="H731" s="51" t="str">
        <f t="shared" si="23"/>
        <v/>
      </c>
    </row>
    <row r="732" spans="5:8" x14ac:dyDescent="0.25">
      <c r="E732" s="50" t="str">
        <f>IF(OR(C732="",D732=""),"",AtualizarAte-C732)</f>
        <v/>
      </c>
      <c r="F732" s="51" t="str">
        <f>IF(OR(C732="",D732=""),"",IF(TipoCalculo="JUROS SIMPLES",D732*E732*TaxaAoDia,FV(TaxaAoDia,E732,,-D732)-D732))</f>
        <v/>
      </c>
      <c r="G732" s="51" t="str">
        <f t="shared" si="22"/>
        <v/>
      </c>
      <c r="H732" s="51" t="str">
        <f t="shared" si="23"/>
        <v/>
      </c>
    </row>
    <row r="733" spans="5:8" x14ac:dyDescent="0.25">
      <c r="E733" s="50" t="str">
        <f>IF(OR(C733="",D733=""),"",AtualizarAte-C733)</f>
        <v/>
      </c>
      <c r="F733" s="51" t="str">
        <f>IF(OR(C733="",D733=""),"",IF(TipoCalculo="JUROS SIMPLES",D733*E733*TaxaAoDia,FV(TaxaAoDia,E733,,-D733)-D733))</f>
        <v/>
      </c>
      <c r="G733" s="51" t="str">
        <f t="shared" si="22"/>
        <v/>
      </c>
      <c r="H733" s="51" t="str">
        <f t="shared" si="23"/>
        <v/>
      </c>
    </row>
    <row r="734" spans="5:8" x14ac:dyDescent="0.25">
      <c r="E734" s="50" t="str">
        <f>IF(OR(C734="",D734=""),"",AtualizarAte-C734)</f>
        <v/>
      </c>
      <c r="F734" s="51" t="str">
        <f>IF(OR(C734="",D734=""),"",IF(TipoCalculo="JUROS SIMPLES",D734*E734*TaxaAoDia,FV(TaxaAoDia,E734,,-D734)-D734))</f>
        <v/>
      </c>
      <c r="G734" s="51" t="str">
        <f t="shared" si="22"/>
        <v/>
      </c>
      <c r="H734" s="51" t="str">
        <f t="shared" si="23"/>
        <v/>
      </c>
    </row>
    <row r="735" spans="5:8" x14ac:dyDescent="0.25">
      <c r="E735" s="50" t="str">
        <f>IF(OR(C735="",D735=""),"",AtualizarAte-C735)</f>
        <v/>
      </c>
      <c r="F735" s="51" t="str">
        <f>IF(OR(C735="",D735=""),"",IF(TipoCalculo="JUROS SIMPLES",D735*E735*TaxaAoDia,FV(TaxaAoDia,E735,,-D735)-D735))</f>
        <v/>
      </c>
      <c r="G735" s="51" t="str">
        <f t="shared" si="22"/>
        <v/>
      </c>
      <c r="H735" s="51" t="str">
        <f t="shared" si="23"/>
        <v/>
      </c>
    </row>
    <row r="736" spans="5:8" x14ac:dyDescent="0.25">
      <c r="E736" s="50" t="str">
        <f>IF(OR(C736="",D736=""),"",AtualizarAte-C736)</f>
        <v/>
      </c>
      <c r="F736" s="51" t="str">
        <f>IF(OR(C736="",D736=""),"",IF(TipoCalculo="JUROS SIMPLES",D736*E736*TaxaAoDia,FV(TaxaAoDia,E736,,-D736)-D736))</f>
        <v/>
      </c>
      <c r="G736" s="51" t="str">
        <f t="shared" si="22"/>
        <v/>
      </c>
      <c r="H736" s="51" t="str">
        <f t="shared" si="23"/>
        <v/>
      </c>
    </row>
    <row r="737" spans="5:8" x14ac:dyDescent="0.25">
      <c r="E737" s="50" t="str">
        <f>IF(OR(C737="",D737=""),"",AtualizarAte-C737)</f>
        <v/>
      </c>
      <c r="F737" s="51" t="str">
        <f>IF(OR(C737="",D737=""),"",IF(TipoCalculo="JUROS SIMPLES",D737*E737*TaxaAoDia,FV(TaxaAoDia,E737,,-D737)-D737))</f>
        <v/>
      </c>
      <c r="G737" s="51" t="str">
        <f t="shared" si="22"/>
        <v/>
      </c>
      <c r="H737" s="51" t="str">
        <f t="shared" si="23"/>
        <v/>
      </c>
    </row>
    <row r="738" spans="5:8" x14ac:dyDescent="0.25">
      <c r="E738" s="50" t="str">
        <f>IF(OR(C738="",D738=""),"",AtualizarAte-C738)</f>
        <v/>
      </c>
      <c r="F738" s="51" t="str">
        <f>IF(OR(C738="",D738=""),"",IF(TipoCalculo="JUROS SIMPLES",D738*E738*TaxaAoDia,FV(TaxaAoDia,E738,,-D738)-D738))</f>
        <v/>
      </c>
      <c r="G738" s="51" t="str">
        <f t="shared" si="22"/>
        <v/>
      </c>
      <c r="H738" s="51" t="str">
        <f t="shared" si="23"/>
        <v/>
      </c>
    </row>
    <row r="739" spans="5:8" x14ac:dyDescent="0.25">
      <c r="E739" s="50" t="str">
        <f>IF(OR(C739="",D739=""),"",AtualizarAte-C739)</f>
        <v/>
      </c>
      <c r="F739" s="51" t="str">
        <f>IF(OR(C739="",D739=""),"",IF(TipoCalculo="JUROS SIMPLES",D739*E739*TaxaAoDia,FV(TaxaAoDia,E739,,-D739)-D739))</f>
        <v/>
      </c>
      <c r="G739" s="51" t="str">
        <f t="shared" si="22"/>
        <v/>
      </c>
      <c r="H739" s="51" t="str">
        <f t="shared" si="23"/>
        <v/>
      </c>
    </row>
    <row r="740" spans="5:8" x14ac:dyDescent="0.25">
      <c r="E740" s="50" t="str">
        <f>IF(OR(C740="",D740=""),"",AtualizarAte-C740)</f>
        <v/>
      </c>
      <c r="F740" s="51" t="str">
        <f>IF(OR(C740="",D740=""),"",IF(TipoCalculo="JUROS SIMPLES",D740*E740*TaxaAoDia,FV(TaxaAoDia,E740,,-D740)-D740))</f>
        <v/>
      </c>
      <c r="G740" s="51" t="str">
        <f t="shared" si="22"/>
        <v/>
      </c>
      <c r="H740" s="51" t="str">
        <f t="shared" si="23"/>
        <v/>
      </c>
    </row>
    <row r="741" spans="5:8" x14ac:dyDescent="0.25">
      <c r="E741" s="50" t="str">
        <f>IF(OR(C741="",D741=""),"",AtualizarAte-C741)</f>
        <v/>
      </c>
      <c r="F741" s="51" t="str">
        <f>IF(OR(C741="",D741=""),"",IF(TipoCalculo="JUROS SIMPLES",D741*E741*TaxaAoDia,FV(TaxaAoDia,E741,,-D741)-D741))</f>
        <v/>
      </c>
      <c r="G741" s="51" t="str">
        <f t="shared" si="22"/>
        <v/>
      </c>
      <c r="H741" s="51" t="str">
        <f t="shared" si="23"/>
        <v/>
      </c>
    </row>
    <row r="742" spans="5:8" x14ac:dyDescent="0.25">
      <c r="E742" s="50" t="str">
        <f>IF(OR(C742="",D742=""),"",AtualizarAte-C742)</f>
        <v/>
      </c>
      <c r="F742" s="51" t="str">
        <f>IF(OR(C742="",D742=""),"",IF(TipoCalculo="JUROS SIMPLES",D742*E742*TaxaAoDia,FV(TaxaAoDia,E742,,-D742)-D742))</f>
        <v/>
      </c>
      <c r="G742" s="51" t="str">
        <f t="shared" si="22"/>
        <v/>
      </c>
      <c r="H742" s="51" t="str">
        <f t="shared" si="23"/>
        <v/>
      </c>
    </row>
    <row r="743" spans="5:8" x14ac:dyDescent="0.25">
      <c r="E743" s="50" t="str">
        <f>IF(OR(C743="",D743=""),"",AtualizarAte-C743)</f>
        <v/>
      </c>
      <c r="F743" s="51" t="str">
        <f>IF(OR(C743="",D743=""),"",IF(TipoCalculo="JUROS SIMPLES",D743*E743*TaxaAoDia,FV(TaxaAoDia,E743,,-D743)-D743))</f>
        <v/>
      </c>
      <c r="G743" s="51" t="str">
        <f t="shared" si="22"/>
        <v/>
      </c>
      <c r="H743" s="51" t="str">
        <f t="shared" si="23"/>
        <v/>
      </c>
    </row>
    <row r="744" spans="5:8" x14ac:dyDescent="0.25">
      <c r="E744" s="50" t="str">
        <f>IF(OR(C744="",D744=""),"",AtualizarAte-C744)</f>
        <v/>
      </c>
      <c r="F744" s="51" t="str">
        <f>IF(OR(C744="",D744=""),"",IF(TipoCalculo="JUROS SIMPLES",D744*E744*TaxaAoDia,FV(TaxaAoDia,E744,,-D744)-D744))</f>
        <v/>
      </c>
      <c r="G744" s="51" t="str">
        <f t="shared" si="22"/>
        <v/>
      </c>
      <c r="H744" s="51" t="str">
        <f t="shared" si="23"/>
        <v/>
      </c>
    </row>
    <row r="745" spans="5:8" x14ac:dyDescent="0.25">
      <c r="E745" s="50" t="str">
        <f>IF(OR(C745="",D745=""),"",AtualizarAte-C745)</f>
        <v/>
      </c>
      <c r="F745" s="51" t="str">
        <f>IF(OR(C745="",D745=""),"",IF(TipoCalculo="JUROS SIMPLES",D745*E745*TaxaAoDia,FV(TaxaAoDia,E745,,-D745)-D745))</f>
        <v/>
      </c>
      <c r="G745" s="51" t="str">
        <f t="shared" si="22"/>
        <v/>
      </c>
      <c r="H745" s="51" t="str">
        <f t="shared" si="23"/>
        <v/>
      </c>
    </row>
    <row r="746" spans="5:8" x14ac:dyDescent="0.25">
      <c r="E746" s="50" t="str">
        <f>IF(OR(C746="",D746=""),"",AtualizarAte-C746)</f>
        <v/>
      </c>
      <c r="F746" s="51" t="str">
        <f>IF(OR(C746="",D746=""),"",IF(TipoCalculo="JUROS SIMPLES",D746*E746*TaxaAoDia,FV(TaxaAoDia,E746,,-D746)-D746))</f>
        <v/>
      </c>
      <c r="G746" s="51" t="str">
        <f t="shared" si="22"/>
        <v/>
      </c>
      <c r="H746" s="51" t="str">
        <f t="shared" si="23"/>
        <v/>
      </c>
    </row>
    <row r="747" spans="5:8" x14ac:dyDescent="0.25">
      <c r="E747" s="50" t="str">
        <f>IF(OR(C747="",D747=""),"",AtualizarAte-C747)</f>
        <v/>
      </c>
      <c r="F747" s="51" t="str">
        <f>IF(OR(C747="",D747=""),"",IF(TipoCalculo="JUROS SIMPLES",D747*E747*TaxaAoDia,FV(TaxaAoDia,E747,,-D747)-D747))</f>
        <v/>
      </c>
      <c r="G747" s="51" t="str">
        <f t="shared" si="22"/>
        <v/>
      </c>
      <c r="H747" s="51" t="str">
        <f t="shared" si="23"/>
        <v/>
      </c>
    </row>
    <row r="748" spans="5:8" x14ac:dyDescent="0.25">
      <c r="E748" s="50" t="str">
        <f>IF(OR(C748="",D748=""),"",AtualizarAte-C748)</f>
        <v/>
      </c>
      <c r="F748" s="51" t="str">
        <f>IF(OR(C748="",D748=""),"",IF(TipoCalculo="JUROS SIMPLES",D748*E748*TaxaAoDia,FV(TaxaAoDia,E748,,-D748)-D748))</f>
        <v/>
      </c>
      <c r="G748" s="51" t="str">
        <f t="shared" si="22"/>
        <v/>
      </c>
      <c r="H748" s="51" t="str">
        <f t="shared" si="23"/>
        <v/>
      </c>
    </row>
    <row r="749" spans="5:8" x14ac:dyDescent="0.25">
      <c r="E749" s="50" t="str">
        <f>IF(OR(C749="",D749=""),"",AtualizarAte-C749)</f>
        <v/>
      </c>
      <c r="F749" s="51" t="str">
        <f>IF(OR(C749="",D749=""),"",IF(TipoCalculo="JUROS SIMPLES",D749*E749*TaxaAoDia,FV(TaxaAoDia,E749,,-D749)-D749))</f>
        <v/>
      </c>
      <c r="G749" s="51" t="str">
        <f t="shared" si="22"/>
        <v/>
      </c>
      <c r="H749" s="51" t="str">
        <f t="shared" si="23"/>
        <v/>
      </c>
    </row>
    <row r="750" spans="5:8" x14ac:dyDescent="0.25">
      <c r="E750" s="50" t="str">
        <f>IF(OR(C750="",D750=""),"",AtualizarAte-C750)</f>
        <v/>
      </c>
      <c r="F750" s="51" t="str">
        <f>IF(OR(C750="",D750=""),"",IF(TipoCalculo="JUROS SIMPLES",D750*E750*TaxaAoDia,FV(TaxaAoDia,E750,,-D750)-D750))</f>
        <v/>
      </c>
      <c r="G750" s="51" t="str">
        <f t="shared" si="22"/>
        <v/>
      </c>
      <c r="H750" s="51" t="str">
        <f t="shared" si="23"/>
        <v/>
      </c>
    </row>
    <row r="751" spans="5:8" x14ac:dyDescent="0.25">
      <c r="E751" s="50" t="str">
        <f>IF(OR(C751="",D751=""),"",AtualizarAte-C751)</f>
        <v/>
      </c>
      <c r="F751" s="51" t="str">
        <f>IF(OR(C751="",D751=""),"",IF(TipoCalculo="JUROS SIMPLES",D751*E751*TaxaAoDia,FV(TaxaAoDia,E751,,-D751)-D751))</f>
        <v/>
      </c>
      <c r="G751" s="51" t="str">
        <f t="shared" si="22"/>
        <v/>
      </c>
      <c r="H751" s="51" t="str">
        <f t="shared" si="23"/>
        <v/>
      </c>
    </row>
    <row r="752" spans="5:8" x14ac:dyDescent="0.25">
      <c r="E752" s="50" t="str">
        <f>IF(OR(C752="",D752=""),"",AtualizarAte-C752)</f>
        <v/>
      </c>
      <c r="F752" s="51" t="str">
        <f>IF(OR(C752="",D752=""),"",IF(TipoCalculo="JUROS SIMPLES",D752*E752*TaxaAoDia,FV(TaxaAoDia,E752,,-D752)-D752))</f>
        <v/>
      </c>
      <c r="G752" s="51" t="str">
        <f t="shared" si="22"/>
        <v/>
      </c>
      <c r="H752" s="51" t="str">
        <f t="shared" si="23"/>
        <v/>
      </c>
    </row>
    <row r="753" spans="5:8" x14ac:dyDescent="0.25">
      <c r="E753" s="50" t="str">
        <f>IF(OR(C753="",D753=""),"",AtualizarAte-C753)</f>
        <v/>
      </c>
      <c r="F753" s="51" t="str">
        <f>IF(OR(C753="",D753=""),"",IF(TipoCalculo="JUROS SIMPLES",D753*E753*TaxaAoDia,FV(TaxaAoDia,E753,,-D753)-D753))</f>
        <v/>
      </c>
      <c r="G753" s="51" t="str">
        <f t="shared" si="22"/>
        <v/>
      </c>
      <c r="H753" s="51" t="str">
        <f t="shared" si="23"/>
        <v/>
      </c>
    </row>
    <row r="754" spans="5:8" x14ac:dyDescent="0.25">
      <c r="E754" s="50" t="str">
        <f>IF(OR(C754="",D754=""),"",AtualizarAte-C754)</f>
        <v/>
      </c>
      <c r="F754" s="51" t="str">
        <f>IF(OR(C754="",D754=""),"",IF(TipoCalculo="JUROS SIMPLES",D754*E754*TaxaAoDia,FV(TaxaAoDia,E754,,-D754)-D754))</f>
        <v/>
      </c>
      <c r="G754" s="51" t="str">
        <f t="shared" si="22"/>
        <v/>
      </c>
      <c r="H754" s="51" t="str">
        <f t="shared" si="23"/>
        <v/>
      </c>
    </row>
    <row r="755" spans="5:8" x14ac:dyDescent="0.25">
      <c r="E755" s="50" t="str">
        <f>IF(OR(C755="",D755=""),"",AtualizarAte-C755)</f>
        <v/>
      </c>
      <c r="F755" s="51" t="str">
        <f>IF(OR(C755="",D755=""),"",IF(TipoCalculo="JUROS SIMPLES",D755*E755*TaxaAoDia,FV(TaxaAoDia,E755,,-D755)-D755))</f>
        <v/>
      </c>
      <c r="G755" s="51" t="str">
        <f t="shared" si="22"/>
        <v/>
      </c>
      <c r="H755" s="51" t="str">
        <f t="shared" si="23"/>
        <v/>
      </c>
    </row>
    <row r="756" spans="5:8" x14ac:dyDescent="0.25">
      <c r="E756" s="50" t="str">
        <f>IF(OR(C756="",D756=""),"",AtualizarAte-C756)</f>
        <v/>
      </c>
      <c r="F756" s="51" t="str">
        <f>IF(OR(C756="",D756=""),"",IF(TipoCalculo="JUROS SIMPLES",D756*E756*TaxaAoDia,FV(TaxaAoDia,E756,,-D756)-D756))</f>
        <v/>
      </c>
      <c r="G756" s="51" t="str">
        <f t="shared" si="22"/>
        <v/>
      </c>
      <c r="H756" s="51" t="str">
        <f t="shared" si="23"/>
        <v/>
      </c>
    </row>
    <row r="757" spans="5:8" x14ac:dyDescent="0.25">
      <c r="E757" s="50" t="str">
        <f>IF(OR(C757="",D757=""),"",AtualizarAte-C757)</f>
        <v/>
      </c>
      <c r="F757" s="51" t="str">
        <f>IF(OR(C757="",D757=""),"",IF(TipoCalculo="JUROS SIMPLES",D757*E757*TaxaAoDia,FV(TaxaAoDia,E757,,-D757)-D757))</f>
        <v/>
      </c>
      <c r="G757" s="51" t="str">
        <f t="shared" si="22"/>
        <v/>
      </c>
      <c r="H757" s="51" t="str">
        <f t="shared" si="23"/>
        <v/>
      </c>
    </row>
    <row r="758" spans="5:8" x14ac:dyDescent="0.25">
      <c r="E758" s="50" t="str">
        <f>IF(OR(C758="",D758=""),"",AtualizarAte-C758)</f>
        <v/>
      </c>
      <c r="F758" s="51" t="str">
        <f>IF(OR(C758="",D758=""),"",IF(TipoCalculo="JUROS SIMPLES",D758*E758*TaxaAoDia,FV(TaxaAoDia,E758,,-D758)-D758))</f>
        <v/>
      </c>
      <c r="G758" s="51" t="str">
        <f t="shared" si="22"/>
        <v/>
      </c>
      <c r="H758" s="51" t="str">
        <f t="shared" si="23"/>
        <v/>
      </c>
    </row>
    <row r="759" spans="5:8" x14ac:dyDescent="0.25">
      <c r="E759" s="50" t="str">
        <f>IF(OR(C759="",D759=""),"",AtualizarAte-C759)</f>
        <v/>
      </c>
      <c r="F759" s="51" t="str">
        <f>IF(OR(C759="",D759=""),"",IF(TipoCalculo="JUROS SIMPLES",D759*E759*TaxaAoDia,FV(TaxaAoDia,E759,,-D759)-D759))</f>
        <v/>
      </c>
      <c r="G759" s="51" t="str">
        <f t="shared" si="22"/>
        <v/>
      </c>
      <c r="H759" s="51" t="str">
        <f t="shared" si="23"/>
        <v/>
      </c>
    </row>
    <row r="760" spans="5:8" x14ac:dyDescent="0.25">
      <c r="E760" s="50" t="str">
        <f>IF(OR(C760="",D760=""),"",AtualizarAte-C760)</f>
        <v/>
      </c>
      <c r="F760" s="51" t="str">
        <f>IF(OR(C760="",D760=""),"",IF(TipoCalculo="JUROS SIMPLES",D760*E760*TaxaAoDia,FV(TaxaAoDia,E760,,-D760)-D760))</f>
        <v/>
      </c>
      <c r="G760" s="51" t="str">
        <f t="shared" si="22"/>
        <v/>
      </c>
      <c r="H760" s="51" t="str">
        <f t="shared" si="23"/>
        <v/>
      </c>
    </row>
    <row r="761" spans="5:8" x14ac:dyDescent="0.25">
      <c r="E761" s="50" t="str">
        <f>IF(OR(C761="",D761=""),"",AtualizarAte-C761)</f>
        <v/>
      </c>
      <c r="F761" s="51" t="str">
        <f>IF(OR(C761="",D761=""),"",IF(TipoCalculo="JUROS SIMPLES",D761*E761*TaxaAoDia,FV(TaxaAoDia,E761,,-D761)-D761))</f>
        <v/>
      </c>
      <c r="G761" s="51" t="str">
        <f t="shared" si="22"/>
        <v/>
      </c>
      <c r="H761" s="51" t="str">
        <f t="shared" si="23"/>
        <v/>
      </c>
    </row>
    <row r="762" spans="5:8" x14ac:dyDescent="0.25">
      <c r="E762" s="50" t="str">
        <f>IF(OR(C762="",D762=""),"",AtualizarAte-C762)</f>
        <v/>
      </c>
      <c r="F762" s="51" t="str">
        <f>IF(OR(C762="",D762=""),"",IF(TipoCalculo="JUROS SIMPLES",D762*E762*TaxaAoDia,FV(TaxaAoDia,E762,,-D762)-D762))</f>
        <v/>
      </c>
      <c r="G762" s="51" t="str">
        <f t="shared" si="22"/>
        <v/>
      </c>
      <c r="H762" s="51" t="str">
        <f t="shared" si="23"/>
        <v/>
      </c>
    </row>
    <row r="763" spans="5:8" x14ac:dyDescent="0.25">
      <c r="E763" s="50" t="str">
        <f>IF(OR(C763="",D763=""),"",AtualizarAte-C763)</f>
        <v/>
      </c>
      <c r="F763" s="51" t="str">
        <f>IF(OR(C763="",D763=""),"",IF(TipoCalculo="JUROS SIMPLES",D763*E763*TaxaAoDia,FV(TaxaAoDia,E763,,-D763)-D763))</f>
        <v/>
      </c>
      <c r="G763" s="51" t="str">
        <f t="shared" si="22"/>
        <v/>
      </c>
      <c r="H763" s="51" t="str">
        <f t="shared" si="23"/>
        <v/>
      </c>
    </row>
    <row r="764" spans="5:8" x14ac:dyDescent="0.25">
      <c r="E764" s="50" t="str">
        <f>IF(OR(C764="",D764=""),"",AtualizarAte-C764)</f>
        <v/>
      </c>
      <c r="F764" s="51" t="str">
        <f>IF(OR(C764="",D764=""),"",IF(TipoCalculo="JUROS SIMPLES",D764*E764*TaxaAoDia,FV(TaxaAoDia,E764,,-D764)-D764))</f>
        <v/>
      </c>
      <c r="G764" s="51" t="str">
        <f t="shared" si="22"/>
        <v/>
      </c>
      <c r="H764" s="51" t="str">
        <f t="shared" si="23"/>
        <v/>
      </c>
    </row>
    <row r="765" spans="5:8" x14ac:dyDescent="0.25">
      <c r="E765" s="50" t="str">
        <f>IF(OR(C765="",D765=""),"",AtualizarAte-C765)</f>
        <v/>
      </c>
      <c r="F765" s="51" t="str">
        <f>IF(OR(C765="",D765=""),"",IF(TipoCalculo="JUROS SIMPLES",D765*E765*TaxaAoDia,FV(TaxaAoDia,E765,,-D765)-D765))</f>
        <v/>
      </c>
      <c r="G765" s="51" t="str">
        <f t="shared" si="22"/>
        <v/>
      </c>
      <c r="H765" s="51" t="str">
        <f t="shared" si="23"/>
        <v/>
      </c>
    </row>
    <row r="766" spans="5:8" x14ac:dyDescent="0.25">
      <c r="E766" s="50" t="str">
        <f>IF(OR(C766="",D766=""),"",AtualizarAte-C766)</f>
        <v/>
      </c>
      <c r="F766" s="51" t="str">
        <f>IF(OR(C766="",D766=""),"",IF(TipoCalculo="JUROS SIMPLES",D766*E766*TaxaAoDia,FV(TaxaAoDia,E766,,-D766)-D766))</f>
        <v/>
      </c>
      <c r="G766" s="51" t="str">
        <f t="shared" si="22"/>
        <v/>
      </c>
      <c r="H766" s="51" t="str">
        <f t="shared" si="23"/>
        <v/>
      </c>
    </row>
    <row r="767" spans="5:8" x14ac:dyDescent="0.25">
      <c r="E767" s="50" t="str">
        <f>IF(OR(C767="",D767=""),"",AtualizarAte-C767)</f>
        <v/>
      </c>
      <c r="F767" s="51" t="str">
        <f>IF(OR(C767="",D767=""),"",IF(TipoCalculo="JUROS SIMPLES",D767*E767*TaxaAoDia,FV(TaxaAoDia,E767,,-D767)-D767))</f>
        <v/>
      </c>
      <c r="G767" s="51" t="str">
        <f t="shared" si="22"/>
        <v/>
      </c>
      <c r="H767" s="51" t="str">
        <f t="shared" si="23"/>
        <v/>
      </c>
    </row>
    <row r="768" spans="5:8" x14ac:dyDescent="0.25">
      <c r="E768" s="50" t="str">
        <f>IF(OR(C768="",D768=""),"",AtualizarAte-C768)</f>
        <v/>
      </c>
      <c r="F768" s="51" t="str">
        <f>IF(OR(C768="",D768=""),"",IF(TipoCalculo="JUROS SIMPLES",D768*E768*TaxaAoDia,FV(TaxaAoDia,E768,,-D768)-D768))</f>
        <v/>
      </c>
      <c r="G768" s="51" t="str">
        <f t="shared" si="22"/>
        <v/>
      </c>
      <c r="H768" s="51" t="str">
        <f t="shared" si="23"/>
        <v/>
      </c>
    </row>
    <row r="769" spans="5:8" x14ac:dyDescent="0.25">
      <c r="E769" s="50" t="str">
        <f>IF(OR(C769="",D769=""),"",AtualizarAte-C769)</f>
        <v/>
      </c>
      <c r="F769" s="51" t="str">
        <f>IF(OR(C769="",D769=""),"",IF(TipoCalculo="JUROS SIMPLES",D769*E769*TaxaAoDia,FV(TaxaAoDia,E769,,-D769)-D769))</f>
        <v/>
      </c>
      <c r="G769" s="51" t="str">
        <f t="shared" si="22"/>
        <v/>
      </c>
      <c r="H769" s="51" t="str">
        <f t="shared" si="23"/>
        <v/>
      </c>
    </row>
    <row r="770" spans="5:8" x14ac:dyDescent="0.25">
      <c r="E770" s="50" t="str">
        <f>IF(OR(C770="",D770=""),"",AtualizarAte-C770)</f>
        <v/>
      </c>
      <c r="F770" s="51" t="str">
        <f>IF(OR(C770="",D770=""),"",IF(TipoCalculo="JUROS SIMPLES",D770*E770*TaxaAoDia,FV(TaxaAoDia,E770,,-D770)-D770))</f>
        <v/>
      </c>
      <c r="G770" s="51" t="str">
        <f t="shared" si="22"/>
        <v/>
      </c>
      <c r="H770" s="51" t="str">
        <f t="shared" si="23"/>
        <v/>
      </c>
    </row>
    <row r="771" spans="5:8" x14ac:dyDescent="0.25">
      <c r="E771" s="50" t="str">
        <f>IF(OR(C771="",D771=""),"",AtualizarAte-C771)</f>
        <v/>
      </c>
      <c r="F771" s="51" t="str">
        <f>IF(OR(C771="",D771=""),"",IF(TipoCalculo="JUROS SIMPLES",D771*E771*TaxaAoDia,FV(TaxaAoDia,E771,,-D771)-D771))</f>
        <v/>
      </c>
      <c r="G771" s="51" t="str">
        <f t="shared" si="22"/>
        <v/>
      </c>
      <c r="H771" s="51" t="str">
        <f t="shared" si="23"/>
        <v/>
      </c>
    </row>
    <row r="772" spans="5:8" x14ac:dyDescent="0.25">
      <c r="E772" s="50" t="str">
        <f>IF(OR(C772="",D772=""),"",AtualizarAte-C772)</f>
        <v/>
      </c>
      <c r="F772" s="51" t="str">
        <f>IF(OR(C772="",D772=""),"",IF(TipoCalculo="JUROS SIMPLES",D772*E772*TaxaAoDia,FV(TaxaAoDia,E772,,-D772)-D772))</f>
        <v/>
      </c>
      <c r="G772" s="51" t="str">
        <f t="shared" si="22"/>
        <v/>
      </c>
      <c r="H772" s="51" t="str">
        <f t="shared" si="23"/>
        <v/>
      </c>
    </row>
    <row r="773" spans="5:8" x14ac:dyDescent="0.25">
      <c r="E773" s="50" t="str">
        <f>IF(OR(C773="",D773=""),"",AtualizarAte-C773)</f>
        <v/>
      </c>
      <c r="F773" s="51" t="str">
        <f>IF(OR(C773="",D773=""),"",IF(TipoCalculo="JUROS SIMPLES",D773*E773*TaxaAoDia,FV(TaxaAoDia,E773,,-D773)-D773))</f>
        <v/>
      </c>
      <c r="G773" s="51" t="str">
        <f t="shared" si="22"/>
        <v/>
      </c>
      <c r="H773" s="51" t="str">
        <f t="shared" si="23"/>
        <v/>
      </c>
    </row>
    <row r="774" spans="5:8" x14ac:dyDescent="0.25">
      <c r="E774" s="50" t="str">
        <f>IF(OR(C774="",D774=""),"",AtualizarAte-C774)</f>
        <v/>
      </c>
      <c r="F774" s="51" t="str">
        <f>IF(OR(C774="",D774=""),"",IF(TipoCalculo="JUROS SIMPLES",D774*E774*TaxaAoDia,FV(TaxaAoDia,E774,,-D774)-D774))</f>
        <v/>
      </c>
      <c r="G774" s="51" t="str">
        <f t="shared" si="22"/>
        <v/>
      </c>
      <c r="H774" s="51" t="str">
        <f t="shared" si="23"/>
        <v/>
      </c>
    </row>
    <row r="775" spans="5:8" x14ac:dyDescent="0.25">
      <c r="E775" s="50" t="str">
        <f>IF(OR(C775="",D775=""),"",AtualizarAte-C775)</f>
        <v/>
      </c>
      <c r="F775" s="51" t="str">
        <f>IF(OR(C775="",D775=""),"",IF(TipoCalculo="JUROS SIMPLES",D775*E775*TaxaAoDia,FV(TaxaAoDia,E775,,-D775)-D775))</f>
        <v/>
      </c>
      <c r="G775" s="51" t="str">
        <f t="shared" si="22"/>
        <v/>
      </c>
      <c r="H775" s="51" t="str">
        <f t="shared" si="23"/>
        <v/>
      </c>
    </row>
    <row r="776" spans="5:8" x14ac:dyDescent="0.25">
      <c r="E776" s="50" t="str">
        <f>IF(OR(C776="",D776=""),"",AtualizarAte-C776)</f>
        <v/>
      </c>
      <c r="F776" s="51" t="str">
        <f>IF(OR(C776="",D776=""),"",IF(TipoCalculo="JUROS SIMPLES",D776*E776*TaxaAoDia,FV(TaxaAoDia,E776,,-D776)-D776))</f>
        <v/>
      </c>
      <c r="G776" s="51" t="str">
        <f t="shared" si="22"/>
        <v/>
      </c>
      <c r="H776" s="51" t="str">
        <f t="shared" si="23"/>
        <v/>
      </c>
    </row>
    <row r="777" spans="5:8" x14ac:dyDescent="0.25">
      <c r="E777" s="50" t="str">
        <f>IF(OR(C777="",D777=""),"",AtualizarAte-C777)</f>
        <v/>
      </c>
      <c r="F777" s="51" t="str">
        <f>IF(OR(C777="",D777=""),"",IF(TipoCalculo="JUROS SIMPLES",D777*E777*TaxaAoDia,FV(TaxaAoDia,E777,,-D777)-D777))</f>
        <v/>
      </c>
      <c r="G777" s="51" t="str">
        <f t="shared" si="22"/>
        <v/>
      </c>
      <c r="H777" s="51" t="str">
        <f t="shared" si="23"/>
        <v/>
      </c>
    </row>
    <row r="778" spans="5:8" x14ac:dyDescent="0.25">
      <c r="E778" s="50" t="str">
        <f>IF(OR(C778="",D778=""),"",AtualizarAte-C778)</f>
        <v/>
      </c>
      <c r="F778" s="51" t="str">
        <f>IF(OR(C778="",D778=""),"",IF(TipoCalculo="JUROS SIMPLES",D778*E778*TaxaAoDia,FV(TaxaAoDia,E778,,-D778)-D778))</f>
        <v/>
      </c>
      <c r="G778" s="51" t="str">
        <f t="shared" si="22"/>
        <v/>
      </c>
      <c r="H778" s="51" t="str">
        <f t="shared" si="23"/>
        <v/>
      </c>
    </row>
    <row r="779" spans="5:8" x14ac:dyDescent="0.25">
      <c r="E779" s="50" t="str">
        <f>IF(OR(C779="",D779=""),"",AtualizarAte-C779)</f>
        <v/>
      </c>
      <c r="F779" s="51" t="str">
        <f>IF(OR(C779="",D779=""),"",IF(TipoCalculo="JUROS SIMPLES",D779*E779*TaxaAoDia,FV(TaxaAoDia,E779,,-D779)-D779))</f>
        <v/>
      </c>
      <c r="G779" s="51" t="str">
        <f t="shared" si="22"/>
        <v/>
      </c>
      <c r="H779" s="51" t="str">
        <f t="shared" si="23"/>
        <v/>
      </c>
    </row>
    <row r="780" spans="5:8" x14ac:dyDescent="0.25">
      <c r="E780" s="50" t="str">
        <f>IF(OR(C780="",D780=""),"",AtualizarAte-C780)</f>
        <v/>
      </c>
      <c r="F780" s="51" t="str">
        <f>IF(OR(C780="",D780=""),"",IF(TipoCalculo="JUROS SIMPLES",D780*E780*TaxaAoDia,FV(TaxaAoDia,E780,,-D780)-D780))</f>
        <v/>
      </c>
      <c r="G780" s="51" t="str">
        <f t="shared" si="22"/>
        <v/>
      </c>
      <c r="H780" s="51" t="str">
        <f t="shared" si="23"/>
        <v/>
      </c>
    </row>
    <row r="781" spans="5:8" x14ac:dyDescent="0.25">
      <c r="E781" s="50" t="str">
        <f>IF(OR(C781="",D781=""),"",AtualizarAte-C781)</f>
        <v/>
      </c>
      <c r="F781" s="51" t="str">
        <f>IF(OR(C781="",D781=""),"",IF(TipoCalculo="JUROS SIMPLES",D781*E781*TaxaAoDia,FV(TaxaAoDia,E781,,-D781)-D781))</f>
        <v/>
      </c>
      <c r="G781" s="51" t="str">
        <f t="shared" ref="G781:G844" si="24">IF(OR(C781="",D781=""),"",D781+F781)</f>
        <v/>
      </c>
      <c r="H781" s="51" t="str">
        <f t="shared" ref="H781:H844" si="25">IF(C781="","",IF(D781="","",IF(H780="SALDO ATUALIZ.",G781,H780+G781)))</f>
        <v/>
      </c>
    </row>
    <row r="782" spans="5:8" x14ac:dyDescent="0.25">
      <c r="E782" s="50" t="str">
        <f>IF(OR(C782="",D782=""),"",AtualizarAte-C782)</f>
        <v/>
      </c>
      <c r="F782" s="51" t="str">
        <f>IF(OR(C782="",D782=""),"",IF(TipoCalculo="JUROS SIMPLES",D782*E782*TaxaAoDia,FV(TaxaAoDia,E782,,-D782)-D782))</f>
        <v/>
      </c>
      <c r="G782" s="51" t="str">
        <f t="shared" si="24"/>
        <v/>
      </c>
      <c r="H782" s="51" t="str">
        <f t="shared" si="25"/>
        <v/>
      </c>
    </row>
    <row r="783" spans="5:8" x14ac:dyDescent="0.25">
      <c r="E783" s="50" t="str">
        <f>IF(OR(C783="",D783=""),"",AtualizarAte-C783)</f>
        <v/>
      </c>
      <c r="F783" s="51" t="str">
        <f>IF(OR(C783="",D783=""),"",IF(TipoCalculo="JUROS SIMPLES",D783*E783*TaxaAoDia,FV(TaxaAoDia,E783,,-D783)-D783))</f>
        <v/>
      </c>
      <c r="G783" s="51" t="str">
        <f t="shared" si="24"/>
        <v/>
      </c>
      <c r="H783" s="51" t="str">
        <f t="shared" si="25"/>
        <v/>
      </c>
    </row>
    <row r="784" spans="5:8" x14ac:dyDescent="0.25">
      <c r="E784" s="50" t="str">
        <f>IF(OR(C784="",D784=""),"",AtualizarAte-C784)</f>
        <v/>
      </c>
      <c r="F784" s="51" t="str">
        <f>IF(OR(C784="",D784=""),"",IF(TipoCalculo="JUROS SIMPLES",D784*E784*TaxaAoDia,FV(TaxaAoDia,E784,,-D784)-D784))</f>
        <v/>
      </c>
      <c r="G784" s="51" t="str">
        <f t="shared" si="24"/>
        <v/>
      </c>
      <c r="H784" s="51" t="str">
        <f t="shared" si="25"/>
        <v/>
      </c>
    </row>
    <row r="785" spans="5:8" x14ac:dyDescent="0.25">
      <c r="E785" s="50" t="str">
        <f>IF(OR(C785="",D785=""),"",AtualizarAte-C785)</f>
        <v/>
      </c>
      <c r="F785" s="51" t="str">
        <f>IF(OR(C785="",D785=""),"",IF(TipoCalculo="JUROS SIMPLES",D785*E785*TaxaAoDia,FV(TaxaAoDia,E785,,-D785)-D785))</f>
        <v/>
      </c>
      <c r="G785" s="51" t="str">
        <f t="shared" si="24"/>
        <v/>
      </c>
      <c r="H785" s="51" t="str">
        <f t="shared" si="25"/>
        <v/>
      </c>
    </row>
    <row r="786" spans="5:8" x14ac:dyDescent="0.25">
      <c r="E786" s="50" t="str">
        <f>IF(OR(C786="",D786=""),"",AtualizarAte-C786)</f>
        <v/>
      </c>
      <c r="F786" s="51" t="str">
        <f>IF(OR(C786="",D786=""),"",IF(TipoCalculo="JUROS SIMPLES",D786*E786*TaxaAoDia,FV(TaxaAoDia,E786,,-D786)-D786))</f>
        <v/>
      </c>
      <c r="G786" s="51" t="str">
        <f t="shared" si="24"/>
        <v/>
      </c>
      <c r="H786" s="51" t="str">
        <f t="shared" si="25"/>
        <v/>
      </c>
    </row>
    <row r="787" spans="5:8" x14ac:dyDescent="0.25">
      <c r="E787" s="50" t="str">
        <f>IF(OR(C787="",D787=""),"",AtualizarAte-C787)</f>
        <v/>
      </c>
      <c r="F787" s="51" t="str">
        <f>IF(OR(C787="",D787=""),"",IF(TipoCalculo="JUROS SIMPLES",D787*E787*TaxaAoDia,FV(TaxaAoDia,E787,,-D787)-D787))</f>
        <v/>
      </c>
      <c r="G787" s="51" t="str">
        <f t="shared" si="24"/>
        <v/>
      </c>
      <c r="H787" s="51" t="str">
        <f t="shared" si="25"/>
        <v/>
      </c>
    </row>
    <row r="788" spans="5:8" x14ac:dyDescent="0.25">
      <c r="E788" s="50" t="str">
        <f>IF(OR(C788="",D788=""),"",AtualizarAte-C788)</f>
        <v/>
      </c>
      <c r="F788" s="51" t="str">
        <f>IF(OR(C788="",D788=""),"",IF(TipoCalculo="JUROS SIMPLES",D788*E788*TaxaAoDia,FV(TaxaAoDia,E788,,-D788)-D788))</f>
        <v/>
      </c>
      <c r="G788" s="51" t="str">
        <f t="shared" si="24"/>
        <v/>
      </c>
      <c r="H788" s="51" t="str">
        <f t="shared" si="25"/>
        <v/>
      </c>
    </row>
    <row r="789" spans="5:8" x14ac:dyDescent="0.25">
      <c r="E789" s="50" t="str">
        <f>IF(OR(C789="",D789=""),"",AtualizarAte-C789)</f>
        <v/>
      </c>
      <c r="F789" s="51" t="str">
        <f>IF(OR(C789="",D789=""),"",IF(TipoCalculo="JUROS SIMPLES",D789*E789*TaxaAoDia,FV(TaxaAoDia,E789,,-D789)-D789))</f>
        <v/>
      </c>
      <c r="G789" s="51" t="str">
        <f t="shared" si="24"/>
        <v/>
      </c>
      <c r="H789" s="51" t="str">
        <f t="shared" si="25"/>
        <v/>
      </c>
    </row>
    <row r="790" spans="5:8" x14ac:dyDescent="0.25">
      <c r="E790" s="50" t="str">
        <f>IF(OR(C790="",D790=""),"",AtualizarAte-C790)</f>
        <v/>
      </c>
      <c r="F790" s="51" t="str">
        <f>IF(OR(C790="",D790=""),"",IF(TipoCalculo="JUROS SIMPLES",D790*E790*TaxaAoDia,FV(TaxaAoDia,E790,,-D790)-D790))</f>
        <v/>
      </c>
      <c r="G790" s="51" t="str">
        <f t="shared" si="24"/>
        <v/>
      </c>
      <c r="H790" s="51" t="str">
        <f t="shared" si="25"/>
        <v/>
      </c>
    </row>
    <row r="791" spans="5:8" x14ac:dyDescent="0.25">
      <c r="E791" s="50" t="str">
        <f>IF(OR(C791="",D791=""),"",AtualizarAte-C791)</f>
        <v/>
      </c>
      <c r="F791" s="51" t="str">
        <f>IF(OR(C791="",D791=""),"",IF(TipoCalculo="JUROS SIMPLES",D791*E791*TaxaAoDia,FV(TaxaAoDia,E791,,-D791)-D791))</f>
        <v/>
      </c>
      <c r="G791" s="51" t="str">
        <f t="shared" si="24"/>
        <v/>
      </c>
      <c r="H791" s="51" t="str">
        <f t="shared" si="25"/>
        <v/>
      </c>
    </row>
    <row r="792" spans="5:8" x14ac:dyDescent="0.25">
      <c r="E792" s="50" t="str">
        <f>IF(OR(C792="",D792=""),"",AtualizarAte-C792)</f>
        <v/>
      </c>
      <c r="F792" s="51" t="str">
        <f>IF(OR(C792="",D792=""),"",IF(TipoCalculo="JUROS SIMPLES",D792*E792*TaxaAoDia,FV(TaxaAoDia,E792,,-D792)-D792))</f>
        <v/>
      </c>
      <c r="G792" s="51" t="str">
        <f t="shared" si="24"/>
        <v/>
      </c>
      <c r="H792" s="51" t="str">
        <f t="shared" si="25"/>
        <v/>
      </c>
    </row>
    <row r="793" spans="5:8" x14ac:dyDescent="0.25">
      <c r="E793" s="50" t="str">
        <f>IF(OR(C793="",D793=""),"",AtualizarAte-C793)</f>
        <v/>
      </c>
      <c r="F793" s="51" t="str">
        <f>IF(OR(C793="",D793=""),"",IF(TipoCalculo="JUROS SIMPLES",D793*E793*TaxaAoDia,FV(TaxaAoDia,E793,,-D793)-D793))</f>
        <v/>
      </c>
      <c r="G793" s="51" t="str">
        <f t="shared" si="24"/>
        <v/>
      </c>
      <c r="H793" s="51" t="str">
        <f t="shared" si="25"/>
        <v/>
      </c>
    </row>
    <row r="794" spans="5:8" x14ac:dyDescent="0.25">
      <c r="E794" s="50" t="str">
        <f>IF(OR(C794="",D794=""),"",AtualizarAte-C794)</f>
        <v/>
      </c>
      <c r="F794" s="51" t="str">
        <f>IF(OR(C794="",D794=""),"",IF(TipoCalculo="JUROS SIMPLES",D794*E794*TaxaAoDia,FV(TaxaAoDia,E794,,-D794)-D794))</f>
        <v/>
      </c>
      <c r="G794" s="51" t="str">
        <f t="shared" si="24"/>
        <v/>
      </c>
      <c r="H794" s="51" t="str">
        <f t="shared" si="25"/>
        <v/>
      </c>
    </row>
    <row r="795" spans="5:8" x14ac:dyDescent="0.25">
      <c r="E795" s="50" t="str">
        <f>IF(OR(C795="",D795=""),"",AtualizarAte-C795)</f>
        <v/>
      </c>
      <c r="F795" s="51" t="str">
        <f>IF(OR(C795="",D795=""),"",IF(TipoCalculo="JUROS SIMPLES",D795*E795*TaxaAoDia,FV(TaxaAoDia,E795,,-D795)-D795))</f>
        <v/>
      </c>
      <c r="G795" s="51" t="str">
        <f t="shared" si="24"/>
        <v/>
      </c>
      <c r="H795" s="51" t="str">
        <f t="shared" si="25"/>
        <v/>
      </c>
    </row>
    <row r="796" spans="5:8" x14ac:dyDescent="0.25">
      <c r="E796" s="50" t="str">
        <f>IF(OR(C796="",D796=""),"",AtualizarAte-C796)</f>
        <v/>
      </c>
      <c r="F796" s="51" t="str">
        <f>IF(OR(C796="",D796=""),"",IF(TipoCalculo="JUROS SIMPLES",D796*E796*TaxaAoDia,FV(TaxaAoDia,E796,,-D796)-D796))</f>
        <v/>
      </c>
      <c r="G796" s="51" t="str">
        <f t="shared" si="24"/>
        <v/>
      </c>
      <c r="H796" s="51" t="str">
        <f t="shared" si="25"/>
        <v/>
      </c>
    </row>
    <row r="797" spans="5:8" x14ac:dyDescent="0.25">
      <c r="E797" s="50" t="str">
        <f>IF(OR(C797="",D797=""),"",AtualizarAte-C797)</f>
        <v/>
      </c>
      <c r="F797" s="51" t="str">
        <f>IF(OR(C797="",D797=""),"",IF(TipoCalculo="JUROS SIMPLES",D797*E797*TaxaAoDia,FV(TaxaAoDia,E797,,-D797)-D797))</f>
        <v/>
      </c>
      <c r="G797" s="51" t="str">
        <f t="shared" si="24"/>
        <v/>
      </c>
      <c r="H797" s="51" t="str">
        <f t="shared" si="25"/>
        <v/>
      </c>
    </row>
    <row r="798" spans="5:8" x14ac:dyDescent="0.25">
      <c r="E798" s="50" t="str">
        <f>IF(OR(C798="",D798=""),"",AtualizarAte-C798)</f>
        <v/>
      </c>
      <c r="F798" s="51" t="str">
        <f>IF(OR(C798="",D798=""),"",IF(TipoCalculo="JUROS SIMPLES",D798*E798*TaxaAoDia,FV(TaxaAoDia,E798,,-D798)-D798))</f>
        <v/>
      </c>
      <c r="G798" s="51" t="str">
        <f t="shared" si="24"/>
        <v/>
      </c>
      <c r="H798" s="51" t="str">
        <f t="shared" si="25"/>
        <v/>
      </c>
    </row>
    <row r="799" spans="5:8" x14ac:dyDescent="0.25">
      <c r="E799" s="50" t="str">
        <f>IF(OR(C799="",D799=""),"",AtualizarAte-C799)</f>
        <v/>
      </c>
      <c r="F799" s="51" t="str">
        <f>IF(OR(C799="",D799=""),"",IF(TipoCalculo="JUROS SIMPLES",D799*E799*TaxaAoDia,FV(TaxaAoDia,E799,,-D799)-D799))</f>
        <v/>
      </c>
      <c r="G799" s="51" t="str">
        <f t="shared" si="24"/>
        <v/>
      </c>
      <c r="H799" s="51" t="str">
        <f t="shared" si="25"/>
        <v/>
      </c>
    </row>
    <row r="800" spans="5:8" x14ac:dyDescent="0.25">
      <c r="E800" s="50" t="str">
        <f>IF(OR(C800="",D800=""),"",AtualizarAte-C800)</f>
        <v/>
      </c>
      <c r="F800" s="51" t="str">
        <f>IF(OR(C800="",D800=""),"",IF(TipoCalculo="JUROS SIMPLES",D800*E800*TaxaAoDia,FV(TaxaAoDia,E800,,-D800)-D800))</f>
        <v/>
      </c>
      <c r="G800" s="51" t="str">
        <f t="shared" si="24"/>
        <v/>
      </c>
      <c r="H800" s="51" t="str">
        <f t="shared" si="25"/>
        <v/>
      </c>
    </row>
    <row r="801" spans="5:8" x14ac:dyDescent="0.25">
      <c r="E801" s="50" t="str">
        <f>IF(OR(C801="",D801=""),"",AtualizarAte-C801)</f>
        <v/>
      </c>
      <c r="F801" s="51" t="str">
        <f>IF(OR(C801="",D801=""),"",IF(TipoCalculo="JUROS SIMPLES",D801*E801*TaxaAoDia,FV(TaxaAoDia,E801,,-D801)-D801))</f>
        <v/>
      </c>
      <c r="G801" s="51" t="str">
        <f t="shared" si="24"/>
        <v/>
      </c>
      <c r="H801" s="51" t="str">
        <f t="shared" si="25"/>
        <v/>
      </c>
    </row>
    <row r="802" spans="5:8" x14ac:dyDescent="0.25">
      <c r="E802" s="50" t="str">
        <f>IF(OR(C802="",D802=""),"",AtualizarAte-C802)</f>
        <v/>
      </c>
      <c r="F802" s="51" t="str">
        <f>IF(OR(C802="",D802=""),"",IF(TipoCalculo="JUROS SIMPLES",D802*E802*TaxaAoDia,FV(TaxaAoDia,E802,,-D802)-D802))</f>
        <v/>
      </c>
      <c r="G802" s="51" t="str">
        <f t="shared" si="24"/>
        <v/>
      </c>
      <c r="H802" s="51" t="str">
        <f t="shared" si="25"/>
        <v/>
      </c>
    </row>
    <row r="803" spans="5:8" x14ac:dyDescent="0.25">
      <c r="E803" s="50" t="str">
        <f>IF(OR(C803="",D803=""),"",AtualizarAte-C803)</f>
        <v/>
      </c>
      <c r="F803" s="51" t="str">
        <f>IF(OR(C803="",D803=""),"",IF(TipoCalculo="JUROS SIMPLES",D803*E803*TaxaAoDia,FV(TaxaAoDia,E803,,-D803)-D803))</f>
        <v/>
      </c>
      <c r="G803" s="51" t="str">
        <f t="shared" si="24"/>
        <v/>
      </c>
      <c r="H803" s="51" t="str">
        <f t="shared" si="25"/>
        <v/>
      </c>
    </row>
    <row r="804" spans="5:8" x14ac:dyDescent="0.25">
      <c r="E804" s="50" t="str">
        <f>IF(OR(C804="",D804=""),"",AtualizarAte-C804)</f>
        <v/>
      </c>
      <c r="F804" s="51" t="str">
        <f>IF(OR(C804="",D804=""),"",IF(TipoCalculo="JUROS SIMPLES",D804*E804*TaxaAoDia,FV(TaxaAoDia,E804,,-D804)-D804))</f>
        <v/>
      </c>
      <c r="G804" s="51" t="str">
        <f t="shared" si="24"/>
        <v/>
      </c>
      <c r="H804" s="51" t="str">
        <f t="shared" si="25"/>
        <v/>
      </c>
    </row>
    <row r="805" spans="5:8" x14ac:dyDescent="0.25">
      <c r="E805" s="50" t="str">
        <f>IF(OR(C805="",D805=""),"",AtualizarAte-C805)</f>
        <v/>
      </c>
      <c r="F805" s="51" t="str">
        <f>IF(OR(C805="",D805=""),"",IF(TipoCalculo="JUROS SIMPLES",D805*E805*TaxaAoDia,FV(TaxaAoDia,E805,,-D805)-D805))</f>
        <v/>
      </c>
      <c r="G805" s="51" t="str">
        <f t="shared" si="24"/>
        <v/>
      </c>
      <c r="H805" s="51" t="str">
        <f t="shared" si="25"/>
        <v/>
      </c>
    </row>
    <row r="806" spans="5:8" x14ac:dyDescent="0.25">
      <c r="E806" s="50" t="str">
        <f>IF(OR(C806="",D806=""),"",AtualizarAte-C806)</f>
        <v/>
      </c>
      <c r="F806" s="51" t="str">
        <f>IF(OR(C806="",D806=""),"",IF(TipoCalculo="JUROS SIMPLES",D806*E806*TaxaAoDia,FV(TaxaAoDia,E806,,-D806)-D806))</f>
        <v/>
      </c>
      <c r="G806" s="51" t="str">
        <f t="shared" si="24"/>
        <v/>
      </c>
      <c r="H806" s="51" t="str">
        <f t="shared" si="25"/>
        <v/>
      </c>
    </row>
    <row r="807" spans="5:8" x14ac:dyDescent="0.25">
      <c r="E807" s="50" t="str">
        <f>IF(OR(C807="",D807=""),"",AtualizarAte-C807)</f>
        <v/>
      </c>
      <c r="F807" s="51" t="str">
        <f>IF(OR(C807="",D807=""),"",IF(TipoCalculo="JUROS SIMPLES",D807*E807*TaxaAoDia,FV(TaxaAoDia,E807,,-D807)-D807))</f>
        <v/>
      </c>
      <c r="G807" s="51" t="str">
        <f t="shared" si="24"/>
        <v/>
      </c>
      <c r="H807" s="51" t="str">
        <f t="shared" si="25"/>
        <v/>
      </c>
    </row>
    <row r="808" spans="5:8" x14ac:dyDescent="0.25">
      <c r="E808" s="50" t="str">
        <f>IF(OR(C808="",D808=""),"",AtualizarAte-C808)</f>
        <v/>
      </c>
      <c r="F808" s="51" t="str">
        <f>IF(OR(C808="",D808=""),"",IF(TipoCalculo="JUROS SIMPLES",D808*E808*TaxaAoDia,FV(TaxaAoDia,E808,,-D808)-D808))</f>
        <v/>
      </c>
      <c r="G808" s="51" t="str">
        <f t="shared" si="24"/>
        <v/>
      </c>
      <c r="H808" s="51" t="str">
        <f t="shared" si="25"/>
        <v/>
      </c>
    </row>
    <row r="809" spans="5:8" x14ac:dyDescent="0.25">
      <c r="E809" s="50" t="str">
        <f>IF(OR(C809="",D809=""),"",AtualizarAte-C809)</f>
        <v/>
      </c>
      <c r="F809" s="51" t="str">
        <f>IF(OR(C809="",D809=""),"",IF(TipoCalculo="JUROS SIMPLES",D809*E809*TaxaAoDia,FV(TaxaAoDia,E809,,-D809)-D809))</f>
        <v/>
      </c>
      <c r="G809" s="51" t="str">
        <f t="shared" si="24"/>
        <v/>
      </c>
      <c r="H809" s="51" t="str">
        <f t="shared" si="25"/>
        <v/>
      </c>
    </row>
    <row r="810" spans="5:8" x14ac:dyDescent="0.25">
      <c r="E810" s="50" t="str">
        <f>IF(OR(C810="",D810=""),"",AtualizarAte-C810)</f>
        <v/>
      </c>
      <c r="F810" s="51" t="str">
        <f>IF(OR(C810="",D810=""),"",IF(TipoCalculo="JUROS SIMPLES",D810*E810*TaxaAoDia,FV(TaxaAoDia,E810,,-D810)-D810))</f>
        <v/>
      </c>
      <c r="G810" s="51" t="str">
        <f t="shared" si="24"/>
        <v/>
      </c>
      <c r="H810" s="51" t="str">
        <f t="shared" si="25"/>
        <v/>
      </c>
    </row>
    <row r="811" spans="5:8" x14ac:dyDescent="0.25">
      <c r="E811" s="50" t="str">
        <f>IF(OR(C811="",D811=""),"",AtualizarAte-C811)</f>
        <v/>
      </c>
      <c r="F811" s="51" t="str">
        <f>IF(OR(C811="",D811=""),"",IF(TipoCalculo="JUROS SIMPLES",D811*E811*TaxaAoDia,FV(TaxaAoDia,E811,,-D811)-D811))</f>
        <v/>
      </c>
      <c r="G811" s="51" t="str">
        <f t="shared" si="24"/>
        <v/>
      </c>
      <c r="H811" s="51" t="str">
        <f t="shared" si="25"/>
        <v/>
      </c>
    </row>
    <row r="812" spans="5:8" x14ac:dyDescent="0.25">
      <c r="E812" s="50" t="str">
        <f>IF(OR(C812="",D812=""),"",AtualizarAte-C812)</f>
        <v/>
      </c>
      <c r="F812" s="51" t="str">
        <f>IF(OR(C812="",D812=""),"",IF(TipoCalculo="JUROS SIMPLES",D812*E812*TaxaAoDia,FV(TaxaAoDia,E812,,-D812)-D812))</f>
        <v/>
      </c>
      <c r="G812" s="51" t="str">
        <f t="shared" si="24"/>
        <v/>
      </c>
      <c r="H812" s="51" t="str">
        <f t="shared" si="25"/>
        <v/>
      </c>
    </row>
    <row r="813" spans="5:8" x14ac:dyDescent="0.25">
      <c r="E813" s="50" t="str">
        <f>IF(OR(C813="",D813=""),"",AtualizarAte-C813)</f>
        <v/>
      </c>
      <c r="F813" s="51" t="str">
        <f>IF(OR(C813="",D813=""),"",IF(TipoCalculo="JUROS SIMPLES",D813*E813*TaxaAoDia,FV(TaxaAoDia,E813,,-D813)-D813))</f>
        <v/>
      </c>
      <c r="G813" s="51" t="str">
        <f t="shared" si="24"/>
        <v/>
      </c>
      <c r="H813" s="51" t="str">
        <f t="shared" si="25"/>
        <v/>
      </c>
    </row>
    <row r="814" spans="5:8" x14ac:dyDescent="0.25">
      <c r="E814" s="50" t="str">
        <f>IF(OR(C814="",D814=""),"",AtualizarAte-C814)</f>
        <v/>
      </c>
      <c r="F814" s="51" t="str">
        <f>IF(OR(C814="",D814=""),"",IF(TipoCalculo="JUROS SIMPLES",D814*E814*TaxaAoDia,FV(TaxaAoDia,E814,,-D814)-D814))</f>
        <v/>
      </c>
      <c r="G814" s="51" t="str">
        <f t="shared" si="24"/>
        <v/>
      </c>
      <c r="H814" s="51" t="str">
        <f t="shared" si="25"/>
        <v/>
      </c>
    </row>
    <row r="815" spans="5:8" x14ac:dyDescent="0.25">
      <c r="E815" s="50" t="str">
        <f>IF(OR(C815="",D815=""),"",AtualizarAte-C815)</f>
        <v/>
      </c>
      <c r="F815" s="51" t="str">
        <f>IF(OR(C815="",D815=""),"",IF(TipoCalculo="JUROS SIMPLES",D815*E815*TaxaAoDia,FV(TaxaAoDia,E815,,-D815)-D815))</f>
        <v/>
      </c>
      <c r="G815" s="51" t="str">
        <f t="shared" si="24"/>
        <v/>
      </c>
      <c r="H815" s="51" t="str">
        <f t="shared" si="25"/>
        <v/>
      </c>
    </row>
    <row r="816" spans="5:8" x14ac:dyDescent="0.25">
      <c r="E816" s="50" t="str">
        <f>IF(OR(C816="",D816=""),"",AtualizarAte-C816)</f>
        <v/>
      </c>
      <c r="F816" s="51" t="str">
        <f>IF(OR(C816="",D816=""),"",IF(TipoCalculo="JUROS SIMPLES",D816*E816*TaxaAoDia,FV(TaxaAoDia,E816,,-D816)-D816))</f>
        <v/>
      </c>
      <c r="G816" s="51" t="str">
        <f t="shared" si="24"/>
        <v/>
      </c>
      <c r="H816" s="51" t="str">
        <f t="shared" si="25"/>
        <v/>
      </c>
    </row>
    <row r="817" spans="5:8" x14ac:dyDescent="0.25">
      <c r="E817" s="50" t="str">
        <f>IF(OR(C817="",D817=""),"",AtualizarAte-C817)</f>
        <v/>
      </c>
      <c r="F817" s="51" t="str">
        <f>IF(OR(C817="",D817=""),"",IF(TipoCalculo="JUROS SIMPLES",D817*E817*TaxaAoDia,FV(TaxaAoDia,E817,,-D817)-D817))</f>
        <v/>
      </c>
      <c r="G817" s="51" t="str">
        <f t="shared" si="24"/>
        <v/>
      </c>
      <c r="H817" s="51" t="str">
        <f t="shared" si="25"/>
        <v/>
      </c>
    </row>
    <row r="818" spans="5:8" x14ac:dyDescent="0.25">
      <c r="E818" s="50" t="str">
        <f>IF(OR(C818="",D818=""),"",AtualizarAte-C818)</f>
        <v/>
      </c>
      <c r="F818" s="51" t="str">
        <f>IF(OR(C818="",D818=""),"",IF(TipoCalculo="JUROS SIMPLES",D818*E818*TaxaAoDia,FV(TaxaAoDia,E818,,-D818)-D818))</f>
        <v/>
      </c>
      <c r="G818" s="51" t="str">
        <f t="shared" si="24"/>
        <v/>
      </c>
      <c r="H818" s="51" t="str">
        <f t="shared" si="25"/>
        <v/>
      </c>
    </row>
    <row r="819" spans="5:8" x14ac:dyDescent="0.25">
      <c r="E819" s="50" t="str">
        <f>IF(OR(C819="",D819=""),"",AtualizarAte-C819)</f>
        <v/>
      </c>
      <c r="F819" s="51" t="str">
        <f>IF(OR(C819="",D819=""),"",IF(TipoCalculo="JUROS SIMPLES",D819*E819*TaxaAoDia,FV(TaxaAoDia,E819,,-D819)-D819))</f>
        <v/>
      </c>
      <c r="G819" s="51" t="str">
        <f t="shared" si="24"/>
        <v/>
      </c>
      <c r="H819" s="51" t="str">
        <f t="shared" si="25"/>
        <v/>
      </c>
    </row>
    <row r="820" spans="5:8" x14ac:dyDescent="0.25">
      <c r="E820" s="50" t="str">
        <f>IF(OR(C820="",D820=""),"",AtualizarAte-C820)</f>
        <v/>
      </c>
      <c r="F820" s="51" t="str">
        <f>IF(OR(C820="",D820=""),"",IF(TipoCalculo="JUROS SIMPLES",D820*E820*TaxaAoDia,FV(TaxaAoDia,E820,,-D820)-D820))</f>
        <v/>
      </c>
      <c r="G820" s="51" t="str">
        <f t="shared" si="24"/>
        <v/>
      </c>
      <c r="H820" s="51" t="str">
        <f t="shared" si="25"/>
        <v/>
      </c>
    </row>
    <row r="821" spans="5:8" x14ac:dyDescent="0.25">
      <c r="E821" s="50" t="str">
        <f>IF(OR(C821="",D821=""),"",AtualizarAte-C821)</f>
        <v/>
      </c>
      <c r="F821" s="51" t="str">
        <f>IF(OR(C821="",D821=""),"",IF(TipoCalculo="JUROS SIMPLES",D821*E821*TaxaAoDia,FV(TaxaAoDia,E821,,-D821)-D821))</f>
        <v/>
      </c>
      <c r="G821" s="51" t="str">
        <f t="shared" si="24"/>
        <v/>
      </c>
      <c r="H821" s="51" t="str">
        <f t="shared" si="25"/>
        <v/>
      </c>
    </row>
    <row r="822" spans="5:8" x14ac:dyDescent="0.25">
      <c r="E822" s="50" t="str">
        <f>IF(OR(C822="",D822=""),"",AtualizarAte-C822)</f>
        <v/>
      </c>
      <c r="F822" s="51" t="str">
        <f>IF(OR(C822="",D822=""),"",IF(TipoCalculo="JUROS SIMPLES",D822*E822*TaxaAoDia,FV(TaxaAoDia,E822,,-D822)-D822))</f>
        <v/>
      </c>
      <c r="G822" s="51" t="str">
        <f t="shared" si="24"/>
        <v/>
      </c>
      <c r="H822" s="51" t="str">
        <f t="shared" si="25"/>
        <v/>
      </c>
    </row>
    <row r="823" spans="5:8" x14ac:dyDescent="0.25">
      <c r="E823" s="50" t="str">
        <f>IF(OR(C823="",D823=""),"",AtualizarAte-C823)</f>
        <v/>
      </c>
      <c r="F823" s="51" t="str">
        <f>IF(OR(C823="",D823=""),"",IF(TipoCalculo="JUROS SIMPLES",D823*E823*TaxaAoDia,FV(TaxaAoDia,E823,,-D823)-D823))</f>
        <v/>
      </c>
      <c r="G823" s="51" t="str">
        <f t="shared" si="24"/>
        <v/>
      </c>
      <c r="H823" s="51" t="str">
        <f t="shared" si="25"/>
        <v/>
      </c>
    </row>
    <row r="824" spans="5:8" x14ac:dyDescent="0.25">
      <c r="E824" s="50" t="str">
        <f>IF(OR(C824="",D824=""),"",AtualizarAte-C824)</f>
        <v/>
      </c>
      <c r="F824" s="51" t="str">
        <f>IF(OR(C824="",D824=""),"",IF(TipoCalculo="JUROS SIMPLES",D824*E824*TaxaAoDia,FV(TaxaAoDia,E824,,-D824)-D824))</f>
        <v/>
      </c>
      <c r="G824" s="51" t="str">
        <f t="shared" si="24"/>
        <v/>
      </c>
      <c r="H824" s="51" t="str">
        <f t="shared" si="25"/>
        <v/>
      </c>
    </row>
    <row r="825" spans="5:8" x14ac:dyDescent="0.25">
      <c r="E825" s="50" t="str">
        <f>IF(OR(C825="",D825=""),"",AtualizarAte-C825)</f>
        <v/>
      </c>
      <c r="F825" s="51" t="str">
        <f>IF(OR(C825="",D825=""),"",IF(TipoCalculo="JUROS SIMPLES",D825*E825*TaxaAoDia,FV(TaxaAoDia,E825,,-D825)-D825))</f>
        <v/>
      </c>
      <c r="G825" s="51" t="str">
        <f t="shared" si="24"/>
        <v/>
      </c>
      <c r="H825" s="51" t="str">
        <f t="shared" si="25"/>
        <v/>
      </c>
    </row>
    <row r="826" spans="5:8" x14ac:dyDescent="0.25">
      <c r="E826" s="50" t="str">
        <f>IF(OR(C826="",D826=""),"",AtualizarAte-C826)</f>
        <v/>
      </c>
      <c r="F826" s="51" t="str">
        <f>IF(OR(C826="",D826=""),"",IF(TipoCalculo="JUROS SIMPLES",D826*E826*TaxaAoDia,FV(TaxaAoDia,E826,,-D826)-D826))</f>
        <v/>
      </c>
      <c r="G826" s="51" t="str">
        <f t="shared" si="24"/>
        <v/>
      </c>
      <c r="H826" s="51" t="str">
        <f t="shared" si="25"/>
        <v/>
      </c>
    </row>
    <row r="827" spans="5:8" x14ac:dyDescent="0.25">
      <c r="E827" s="50" t="str">
        <f>IF(OR(C827="",D827=""),"",AtualizarAte-C827)</f>
        <v/>
      </c>
      <c r="F827" s="51" t="str">
        <f>IF(OR(C827="",D827=""),"",IF(TipoCalculo="JUROS SIMPLES",D827*E827*TaxaAoDia,FV(TaxaAoDia,E827,,-D827)-D827))</f>
        <v/>
      </c>
      <c r="G827" s="51" t="str">
        <f t="shared" si="24"/>
        <v/>
      </c>
      <c r="H827" s="51" t="str">
        <f t="shared" si="25"/>
        <v/>
      </c>
    </row>
    <row r="828" spans="5:8" x14ac:dyDescent="0.25">
      <c r="E828" s="50" t="str">
        <f>IF(OR(C828="",D828=""),"",AtualizarAte-C828)</f>
        <v/>
      </c>
      <c r="F828" s="51" t="str">
        <f>IF(OR(C828="",D828=""),"",IF(TipoCalculo="JUROS SIMPLES",D828*E828*TaxaAoDia,FV(TaxaAoDia,E828,,-D828)-D828))</f>
        <v/>
      </c>
      <c r="G828" s="51" t="str">
        <f t="shared" si="24"/>
        <v/>
      </c>
      <c r="H828" s="51" t="str">
        <f t="shared" si="25"/>
        <v/>
      </c>
    </row>
    <row r="829" spans="5:8" x14ac:dyDescent="0.25">
      <c r="E829" s="50" t="str">
        <f>IF(OR(C829="",D829=""),"",AtualizarAte-C829)</f>
        <v/>
      </c>
      <c r="F829" s="51" t="str">
        <f>IF(OR(C829="",D829=""),"",IF(TipoCalculo="JUROS SIMPLES",D829*E829*TaxaAoDia,FV(TaxaAoDia,E829,,-D829)-D829))</f>
        <v/>
      </c>
      <c r="G829" s="51" t="str">
        <f t="shared" si="24"/>
        <v/>
      </c>
      <c r="H829" s="51" t="str">
        <f t="shared" si="25"/>
        <v/>
      </c>
    </row>
    <row r="830" spans="5:8" x14ac:dyDescent="0.25">
      <c r="E830" s="50" t="str">
        <f>IF(OR(C830="",D830=""),"",AtualizarAte-C830)</f>
        <v/>
      </c>
      <c r="F830" s="51" t="str">
        <f>IF(OR(C830="",D830=""),"",IF(TipoCalculo="JUROS SIMPLES",D830*E830*TaxaAoDia,FV(TaxaAoDia,E830,,-D830)-D830))</f>
        <v/>
      </c>
      <c r="G830" s="51" t="str">
        <f t="shared" si="24"/>
        <v/>
      </c>
      <c r="H830" s="51" t="str">
        <f t="shared" si="25"/>
        <v/>
      </c>
    </row>
    <row r="831" spans="5:8" x14ac:dyDescent="0.25">
      <c r="E831" s="50" t="str">
        <f>IF(OR(C831="",D831=""),"",AtualizarAte-C831)</f>
        <v/>
      </c>
      <c r="F831" s="51" t="str">
        <f>IF(OR(C831="",D831=""),"",IF(TipoCalculo="JUROS SIMPLES",D831*E831*TaxaAoDia,FV(TaxaAoDia,E831,,-D831)-D831))</f>
        <v/>
      </c>
      <c r="G831" s="51" t="str">
        <f t="shared" si="24"/>
        <v/>
      </c>
      <c r="H831" s="51" t="str">
        <f t="shared" si="25"/>
        <v/>
      </c>
    </row>
    <row r="832" spans="5:8" x14ac:dyDescent="0.25">
      <c r="E832" s="50" t="str">
        <f>IF(OR(C832="",D832=""),"",AtualizarAte-C832)</f>
        <v/>
      </c>
      <c r="F832" s="51" t="str">
        <f>IF(OR(C832="",D832=""),"",IF(TipoCalculo="JUROS SIMPLES",D832*E832*TaxaAoDia,FV(TaxaAoDia,E832,,-D832)-D832))</f>
        <v/>
      </c>
      <c r="G832" s="51" t="str">
        <f t="shared" si="24"/>
        <v/>
      </c>
      <c r="H832" s="51" t="str">
        <f t="shared" si="25"/>
        <v/>
      </c>
    </row>
    <row r="833" spans="5:8" x14ac:dyDescent="0.25">
      <c r="E833" s="50" t="str">
        <f>IF(OR(C833="",D833=""),"",AtualizarAte-C833)</f>
        <v/>
      </c>
      <c r="F833" s="51" t="str">
        <f>IF(OR(C833="",D833=""),"",IF(TipoCalculo="JUROS SIMPLES",D833*E833*TaxaAoDia,FV(TaxaAoDia,E833,,-D833)-D833))</f>
        <v/>
      </c>
      <c r="G833" s="51" t="str">
        <f t="shared" si="24"/>
        <v/>
      </c>
      <c r="H833" s="51" t="str">
        <f t="shared" si="25"/>
        <v/>
      </c>
    </row>
    <row r="834" spans="5:8" x14ac:dyDescent="0.25">
      <c r="E834" s="50" t="str">
        <f>IF(OR(C834="",D834=""),"",AtualizarAte-C834)</f>
        <v/>
      </c>
      <c r="F834" s="51" t="str">
        <f>IF(OR(C834="",D834=""),"",IF(TipoCalculo="JUROS SIMPLES",D834*E834*TaxaAoDia,FV(TaxaAoDia,E834,,-D834)-D834))</f>
        <v/>
      </c>
      <c r="G834" s="51" t="str">
        <f t="shared" si="24"/>
        <v/>
      </c>
      <c r="H834" s="51" t="str">
        <f t="shared" si="25"/>
        <v/>
      </c>
    </row>
    <row r="835" spans="5:8" x14ac:dyDescent="0.25">
      <c r="E835" s="50" t="str">
        <f>IF(OR(C835="",D835=""),"",AtualizarAte-C835)</f>
        <v/>
      </c>
      <c r="F835" s="51" t="str">
        <f>IF(OR(C835="",D835=""),"",IF(TipoCalculo="JUROS SIMPLES",D835*E835*TaxaAoDia,FV(TaxaAoDia,E835,,-D835)-D835))</f>
        <v/>
      </c>
      <c r="G835" s="51" t="str">
        <f t="shared" si="24"/>
        <v/>
      </c>
      <c r="H835" s="51" t="str">
        <f t="shared" si="25"/>
        <v/>
      </c>
    </row>
    <row r="836" spans="5:8" x14ac:dyDescent="0.25">
      <c r="E836" s="50" t="str">
        <f>IF(OR(C836="",D836=""),"",AtualizarAte-C836)</f>
        <v/>
      </c>
      <c r="F836" s="51" t="str">
        <f>IF(OR(C836="",D836=""),"",IF(TipoCalculo="JUROS SIMPLES",D836*E836*TaxaAoDia,FV(TaxaAoDia,E836,,-D836)-D836))</f>
        <v/>
      </c>
      <c r="G836" s="51" t="str">
        <f t="shared" si="24"/>
        <v/>
      </c>
      <c r="H836" s="51" t="str">
        <f t="shared" si="25"/>
        <v/>
      </c>
    </row>
    <row r="837" spans="5:8" x14ac:dyDescent="0.25">
      <c r="E837" s="50" t="str">
        <f>IF(OR(C837="",D837=""),"",AtualizarAte-C837)</f>
        <v/>
      </c>
      <c r="F837" s="51" t="str">
        <f>IF(OR(C837="",D837=""),"",IF(TipoCalculo="JUROS SIMPLES",D837*E837*TaxaAoDia,FV(TaxaAoDia,E837,,-D837)-D837))</f>
        <v/>
      </c>
      <c r="G837" s="51" t="str">
        <f t="shared" si="24"/>
        <v/>
      </c>
      <c r="H837" s="51" t="str">
        <f t="shared" si="25"/>
        <v/>
      </c>
    </row>
    <row r="838" spans="5:8" x14ac:dyDescent="0.25">
      <c r="E838" s="50" t="str">
        <f>IF(OR(C838="",D838=""),"",AtualizarAte-C838)</f>
        <v/>
      </c>
      <c r="F838" s="51" t="str">
        <f>IF(OR(C838="",D838=""),"",IF(TipoCalculo="JUROS SIMPLES",D838*E838*TaxaAoDia,FV(TaxaAoDia,E838,,-D838)-D838))</f>
        <v/>
      </c>
      <c r="G838" s="51" t="str">
        <f t="shared" si="24"/>
        <v/>
      </c>
      <c r="H838" s="51" t="str">
        <f t="shared" si="25"/>
        <v/>
      </c>
    </row>
    <row r="839" spans="5:8" x14ac:dyDescent="0.25">
      <c r="E839" s="50" t="str">
        <f>IF(OR(C839="",D839=""),"",AtualizarAte-C839)</f>
        <v/>
      </c>
      <c r="F839" s="51" t="str">
        <f>IF(OR(C839="",D839=""),"",IF(TipoCalculo="JUROS SIMPLES",D839*E839*TaxaAoDia,FV(TaxaAoDia,E839,,-D839)-D839))</f>
        <v/>
      </c>
      <c r="G839" s="51" t="str">
        <f t="shared" si="24"/>
        <v/>
      </c>
      <c r="H839" s="51" t="str">
        <f t="shared" si="25"/>
        <v/>
      </c>
    </row>
    <row r="840" spans="5:8" x14ac:dyDescent="0.25">
      <c r="E840" s="50" t="str">
        <f>IF(OR(C840="",D840=""),"",AtualizarAte-C840)</f>
        <v/>
      </c>
      <c r="F840" s="51" t="str">
        <f>IF(OR(C840="",D840=""),"",IF(TipoCalculo="JUROS SIMPLES",D840*E840*TaxaAoDia,FV(TaxaAoDia,E840,,-D840)-D840))</f>
        <v/>
      </c>
      <c r="G840" s="51" t="str">
        <f t="shared" si="24"/>
        <v/>
      </c>
      <c r="H840" s="51" t="str">
        <f t="shared" si="25"/>
        <v/>
      </c>
    </row>
    <row r="841" spans="5:8" x14ac:dyDescent="0.25">
      <c r="E841" s="50" t="str">
        <f>IF(OR(C841="",D841=""),"",AtualizarAte-C841)</f>
        <v/>
      </c>
      <c r="F841" s="51" t="str">
        <f>IF(OR(C841="",D841=""),"",IF(TipoCalculo="JUROS SIMPLES",D841*E841*TaxaAoDia,FV(TaxaAoDia,E841,,-D841)-D841))</f>
        <v/>
      </c>
      <c r="G841" s="51" t="str">
        <f t="shared" si="24"/>
        <v/>
      </c>
      <c r="H841" s="51" t="str">
        <f t="shared" si="25"/>
        <v/>
      </c>
    </row>
    <row r="842" spans="5:8" x14ac:dyDescent="0.25">
      <c r="E842" s="50" t="str">
        <f>IF(OR(C842="",D842=""),"",AtualizarAte-C842)</f>
        <v/>
      </c>
      <c r="F842" s="51" t="str">
        <f>IF(OR(C842="",D842=""),"",IF(TipoCalculo="JUROS SIMPLES",D842*E842*TaxaAoDia,FV(TaxaAoDia,E842,,-D842)-D842))</f>
        <v/>
      </c>
      <c r="G842" s="51" t="str">
        <f t="shared" si="24"/>
        <v/>
      </c>
      <c r="H842" s="51" t="str">
        <f t="shared" si="25"/>
        <v/>
      </c>
    </row>
    <row r="843" spans="5:8" x14ac:dyDescent="0.25">
      <c r="E843" s="50" t="str">
        <f>IF(OR(C843="",D843=""),"",AtualizarAte-C843)</f>
        <v/>
      </c>
      <c r="F843" s="51" t="str">
        <f>IF(OR(C843="",D843=""),"",IF(TipoCalculo="JUROS SIMPLES",D843*E843*TaxaAoDia,FV(TaxaAoDia,E843,,-D843)-D843))</f>
        <v/>
      </c>
      <c r="G843" s="51" t="str">
        <f t="shared" si="24"/>
        <v/>
      </c>
      <c r="H843" s="51" t="str">
        <f t="shared" si="25"/>
        <v/>
      </c>
    </row>
    <row r="844" spans="5:8" x14ac:dyDescent="0.25">
      <c r="E844" s="50" t="str">
        <f>IF(OR(C844="",D844=""),"",AtualizarAte-C844)</f>
        <v/>
      </c>
      <c r="F844" s="51" t="str">
        <f>IF(OR(C844="",D844=""),"",IF(TipoCalculo="JUROS SIMPLES",D844*E844*TaxaAoDia,FV(TaxaAoDia,E844,,-D844)-D844))</f>
        <v/>
      </c>
      <c r="G844" s="51" t="str">
        <f t="shared" si="24"/>
        <v/>
      </c>
      <c r="H844" s="51" t="str">
        <f t="shared" si="25"/>
        <v/>
      </c>
    </row>
    <row r="845" spans="5:8" x14ac:dyDescent="0.25">
      <c r="E845" s="50" t="str">
        <f>IF(OR(C845="",D845=""),"",AtualizarAte-C845)</f>
        <v/>
      </c>
      <c r="F845" s="51" t="str">
        <f>IF(OR(C845="",D845=""),"",IF(TipoCalculo="JUROS SIMPLES",D845*E845*TaxaAoDia,FV(TaxaAoDia,E845,,-D845)-D845))</f>
        <v/>
      </c>
      <c r="G845" s="51" t="str">
        <f t="shared" ref="G845:G908" si="26">IF(OR(C845="",D845=""),"",D845+F845)</f>
        <v/>
      </c>
      <c r="H845" s="51" t="str">
        <f t="shared" ref="H845:H908" si="27">IF(C845="","",IF(D845="","",IF(H844="SALDO ATUALIZ.",G845,H844+G845)))</f>
        <v/>
      </c>
    </row>
    <row r="846" spans="5:8" x14ac:dyDescent="0.25">
      <c r="E846" s="50" t="str">
        <f>IF(OR(C846="",D846=""),"",AtualizarAte-C846)</f>
        <v/>
      </c>
      <c r="F846" s="51" t="str">
        <f>IF(OR(C846="",D846=""),"",IF(TipoCalculo="JUROS SIMPLES",D846*E846*TaxaAoDia,FV(TaxaAoDia,E846,,-D846)-D846))</f>
        <v/>
      </c>
      <c r="G846" s="51" t="str">
        <f t="shared" si="26"/>
        <v/>
      </c>
      <c r="H846" s="51" t="str">
        <f t="shared" si="27"/>
        <v/>
      </c>
    </row>
    <row r="847" spans="5:8" x14ac:dyDescent="0.25">
      <c r="E847" s="50" t="str">
        <f>IF(OR(C847="",D847=""),"",AtualizarAte-C847)</f>
        <v/>
      </c>
      <c r="F847" s="51" t="str">
        <f>IF(OR(C847="",D847=""),"",IF(TipoCalculo="JUROS SIMPLES",D847*E847*TaxaAoDia,FV(TaxaAoDia,E847,,-D847)-D847))</f>
        <v/>
      </c>
      <c r="G847" s="51" t="str">
        <f t="shared" si="26"/>
        <v/>
      </c>
      <c r="H847" s="51" t="str">
        <f t="shared" si="27"/>
        <v/>
      </c>
    </row>
    <row r="848" spans="5:8" x14ac:dyDescent="0.25">
      <c r="E848" s="50" t="str">
        <f>IF(OR(C848="",D848=""),"",AtualizarAte-C848)</f>
        <v/>
      </c>
      <c r="F848" s="51" t="str">
        <f>IF(OR(C848="",D848=""),"",IF(TipoCalculo="JUROS SIMPLES",D848*E848*TaxaAoDia,FV(TaxaAoDia,E848,,-D848)-D848))</f>
        <v/>
      </c>
      <c r="G848" s="51" t="str">
        <f t="shared" si="26"/>
        <v/>
      </c>
      <c r="H848" s="51" t="str">
        <f t="shared" si="27"/>
        <v/>
      </c>
    </row>
    <row r="849" spans="5:8" x14ac:dyDescent="0.25">
      <c r="E849" s="50" t="str">
        <f>IF(OR(C849="",D849=""),"",AtualizarAte-C849)</f>
        <v/>
      </c>
      <c r="F849" s="51" t="str">
        <f>IF(OR(C849="",D849=""),"",IF(TipoCalculo="JUROS SIMPLES",D849*E849*TaxaAoDia,FV(TaxaAoDia,E849,,-D849)-D849))</f>
        <v/>
      </c>
      <c r="G849" s="51" t="str">
        <f t="shared" si="26"/>
        <v/>
      </c>
      <c r="H849" s="51" t="str">
        <f t="shared" si="27"/>
        <v/>
      </c>
    </row>
    <row r="850" spans="5:8" x14ac:dyDescent="0.25">
      <c r="E850" s="50" t="str">
        <f>IF(OR(C850="",D850=""),"",AtualizarAte-C850)</f>
        <v/>
      </c>
      <c r="F850" s="51" t="str">
        <f>IF(OR(C850="",D850=""),"",IF(TipoCalculo="JUROS SIMPLES",D850*E850*TaxaAoDia,FV(TaxaAoDia,E850,,-D850)-D850))</f>
        <v/>
      </c>
      <c r="G850" s="51" t="str">
        <f t="shared" si="26"/>
        <v/>
      </c>
      <c r="H850" s="51" t="str">
        <f t="shared" si="27"/>
        <v/>
      </c>
    </row>
    <row r="851" spans="5:8" x14ac:dyDescent="0.25">
      <c r="E851" s="50" t="str">
        <f>IF(OR(C851="",D851=""),"",AtualizarAte-C851)</f>
        <v/>
      </c>
      <c r="F851" s="51" t="str">
        <f>IF(OR(C851="",D851=""),"",IF(TipoCalculo="JUROS SIMPLES",D851*E851*TaxaAoDia,FV(TaxaAoDia,E851,,-D851)-D851))</f>
        <v/>
      </c>
      <c r="G851" s="51" t="str">
        <f t="shared" si="26"/>
        <v/>
      </c>
      <c r="H851" s="51" t="str">
        <f t="shared" si="27"/>
        <v/>
      </c>
    </row>
    <row r="852" spans="5:8" x14ac:dyDescent="0.25">
      <c r="E852" s="50" t="str">
        <f>IF(OR(C852="",D852=""),"",AtualizarAte-C852)</f>
        <v/>
      </c>
      <c r="F852" s="51" t="str">
        <f>IF(OR(C852="",D852=""),"",IF(TipoCalculo="JUROS SIMPLES",D852*E852*TaxaAoDia,FV(TaxaAoDia,E852,,-D852)-D852))</f>
        <v/>
      </c>
      <c r="G852" s="51" t="str">
        <f t="shared" si="26"/>
        <v/>
      </c>
      <c r="H852" s="51" t="str">
        <f t="shared" si="27"/>
        <v/>
      </c>
    </row>
    <row r="853" spans="5:8" x14ac:dyDescent="0.25">
      <c r="E853" s="50" t="str">
        <f>IF(OR(C853="",D853=""),"",AtualizarAte-C853)</f>
        <v/>
      </c>
      <c r="F853" s="51" t="str">
        <f>IF(OR(C853="",D853=""),"",IF(TipoCalculo="JUROS SIMPLES",D853*E853*TaxaAoDia,FV(TaxaAoDia,E853,,-D853)-D853))</f>
        <v/>
      </c>
      <c r="G853" s="51" t="str">
        <f t="shared" si="26"/>
        <v/>
      </c>
      <c r="H853" s="51" t="str">
        <f t="shared" si="27"/>
        <v/>
      </c>
    </row>
    <row r="854" spans="5:8" x14ac:dyDescent="0.25">
      <c r="E854" s="50" t="str">
        <f>IF(OR(C854="",D854=""),"",AtualizarAte-C854)</f>
        <v/>
      </c>
      <c r="F854" s="51" t="str">
        <f>IF(OR(C854="",D854=""),"",IF(TipoCalculo="JUROS SIMPLES",D854*E854*TaxaAoDia,FV(TaxaAoDia,E854,,-D854)-D854))</f>
        <v/>
      </c>
      <c r="G854" s="51" t="str">
        <f t="shared" si="26"/>
        <v/>
      </c>
      <c r="H854" s="51" t="str">
        <f t="shared" si="27"/>
        <v/>
      </c>
    </row>
    <row r="855" spans="5:8" x14ac:dyDescent="0.25">
      <c r="E855" s="50" t="str">
        <f>IF(OR(C855="",D855=""),"",AtualizarAte-C855)</f>
        <v/>
      </c>
      <c r="F855" s="51" t="str">
        <f>IF(OR(C855="",D855=""),"",IF(TipoCalculo="JUROS SIMPLES",D855*E855*TaxaAoDia,FV(TaxaAoDia,E855,,-D855)-D855))</f>
        <v/>
      </c>
      <c r="G855" s="51" t="str">
        <f t="shared" si="26"/>
        <v/>
      </c>
      <c r="H855" s="51" t="str">
        <f t="shared" si="27"/>
        <v/>
      </c>
    </row>
    <row r="856" spans="5:8" x14ac:dyDescent="0.25">
      <c r="E856" s="50" t="str">
        <f>IF(OR(C856="",D856=""),"",AtualizarAte-C856)</f>
        <v/>
      </c>
      <c r="F856" s="51" t="str">
        <f>IF(OR(C856="",D856=""),"",IF(TipoCalculo="JUROS SIMPLES",D856*E856*TaxaAoDia,FV(TaxaAoDia,E856,,-D856)-D856))</f>
        <v/>
      </c>
      <c r="G856" s="51" t="str">
        <f t="shared" si="26"/>
        <v/>
      </c>
      <c r="H856" s="51" t="str">
        <f t="shared" si="27"/>
        <v/>
      </c>
    </row>
    <row r="857" spans="5:8" x14ac:dyDescent="0.25">
      <c r="E857" s="50" t="str">
        <f>IF(OR(C857="",D857=""),"",AtualizarAte-C857)</f>
        <v/>
      </c>
      <c r="F857" s="51" t="str">
        <f>IF(OR(C857="",D857=""),"",IF(TipoCalculo="JUROS SIMPLES",D857*E857*TaxaAoDia,FV(TaxaAoDia,E857,,-D857)-D857))</f>
        <v/>
      </c>
      <c r="G857" s="51" t="str">
        <f t="shared" si="26"/>
        <v/>
      </c>
      <c r="H857" s="51" t="str">
        <f t="shared" si="27"/>
        <v/>
      </c>
    </row>
    <row r="858" spans="5:8" x14ac:dyDescent="0.25">
      <c r="E858" s="50" t="str">
        <f>IF(OR(C858="",D858=""),"",AtualizarAte-C858)</f>
        <v/>
      </c>
      <c r="F858" s="51" t="str">
        <f>IF(OR(C858="",D858=""),"",IF(TipoCalculo="JUROS SIMPLES",D858*E858*TaxaAoDia,FV(TaxaAoDia,E858,,-D858)-D858))</f>
        <v/>
      </c>
      <c r="G858" s="51" t="str">
        <f t="shared" si="26"/>
        <v/>
      </c>
      <c r="H858" s="51" t="str">
        <f t="shared" si="27"/>
        <v/>
      </c>
    </row>
    <row r="859" spans="5:8" x14ac:dyDescent="0.25">
      <c r="E859" s="50" t="str">
        <f>IF(OR(C859="",D859=""),"",AtualizarAte-C859)</f>
        <v/>
      </c>
      <c r="F859" s="51" t="str">
        <f>IF(OR(C859="",D859=""),"",IF(TipoCalculo="JUROS SIMPLES",D859*E859*TaxaAoDia,FV(TaxaAoDia,E859,,-D859)-D859))</f>
        <v/>
      </c>
      <c r="G859" s="51" t="str">
        <f t="shared" si="26"/>
        <v/>
      </c>
      <c r="H859" s="51" t="str">
        <f t="shared" si="27"/>
        <v/>
      </c>
    </row>
    <row r="860" spans="5:8" x14ac:dyDescent="0.25">
      <c r="E860" s="50" t="str">
        <f>IF(OR(C860="",D860=""),"",AtualizarAte-C860)</f>
        <v/>
      </c>
      <c r="F860" s="51" t="str">
        <f>IF(OR(C860="",D860=""),"",IF(TipoCalculo="JUROS SIMPLES",D860*E860*TaxaAoDia,FV(TaxaAoDia,E860,,-D860)-D860))</f>
        <v/>
      </c>
      <c r="G860" s="51" t="str">
        <f t="shared" si="26"/>
        <v/>
      </c>
      <c r="H860" s="51" t="str">
        <f t="shared" si="27"/>
        <v/>
      </c>
    </row>
    <row r="861" spans="5:8" x14ac:dyDescent="0.25">
      <c r="E861" s="50" t="str">
        <f>IF(OR(C861="",D861=""),"",AtualizarAte-C861)</f>
        <v/>
      </c>
      <c r="F861" s="51" t="str">
        <f>IF(OR(C861="",D861=""),"",IF(TipoCalculo="JUROS SIMPLES",D861*E861*TaxaAoDia,FV(TaxaAoDia,E861,,-D861)-D861))</f>
        <v/>
      </c>
      <c r="G861" s="51" t="str">
        <f t="shared" si="26"/>
        <v/>
      </c>
      <c r="H861" s="51" t="str">
        <f t="shared" si="27"/>
        <v/>
      </c>
    </row>
    <row r="862" spans="5:8" x14ac:dyDescent="0.25">
      <c r="E862" s="50" t="str">
        <f>IF(OR(C862="",D862=""),"",AtualizarAte-C862)</f>
        <v/>
      </c>
      <c r="F862" s="51" t="str">
        <f>IF(OR(C862="",D862=""),"",IF(TipoCalculo="JUROS SIMPLES",D862*E862*TaxaAoDia,FV(TaxaAoDia,E862,,-D862)-D862))</f>
        <v/>
      </c>
      <c r="G862" s="51" t="str">
        <f t="shared" si="26"/>
        <v/>
      </c>
      <c r="H862" s="51" t="str">
        <f t="shared" si="27"/>
        <v/>
      </c>
    </row>
    <row r="863" spans="5:8" x14ac:dyDescent="0.25">
      <c r="E863" s="50" t="str">
        <f>IF(OR(C863="",D863=""),"",AtualizarAte-C863)</f>
        <v/>
      </c>
      <c r="F863" s="51" t="str">
        <f>IF(OR(C863="",D863=""),"",IF(TipoCalculo="JUROS SIMPLES",D863*E863*TaxaAoDia,FV(TaxaAoDia,E863,,-D863)-D863))</f>
        <v/>
      </c>
      <c r="G863" s="51" t="str">
        <f t="shared" si="26"/>
        <v/>
      </c>
      <c r="H863" s="51" t="str">
        <f t="shared" si="27"/>
        <v/>
      </c>
    </row>
    <row r="864" spans="5:8" x14ac:dyDescent="0.25">
      <c r="E864" s="50" t="str">
        <f>IF(OR(C864="",D864=""),"",AtualizarAte-C864)</f>
        <v/>
      </c>
      <c r="F864" s="51" t="str">
        <f>IF(OR(C864="",D864=""),"",IF(TipoCalculo="JUROS SIMPLES",D864*E864*TaxaAoDia,FV(TaxaAoDia,E864,,-D864)-D864))</f>
        <v/>
      </c>
      <c r="G864" s="51" t="str">
        <f t="shared" si="26"/>
        <v/>
      </c>
      <c r="H864" s="51" t="str">
        <f t="shared" si="27"/>
        <v/>
      </c>
    </row>
    <row r="865" spans="5:8" x14ac:dyDescent="0.25">
      <c r="E865" s="50" t="str">
        <f>IF(OR(C865="",D865=""),"",AtualizarAte-C865)</f>
        <v/>
      </c>
      <c r="F865" s="51" t="str">
        <f>IF(OR(C865="",D865=""),"",IF(TipoCalculo="JUROS SIMPLES",D865*E865*TaxaAoDia,FV(TaxaAoDia,E865,,-D865)-D865))</f>
        <v/>
      </c>
      <c r="G865" s="51" t="str">
        <f t="shared" si="26"/>
        <v/>
      </c>
      <c r="H865" s="51" t="str">
        <f t="shared" si="27"/>
        <v/>
      </c>
    </row>
    <row r="866" spans="5:8" x14ac:dyDescent="0.25">
      <c r="E866" s="50" t="str">
        <f>IF(OR(C866="",D866=""),"",AtualizarAte-C866)</f>
        <v/>
      </c>
      <c r="F866" s="51" t="str">
        <f>IF(OR(C866="",D866=""),"",IF(TipoCalculo="JUROS SIMPLES",D866*E866*TaxaAoDia,FV(TaxaAoDia,E866,,-D866)-D866))</f>
        <v/>
      </c>
      <c r="G866" s="51" t="str">
        <f t="shared" si="26"/>
        <v/>
      </c>
      <c r="H866" s="51" t="str">
        <f t="shared" si="27"/>
        <v/>
      </c>
    </row>
    <row r="867" spans="5:8" x14ac:dyDescent="0.25">
      <c r="E867" s="50" t="str">
        <f>IF(OR(C867="",D867=""),"",AtualizarAte-C867)</f>
        <v/>
      </c>
      <c r="F867" s="51" t="str">
        <f>IF(OR(C867="",D867=""),"",IF(TipoCalculo="JUROS SIMPLES",D867*E867*TaxaAoDia,FV(TaxaAoDia,E867,,-D867)-D867))</f>
        <v/>
      </c>
      <c r="G867" s="51" t="str">
        <f t="shared" si="26"/>
        <v/>
      </c>
      <c r="H867" s="51" t="str">
        <f t="shared" si="27"/>
        <v/>
      </c>
    </row>
    <row r="868" spans="5:8" x14ac:dyDescent="0.25">
      <c r="E868" s="50" t="str">
        <f>IF(OR(C868="",D868=""),"",AtualizarAte-C868)</f>
        <v/>
      </c>
      <c r="F868" s="51" t="str">
        <f>IF(OR(C868="",D868=""),"",IF(TipoCalculo="JUROS SIMPLES",D868*E868*TaxaAoDia,FV(TaxaAoDia,E868,,-D868)-D868))</f>
        <v/>
      </c>
      <c r="G868" s="51" t="str">
        <f t="shared" si="26"/>
        <v/>
      </c>
      <c r="H868" s="51" t="str">
        <f t="shared" si="27"/>
        <v/>
      </c>
    </row>
    <row r="869" spans="5:8" x14ac:dyDescent="0.25">
      <c r="E869" s="50" t="str">
        <f>IF(OR(C869="",D869=""),"",AtualizarAte-C869)</f>
        <v/>
      </c>
      <c r="F869" s="51" t="str">
        <f>IF(OR(C869="",D869=""),"",IF(TipoCalculo="JUROS SIMPLES",D869*E869*TaxaAoDia,FV(TaxaAoDia,E869,,-D869)-D869))</f>
        <v/>
      </c>
      <c r="G869" s="51" t="str">
        <f t="shared" si="26"/>
        <v/>
      </c>
      <c r="H869" s="51" t="str">
        <f t="shared" si="27"/>
        <v/>
      </c>
    </row>
    <row r="870" spans="5:8" x14ac:dyDescent="0.25">
      <c r="E870" s="50" t="str">
        <f>IF(OR(C870="",D870=""),"",AtualizarAte-C870)</f>
        <v/>
      </c>
      <c r="F870" s="51" t="str">
        <f>IF(OR(C870="",D870=""),"",IF(TipoCalculo="JUROS SIMPLES",D870*E870*TaxaAoDia,FV(TaxaAoDia,E870,,-D870)-D870))</f>
        <v/>
      </c>
      <c r="G870" s="51" t="str">
        <f t="shared" si="26"/>
        <v/>
      </c>
      <c r="H870" s="51" t="str">
        <f t="shared" si="27"/>
        <v/>
      </c>
    </row>
    <row r="871" spans="5:8" x14ac:dyDescent="0.25">
      <c r="E871" s="50" t="str">
        <f>IF(OR(C871="",D871=""),"",AtualizarAte-C871)</f>
        <v/>
      </c>
      <c r="F871" s="51" t="str">
        <f>IF(OR(C871="",D871=""),"",IF(TipoCalculo="JUROS SIMPLES",D871*E871*TaxaAoDia,FV(TaxaAoDia,E871,,-D871)-D871))</f>
        <v/>
      </c>
      <c r="G871" s="51" t="str">
        <f t="shared" si="26"/>
        <v/>
      </c>
      <c r="H871" s="51" t="str">
        <f t="shared" si="27"/>
        <v/>
      </c>
    </row>
    <row r="872" spans="5:8" x14ac:dyDescent="0.25">
      <c r="E872" s="50" t="str">
        <f>IF(OR(C872="",D872=""),"",AtualizarAte-C872)</f>
        <v/>
      </c>
      <c r="F872" s="51" t="str">
        <f>IF(OR(C872="",D872=""),"",IF(TipoCalculo="JUROS SIMPLES",D872*E872*TaxaAoDia,FV(TaxaAoDia,E872,,-D872)-D872))</f>
        <v/>
      </c>
      <c r="G872" s="51" t="str">
        <f t="shared" si="26"/>
        <v/>
      </c>
      <c r="H872" s="51" t="str">
        <f t="shared" si="27"/>
        <v/>
      </c>
    </row>
    <row r="873" spans="5:8" x14ac:dyDescent="0.25">
      <c r="E873" s="50" t="str">
        <f>IF(OR(C873="",D873=""),"",AtualizarAte-C873)</f>
        <v/>
      </c>
      <c r="F873" s="51" t="str">
        <f>IF(OR(C873="",D873=""),"",IF(TipoCalculo="JUROS SIMPLES",D873*E873*TaxaAoDia,FV(TaxaAoDia,E873,,-D873)-D873))</f>
        <v/>
      </c>
      <c r="G873" s="51" t="str">
        <f t="shared" si="26"/>
        <v/>
      </c>
      <c r="H873" s="51" t="str">
        <f t="shared" si="27"/>
        <v/>
      </c>
    </row>
    <row r="874" spans="5:8" x14ac:dyDescent="0.25">
      <c r="E874" s="50" t="str">
        <f>IF(OR(C874="",D874=""),"",AtualizarAte-C874)</f>
        <v/>
      </c>
      <c r="F874" s="51" t="str">
        <f>IF(OR(C874="",D874=""),"",IF(TipoCalculo="JUROS SIMPLES",D874*E874*TaxaAoDia,FV(TaxaAoDia,E874,,-D874)-D874))</f>
        <v/>
      </c>
      <c r="G874" s="51" t="str">
        <f t="shared" si="26"/>
        <v/>
      </c>
      <c r="H874" s="51" t="str">
        <f t="shared" si="27"/>
        <v/>
      </c>
    </row>
    <row r="875" spans="5:8" x14ac:dyDescent="0.25">
      <c r="E875" s="50" t="str">
        <f>IF(OR(C875="",D875=""),"",AtualizarAte-C875)</f>
        <v/>
      </c>
      <c r="F875" s="51" t="str">
        <f>IF(OR(C875="",D875=""),"",IF(TipoCalculo="JUROS SIMPLES",D875*E875*TaxaAoDia,FV(TaxaAoDia,E875,,-D875)-D875))</f>
        <v/>
      </c>
      <c r="G875" s="51" t="str">
        <f t="shared" si="26"/>
        <v/>
      </c>
      <c r="H875" s="51" t="str">
        <f t="shared" si="27"/>
        <v/>
      </c>
    </row>
    <row r="876" spans="5:8" x14ac:dyDescent="0.25">
      <c r="E876" s="50" t="str">
        <f>IF(OR(C876="",D876=""),"",AtualizarAte-C876)</f>
        <v/>
      </c>
      <c r="F876" s="51" t="str">
        <f>IF(OR(C876="",D876=""),"",IF(TipoCalculo="JUROS SIMPLES",D876*E876*TaxaAoDia,FV(TaxaAoDia,E876,,-D876)-D876))</f>
        <v/>
      </c>
      <c r="G876" s="51" t="str">
        <f t="shared" si="26"/>
        <v/>
      </c>
      <c r="H876" s="51" t="str">
        <f t="shared" si="27"/>
        <v/>
      </c>
    </row>
    <row r="877" spans="5:8" x14ac:dyDescent="0.25">
      <c r="E877" s="50" t="str">
        <f>IF(OR(C877="",D877=""),"",AtualizarAte-C877)</f>
        <v/>
      </c>
      <c r="F877" s="51" t="str">
        <f>IF(OR(C877="",D877=""),"",IF(TipoCalculo="JUROS SIMPLES",D877*E877*TaxaAoDia,FV(TaxaAoDia,E877,,-D877)-D877))</f>
        <v/>
      </c>
      <c r="G877" s="51" t="str">
        <f t="shared" si="26"/>
        <v/>
      </c>
      <c r="H877" s="51" t="str">
        <f t="shared" si="27"/>
        <v/>
      </c>
    </row>
    <row r="878" spans="5:8" x14ac:dyDescent="0.25">
      <c r="E878" s="50" t="str">
        <f>IF(OR(C878="",D878=""),"",AtualizarAte-C878)</f>
        <v/>
      </c>
      <c r="F878" s="51" t="str">
        <f>IF(OR(C878="",D878=""),"",IF(TipoCalculo="JUROS SIMPLES",D878*E878*TaxaAoDia,FV(TaxaAoDia,E878,,-D878)-D878))</f>
        <v/>
      </c>
      <c r="G878" s="51" t="str">
        <f t="shared" si="26"/>
        <v/>
      </c>
      <c r="H878" s="51" t="str">
        <f t="shared" si="27"/>
        <v/>
      </c>
    </row>
    <row r="879" spans="5:8" x14ac:dyDescent="0.25">
      <c r="E879" s="50" t="str">
        <f>IF(OR(C879="",D879=""),"",AtualizarAte-C879)</f>
        <v/>
      </c>
      <c r="F879" s="51" t="str">
        <f>IF(OR(C879="",D879=""),"",IF(TipoCalculo="JUROS SIMPLES",D879*E879*TaxaAoDia,FV(TaxaAoDia,E879,,-D879)-D879))</f>
        <v/>
      </c>
      <c r="G879" s="51" t="str">
        <f t="shared" si="26"/>
        <v/>
      </c>
      <c r="H879" s="51" t="str">
        <f t="shared" si="27"/>
        <v/>
      </c>
    </row>
    <row r="880" spans="5:8" x14ac:dyDescent="0.25">
      <c r="E880" s="50" t="str">
        <f>IF(OR(C880="",D880=""),"",AtualizarAte-C880)</f>
        <v/>
      </c>
      <c r="F880" s="51" t="str">
        <f>IF(OR(C880="",D880=""),"",IF(TipoCalculo="JUROS SIMPLES",D880*E880*TaxaAoDia,FV(TaxaAoDia,E880,,-D880)-D880))</f>
        <v/>
      </c>
      <c r="G880" s="51" t="str">
        <f t="shared" si="26"/>
        <v/>
      </c>
      <c r="H880" s="51" t="str">
        <f t="shared" si="27"/>
        <v/>
      </c>
    </row>
    <row r="881" spans="5:8" x14ac:dyDescent="0.25">
      <c r="E881" s="50" t="str">
        <f>IF(OR(C881="",D881=""),"",AtualizarAte-C881)</f>
        <v/>
      </c>
      <c r="F881" s="51" t="str">
        <f>IF(OR(C881="",D881=""),"",IF(TipoCalculo="JUROS SIMPLES",D881*E881*TaxaAoDia,FV(TaxaAoDia,E881,,-D881)-D881))</f>
        <v/>
      </c>
      <c r="G881" s="51" t="str">
        <f t="shared" si="26"/>
        <v/>
      </c>
      <c r="H881" s="51" t="str">
        <f t="shared" si="27"/>
        <v/>
      </c>
    </row>
    <row r="882" spans="5:8" x14ac:dyDescent="0.25">
      <c r="E882" s="50" t="str">
        <f>IF(OR(C882="",D882=""),"",AtualizarAte-C882)</f>
        <v/>
      </c>
      <c r="F882" s="51" t="str">
        <f>IF(OR(C882="",D882=""),"",IF(TipoCalculo="JUROS SIMPLES",D882*E882*TaxaAoDia,FV(TaxaAoDia,E882,,-D882)-D882))</f>
        <v/>
      </c>
      <c r="G882" s="51" t="str">
        <f t="shared" si="26"/>
        <v/>
      </c>
      <c r="H882" s="51" t="str">
        <f t="shared" si="27"/>
        <v/>
      </c>
    </row>
    <row r="883" spans="5:8" x14ac:dyDescent="0.25">
      <c r="E883" s="50" t="str">
        <f>IF(OR(C883="",D883=""),"",AtualizarAte-C883)</f>
        <v/>
      </c>
      <c r="F883" s="51" t="str">
        <f>IF(OR(C883="",D883=""),"",IF(TipoCalculo="JUROS SIMPLES",D883*E883*TaxaAoDia,FV(TaxaAoDia,E883,,-D883)-D883))</f>
        <v/>
      </c>
      <c r="G883" s="51" t="str">
        <f t="shared" si="26"/>
        <v/>
      </c>
      <c r="H883" s="51" t="str">
        <f t="shared" si="27"/>
        <v/>
      </c>
    </row>
    <row r="884" spans="5:8" x14ac:dyDescent="0.25">
      <c r="E884" s="50" t="str">
        <f>IF(OR(C884="",D884=""),"",AtualizarAte-C884)</f>
        <v/>
      </c>
      <c r="F884" s="51" t="str">
        <f>IF(OR(C884="",D884=""),"",IF(TipoCalculo="JUROS SIMPLES",D884*E884*TaxaAoDia,FV(TaxaAoDia,E884,,-D884)-D884))</f>
        <v/>
      </c>
      <c r="G884" s="51" t="str">
        <f t="shared" si="26"/>
        <v/>
      </c>
      <c r="H884" s="51" t="str">
        <f t="shared" si="27"/>
        <v/>
      </c>
    </row>
    <row r="885" spans="5:8" x14ac:dyDescent="0.25">
      <c r="E885" s="50" t="str">
        <f>IF(OR(C885="",D885=""),"",AtualizarAte-C885)</f>
        <v/>
      </c>
      <c r="F885" s="51" t="str">
        <f>IF(OR(C885="",D885=""),"",IF(TipoCalculo="JUROS SIMPLES",D885*E885*TaxaAoDia,FV(TaxaAoDia,E885,,-D885)-D885))</f>
        <v/>
      </c>
      <c r="G885" s="51" t="str">
        <f t="shared" si="26"/>
        <v/>
      </c>
      <c r="H885" s="51" t="str">
        <f t="shared" si="27"/>
        <v/>
      </c>
    </row>
    <row r="886" spans="5:8" x14ac:dyDescent="0.25">
      <c r="E886" s="50" t="str">
        <f>IF(OR(C886="",D886=""),"",AtualizarAte-C886)</f>
        <v/>
      </c>
      <c r="F886" s="51" t="str">
        <f>IF(OR(C886="",D886=""),"",IF(TipoCalculo="JUROS SIMPLES",D886*E886*TaxaAoDia,FV(TaxaAoDia,E886,,-D886)-D886))</f>
        <v/>
      </c>
      <c r="G886" s="51" t="str">
        <f t="shared" si="26"/>
        <v/>
      </c>
      <c r="H886" s="51" t="str">
        <f t="shared" si="27"/>
        <v/>
      </c>
    </row>
    <row r="887" spans="5:8" x14ac:dyDescent="0.25">
      <c r="E887" s="50" t="str">
        <f>IF(OR(C887="",D887=""),"",AtualizarAte-C887)</f>
        <v/>
      </c>
      <c r="F887" s="51" t="str">
        <f>IF(OR(C887="",D887=""),"",IF(TipoCalculo="JUROS SIMPLES",D887*E887*TaxaAoDia,FV(TaxaAoDia,E887,,-D887)-D887))</f>
        <v/>
      </c>
      <c r="G887" s="51" t="str">
        <f t="shared" si="26"/>
        <v/>
      </c>
      <c r="H887" s="51" t="str">
        <f t="shared" si="27"/>
        <v/>
      </c>
    </row>
    <row r="888" spans="5:8" x14ac:dyDescent="0.25">
      <c r="E888" s="50" t="str">
        <f>IF(OR(C888="",D888=""),"",AtualizarAte-C888)</f>
        <v/>
      </c>
      <c r="F888" s="51" t="str">
        <f>IF(OR(C888="",D888=""),"",IF(TipoCalculo="JUROS SIMPLES",D888*E888*TaxaAoDia,FV(TaxaAoDia,E888,,-D888)-D888))</f>
        <v/>
      </c>
      <c r="G888" s="51" t="str">
        <f t="shared" si="26"/>
        <v/>
      </c>
      <c r="H888" s="51" t="str">
        <f t="shared" si="27"/>
        <v/>
      </c>
    </row>
    <row r="889" spans="5:8" x14ac:dyDescent="0.25">
      <c r="E889" s="50" t="str">
        <f>IF(OR(C889="",D889=""),"",AtualizarAte-C889)</f>
        <v/>
      </c>
      <c r="F889" s="51" t="str">
        <f>IF(OR(C889="",D889=""),"",IF(TipoCalculo="JUROS SIMPLES",D889*E889*TaxaAoDia,FV(TaxaAoDia,E889,,-D889)-D889))</f>
        <v/>
      </c>
      <c r="G889" s="51" t="str">
        <f t="shared" si="26"/>
        <v/>
      </c>
      <c r="H889" s="51" t="str">
        <f t="shared" si="27"/>
        <v/>
      </c>
    </row>
    <row r="890" spans="5:8" x14ac:dyDescent="0.25">
      <c r="E890" s="50" t="str">
        <f>IF(OR(C890="",D890=""),"",AtualizarAte-C890)</f>
        <v/>
      </c>
      <c r="F890" s="51" t="str">
        <f>IF(OR(C890="",D890=""),"",IF(TipoCalculo="JUROS SIMPLES",D890*E890*TaxaAoDia,FV(TaxaAoDia,E890,,-D890)-D890))</f>
        <v/>
      </c>
      <c r="G890" s="51" t="str">
        <f t="shared" si="26"/>
        <v/>
      </c>
      <c r="H890" s="51" t="str">
        <f t="shared" si="27"/>
        <v/>
      </c>
    </row>
    <row r="891" spans="5:8" x14ac:dyDescent="0.25">
      <c r="E891" s="50" t="str">
        <f>IF(OR(C891="",D891=""),"",AtualizarAte-C891)</f>
        <v/>
      </c>
      <c r="F891" s="51" t="str">
        <f>IF(OR(C891="",D891=""),"",IF(TipoCalculo="JUROS SIMPLES",D891*E891*TaxaAoDia,FV(TaxaAoDia,E891,,-D891)-D891))</f>
        <v/>
      </c>
      <c r="G891" s="51" t="str">
        <f t="shared" si="26"/>
        <v/>
      </c>
      <c r="H891" s="51" t="str">
        <f t="shared" si="27"/>
        <v/>
      </c>
    </row>
    <row r="892" spans="5:8" x14ac:dyDescent="0.25">
      <c r="E892" s="50" t="str">
        <f>IF(OR(C892="",D892=""),"",AtualizarAte-C892)</f>
        <v/>
      </c>
      <c r="F892" s="51" t="str">
        <f>IF(OR(C892="",D892=""),"",IF(TipoCalculo="JUROS SIMPLES",D892*E892*TaxaAoDia,FV(TaxaAoDia,E892,,-D892)-D892))</f>
        <v/>
      </c>
      <c r="G892" s="51" t="str">
        <f t="shared" si="26"/>
        <v/>
      </c>
      <c r="H892" s="51" t="str">
        <f t="shared" si="27"/>
        <v/>
      </c>
    </row>
    <row r="893" spans="5:8" x14ac:dyDescent="0.25">
      <c r="E893" s="50" t="str">
        <f>IF(OR(C893="",D893=""),"",AtualizarAte-C893)</f>
        <v/>
      </c>
      <c r="F893" s="51" t="str">
        <f>IF(OR(C893="",D893=""),"",IF(TipoCalculo="JUROS SIMPLES",D893*E893*TaxaAoDia,FV(TaxaAoDia,E893,,-D893)-D893))</f>
        <v/>
      </c>
      <c r="G893" s="51" t="str">
        <f t="shared" si="26"/>
        <v/>
      </c>
      <c r="H893" s="51" t="str">
        <f t="shared" si="27"/>
        <v/>
      </c>
    </row>
    <row r="894" spans="5:8" x14ac:dyDescent="0.25">
      <c r="E894" s="50" t="str">
        <f>IF(OR(C894="",D894=""),"",AtualizarAte-C894)</f>
        <v/>
      </c>
      <c r="F894" s="51" t="str">
        <f>IF(OR(C894="",D894=""),"",IF(TipoCalculo="JUROS SIMPLES",D894*E894*TaxaAoDia,FV(TaxaAoDia,E894,,-D894)-D894))</f>
        <v/>
      </c>
      <c r="G894" s="51" t="str">
        <f t="shared" si="26"/>
        <v/>
      </c>
      <c r="H894" s="51" t="str">
        <f t="shared" si="27"/>
        <v/>
      </c>
    </row>
    <row r="895" spans="5:8" x14ac:dyDescent="0.25">
      <c r="E895" s="50" t="str">
        <f>IF(OR(C895="",D895=""),"",AtualizarAte-C895)</f>
        <v/>
      </c>
      <c r="F895" s="51" t="str">
        <f>IF(OR(C895="",D895=""),"",IF(TipoCalculo="JUROS SIMPLES",D895*E895*TaxaAoDia,FV(TaxaAoDia,E895,,-D895)-D895))</f>
        <v/>
      </c>
      <c r="G895" s="51" t="str">
        <f t="shared" si="26"/>
        <v/>
      </c>
      <c r="H895" s="51" t="str">
        <f t="shared" si="27"/>
        <v/>
      </c>
    </row>
    <row r="896" spans="5:8" x14ac:dyDescent="0.25">
      <c r="E896" s="50" t="str">
        <f>IF(OR(C896="",D896=""),"",AtualizarAte-C896)</f>
        <v/>
      </c>
      <c r="F896" s="51" t="str">
        <f>IF(OR(C896="",D896=""),"",IF(TipoCalculo="JUROS SIMPLES",D896*E896*TaxaAoDia,FV(TaxaAoDia,E896,,-D896)-D896))</f>
        <v/>
      </c>
      <c r="G896" s="51" t="str">
        <f t="shared" si="26"/>
        <v/>
      </c>
      <c r="H896" s="51" t="str">
        <f t="shared" si="27"/>
        <v/>
      </c>
    </row>
    <row r="897" spans="5:8" x14ac:dyDescent="0.25">
      <c r="E897" s="50" t="str">
        <f>IF(OR(C897="",D897=""),"",AtualizarAte-C897)</f>
        <v/>
      </c>
      <c r="F897" s="51" t="str">
        <f>IF(OR(C897="",D897=""),"",IF(TipoCalculo="JUROS SIMPLES",D897*E897*TaxaAoDia,FV(TaxaAoDia,E897,,-D897)-D897))</f>
        <v/>
      </c>
      <c r="G897" s="51" t="str">
        <f t="shared" si="26"/>
        <v/>
      </c>
      <c r="H897" s="51" t="str">
        <f t="shared" si="27"/>
        <v/>
      </c>
    </row>
    <row r="898" spans="5:8" x14ac:dyDescent="0.25">
      <c r="E898" s="50" t="str">
        <f>IF(OR(C898="",D898=""),"",AtualizarAte-C898)</f>
        <v/>
      </c>
      <c r="F898" s="51" t="str">
        <f>IF(OR(C898="",D898=""),"",IF(TipoCalculo="JUROS SIMPLES",D898*E898*TaxaAoDia,FV(TaxaAoDia,E898,,-D898)-D898))</f>
        <v/>
      </c>
      <c r="G898" s="51" t="str">
        <f t="shared" si="26"/>
        <v/>
      </c>
      <c r="H898" s="51" t="str">
        <f t="shared" si="27"/>
        <v/>
      </c>
    </row>
    <row r="899" spans="5:8" x14ac:dyDescent="0.25">
      <c r="E899" s="50" t="str">
        <f>IF(OR(C899="",D899=""),"",AtualizarAte-C899)</f>
        <v/>
      </c>
      <c r="F899" s="51" t="str">
        <f>IF(OR(C899="",D899=""),"",IF(TipoCalculo="JUROS SIMPLES",D899*E899*TaxaAoDia,FV(TaxaAoDia,E899,,-D899)-D899))</f>
        <v/>
      </c>
      <c r="G899" s="51" t="str">
        <f t="shared" si="26"/>
        <v/>
      </c>
      <c r="H899" s="51" t="str">
        <f t="shared" si="27"/>
        <v/>
      </c>
    </row>
    <row r="900" spans="5:8" x14ac:dyDescent="0.25">
      <c r="E900" s="50" t="str">
        <f>IF(OR(C900="",D900=""),"",AtualizarAte-C900)</f>
        <v/>
      </c>
      <c r="F900" s="51" t="str">
        <f>IF(OR(C900="",D900=""),"",IF(TipoCalculo="JUROS SIMPLES",D900*E900*TaxaAoDia,FV(TaxaAoDia,E900,,-D900)-D900))</f>
        <v/>
      </c>
      <c r="G900" s="51" t="str">
        <f t="shared" si="26"/>
        <v/>
      </c>
      <c r="H900" s="51" t="str">
        <f t="shared" si="27"/>
        <v/>
      </c>
    </row>
    <row r="901" spans="5:8" x14ac:dyDescent="0.25">
      <c r="E901" s="50" t="str">
        <f>IF(OR(C901="",D901=""),"",AtualizarAte-C901)</f>
        <v/>
      </c>
      <c r="F901" s="51" t="str">
        <f>IF(OR(C901="",D901=""),"",IF(TipoCalculo="JUROS SIMPLES",D901*E901*TaxaAoDia,FV(TaxaAoDia,E901,,-D901)-D901))</f>
        <v/>
      </c>
      <c r="G901" s="51" t="str">
        <f t="shared" si="26"/>
        <v/>
      </c>
      <c r="H901" s="51" t="str">
        <f t="shared" si="27"/>
        <v/>
      </c>
    </row>
    <row r="902" spans="5:8" x14ac:dyDescent="0.25">
      <c r="E902" s="50" t="str">
        <f>IF(OR(C902="",D902=""),"",AtualizarAte-C902)</f>
        <v/>
      </c>
      <c r="F902" s="51" t="str">
        <f>IF(OR(C902="",D902=""),"",IF(TipoCalculo="JUROS SIMPLES",D902*E902*TaxaAoDia,FV(TaxaAoDia,E902,,-D902)-D902))</f>
        <v/>
      </c>
      <c r="G902" s="51" t="str">
        <f t="shared" si="26"/>
        <v/>
      </c>
      <c r="H902" s="51" t="str">
        <f t="shared" si="27"/>
        <v/>
      </c>
    </row>
    <row r="903" spans="5:8" x14ac:dyDescent="0.25">
      <c r="E903" s="50" t="str">
        <f>IF(OR(C903="",D903=""),"",AtualizarAte-C903)</f>
        <v/>
      </c>
      <c r="F903" s="51" t="str">
        <f>IF(OR(C903="",D903=""),"",IF(TipoCalculo="JUROS SIMPLES",D903*E903*TaxaAoDia,FV(TaxaAoDia,E903,,-D903)-D903))</f>
        <v/>
      </c>
      <c r="G903" s="51" t="str">
        <f t="shared" si="26"/>
        <v/>
      </c>
      <c r="H903" s="51" t="str">
        <f t="shared" si="27"/>
        <v/>
      </c>
    </row>
    <row r="904" spans="5:8" x14ac:dyDescent="0.25">
      <c r="E904" s="50" t="str">
        <f>IF(OR(C904="",D904=""),"",AtualizarAte-C904)</f>
        <v/>
      </c>
      <c r="F904" s="51" t="str">
        <f>IF(OR(C904="",D904=""),"",IF(TipoCalculo="JUROS SIMPLES",D904*E904*TaxaAoDia,FV(TaxaAoDia,E904,,-D904)-D904))</f>
        <v/>
      </c>
      <c r="G904" s="51" t="str">
        <f t="shared" si="26"/>
        <v/>
      </c>
      <c r="H904" s="51" t="str">
        <f t="shared" si="27"/>
        <v/>
      </c>
    </row>
    <row r="905" spans="5:8" x14ac:dyDescent="0.25">
      <c r="E905" s="50" t="str">
        <f>IF(OR(C905="",D905=""),"",AtualizarAte-C905)</f>
        <v/>
      </c>
      <c r="F905" s="51" t="str">
        <f>IF(OR(C905="",D905=""),"",IF(TipoCalculo="JUROS SIMPLES",D905*E905*TaxaAoDia,FV(TaxaAoDia,E905,,-D905)-D905))</f>
        <v/>
      </c>
      <c r="G905" s="51" t="str">
        <f t="shared" si="26"/>
        <v/>
      </c>
      <c r="H905" s="51" t="str">
        <f t="shared" si="27"/>
        <v/>
      </c>
    </row>
    <row r="906" spans="5:8" x14ac:dyDescent="0.25">
      <c r="E906" s="50" t="str">
        <f>IF(OR(C906="",D906=""),"",AtualizarAte-C906)</f>
        <v/>
      </c>
      <c r="F906" s="51" t="str">
        <f>IF(OR(C906="",D906=""),"",IF(TipoCalculo="JUROS SIMPLES",D906*E906*TaxaAoDia,FV(TaxaAoDia,E906,,-D906)-D906))</f>
        <v/>
      </c>
      <c r="G906" s="51" t="str">
        <f t="shared" si="26"/>
        <v/>
      </c>
      <c r="H906" s="51" t="str">
        <f t="shared" si="27"/>
        <v/>
      </c>
    </row>
    <row r="907" spans="5:8" x14ac:dyDescent="0.25">
      <c r="E907" s="50" t="str">
        <f>IF(OR(C907="",D907=""),"",AtualizarAte-C907)</f>
        <v/>
      </c>
      <c r="F907" s="51" t="str">
        <f>IF(OR(C907="",D907=""),"",IF(TipoCalculo="JUROS SIMPLES",D907*E907*TaxaAoDia,FV(TaxaAoDia,E907,,-D907)-D907))</f>
        <v/>
      </c>
      <c r="G907" s="51" t="str">
        <f t="shared" si="26"/>
        <v/>
      </c>
      <c r="H907" s="51" t="str">
        <f t="shared" si="27"/>
        <v/>
      </c>
    </row>
    <row r="908" spans="5:8" x14ac:dyDescent="0.25">
      <c r="E908" s="50" t="str">
        <f>IF(OR(C908="",D908=""),"",AtualizarAte-C908)</f>
        <v/>
      </c>
      <c r="F908" s="51" t="str">
        <f>IF(OR(C908="",D908=""),"",IF(TipoCalculo="JUROS SIMPLES",D908*E908*TaxaAoDia,FV(TaxaAoDia,E908,,-D908)-D908))</f>
        <v/>
      </c>
      <c r="G908" s="51" t="str">
        <f t="shared" si="26"/>
        <v/>
      </c>
      <c r="H908" s="51" t="str">
        <f t="shared" si="27"/>
        <v/>
      </c>
    </row>
    <row r="909" spans="5:8" x14ac:dyDescent="0.25">
      <c r="E909" s="50" t="str">
        <f>IF(OR(C909="",D909=""),"",AtualizarAte-C909)</f>
        <v/>
      </c>
      <c r="F909" s="51" t="str">
        <f>IF(OR(C909="",D909=""),"",IF(TipoCalculo="JUROS SIMPLES",D909*E909*TaxaAoDia,FV(TaxaAoDia,E909,,-D909)-D909))</f>
        <v/>
      </c>
      <c r="G909" s="51" t="str">
        <f t="shared" ref="G909:G972" si="28">IF(OR(C909="",D909=""),"",D909+F909)</f>
        <v/>
      </c>
      <c r="H909" s="51" t="str">
        <f t="shared" ref="H909:H972" si="29">IF(C909="","",IF(D909="","",IF(H908="SALDO ATUALIZ.",G909,H908+G909)))</f>
        <v/>
      </c>
    </row>
    <row r="910" spans="5:8" x14ac:dyDescent="0.25">
      <c r="E910" s="50" t="str">
        <f>IF(OR(C910="",D910=""),"",AtualizarAte-C910)</f>
        <v/>
      </c>
      <c r="F910" s="51" t="str">
        <f>IF(OR(C910="",D910=""),"",IF(TipoCalculo="JUROS SIMPLES",D910*E910*TaxaAoDia,FV(TaxaAoDia,E910,,-D910)-D910))</f>
        <v/>
      </c>
      <c r="G910" s="51" t="str">
        <f t="shared" si="28"/>
        <v/>
      </c>
      <c r="H910" s="51" t="str">
        <f t="shared" si="29"/>
        <v/>
      </c>
    </row>
    <row r="911" spans="5:8" x14ac:dyDescent="0.25">
      <c r="E911" s="50" t="str">
        <f>IF(OR(C911="",D911=""),"",AtualizarAte-C911)</f>
        <v/>
      </c>
      <c r="F911" s="51" t="str">
        <f>IF(OR(C911="",D911=""),"",IF(TipoCalculo="JUROS SIMPLES",D911*E911*TaxaAoDia,FV(TaxaAoDia,E911,,-D911)-D911))</f>
        <v/>
      </c>
      <c r="G911" s="51" t="str">
        <f t="shared" si="28"/>
        <v/>
      </c>
      <c r="H911" s="51" t="str">
        <f t="shared" si="29"/>
        <v/>
      </c>
    </row>
    <row r="912" spans="5:8" x14ac:dyDescent="0.25">
      <c r="E912" s="50" t="str">
        <f>IF(OR(C912="",D912=""),"",AtualizarAte-C912)</f>
        <v/>
      </c>
      <c r="F912" s="51" t="str">
        <f>IF(OR(C912="",D912=""),"",IF(TipoCalculo="JUROS SIMPLES",D912*E912*TaxaAoDia,FV(TaxaAoDia,E912,,-D912)-D912))</f>
        <v/>
      </c>
      <c r="G912" s="51" t="str">
        <f t="shared" si="28"/>
        <v/>
      </c>
      <c r="H912" s="51" t="str">
        <f t="shared" si="29"/>
        <v/>
      </c>
    </row>
    <row r="913" spans="5:8" x14ac:dyDescent="0.25">
      <c r="E913" s="50" t="str">
        <f>IF(OR(C913="",D913=""),"",AtualizarAte-C913)</f>
        <v/>
      </c>
      <c r="F913" s="51" t="str">
        <f>IF(OR(C913="",D913=""),"",IF(TipoCalculo="JUROS SIMPLES",D913*E913*TaxaAoDia,FV(TaxaAoDia,E913,,-D913)-D913))</f>
        <v/>
      </c>
      <c r="G913" s="51" t="str">
        <f t="shared" si="28"/>
        <v/>
      </c>
      <c r="H913" s="51" t="str">
        <f t="shared" si="29"/>
        <v/>
      </c>
    </row>
    <row r="914" spans="5:8" x14ac:dyDescent="0.25">
      <c r="E914" s="50" t="str">
        <f>IF(OR(C914="",D914=""),"",AtualizarAte-C914)</f>
        <v/>
      </c>
      <c r="F914" s="51" t="str">
        <f>IF(OR(C914="",D914=""),"",IF(TipoCalculo="JUROS SIMPLES",D914*E914*TaxaAoDia,FV(TaxaAoDia,E914,,-D914)-D914))</f>
        <v/>
      </c>
      <c r="G914" s="51" t="str">
        <f t="shared" si="28"/>
        <v/>
      </c>
      <c r="H914" s="51" t="str">
        <f t="shared" si="29"/>
        <v/>
      </c>
    </row>
    <row r="915" spans="5:8" x14ac:dyDescent="0.25">
      <c r="E915" s="50" t="str">
        <f>IF(OR(C915="",D915=""),"",AtualizarAte-C915)</f>
        <v/>
      </c>
      <c r="F915" s="51" t="str">
        <f>IF(OR(C915="",D915=""),"",IF(TipoCalculo="JUROS SIMPLES",D915*E915*TaxaAoDia,FV(TaxaAoDia,E915,,-D915)-D915))</f>
        <v/>
      </c>
      <c r="G915" s="51" t="str">
        <f t="shared" si="28"/>
        <v/>
      </c>
      <c r="H915" s="51" t="str">
        <f t="shared" si="29"/>
        <v/>
      </c>
    </row>
    <row r="916" spans="5:8" x14ac:dyDescent="0.25">
      <c r="E916" s="50" t="str">
        <f>IF(OR(C916="",D916=""),"",AtualizarAte-C916)</f>
        <v/>
      </c>
      <c r="F916" s="51" t="str">
        <f>IF(OR(C916="",D916=""),"",IF(TipoCalculo="JUROS SIMPLES",D916*E916*TaxaAoDia,FV(TaxaAoDia,E916,,-D916)-D916))</f>
        <v/>
      </c>
      <c r="G916" s="51" t="str">
        <f t="shared" si="28"/>
        <v/>
      </c>
      <c r="H916" s="51" t="str">
        <f t="shared" si="29"/>
        <v/>
      </c>
    </row>
    <row r="917" spans="5:8" x14ac:dyDescent="0.25">
      <c r="E917" s="50" t="str">
        <f>IF(OR(C917="",D917=""),"",AtualizarAte-C917)</f>
        <v/>
      </c>
      <c r="F917" s="51" t="str">
        <f>IF(OR(C917="",D917=""),"",IF(TipoCalculo="JUROS SIMPLES",D917*E917*TaxaAoDia,FV(TaxaAoDia,E917,,-D917)-D917))</f>
        <v/>
      </c>
      <c r="G917" s="51" t="str">
        <f t="shared" si="28"/>
        <v/>
      </c>
      <c r="H917" s="51" t="str">
        <f t="shared" si="29"/>
        <v/>
      </c>
    </row>
    <row r="918" spans="5:8" x14ac:dyDescent="0.25">
      <c r="E918" s="50" t="str">
        <f>IF(OR(C918="",D918=""),"",AtualizarAte-C918)</f>
        <v/>
      </c>
      <c r="F918" s="51" t="str">
        <f>IF(OR(C918="",D918=""),"",IF(TipoCalculo="JUROS SIMPLES",D918*E918*TaxaAoDia,FV(TaxaAoDia,E918,,-D918)-D918))</f>
        <v/>
      </c>
      <c r="G918" s="51" t="str">
        <f t="shared" si="28"/>
        <v/>
      </c>
      <c r="H918" s="51" t="str">
        <f t="shared" si="29"/>
        <v/>
      </c>
    </row>
    <row r="919" spans="5:8" x14ac:dyDescent="0.25">
      <c r="E919" s="50" t="str">
        <f>IF(OR(C919="",D919=""),"",AtualizarAte-C919)</f>
        <v/>
      </c>
      <c r="F919" s="51" t="str">
        <f>IF(OR(C919="",D919=""),"",IF(TipoCalculo="JUROS SIMPLES",D919*E919*TaxaAoDia,FV(TaxaAoDia,E919,,-D919)-D919))</f>
        <v/>
      </c>
      <c r="G919" s="51" t="str">
        <f t="shared" si="28"/>
        <v/>
      </c>
      <c r="H919" s="51" t="str">
        <f t="shared" si="29"/>
        <v/>
      </c>
    </row>
    <row r="920" spans="5:8" x14ac:dyDescent="0.25">
      <c r="E920" s="50" t="str">
        <f>IF(OR(C920="",D920=""),"",AtualizarAte-C920)</f>
        <v/>
      </c>
      <c r="F920" s="51" t="str">
        <f>IF(OR(C920="",D920=""),"",IF(TipoCalculo="JUROS SIMPLES",D920*E920*TaxaAoDia,FV(TaxaAoDia,E920,,-D920)-D920))</f>
        <v/>
      </c>
      <c r="G920" s="51" t="str">
        <f t="shared" si="28"/>
        <v/>
      </c>
      <c r="H920" s="51" t="str">
        <f t="shared" si="29"/>
        <v/>
      </c>
    </row>
    <row r="921" spans="5:8" x14ac:dyDescent="0.25">
      <c r="E921" s="50" t="str">
        <f>IF(OR(C921="",D921=""),"",AtualizarAte-C921)</f>
        <v/>
      </c>
      <c r="F921" s="51" t="str">
        <f>IF(OR(C921="",D921=""),"",IF(TipoCalculo="JUROS SIMPLES",D921*E921*TaxaAoDia,FV(TaxaAoDia,E921,,-D921)-D921))</f>
        <v/>
      </c>
      <c r="G921" s="51" t="str">
        <f t="shared" si="28"/>
        <v/>
      </c>
      <c r="H921" s="51" t="str">
        <f t="shared" si="29"/>
        <v/>
      </c>
    </row>
    <row r="922" spans="5:8" x14ac:dyDescent="0.25">
      <c r="E922" s="50" t="str">
        <f>IF(OR(C922="",D922=""),"",AtualizarAte-C922)</f>
        <v/>
      </c>
      <c r="F922" s="51" t="str">
        <f>IF(OR(C922="",D922=""),"",IF(TipoCalculo="JUROS SIMPLES",D922*E922*TaxaAoDia,FV(TaxaAoDia,E922,,-D922)-D922))</f>
        <v/>
      </c>
      <c r="G922" s="51" t="str">
        <f t="shared" si="28"/>
        <v/>
      </c>
      <c r="H922" s="51" t="str">
        <f t="shared" si="29"/>
        <v/>
      </c>
    </row>
    <row r="923" spans="5:8" x14ac:dyDescent="0.25">
      <c r="E923" s="50" t="str">
        <f>IF(OR(C923="",D923=""),"",AtualizarAte-C923)</f>
        <v/>
      </c>
      <c r="F923" s="51" t="str">
        <f>IF(OR(C923="",D923=""),"",IF(TipoCalculo="JUROS SIMPLES",D923*E923*TaxaAoDia,FV(TaxaAoDia,E923,,-D923)-D923))</f>
        <v/>
      </c>
      <c r="G923" s="51" t="str">
        <f t="shared" si="28"/>
        <v/>
      </c>
      <c r="H923" s="51" t="str">
        <f t="shared" si="29"/>
        <v/>
      </c>
    </row>
    <row r="924" spans="5:8" x14ac:dyDescent="0.25">
      <c r="E924" s="50" t="str">
        <f>IF(OR(C924="",D924=""),"",AtualizarAte-C924)</f>
        <v/>
      </c>
      <c r="F924" s="51" t="str">
        <f>IF(OR(C924="",D924=""),"",IF(TipoCalculo="JUROS SIMPLES",D924*E924*TaxaAoDia,FV(TaxaAoDia,E924,,-D924)-D924))</f>
        <v/>
      </c>
      <c r="G924" s="51" t="str">
        <f t="shared" si="28"/>
        <v/>
      </c>
      <c r="H924" s="51" t="str">
        <f t="shared" si="29"/>
        <v/>
      </c>
    </row>
    <row r="925" spans="5:8" x14ac:dyDescent="0.25">
      <c r="E925" s="50" t="str">
        <f>IF(OR(C925="",D925=""),"",AtualizarAte-C925)</f>
        <v/>
      </c>
      <c r="F925" s="51" t="str">
        <f>IF(OR(C925="",D925=""),"",IF(TipoCalculo="JUROS SIMPLES",D925*E925*TaxaAoDia,FV(TaxaAoDia,E925,,-D925)-D925))</f>
        <v/>
      </c>
      <c r="G925" s="51" t="str">
        <f t="shared" si="28"/>
        <v/>
      </c>
      <c r="H925" s="51" t="str">
        <f t="shared" si="29"/>
        <v/>
      </c>
    </row>
    <row r="926" spans="5:8" x14ac:dyDescent="0.25">
      <c r="E926" s="50" t="str">
        <f>IF(OR(C926="",D926=""),"",AtualizarAte-C926)</f>
        <v/>
      </c>
      <c r="F926" s="51" t="str">
        <f>IF(OR(C926="",D926=""),"",IF(TipoCalculo="JUROS SIMPLES",D926*E926*TaxaAoDia,FV(TaxaAoDia,E926,,-D926)-D926))</f>
        <v/>
      </c>
      <c r="G926" s="51" t="str">
        <f t="shared" si="28"/>
        <v/>
      </c>
      <c r="H926" s="51" t="str">
        <f t="shared" si="29"/>
        <v/>
      </c>
    </row>
    <row r="927" spans="5:8" x14ac:dyDescent="0.25">
      <c r="E927" s="50" t="str">
        <f>IF(OR(C927="",D927=""),"",AtualizarAte-C927)</f>
        <v/>
      </c>
      <c r="F927" s="51" t="str">
        <f>IF(OR(C927="",D927=""),"",IF(TipoCalculo="JUROS SIMPLES",D927*E927*TaxaAoDia,FV(TaxaAoDia,E927,,-D927)-D927))</f>
        <v/>
      </c>
      <c r="G927" s="51" t="str">
        <f t="shared" si="28"/>
        <v/>
      </c>
      <c r="H927" s="51" t="str">
        <f t="shared" si="29"/>
        <v/>
      </c>
    </row>
    <row r="928" spans="5:8" x14ac:dyDescent="0.25">
      <c r="E928" s="50" t="str">
        <f>IF(OR(C928="",D928=""),"",AtualizarAte-C928)</f>
        <v/>
      </c>
      <c r="F928" s="51" t="str">
        <f>IF(OR(C928="",D928=""),"",IF(TipoCalculo="JUROS SIMPLES",D928*E928*TaxaAoDia,FV(TaxaAoDia,E928,,-D928)-D928))</f>
        <v/>
      </c>
      <c r="G928" s="51" t="str">
        <f t="shared" si="28"/>
        <v/>
      </c>
      <c r="H928" s="51" t="str">
        <f t="shared" si="29"/>
        <v/>
      </c>
    </row>
    <row r="929" spans="5:8" x14ac:dyDescent="0.25">
      <c r="E929" s="50" t="str">
        <f>IF(OR(C929="",D929=""),"",AtualizarAte-C929)</f>
        <v/>
      </c>
      <c r="F929" s="51" t="str">
        <f>IF(OR(C929="",D929=""),"",IF(TipoCalculo="JUROS SIMPLES",D929*E929*TaxaAoDia,FV(TaxaAoDia,E929,,-D929)-D929))</f>
        <v/>
      </c>
      <c r="G929" s="51" t="str">
        <f t="shared" si="28"/>
        <v/>
      </c>
      <c r="H929" s="51" t="str">
        <f t="shared" si="29"/>
        <v/>
      </c>
    </row>
    <row r="930" spans="5:8" x14ac:dyDescent="0.25">
      <c r="E930" s="50" t="str">
        <f>IF(OR(C930="",D930=""),"",AtualizarAte-C930)</f>
        <v/>
      </c>
      <c r="F930" s="51" t="str">
        <f>IF(OR(C930="",D930=""),"",IF(TipoCalculo="JUROS SIMPLES",D930*E930*TaxaAoDia,FV(TaxaAoDia,E930,,-D930)-D930))</f>
        <v/>
      </c>
      <c r="G930" s="51" t="str">
        <f t="shared" si="28"/>
        <v/>
      </c>
      <c r="H930" s="51" t="str">
        <f t="shared" si="29"/>
        <v/>
      </c>
    </row>
    <row r="931" spans="5:8" x14ac:dyDescent="0.25">
      <c r="E931" s="50" t="str">
        <f>IF(OR(C931="",D931=""),"",AtualizarAte-C931)</f>
        <v/>
      </c>
      <c r="F931" s="51" t="str">
        <f>IF(OR(C931="",D931=""),"",IF(TipoCalculo="JUROS SIMPLES",D931*E931*TaxaAoDia,FV(TaxaAoDia,E931,,-D931)-D931))</f>
        <v/>
      </c>
      <c r="G931" s="51" t="str">
        <f t="shared" si="28"/>
        <v/>
      </c>
      <c r="H931" s="51" t="str">
        <f t="shared" si="29"/>
        <v/>
      </c>
    </row>
    <row r="932" spans="5:8" x14ac:dyDescent="0.25">
      <c r="E932" s="50" t="str">
        <f>IF(OR(C932="",D932=""),"",AtualizarAte-C932)</f>
        <v/>
      </c>
      <c r="F932" s="51" t="str">
        <f>IF(OR(C932="",D932=""),"",IF(TipoCalculo="JUROS SIMPLES",D932*E932*TaxaAoDia,FV(TaxaAoDia,E932,,-D932)-D932))</f>
        <v/>
      </c>
      <c r="G932" s="51" t="str">
        <f t="shared" si="28"/>
        <v/>
      </c>
      <c r="H932" s="51" t="str">
        <f t="shared" si="29"/>
        <v/>
      </c>
    </row>
    <row r="933" spans="5:8" x14ac:dyDescent="0.25">
      <c r="E933" s="50" t="str">
        <f>IF(OR(C933="",D933=""),"",AtualizarAte-C933)</f>
        <v/>
      </c>
      <c r="F933" s="51" t="str">
        <f>IF(OR(C933="",D933=""),"",IF(TipoCalculo="JUROS SIMPLES",D933*E933*TaxaAoDia,FV(TaxaAoDia,E933,,-D933)-D933))</f>
        <v/>
      </c>
      <c r="G933" s="51" t="str">
        <f t="shared" si="28"/>
        <v/>
      </c>
      <c r="H933" s="51" t="str">
        <f t="shared" si="29"/>
        <v/>
      </c>
    </row>
    <row r="934" spans="5:8" x14ac:dyDescent="0.25">
      <c r="E934" s="50" t="str">
        <f>IF(OR(C934="",D934=""),"",AtualizarAte-C934)</f>
        <v/>
      </c>
      <c r="F934" s="51" t="str">
        <f>IF(OR(C934="",D934=""),"",IF(TipoCalculo="JUROS SIMPLES",D934*E934*TaxaAoDia,FV(TaxaAoDia,E934,,-D934)-D934))</f>
        <v/>
      </c>
      <c r="G934" s="51" t="str">
        <f t="shared" si="28"/>
        <v/>
      </c>
      <c r="H934" s="51" t="str">
        <f t="shared" si="29"/>
        <v/>
      </c>
    </row>
    <row r="935" spans="5:8" x14ac:dyDescent="0.25">
      <c r="E935" s="50" t="str">
        <f>IF(OR(C935="",D935=""),"",AtualizarAte-C935)</f>
        <v/>
      </c>
      <c r="F935" s="51" t="str">
        <f>IF(OR(C935="",D935=""),"",IF(TipoCalculo="JUROS SIMPLES",D935*E935*TaxaAoDia,FV(TaxaAoDia,E935,,-D935)-D935))</f>
        <v/>
      </c>
      <c r="G935" s="51" t="str">
        <f t="shared" si="28"/>
        <v/>
      </c>
      <c r="H935" s="51" t="str">
        <f t="shared" si="29"/>
        <v/>
      </c>
    </row>
    <row r="936" spans="5:8" x14ac:dyDescent="0.25">
      <c r="E936" s="50" t="str">
        <f>IF(OR(C936="",D936=""),"",AtualizarAte-C936)</f>
        <v/>
      </c>
      <c r="F936" s="51" t="str">
        <f>IF(OR(C936="",D936=""),"",IF(TipoCalculo="JUROS SIMPLES",D936*E936*TaxaAoDia,FV(TaxaAoDia,E936,,-D936)-D936))</f>
        <v/>
      </c>
      <c r="G936" s="51" t="str">
        <f t="shared" si="28"/>
        <v/>
      </c>
      <c r="H936" s="51" t="str">
        <f t="shared" si="29"/>
        <v/>
      </c>
    </row>
    <row r="937" spans="5:8" x14ac:dyDescent="0.25">
      <c r="E937" s="50" t="str">
        <f>IF(OR(C937="",D937=""),"",AtualizarAte-C937)</f>
        <v/>
      </c>
      <c r="F937" s="51" t="str">
        <f>IF(OR(C937="",D937=""),"",IF(TipoCalculo="JUROS SIMPLES",D937*E937*TaxaAoDia,FV(TaxaAoDia,E937,,-D937)-D937))</f>
        <v/>
      </c>
      <c r="G937" s="51" t="str">
        <f t="shared" si="28"/>
        <v/>
      </c>
      <c r="H937" s="51" t="str">
        <f t="shared" si="29"/>
        <v/>
      </c>
    </row>
    <row r="938" spans="5:8" x14ac:dyDescent="0.25">
      <c r="E938" s="50" t="str">
        <f>IF(OR(C938="",D938=""),"",AtualizarAte-C938)</f>
        <v/>
      </c>
      <c r="F938" s="51" t="str">
        <f>IF(OR(C938="",D938=""),"",IF(TipoCalculo="JUROS SIMPLES",D938*E938*TaxaAoDia,FV(TaxaAoDia,E938,,-D938)-D938))</f>
        <v/>
      </c>
      <c r="G938" s="51" t="str">
        <f t="shared" si="28"/>
        <v/>
      </c>
      <c r="H938" s="51" t="str">
        <f t="shared" si="29"/>
        <v/>
      </c>
    </row>
    <row r="939" spans="5:8" x14ac:dyDescent="0.25">
      <c r="E939" s="50" t="str">
        <f>IF(OR(C939="",D939=""),"",AtualizarAte-C939)</f>
        <v/>
      </c>
      <c r="F939" s="51" t="str">
        <f>IF(OR(C939="",D939=""),"",IF(TipoCalculo="JUROS SIMPLES",D939*E939*TaxaAoDia,FV(TaxaAoDia,E939,,-D939)-D939))</f>
        <v/>
      </c>
      <c r="G939" s="51" t="str">
        <f t="shared" si="28"/>
        <v/>
      </c>
      <c r="H939" s="51" t="str">
        <f t="shared" si="29"/>
        <v/>
      </c>
    </row>
    <row r="940" spans="5:8" x14ac:dyDescent="0.25">
      <c r="E940" s="50" t="str">
        <f>IF(OR(C940="",D940=""),"",AtualizarAte-C940)</f>
        <v/>
      </c>
      <c r="F940" s="51" t="str">
        <f>IF(OR(C940="",D940=""),"",IF(TipoCalculo="JUROS SIMPLES",D940*E940*TaxaAoDia,FV(TaxaAoDia,E940,,-D940)-D940))</f>
        <v/>
      </c>
      <c r="G940" s="51" t="str">
        <f t="shared" si="28"/>
        <v/>
      </c>
      <c r="H940" s="51" t="str">
        <f t="shared" si="29"/>
        <v/>
      </c>
    </row>
    <row r="941" spans="5:8" x14ac:dyDescent="0.25">
      <c r="E941" s="50" t="str">
        <f>IF(OR(C941="",D941=""),"",AtualizarAte-C941)</f>
        <v/>
      </c>
      <c r="F941" s="51" t="str">
        <f>IF(OR(C941="",D941=""),"",IF(TipoCalculo="JUROS SIMPLES",D941*E941*TaxaAoDia,FV(TaxaAoDia,E941,,-D941)-D941))</f>
        <v/>
      </c>
      <c r="G941" s="51" t="str">
        <f t="shared" si="28"/>
        <v/>
      </c>
      <c r="H941" s="51" t="str">
        <f t="shared" si="29"/>
        <v/>
      </c>
    </row>
    <row r="942" spans="5:8" x14ac:dyDescent="0.25">
      <c r="E942" s="50" t="str">
        <f>IF(OR(C942="",D942=""),"",AtualizarAte-C942)</f>
        <v/>
      </c>
      <c r="F942" s="51" t="str">
        <f>IF(OR(C942="",D942=""),"",IF(TipoCalculo="JUROS SIMPLES",D942*E942*TaxaAoDia,FV(TaxaAoDia,E942,,-D942)-D942))</f>
        <v/>
      </c>
      <c r="G942" s="51" t="str">
        <f t="shared" si="28"/>
        <v/>
      </c>
      <c r="H942" s="51" t="str">
        <f t="shared" si="29"/>
        <v/>
      </c>
    </row>
    <row r="943" spans="5:8" x14ac:dyDescent="0.25">
      <c r="E943" s="50" t="str">
        <f>IF(OR(C943="",D943=""),"",AtualizarAte-C943)</f>
        <v/>
      </c>
      <c r="F943" s="51" t="str">
        <f>IF(OR(C943="",D943=""),"",IF(TipoCalculo="JUROS SIMPLES",D943*E943*TaxaAoDia,FV(TaxaAoDia,E943,,-D943)-D943))</f>
        <v/>
      </c>
      <c r="G943" s="51" t="str">
        <f t="shared" si="28"/>
        <v/>
      </c>
      <c r="H943" s="51" t="str">
        <f t="shared" si="29"/>
        <v/>
      </c>
    </row>
    <row r="944" spans="5:8" x14ac:dyDescent="0.25">
      <c r="E944" s="50" t="str">
        <f>IF(OR(C944="",D944=""),"",AtualizarAte-C944)</f>
        <v/>
      </c>
      <c r="F944" s="51" t="str">
        <f>IF(OR(C944="",D944=""),"",IF(TipoCalculo="JUROS SIMPLES",D944*E944*TaxaAoDia,FV(TaxaAoDia,E944,,-D944)-D944))</f>
        <v/>
      </c>
      <c r="G944" s="51" t="str">
        <f t="shared" si="28"/>
        <v/>
      </c>
      <c r="H944" s="51" t="str">
        <f t="shared" si="29"/>
        <v/>
      </c>
    </row>
    <row r="945" spans="5:8" x14ac:dyDescent="0.25">
      <c r="E945" s="50" t="str">
        <f>IF(OR(C945="",D945=""),"",AtualizarAte-C945)</f>
        <v/>
      </c>
      <c r="F945" s="51" t="str">
        <f>IF(OR(C945="",D945=""),"",IF(TipoCalculo="JUROS SIMPLES",D945*E945*TaxaAoDia,FV(TaxaAoDia,E945,,-D945)-D945))</f>
        <v/>
      </c>
      <c r="G945" s="51" t="str">
        <f t="shared" si="28"/>
        <v/>
      </c>
      <c r="H945" s="51" t="str">
        <f t="shared" si="29"/>
        <v/>
      </c>
    </row>
    <row r="946" spans="5:8" x14ac:dyDescent="0.25">
      <c r="E946" s="50" t="str">
        <f>IF(OR(C946="",D946=""),"",AtualizarAte-C946)</f>
        <v/>
      </c>
      <c r="F946" s="51" t="str">
        <f>IF(OR(C946="",D946=""),"",IF(TipoCalculo="JUROS SIMPLES",D946*E946*TaxaAoDia,FV(TaxaAoDia,E946,,-D946)-D946))</f>
        <v/>
      </c>
      <c r="G946" s="51" t="str">
        <f t="shared" si="28"/>
        <v/>
      </c>
      <c r="H946" s="51" t="str">
        <f t="shared" si="29"/>
        <v/>
      </c>
    </row>
    <row r="947" spans="5:8" x14ac:dyDescent="0.25">
      <c r="E947" s="50" t="str">
        <f>IF(OR(C947="",D947=""),"",AtualizarAte-C947)</f>
        <v/>
      </c>
      <c r="F947" s="51" t="str">
        <f>IF(OR(C947="",D947=""),"",IF(TipoCalculo="JUROS SIMPLES",D947*E947*TaxaAoDia,FV(TaxaAoDia,E947,,-D947)-D947))</f>
        <v/>
      </c>
      <c r="G947" s="51" t="str">
        <f t="shared" si="28"/>
        <v/>
      </c>
      <c r="H947" s="51" t="str">
        <f t="shared" si="29"/>
        <v/>
      </c>
    </row>
    <row r="948" spans="5:8" x14ac:dyDescent="0.25">
      <c r="E948" s="50" t="str">
        <f>IF(OR(C948="",D948=""),"",AtualizarAte-C948)</f>
        <v/>
      </c>
      <c r="F948" s="51" t="str">
        <f>IF(OR(C948="",D948=""),"",IF(TipoCalculo="JUROS SIMPLES",D948*E948*TaxaAoDia,FV(TaxaAoDia,E948,,-D948)-D948))</f>
        <v/>
      </c>
      <c r="G948" s="51" t="str">
        <f t="shared" si="28"/>
        <v/>
      </c>
      <c r="H948" s="51" t="str">
        <f t="shared" si="29"/>
        <v/>
      </c>
    </row>
    <row r="949" spans="5:8" x14ac:dyDescent="0.25">
      <c r="E949" s="50" t="str">
        <f>IF(OR(C949="",D949=""),"",AtualizarAte-C949)</f>
        <v/>
      </c>
      <c r="F949" s="51" t="str">
        <f>IF(OR(C949="",D949=""),"",IF(TipoCalculo="JUROS SIMPLES",D949*E949*TaxaAoDia,FV(TaxaAoDia,E949,,-D949)-D949))</f>
        <v/>
      </c>
      <c r="G949" s="51" t="str">
        <f t="shared" si="28"/>
        <v/>
      </c>
      <c r="H949" s="51" t="str">
        <f t="shared" si="29"/>
        <v/>
      </c>
    </row>
    <row r="950" spans="5:8" x14ac:dyDescent="0.25">
      <c r="E950" s="50" t="str">
        <f>IF(OR(C950="",D950=""),"",AtualizarAte-C950)</f>
        <v/>
      </c>
      <c r="F950" s="51" t="str">
        <f>IF(OR(C950="",D950=""),"",IF(TipoCalculo="JUROS SIMPLES",D950*E950*TaxaAoDia,FV(TaxaAoDia,E950,,-D950)-D950))</f>
        <v/>
      </c>
      <c r="G950" s="51" t="str">
        <f t="shared" si="28"/>
        <v/>
      </c>
      <c r="H950" s="51" t="str">
        <f t="shared" si="29"/>
        <v/>
      </c>
    </row>
    <row r="951" spans="5:8" x14ac:dyDescent="0.25">
      <c r="E951" s="50" t="str">
        <f>IF(OR(C951="",D951=""),"",AtualizarAte-C951)</f>
        <v/>
      </c>
      <c r="F951" s="51" t="str">
        <f>IF(OR(C951="",D951=""),"",IF(TipoCalculo="JUROS SIMPLES",D951*E951*TaxaAoDia,FV(TaxaAoDia,E951,,-D951)-D951))</f>
        <v/>
      </c>
      <c r="G951" s="51" t="str">
        <f t="shared" si="28"/>
        <v/>
      </c>
      <c r="H951" s="51" t="str">
        <f t="shared" si="29"/>
        <v/>
      </c>
    </row>
    <row r="952" spans="5:8" x14ac:dyDescent="0.25">
      <c r="E952" s="50" t="str">
        <f>IF(OR(C952="",D952=""),"",AtualizarAte-C952)</f>
        <v/>
      </c>
      <c r="F952" s="51" t="str">
        <f>IF(OR(C952="",D952=""),"",IF(TipoCalculo="JUROS SIMPLES",D952*E952*TaxaAoDia,FV(TaxaAoDia,E952,,-D952)-D952))</f>
        <v/>
      </c>
      <c r="G952" s="51" t="str">
        <f t="shared" si="28"/>
        <v/>
      </c>
      <c r="H952" s="51" t="str">
        <f t="shared" si="29"/>
        <v/>
      </c>
    </row>
    <row r="953" spans="5:8" x14ac:dyDescent="0.25">
      <c r="E953" s="50" t="str">
        <f>IF(OR(C953="",D953=""),"",AtualizarAte-C953)</f>
        <v/>
      </c>
      <c r="F953" s="51" t="str">
        <f>IF(OR(C953="",D953=""),"",IF(TipoCalculo="JUROS SIMPLES",D953*E953*TaxaAoDia,FV(TaxaAoDia,E953,,-D953)-D953))</f>
        <v/>
      </c>
      <c r="G953" s="51" t="str">
        <f t="shared" si="28"/>
        <v/>
      </c>
      <c r="H953" s="51" t="str">
        <f t="shared" si="29"/>
        <v/>
      </c>
    </row>
    <row r="954" spans="5:8" x14ac:dyDescent="0.25">
      <c r="E954" s="50" t="str">
        <f>IF(OR(C954="",D954=""),"",AtualizarAte-C954)</f>
        <v/>
      </c>
      <c r="F954" s="51" t="str">
        <f>IF(OR(C954="",D954=""),"",IF(TipoCalculo="JUROS SIMPLES",D954*E954*TaxaAoDia,FV(TaxaAoDia,E954,,-D954)-D954))</f>
        <v/>
      </c>
      <c r="G954" s="51" t="str">
        <f t="shared" si="28"/>
        <v/>
      </c>
      <c r="H954" s="51" t="str">
        <f t="shared" si="29"/>
        <v/>
      </c>
    </row>
    <row r="955" spans="5:8" x14ac:dyDescent="0.25">
      <c r="E955" s="50" t="str">
        <f>IF(OR(C955="",D955=""),"",AtualizarAte-C955)</f>
        <v/>
      </c>
      <c r="F955" s="51" t="str">
        <f>IF(OR(C955="",D955=""),"",IF(TipoCalculo="JUROS SIMPLES",D955*E955*TaxaAoDia,FV(TaxaAoDia,E955,,-D955)-D955))</f>
        <v/>
      </c>
      <c r="G955" s="51" t="str">
        <f t="shared" si="28"/>
        <v/>
      </c>
      <c r="H955" s="51" t="str">
        <f t="shared" si="29"/>
        <v/>
      </c>
    </row>
    <row r="956" spans="5:8" x14ac:dyDescent="0.25">
      <c r="E956" s="50" t="str">
        <f>IF(OR(C956="",D956=""),"",AtualizarAte-C956)</f>
        <v/>
      </c>
      <c r="F956" s="51" t="str">
        <f>IF(OR(C956="",D956=""),"",IF(TipoCalculo="JUROS SIMPLES",D956*E956*TaxaAoDia,FV(TaxaAoDia,E956,,-D956)-D956))</f>
        <v/>
      </c>
      <c r="G956" s="51" t="str">
        <f t="shared" si="28"/>
        <v/>
      </c>
      <c r="H956" s="51" t="str">
        <f t="shared" si="29"/>
        <v/>
      </c>
    </row>
    <row r="957" spans="5:8" x14ac:dyDescent="0.25">
      <c r="E957" s="50" t="str">
        <f>IF(OR(C957="",D957=""),"",AtualizarAte-C957)</f>
        <v/>
      </c>
      <c r="F957" s="51" t="str">
        <f>IF(OR(C957="",D957=""),"",IF(TipoCalculo="JUROS SIMPLES",D957*E957*TaxaAoDia,FV(TaxaAoDia,E957,,-D957)-D957))</f>
        <v/>
      </c>
      <c r="G957" s="51" t="str">
        <f t="shared" si="28"/>
        <v/>
      </c>
      <c r="H957" s="51" t="str">
        <f t="shared" si="29"/>
        <v/>
      </c>
    </row>
    <row r="958" spans="5:8" x14ac:dyDescent="0.25">
      <c r="E958" s="50" t="str">
        <f>IF(OR(C958="",D958=""),"",AtualizarAte-C958)</f>
        <v/>
      </c>
      <c r="F958" s="51" t="str">
        <f>IF(OR(C958="",D958=""),"",IF(TipoCalculo="JUROS SIMPLES",D958*E958*TaxaAoDia,FV(TaxaAoDia,E958,,-D958)-D958))</f>
        <v/>
      </c>
      <c r="G958" s="51" t="str">
        <f t="shared" si="28"/>
        <v/>
      </c>
      <c r="H958" s="51" t="str">
        <f t="shared" si="29"/>
        <v/>
      </c>
    </row>
    <row r="959" spans="5:8" x14ac:dyDescent="0.25">
      <c r="E959" s="50" t="str">
        <f>IF(OR(C959="",D959=""),"",AtualizarAte-C959)</f>
        <v/>
      </c>
      <c r="F959" s="51" t="str">
        <f>IF(OR(C959="",D959=""),"",IF(TipoCalculo="JUROS SIMPLES",D959*E959*TaxaAoDia,FV(TaxaAoDia,E959,,-D959)-D959))</f>
        <v/>
      </c>
      <c r="G959" s="51" t="str">
        <f t="shared" si="28"/>
        <v/>
      </c>
      <c r="H959" s="51" t="str">
        <f t="shared" si="29"/>
        <v/>
      </c>
    </row>
    <row r="960" spans="5:8" x14ac:dyDescent="0.25">
      <c r="E960" s="42" t="str">
        <f>IF(OR(C960="",D960=""),"",AtualizarAte-C960)</f>
        <v/>
      </c>
      <c r="F960" s="51" t="str">
        <f>IF(OR(C960="",D960=""),"",IF(TipoCalculo="JUROS SIMPLES",D960*E960*TaxaAoDia,FV(TaxaAoDia,E960,,-D960)-D960))</f>
        <v/>
      </c>
      <c r="G960" s="51" t="str">
        <f t="shared" si="28"/>
        <v/>
      </c>
      <c r="H960" s="51" t="str">
        <f t="shared" si="29"/>
        <v/>
      </c>
    </row>
    <row r="961" spans="5:8" x14ac:dyDescent="0.25">
      <c r="E961" s="42" t="str">
        <f>IF(OR(C961="",D961=""),"",AtualizarAte-C961)</f>
        <v/>
      </c>
      <c r="F961" s="51" t="str">
        <f>IF(OR(C961="",D961=""),"",IF(TipoCalculo="JUROS SIMPLES",D961*E961*TaxaAoDia,FV(TaxaAoDia,E961,,-D961)-D961))</f>
        <v/>
      </c>
      <c r="G961" s="51" t="str">
        <f t="shared" si="28"/>
        <v/>
      </c>
      <c r="H961" s="51" t="str">
        <f t="shared" si="29"/>
        <v/>
      </c>
    </row>
    <row r="962" spans="5:8" x14ac:dyDescent="0.25">
      <c r="E962" s="42" t="str">
        <f>IF(OR(C962="",D962=""),"",AtualizarAte-C962)</f>
        <v/>
      </c>
      <c r="F962" s="51" t="str">
        <f>IF(OR(C962="",D962=""),"",IF(TipoCalculo="JUROS SIMPLES",D962*E962*TaxaAoDia,FV(TaxaAoDia,E962,,-D962)-D962))</f>
        <v/>
      </c>
      <c r="G962" s="51" t="str">
        <f t="shared" si="28"/>
        <v/>
      </c>
      <c r="H962" s="51" t="str">
        <f t="shared" si="29"/>
        <v/>
      </c>
    </row>
    <row r="963" spans="5:8" x14ac:dyDescent="0.25">
      <c r="E963" s="42" t="str">
        <f>IF(OR(C963="",D963=""),"",AtualizarAte-C963)</f>
        <v/>
      </c>
      <c r="F963" s="51" t="str">
        <f>IF(OR(C963="",D963=""),"",IF(TipoCalculo="JUROS SIMPLES",D963*E963*TaxaAoDia,FV(TaxaAoDia,E963,,-D963)-D963))</f>
        <v/>
      </c>
      <c r="G963" s="51" t="str">
        <f t="shared" si="28"/>
        <v/>
      </c>
      <c r="H963" s="51" t="str">
        <f t="shared" si="29"/>
        <v/>
      </c>
    </row>
    <row r="964" spans="5:8" x14ac:dyDescent="0.25">
      <c r="E964" s="42" t="str">
        <f>IF(OR(C964="",D964=""),"",AtualizarAte-C964)</f>
        <v/>
      </c>
      <c r="F964" s="51" t="str">
        <f>IF(OR(C964="",D964=""),"",IF(TipoCalculo="JUROS SIMPLES",D964*E964*TaxaAoDia,FV(TaxaAoDia,E964,,-D964)-D964))</f>
        <v/>
      </c>
      <c r="G964" s="51" t="str">
        <f t="shared" si="28"/>
        <v/>
      </c>
      <c r="H964" s="51" t="str">
        <f t="shared" si="29"/>
        <v/>
      </c>
    </row>
    <row r="965" spans="5:8" x14ac:dyDescent="0.25">
      <c r="E965" s="42" t="str">
        <f>IF(OR(C965="",D965=""),"",AtualizarAte-C965)</f>
        <v/>
      </c>
      <c r="F965" s="51" t="str">
        <f>IF(OR(C965="",D965=""),"",IF(TipoCalculo="JUROS SIMPLES",D965*E965*TaxaAoDia,FV(TaxaAoDia,E965,,-D965)-D965))</f>
        <v/>
      </c>
      <c r="G965" s="51" t="str">
        <f t="shared" si="28"/>
        <v/>
      </c>
      <c r="H965" s="51" t="str">
        <f t="shared" si="29"/>
        <v/>
      </c>
    </row>
    <row r="966" spans="5:8" x14ac:dyDescent="0.25">
      <c r="E966" s="42" t="str">
        <f>IF(OR(C966="",D966=""),"",AtualizarAte-C966)</f>
        <v/>
      </c>
      <c r="F966" s="51" t="str">
        <f>IF(OR(C966="",D966=""),"",IF(TipoCalculo="JUROS SIMPLES",D966*E966*TaxaAoDia,FV(TaxaAoDia,E966,,-D966)-D966))</f>
        <v/>
      </c>
      <c r="G966" s="51" t="str">
        <f t="shared" si="28"/>
        <v/>
      </c>
      <c r="H966" s="51" t="str">
        <f t="shared" si="29"/>
        <v/>
      </c>
    </row>
    <row r="967" spans="5:8" x14ac:dyDescent="0.25">
      <c r="E967" s="42" t="str">
        <f>IF(OR(C967="",D967=""),"",AtualizarAte-C967)</f>
        <v/>
      </c>
      <c r="F967" s="51" t="str">
        <f>IF(OR(C967="",D967=""),"",IF(TipoCalculo="JUROS SIMPLES",D967*E967*TaxaAoDia,FV(TaxaAoDia,E967,,-D967)-D967))</f>
        <v/>
      </c>
      <c r="G967" s="51" t="str">
        <f t="shared" si="28"/>
        <v/>
      </c>
      <c r="H967" s="51" t="str">
        <f t="shared" si="29"/>
        <v/>
      </c>
    </row>
    <row r="968" spans="5:8" x14ac:dyDescent="0.25">
      <c r="E968" s="42" t="str">
        <f>IF(OR(C968="",D968=""),"",AtualizarAte-C968)</f>
        <v/>
      </c>
      <c r="F968" s="51" t="str">
        <f>IF(OR(C968="",D968=""),"",IF(TipoCalculo="JUROS SIMPLES",D968*E968*TaxaAoDia,FV(TaxaAoDia,E968,,-D968)-D968))</f>
        <v/>
      </c>
      <c r="G968" s="51" t="str">
        <f t="shared" si="28"/>
        <v/>
      </c>
      <c r="H968" s="51" t="str">
        <f t="shared" si="29"/>
        <v/>
      </c>
    </row>
    <row r="969" spans="5:8" x14ac:dyDescent="0.25">
      <c r="E969" s="42" t="str">
        <f>IF(OR(C969="",D969=""),"",AtualizarAte-C969)</f>
        <v/>
      </c>
      <c r="F969" s="51" t="str">
        <f>IF(OR(C969="",D969=""),"",IF(TipoCalculo="JUROS SIMPLES",D969*E969*TaxaAoDia,FV(TaxaAoDia,E969,,-D969)-D969))</f>
        <v/>
      </c>
      <c r="G969" s="51" t="str">
        <f t="shared" si="28"/>
        <v/>
      </c>
      <c r="H969" s="51" t="str">
        <f t="shared" si="29"/>
        <v/>
      </c>
    </row>
    <row r="970" spans="5:8" x14ac:dyDescent="0.25">
      <c r="E970" s="42" t="str">
        <f>IF(OR(C970="",D970=""),"",AtualizarAte-C970)</f>
        <v/>
      </c>
      <c r="F970" s="51" t="str">
        <f>IF(OR(C970="",D970=""),"",IF(TipoCalculo="JUROS SIMPLES",D970*E970*TaxaAoDia,FV(TaxaAoDia,E970,,-D970)-D970))</f>
        <v/>
      </c>
      <c r="G970" s="51" t="str">
        <f t="shared" si="28"/>
        <v/>
      </c>
      <c r="H970" s="51" t="str">
        <f t="shared" si="29"/>
        <v/>
      </c>
    </row>
    <row r="971" spans="5:8" x14ac:dyDescent="0.25">
      <c r="E971" s="42" t="str">
        <f>IF(OR(C971="",D971=""),"",AtualizarAte-C971)</f>
        <v/>
      </c>
      <c r="F971" s="51" t="str">
        <f>IF(OR(C971="",D971=""),"",IF(TipoCalculo="JUROS SIMPLES",D971*E971*TaxaAoDia,FV(TaxaAoDia,E971,,-D971)-D971))</f>
        <v/>
      </c>
      <c r="G971" s="51" t="str">
        <f t="shared" si="28"/>
        <v/>
      </c>
      <c r="H971" s="51" t="str">
        <f t="shared" si="29"/>
        <v/>
      </c>
    </row>
    <row r="972" spans="5:8" x14ac:dyDescent="0.25">
      <c r="E972" s="42" t="str">
        <f>IF(OR(C972="",D972=""),"",AtualizarAte-C972)</f>
        <v/>
      </c>
      <c r="F972" s="51" t="str">
        <f>IF(OR(C972="",D972=""),"",IF(TipoCalculo="JUROS SIMPLES",D972*E972*TaxaAoDia,FV(TaxaAoDia,E972,,-D972)-D972))</f>
        <v/>
      </c>
      <c r="G972" s="51" t="str">
        <f t="shared" si="28"/>
        <v/>
      </c>
      <c r="H972" s="51" t="str">
        <f t="shared" si="29"/>
        <v/>
      </c>
    </row>
    <row r="973" spans="5:8" x14ac:dyDescent="0.25">
      <c r="E973" s="42" t="str">
        <f>IF(OR(C973="",D973=""),"",AtualizarAte-C973)</f>
        <v/>
      </c>
      <c r="F973" s="51" t="str">
        <f>IF(OR(C973="",D973=""),"",IF(TipoCalculo="JUROS SIMPLES",D973*E973*TaxaAoDia,FV(TaxaAoDia,E973,,-D973)-D973))</f>
        <v/>
      </c>
      <c r="G973" s="51" t="str">
        <f t="shared" ref="G973:G1000" si="30">IF(OR(C973="",D973=""),"",D973+F973)</f>
        <v/>
      </c>
      <c r="H973" s="51" t="str">
        <f t="shared" ref="H973:H1000" si="31">IF(C973="","",IF(D973="","",IF(H972="SALDO ATUALIZ.",G973,H972+G973)))</f>
        <v/>
      </c>
    </row>
    <row r="974" spans="5:8" x14ac:dyDescent="0.25">
      <c r="E974" s="42" t="str">
        <f>IF(OR(C974="",D974=""),"",AtualizarAte-C974)</f>
        <v/>
      </c>
      <c r="F974" s="51" t="str">
        <f>IF(OR(C974="",D974=""),"",IF(TipoCalculo="JUROS SIMPLES",D974*E974*TaxaAoDia,FV(TaxaAoDia,E974,,-D974)-D974))</f>
        <v/>
      </c>
      <c r="G974" s="51" t="str">
        <f t="shared" si="30"/>
        <v/>
      </c>
      <c r="H974" s="51" t="str">
        <f t="shared" si="31"/>
        <v/>
      </c>
    </row>
    <row r="975" spans="5:8" x14ac:dyDescent="0.25">
      <c r="E975" s="42" t="str">
        <f>IF(OR(C975="",D975=""),"",AtualizarAte-C975)</f>
        <v/>
      </c>
      <c r="F975" s="51" t="str">
        <f>IF(OR(C975="",D975=""),"",IF(TipoCalculo="JUROS SIMPLES",D975*E975*TaxaAoDia,FV(TaxaAoDia,E975,,-D975)-D975))</f>
        <v/>
      </c>
      <c r="G975" s="51" t="str">
        <f t="shared" si="30"/>
        <v/>
      </c>
      <c r="H975" s="51" t="str">
        <f t="shared" si="31"/>
        <v/>
      </c>
    </row>
    <row r="976" spans="5:8" x14ac:dyDescent="0.25">
      <c r="E976" s="42" t="str">
        <f>IF(OR(C976="",D976=""),"",AtualizarAte-C976)</f>
        <v/>
      </c>
      <c r="F976" s="51" t="str">
        <f>IF(OR(C976="",D976=""),"",IF(TipoCalculo="JUROS SIMPLES",D976*E976*TaxaAoDia,FV(TaxaAoDia,E976,,-D976)-D976))</f>
        <v/>
      </c>
      <c r="G976" s="51" t="str">
        <f t="shared" si="30"/>
        <v/>
      </c>
      <c r="H976" s="51" t="str">
        <f t="shared" si="31"/>
        <v/>
      </c>
    </row>
    <row r="977" spans="5:8" x14ac:dyDescent="0.25">
      <c r="E977" s="42" t="str">
        <f>IF(OR(C977="",D977=""),"",AtualizarAte-C977)</f>
        <v/>
      </c>
      <c r="F977" s="51" t="str">
        <f>IF(OR(C977="",D977=""),"",IF(TipoCalculo="JUROS SIMPLES",D977*E977*TaxaAoDia,FV(TaxaAoDia,E977,,-D977)-D977))</f>
        <v/>
      </c>
      <c r="G977" s="51" t="str">
        <f t="shared" si="30"/>
        <v/>
      </c>
      <c r="H977" s="51" t="str">
        <f t="shared" si="31"/>
        <v/>
      </c>
    </row>
    <row r="978" spans="5:8" x14ac:dyDescent="0.25">
      <c r="E978" s="42" t="str">
        <f>IF(OR(C978="",D978=""),"",AtualizarAte-C978)</f>
        <v/>
      </c>
      <c r="F978" s="51" t="str">
        <f>IF(OR(C978="",D978=""),"",IF(TipoCalculo="JUROS SIMPLES",D978*E978*TaxaAoDia,FV(TaxaAoDia,E978,,-D978)-D978))</f>
        <v/>
      </c>
      <c r="G978" s="51" t="str">
        <f t="shared" si="30"/>
        <v/>
      </c>
      <c r="H978" s="51" t="str">
        <f t="shared" si="31"/>
        <v/>
      </c>
    </row>
    <row r="979" spans="5:8" x14ac:dyDescent="0.25">
      <c r="E979" s="42" t="str">
        <f>IF(OR(C979="",D979=""),"",AtualizarAte-C979)</f>
        <v/>
      </c>
      <c r="F979" s="51" t="str">
        <f>IF(OR(C979="",D979=""),"",IF(TipoCalculo="JUROS SIMPLES",D979*E979*TaxaAoDia,FV(TaxaAoDia,E979,,-D979)-D979))</f>
        <v/>
      </c>
      <c r="G979" s="51" t="str">
        <f t="shared" si="30"/>
        <v/>
      </c>
      <c r="H979" s="51" t="str">
        <f t="shared" si="31"/>
        <v/>
      </c>
    </row>
    <row r="980" spans="5:8" x14ac:dyDescent="0.25">
      <c r="E980" s="42" t="str">
        <f>IF(OR(C980="",D980=""),"",AtualizarAte-C980)</f>
        <v/>
      </c>
      <c r="F980" s="51" t="str">
        <f>IF(OR(C980="",D980=""),"",IF(TipoCalculo="JUROS SIMPLES",D980*E980*TaxaAoDia,FV(TaxaAoDia,E980,,-D980)-D980))</f>
        <v/>
      </c>
      <c r="G980" s="51" t="str">
        <f t="shared" si="30"/>
        <v/>
      </c>
      <c r="H980" s="51" t="str">
        <f t="shared" si="31"/>
        <v/>
      </c>
    </row>
    <row r="981" spans="5:8" x14ac:dyDescent="0.25">
      <c r="E981" s="42" t="str">
        <f>IF(OR(C981="",D981=""),"",AtualizarAte-C981)</f>
        <v/>
      </c>
      <c r="F981" s="51" t="str">
        <f>IF(OR(C981="",D981=""),"",IF(TipoCalculo="JUROS SIMPLES",D981*E981*TaxaAoDia,FV(TaxaAoDia,E981,,-D981)-D981))</f>
        <v/>
      </c>
      <c r="G981" s="51" t="str">
        <f t="shared" si="30"/>
        <v/>
      </c>
      <c r="H981" s="51" t="str">
        <f t="shared" si="31"/>
        <v/>
      </c>
    </row>
    <row r="982" spans="5:8" x14ac:dyDescent="0.25">
      <c r="E982" s="42" t="str">
        <f>IF(OR(C982="",D982=""),"",AtualizarAte-C982)</f>
        <v/>
      </c>
      <c r="F982" s="51" t="str">
        <f>IF(OR(C982="",D982=""),"",IF(TipoCalculo="JUROS SIMPLES",D982*E982*TaxaAoDia,FV(TaxaAoDia,E982,,-D982)-D982))</f>
        <v/>
      </c>
      <c r="G982" s="51" t="str">
        <f t="shared" si="30"/>
        <v/>
      </c>
      <c r="H982" s="51" t="str">
        <f t="shared" si="31"/>
        <v/>
      </c>
    </row>
    <row r="983" spans="5:8" x14ac:dyDescent="0.25">
      <c r="E983" s="42" t="str">
        <f>IF(OR(C983="",D983=""),"",AtualizarAte-C983)</f>
        <v/>
      </c>
      <c r="F983" s="51" t="str">
        <f>IF(OR(C983="",D983=""),"",IF(TipoCalculo="JUROS SIMPLES",D983*E983*TaxaAoDia,FV(TaxaAoDia,E983,,-D983)-D983))</f>
        <v/>
      </c>
      <c r="G983" s="51" t="str">
        <f t="shared" si="30"/>
        <v/>
      </c>
      <c r="H983" s="51" t="str">
        <f t="shared" si="31"/>
        <v/>
      </c>
    </row>
    <row r="984" spans="5:8" x14ac:dyDescent="0.25">
      <c r="E984" s="42" t="str">
        <f>IF(OR(C984="",D984=""),"",AtualizarAte-C984)</f>
        <v/>
      </c>
      <c r="F984" s="51" t="str">
        <f>IF(OR(C984="",D984=""),"",IF(TipoCalculo="JUROS SIMPLES",D984*E984*TaxaAoDia,FV(TaxaAoDia,E984,,-D984)-D984))</f>
        <v/>
      </c>
      <c r="G984" s="51" t="str">
        <f t="shared" si="30"/>
        <v/>
      </c>
      <c r="H984" s="51" t="str">
        <f t="shared" si="31"/>
        <v/>
      </c>
    </row>
    <row r="985" spans="5:8" x14ac:dyDescent="0.25">
      <c r="E985" s="42" t="str">
        <f>IF(OR(C985="",D985=""),"",AtualizarAte-C985)</f>
        <v/>
      </c>
      <c r="F985" s="43" t="str">
        <f>IF(OR(C985="",D985=""),"",IF(TipoCalculo="JUROS SIMPLES",D985*E985*TaxaAoDia,FV(TaxaAoDia,E985,,-D985)-D985))</f>
        <v/>
      </c>
      <c r="G985" s="43" t="str">
        <f t="shared" si="30"/>
        <v/>
      </c>
      <c r="H985" s="43" t="str">
        <f t="shared" si="31"/>
        <v/>
      </c>
    </row>
    <row r="986" spans="5:8" x14ac:dyDescent="0.25">
      <c r="E986" s="42" t="str">
        <f>IF(OR(C986="",D986=""),"",AtualizarAte-C986)</f>
        <v/>
      </c>
      <c r="F986" s="43" t="str">
        <f>IF(OR(C986="",D986=""),"",IF(TipoCalculo="JUROS SIMPLES",D986*E986*TaxaAoDia,FV(TaxaAoDia,E986,,-D986)-D986))</f>
        <v/>
      </c>
      <c r="G986" s="43" t="str">
        <f t="shared" si="30"/>
        <v/>
      </c>
      <c r="H986" s="43" t="str">
        <f t="shared" si="31"/>
        <v/>
      </c>
    </row>
    <row r="987" spans="5:8" x14ac:dyDescent="0.25">
      <c r="E987" s="42" t="str">
        <f>IF(OR(C987="",D987=""),"",AtualizarAte-C987)</f>
        <v/>
      </c>
      <c r="F987" s="43" t="str">
        <f>IF(OR(C987="",D987=""),"",IF(TipoCalculo="JUROS SIMPLES",D987*E987*TaxaAoDia,FV(TaxaAoDia,E987,,-D987)-D987))</f>
        <v/>
      </c>
      <c r="G987" s="43" t="str">
        <f t="shared" si="30"/>
        <v/>
      </c>
      <c r="H987" s="43" t="str">
        <f t="shared" si="31"/>
        <v/>
      </c>
    </row>
    <row r="988" spans="5:8" x14ac:dyDescent="0.25">
      <c r="E988" s="42" t="str">
        <f>IF(OR(C988="",D988=""),"",AtualizarAte-C988)</f>
        <v/>
      </c>
      <c r="F988" s="43" t="str">
        <f>IF(OR(C988="",D988=""),"",IF(TipoCalculo="JUROS SIMPLES",D988*E988*TaxaAoDia,FV(TaxaAoDia,E988,,-D988)-D988))</f>
        <v/>
      </c>
      <c r="G988" s="43" t="str">
        <f t="shared" si="30"/>
        <v/>
      </c>
      <c r="H988" s="43" t="str">
        <f t="shared" si="31"/>
        <v/>
      </c>
    </row>
    <row r="989" spans="5:8" x14ac:dyDescent="0.25">
      <c r="E989" s="42" t="str">
        <f>IF(OR(C989="",D989=""),"",AtualizarAte-C989)</f>
        <v/>
      </c>
      <c r="F989" s="43" t="str">
        <f>IF(OR(C989="",D989=""),"",IF(TipoCalculo="JUROS SIMPLES",D989*E989*TaxaAoDia,FV(TaxaAoDia,E989,,-D989)-D989))</f>
        <v/>
      </c>
      <c r="G989" s="43" t="str">
        <f t="shared" si="30"/>
        <v/>
      </c>
      <c r="H989" s="43" t="str">
        <f t="shared" si="31"/>
        <v/>
      </c>
    </row>
    <row r="990" spans="5:8" x14ac:dyDescent="0.25">
      <c r="E990" s="42" t="str">
        <f>IF(OR(C990="",D990=""),"",AtualizarAte-C990)</f>
        <v/>
      </c>
      <c r="F990" s="43" t="str">
        <f>IF(OR(C990="",D990=""),"",IF(TipoCalculo="JUROS SIMPLES",D990*E990*TaxaAoDia,FV(TaxaAoDia,E990,,-D990)-D990))</f>
        <v/>
      </c>
      <c r="G990" s="43" t="str">
        <f t="shared" si="30"/>
        <v/>
      </c>
      <c r="H990" s="43" t="str">
        <f t="shared" si="31"/>
        <v/>
      </c>
    </row>
    <row r="991" spans="5:8" x14ac:dyDescent="0.25">
      <c r="E991" s="42" t="str">
        <f>IF(OR(C991="",D991=""),"",AtualizarAte-C991)</f>
        <v/>
      </c>
      <c r="F991" s="43" t="str">
        <f>IF(OR(C991="",D991=""),"",IF(TipoCalculo="JUROS SIMPLES",D991*E991*TaxaAoDia,FV(TaxaAoDia,E991,,-D991)-D991))</f>
        <v/>
      </c>
      <c r="G991" s="43" t="str">
        <f t="shared" si="30"/>
        <v/>
      </c>
      <c r="H991" s="43" t="str">
        <f t="shared" si="31"/>
        <v/>
      </c>
    </row>
    <row r="992" spans="5:8" x14ac:dyDescent="0.25">
      <c r="E992" s="42" t="str">
        <f>IF(OR(C992="",D992=""),"",AtualizarAte-C992)</f>
        <v/>
      </c>
      <c r="F992" s="43" t="str">
        <f>IF(OR(C992="",D992=""),"",IF(TipoCalculo="JUROS SIMPLES",D992*E992*TaxaAoDia,FV(TaxaAoDia,E992,,-D992)-D992))</f>
        <v/>
      </c>
      <c r="G992" s="43" t="str">
        <f t="shared" si="30"/>
        <v/>
      </c>
      <c r="H992" s="43" t="str">
        <f t="shared" si="31"/>
        <v/>
      </c>
    </row>
    <row r="993" spans="5:8" x14ac:dyDescent="0.25">
      <c r="E993" s="42" t="str">
        <f>IF(OR(C993="",D993=""),"",AtualizarAte-C993)</f>
        <v/>
      </c>
      <c r="F993" s="43" t="str">
        <f>IF(OR(C993="",D993=""),"",IF(TipoCalculo="JUROS SIMPLES",D993*E993*TaxaAoDia,FV(TaxaAoDia,E993,,-D993)-D993))</f>
        <v/>
      </c>
      <c r="G993" s="43" t="str">
        <f t="shared" si="30"/>
        <v/>
      </c>
      <c r="H993" s="43" t="str">
        <f t="shared" si="31"/>
        <v/>
      </c>
    </row>
    <row r="994" spans="5:8" x14ac:dyDescent="0.25">
      <c r="E994" s="42" t="str">
        <f>IF(OR(C994="",D994=""),"",AtualizarAte-C994)</f>
        <v/>
      </c>
      <c r="F994" s="43" t="str">
        <f>IF(OR(C994="",D994=""),"",IF(TipoCalculo="JUROS SIMPLES",D994*E994*TaxaAoDia,FV(TaxaAoDia,E994,,-D994)-D994))</f>
        <v/>
      </c>
      <c r="G994" s="43" t="str">
        <f t="shared" si="30"/>
        <v/>
      </c>
      <c r="H994" s="43" t="str">
        <f t="shared" si="31"/>
        <v/>
      </c>
    </row>
    <row r="995" spans="5:8" x14ac:dyDescent="0.25">
      <c r="E995" s="42" t="str">
        <f>IF(OR(C995="",D995=""),"",AtualizarAte-C995)</f>
        <v/>
      </c>
      <c r="F995" s="43" t="str">
        <f>IF(OR(C995="",D995=""),"",IF(TipoCalculo="JUROS SIMPLES",D995*E995*TaxaAoDia,FV(TaxaAoDia,E995,,-D995)-D995))</f>
        <v/>
      </c>
      <c r="G995" s="43" t="str">
        <f t="shared" si="30"/>
        <v/>
      </c>
      <c r="H995" s="43" t="str">
        <f t="shared" si="31"/>
        <v/>
      </c>
    </row>
    <row r="996" spans="5:8" x14ac:dyDescent="0.25">
      <c r="E996" s="42" t="str">
        <f>IF(OR(C996="",D996=""),"",AtualizarAte-C996)</f>
        <v/>
      </c>
      <c r="F996" s="43" t="str">
        <f>IF(OR(C996="",D996=""),"",IF(TipoCalculo="JUROS SIMPLES",D996*E996*TaxaAoDia,FV(TaxaAoDia,E996,,-D996)-D996))</f>
        <v/>
      </c>
      <c r="G996" s="43" t="str">
        <f t="shared" si="30"/>
        <v/>
      </c>
      <c r="H996" s="43" t="str">
        <f t="shared" si="31"/>
        <v/>
      </c>
    </row>
    <row r="997" spans="5:8" x14ac:dyDescent="0.25">
      <c r="E997" s="42" t="str">
        <f>IF(OR(C997="",D997=""),"",AtualizarAte-C997)</f>
        <v/>
      </c>
      <c r="F997" s="43" t="str">
        <f>IF(OR(C997="",D997=""),"",IF(TipoCalculo="JUROS SIMPLES",D997*E997*TaxaAoDia,FV(TaxaAoDia,E997,,-D997)-D997))</f>
        <v/>
      </c>
      <c r="G997" s="43" t="str">
        <f t="shared" si="30"/>
        <v/>
      </c>
      <c r="H997" s="43" t="str">
        <f t="shared" si="31"/>
        <v/>
      </c>
    </row>
    <row r="998" spans="5:8" x14ac:dyDescent="0.25">
      <c r="E998" s="42" t="str">
        <f>IF(OR(C998="",D998=""),"",AtualizarAte-C998)</f>
        <v/>
      </c>
      <c r="F998" s="43" t="str">
        <f>IF(OR(C998="",D998=""),"",IF(TipoCalculo="JUROS SIMPLES",D998*E998*TaxaAoDia,FV(TaxaAoDia,E998,,-D998)-D998))</f>
        <v/>
      </c>
      <c r="G998" s="43" t="str">
        <f t="shared" si="30"/>
        <v/>
      </c>
      <c r="H998" s="43" t="str">
        <f t="shared" si="31"/>
        <v/>
      </c>
    </row>
    <row r="999" spans="5:8" x14ac:dyDescent="0.25">
      <c r="E999" s="42" t="str">
        <f>IF(OR(C999="",D999=""),"",AtualizarAte-C999)</f>
        <v/>
      </c>
      <c r="F999" s="43" t="str">
        <f>IF(OR(C999="",D999=""),"",IF(TipoCalculo="JUROS SIMPLES",D999*E999*TaxaAoDia,FV(TaxaAoDia,E999,,-D999)-D999))</f>
        <v/>
      </c>
      <c r="G999" s="43" t="str">
        <f t="shared" si="30"/>
        <v/>
      </c>
      <c r="H999" s="43" t="str">
        <f t="shared" si="31"/>
        <v/>
      </c>
    </row>
    <row r="1000" spans="5:8" x14ac:dyDescent="0.25">
      <c r="E1000" s="42" t="str">
        <f>IF(OR(C1000="",D1000=""),"",AtualizarAte-C1000)</f>
        <v/>
      </c>
      <c r="F1000" s="43" t="str">
        <f>IF(OR(C1000="",D1000=""),"",IF(TipoCalculo="JUROS SIMPLES",D1000*E1000*TaxaAoDia,FV(TaxaAoDia,E1000,,-D1000)-D1000))</f>
        <v/>
      </c>
      <c r="G1000" s="43" t="str">
        <f t="shared" si="30"/>
        <v/>
      </c>
      <c r="H1000" s="43" t="str">
        <f t="shared" si="31"/>
        <v/>
      </c>
    </row>
  </sheetData>
  <sheetProtection sheet="1" objects="1" scenarios="1" formatColumns="0" deleteRows="0" selectLockedCells="1"/>
  <autoFilter ref="C12:I969" xr:uid="{747E5A35-A6BF-4314-A903-84663C01CBE5}"/>
  <sortState ref="A13:I999">
    <sortCondition ref="C13"/>
  </sortState>
  <mergeCells count="2">
    <mergeCell ref="C11:I11"/>
    <mergeCell ref="C7:H7"/>
  </mergeCells>
  <conditionalFormatting sqref="C13:I1000">
    <cfRule type="expression" dxfId="1" priority="2">
      <formula>$C12&lt;&gt;""</formula>
    </cfRule>
  </conditionalFormatting>
  <conditionalFormatting sqref="C13:D1000 I13:I1000">
    <cfRule type="expression" dxfId="0" priority="1">
      <formula>$C12&lt;&gt;""</formula>
    </cfRule>
  </conditionalFormatting>
  <dataValidations count="2">
    <dataValidation type="list" allowBlank="1" showInputMessage="1" showErrorMessage="1" sqref="E5" xr:uid="{861BFBF8-BD42-4AC6-A0DA-1BB7CF1E75C7}">
      <formula1>"JUROS SIMPLES,JUROS COMPOSTOS"</formula1>
    </dataValidation>
    <dataValidation type="date" allowBlank="1" showInputMessage="1" showErrorMessage="1" errorTitle="ERRO DE DIGITAÇÃO!" error="Digite uma data válida." sqref="C13:C1000" xr:uid="{32E14711-98C9-4ABC-93F6-DC80A74699CD}">
      <formula1>40179</formula1>
      <formula2>46022</formula2>
    </dataValidation>
  </dataValidations>
  <printOptions horizontalCentered="1" verticalCentered="1"/>
  <pageMargins left="0.51181102362204722" right="0.35433070866141736" top="0.82" bottom="0.78740157480314965" header="0.45" footer="0.31496062992125984"/>
  <pageSetup paperSize="9" scale="85" orientation="landscape" r:id="rId1"/>
  <headerFooter>
    <oddHeader>&amp;C&amp;"-,Negrito"&amp;14ATUALIZAÇÃO DE FLUXO DE RECEBIMENTOS E PAGAMENTOS</oddHeader>
    <oddFooter>&amp;L&amp;8&amp;Z&amp;F&amp;R&amp;D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otão de opção 4">
              <controlPr defaultSize="0" autoFill="0" autoLine="0" autoPict="0">
                <anchor moveWithCells="1">
                  <from>
                    <xdr:col>3</xdr:col>
                    <xdr:colOff>390525</xdr:colOff>
                    <xdr:row>2</xdr:row>
                    <xdr:rowOff>85725</xdr:rowOff>
                  </from>
                  <to>
                    <xdr:col>3</xdr:col>
                    <xdr:colOff>742950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Option Button 5">
              <controlPr defaultSize="0" autoFill="0" autoLine="0" autoPict="0">
                <anchor moveWithCells="1">
                  <from>
                    <xdr:col>3</xdr:col>
                    <xdr:colOff>771525</xdr:colOff>
                    <xdr:row>2</xdr:row>
                    <xdr:rowOff>85725</xdr:rowOff>
                  </from>
                  <to>
                    <xdr:col>3</xdr:col>
                    <xdr:colOff>1123950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045E5-6B36-4550-B570-9EF0462CCEE8}">
  <sheetPr codeName="Sht_ConversaoTaxa"/>
  <dimension ref="B1:F14"/>
  <sheetViews>
    <sheetView showGridLines="0" workbookViewId="0">
      <selection activeCell="D15" sqref="D15"/>
    </sheetView>
  </sheetViews>
  <sheetFormatPr defaultRowHeight="15" x14ac:dyDescent="0.25"/>
  <cols>
    <col min="1" max="1" width="5.140625" style="21" customWidth="1"/>
    <col min="2" max="2" width="14.42578125" style="21" customWidth="1"/>
    <col min="3" max="4" width="19.85546875" style="21" customWidth="1"/>
    <col min="5" max="5" width="9.5703125" style="21" bestFit="1" customWidth="1"/>
    <col min="6" max="6" width="4.7109375" style="21" customWidth="1"/>
    <col min="7" max="16384" width="9.140625" style="21"/>
  </cols>
  <sheetData>
    <row r="1" spans="2:6" x14ac:dyDescent="0.25">
      <c r="B1" s="23"/>
    </row>
    <row r="2" spans="2:6" ht="17.25" x14ac:dyDescent="0.4">
      <c r="B2" s="74" t="str">
        <f>"CONVERSÃO DA 'TAXA "&amp;IF(CÁLCULO!A4=1,"AO MÊS'","AO ANO'")&amp;" PARA 'TAXA AO DIA'"&amp;" E 'TAXA "&amp;IF(CÁLCULO!A4=1,"AO ANO'","AO MÊS'")</f>
        <v>CONVERSÃO DA 'TAXA AO MÊS' PARA 'TAXA AO DIA' E 'TAXA AO ANO'</v>
      </c>
      <c r="C2" s="74"/>
      <c r="D2" s="74"/>
      <c r="E2" s="74"/>
      <c r="F2" s="31"/>
    </row>
    <row r="3" spans="2:6" ht="4.5" customHeight="1" x14ac:dyDescent="0.25">
      <c r="B3" s="24"/>
      <c r="C3" s="24"/>
      <c r="D3" s="24"/>
    </row>
    <row r="4" spans="2:6" x14ac:dyDescent="0.25">
      <c r="B4" s="71" t="s">
        <v>18</v>
      </c>
      <c r="C4" s="73"/>
      <c r="D4" s="24"/>
    </row>
    <row r="5" spans="2:6" x14ac:dyDescent="0.25">
      <c r="B5" s="71" t="s">
        <v>34</v>
      </c>
      <c r="C5" s="72"/>
      <c r="D5" s="24"/>
    </row>
    <row r="6" spans="2:6" x14ac:dyDescent="0.25">
      <c r="B6" s="24"/>
      <c r="C6" s="24"/>
      <c r="D6" s="24"/>
    </row>
    <row r="7" spans="2:6" x14ac:dyDescent="0.25">
      <c r="C7" s="30" t="s">
        <v>16</v>
      </c>
      <c r="D7" s="30" t="s">
        <v>15</v>
      </c>
    </row>
    <row r="8" spans="2:6" x14ac:dyDescent="0.25">
      <c r="B8" s="30" t="str">
        <f>IF(CÁLCULO!A4=1,"'i' ao mês","'i' ao ano")</f>
        <v>'i' ao mês</v>
      </c>
      <c r="C8" s="61">
        <f>TaxaEscolhida</f>
        <v>0.02</v>
      </c>
      <c r="D8" s="61">
        <f>TaxaEscolhida</f>
        <v>0.02</v>
      </c>
    </row>
    <row r="9" spans="2:6" x14ac:dyDescent="0.25">
      <c r="B9" s="32" t="s">
        <v>35</v>
      </c>
      <c r="C9" s="25">
        <f>IF(CÁLCULO!A4=1,30,360)</f>
        <v>30</v>
      </c>
      <c r="D9" s="25">
        <f>IF(CÁLCULO!A4=1,30,360)</f>
        <v>30</v>
      </c>
    </row>
    <row r="10" spans="2:6" x14ac:dyDescent="0.25">
      <c r="B10" s="32" t="s">
        <v>17</v>
      </c>
      <c r="C10" s="29">
        <f>C8/C9</f>
        <v>6.6666666666666664E-4</v>
      </c>
      <c r="D10" s="29">
        <f>(1+D8)^(1/D9)-1</f>
        <v>6.6030548228668273E-4</v>
      </c>
    </row>
    <row r="11" spans="2:6" x14ac:dyDescent="0.25">
      <c r="B11" s="24" t="str">
        <f>IF(C9=360,"'i' ao mês","'i' ao ano")</f>
        <v>'i' ao ano</v>
      </c>
      <c r="C11" s="62">
        <f>IF(B11="'i' ao ano",C10*360,C10*30)</f>
        <v>0.24</v>
      </c>
      <c r="D11" s="62">
        <f>IF(B11="'i' ao ano",(1+D10)^360-1,(1+D10)^30-1)</f>
        <v>0.26824179456254282</v>
      </c>
    </row>
    <row r="13" spans="2:6" x14ac:dyDescent="0.25">
      <c r="D13" s="23"/>
    </row>
    <row r="14" spans="2:6" x14ac:dyDescent="0.25">
      <c r="C14" s="63"/>
      <c r="D14" s="64"/>
    </row>
  </sheetData>
  <mergeCells count="3">
    <mergeCell ref="B5:C5"/>
    <mergeCell ref="B4:C4"/>
    <mergeCell ref="B2:E2"/>
  </mergeCells>
  <conditionalFormatting sqref="B11:D11">
    <cfRule type="expression" dxfId="6" priority="2">
      <formula>B$11&lt;&gt;""</formula>
    </cfRule>
  </conditionalFormatting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19</vt:i4>
      </vt:variant>
    </vt:vector>
  </HeadingPairs>
  <TitlesOfParts>
    <vt:vector size="22" baseType="lpstr">
      <vt:lpstr>Tutorial</vt:lpstr>
      <vt:lpstr>CÁLCULO</vt:lpstr>
      <vt:lpstr>Conversão da Taxa</vt:lpstr>
      <vt:lpstr>CÁLCULO!Area_de_impressao</vt:lpstr>
      <vt:lpstr>AtualizarAte</vt:lpstr>
      <vt:lpstr>Contagem_Liq</vt:lpstr>
      <vt:lpstr>Diferença</vt:lpstr>
      <vt:lpstr>Juros</vt:lpstr>
      <vt:lpstr>Liquidada</vt:lpstr>
      <vt:lpstr>MaiorData</vt:lpstr>
      <vt:lpstr>Prazo</vt:lpstr>
      <vt:lpstr>TaxaAoDia</vt:lpstr>
      <vt:lpstr>TaxaEscolhida</vt:lpstr>
      <vt:lpstr>TaxaMes_ou_Ano</vt:lpstr>
      <vt:lpstr>TipoCalculo</vt:lpstr>
      <vt:lpstr>TotalAPagar</vt:lpstr>
      <vt:lpstr>TotalDevido</vt:lpstr>
      <vt:lpstr>TotalJuros</vt:lpstr>
      <vt:lpstr>TotalPago</vt:lpstr>
      <vt:lpstr>TotalRecebido</vt:lpstr>
      <vt:lpstr>TotalSaldo</vt:lpstr>
      <vt:lpstr>Txt_Taxa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 Marinho</dc:creator>
  <cp:lastModifiedBy>Regis Marinho</cp:lastModifiedBy>
  <cp:lastPrinted>2018-04-25T14:00:05Z</cp:lastPrinted>
  <dcterms:created xsi:type="dcterms:W3CDTF">2018-01-25T08:42:16Z</dcterms:created>
  <dcterms:modified xsi:type="dcterms:W3CDTF">2018-09-04T18:47:06Z</dcterms:modified>
</cp:coreProperties>
</file>